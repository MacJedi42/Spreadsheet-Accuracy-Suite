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165" windowWidth="15150" windowHeight="7470" tabRatio="773" activeTab="1"/>
  </bookViews>
  <sheets>
    <sheet name="1. Misión-Visión" sheetId="29" r:id="rId1"/>
    <sheet name="2. Plan de Desarrollo Facultad" sheetId="31" r:id="rId2"/>
    <sheet name="3. Plan Financiero por unidad" sheetId="27" state="hidden" r:id="rId3"/>
    <sheet name="3. Preguntas Claves" sheetId="3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1" hidden="1">'2. Plan de Desarrollo Facultad'!$R$4:$T$81</definedName>
    <definedName name="Cuerpo_Prof" localSheetId="2">'[1]2. Plan de Desarrollo Facultad'!$M$67:$M$77</definedName>
    <definedName name="Cuerpo_Prof">'[2]2. Plan de Desarrollo Facultad'!$M$67:$M$77</definedName>
    <definedName name="Cuerpo_Profesoral" localSheetId="0">'[3]2. Plan de Desarrollo Fisica'!$N$79:$N$89</definedName>
    <definedName name="Cuerpo_Profesoral" localSheetId="2">'[4]2. Plan de Desarrollo Facultad'!#REF!</definedName>
    <definedName name="Cuerpo_Profesoral" localSheetId="3">'[3]2. Plan de Desarrollo Fisica'!$N$79:$N$89</definedName>
    <definedName name="Cuerpo_Profesoral">#REF!</definedName>
    <definedName name="datorig_antrop" localSheetId="2">#REF!</definedName>
    <definedName name="datorig_antrop">#REF!</definedName>
    <definedName name="datorig_cpol" localSheetId="2">'[5]Revisión Ciencia Política'!$A$4:$K$58</definedName>
    <definedName name="datorig_cpol">'[6]Revisión Ciencia Política'!$A$4:$K$58</definedName>
    <definedName name="datorig_Decanat" localSheetId="2">'[5]Revisión Decanatura'!$A$4:$K$64</definedName>
    <definedName name="datorig_Decanat">'[6]Revisión Decanatura'!$A$4:$K$64</definedName>
    <definedName name="datorig_filos" localSheetId="2">#REF!</definedName>
    <definedName name="datorig_filos">#REF!</definedName>
    <definedName name="datorig_Hist" localSheetId="2">'[5]Revisión Historia'!$A$4:$K$26</definedName>
    <definedName name="datorig_Hist">'[6]Revisión Historia'!$A$4:$K$26</definedName>
    <definedName name="datorig_leng" localSheetId="2">'[5]Revisión Lenguajes'!$A$4:$K$37</definedName>
    <definedName name="datorig_leng">'[6]Revisión Lenguajes'!$A$4:$K$37</definedName>
    <definedName name="datorig_psic" localSheetId="2">'[5]Revisión Psicología'!$A$4:$K$115</definedName>
    <definedName name="datorig_psic">'[6]Revisión Psicología'!$A$4:$K$115</definedName>
    <definedName name="Datos_Decan">'[7]Revisión Decanatura '!$A$5:$K$100</definedName>
    <definedName name="Datos_ICYA">'[7]Revisión ICYA'!$B$9:$K$192</definedName>
    <definedName name="Datos_IIND">'[7]Revisión IIND'!$B$9:$M$148</definedName>
    <definedName name="Datos_IMEC">'[7]Revisión IMEC'!$B$5:$L$46</definedName>
    <definedName name="Datos_IQUI">'[7]Revisión IQUI'!$B$9:$L$74</definedName>
    <definedName name="Datos_ISIS">'[7]Revisión ISIS'!$B$5:$L$55</definedName>
    <definedName name="Datos_orig">'[7]Revisión IIE'!$B$5:$AC$95</definedName>
    <definedName name="Egr" localSheetId="2">'[8]2. Plan de Desarrollo Facultad'!$U$42:$U$45</definedName>
    <definedName name="Egr">'[9]2. Plan de Desarrollo Facultad'!$U$42:$U$45</definedName>
    <definedName name="Egresados" localSheetId="0">'[3]2. Plan de Desarrollo Fisica'!$U$79:$U$82</definedName>
    <definedName name="Egresados" localSheetId="2">'[4]2. Plan de Desarrollo Facultad'!#REF!</definedName>
    <definedName name="Egresados" localSheetId="3">'[3]2. Plan de Desarrollo Fisica'!$U$79:$U$82</definedName>
    <definedName name="Egresados">#REF!</definedName>
    <definedName name="Entorno" localSheetId="0">'[3]2. Plan de Desarrollo Fisica'!$T$79:$T$85</definedName>
    <definedName name="Entorno" localSheetId="2">'[4]2. Plan de Desarrollo Facultad'!#REF!</definedName>
    <definedName name="Entorno" localSheetId="3">'[3]2. Plan de Desarrollo Fisica'!$T$79:$T$85</definedName>
    <definedName name="Entorno">#REF!</definedName>
    <definedName name="Estudiantes" localSheetId="0">'[3]2. Plan de Desarrollo Fisica'!$M$79:$M$86</definedName>
    <definedName name="Estudiantes" localSheetId="2">'[4]2. Plan de Desarrollo Facultad'!#REF!</definedName>
    <definedName name="Estudiantes" localSheetId="3">'[3]2. Plan de Desarrollo Fisica'!$M$79:$M$86</definedName>
    <definedName name="Estudiantes">#REF!</definedName>
    <definedName name="Gestión">'[10]2. Plan de Desarrollo Facultad'!$T$94:$T$98</definedName>
    <definedName name="Gob_Estruct" localSheetId="2">'[4]2. Plan de Desarrollo Facultad'!#REF!</definedName>
    <definedName name="Gob_Estruct">#REF!</definedName>
    <definedName name="Gob_Estructura">[11]Original!$S$112:$S$116</definedName>
    <definedName name="Gobierno">'[12]2. Plan de Desarrollo Facultad'!$T$109:$T$113</definedName>
    <definedName name="Gobierno_Estructura">'[13]2. Plan de Desarrollo Facultad'!$S$101:$S$105</definedName>
    <definedName name="Gobierno_y_Estructura" localSheetId="0">'[3]2. Plan de Desarrollo Fisica'!$S$79:$S$83</definedName>
    <definedName name="Gobierno_y_Estructura" localSheetId="2">#REF!</definedName>
    <definedName name="Gobierno_y_Estructura" localSheetId="3">'[3]2. Plan de Desarrollo Fisica'!$S$79:$S$83</definedName>
    <definedName name="Gobierno_y_Estructura">#REF!</definedName>
    <definedName name="Investigación" localSheetId="0">'[3]2. Plan de Desarrollo Fisica'!$L$79:$L$87</definedName>
    <definedName name="Investigación" localSheetId="2">'[4]2. Plan de Desarrollo Facultad'!#REF!</definedName>
    <definedName name="Investigación" localSheetId="3">'[3]2. Plan de Desarrollo Fisica'!$L$79:$L$87</definedName>
    <definedName name="Investigación">#REF!</definedName>
    <definedName name="Profesores">'[10]2. Plan de Desarrollo Facultad'!$N$94:$N$104</definedName>
    <definedName name="Programas" localSheetId="0">'[3]2. Plan de Desarrollo Fisica'!$K$79:$K$86</definedName>
    <definedName name="Programas" localSheetId="2">'[4]2. Plan de Desarrollo Facultad'!#REF!</definedName>
    <definedName name="Programas" localSheetId="3">'[3]2. Plan de Desarrollo Fisica'!$K$79:$K$86</definedName>
    <definedName name="Programas">#REF!</definedName>
    <definedName name="Rec_Academicos">[11]Original!$O$112</definedName>
    <definedName name="Rec_Académicos" localSheetId="2">'[4]2. Plan de Desarrollo Facultad'!#REF!</definedName>
    <definedName name="Rec_Académicos">#REF!</definedName>
    <definedName name="Rec_Financieros" localSheetId="2">'[4]2. Plan de Desarrollo Facultad'!#REF!</definedName>
    <definedName name="Rec_Financieros">#REF!</definedName>
    <definedName name="Rec_Físicos" localSheetId="2">'[4]2. Plan de Desarrollo Facultad'!#REF!</definedName>
    <definedName name="Rec_Físicos">#REF!</definedName>
    <definedName name="Rec_Tecnologicos">[11]Original!$P$112:$P$115</definedName>
    <definedName name="Rec_Tecnológicos" localSheetId="2">'[4]2. Plan de Desarrollo Facultad'!#REF!</definedName>
    <definedName name="Rec_Tecnológicos">#REF!</definedName>
    <definedName name="Recur_Financieros">'[7]Revisión IQUI'!$T$77:$T$80</definedName>
    <definedName name="Recursos_Académicos" localSheetId="0">'[3]2. Plan de Desarrollo Fisica'!$O$79</definedName>
    <definedName name="Recursos_Académicos" localSheetId="3">'[3]2. Plan de Desarrollo Fisica'!$O$79</definedName>
    <definedName name="Recursos_Académicos">'[12]2. Plan de Desarrollo Facultad'!$P$109</definedName>
    <definedName name="Recursos_Financieros" localSheetId="0">'[3]2. Plan de Desarrollo Fisica'!$R$79:$R$82</definedName>
    <definedName name="Recursos_Financieros" localSheetId="3">'[3]2. Plan de Desarrollo Fisica'!$R$79:$R$82</definedName>
    <definedName name="Recursos_Financieros">'[12]2. Plan de Desarrollo Facultad'!$S$109:$S$112</definedName>
    <definedName name="Recursos_Físicos" localSheetId="0">'[3]2. Plan de Desarrollo Fisica'!$Q$79:$Q$80</definedName>
    <definedName name="Recursos_Físicos" localSheetId="3">'[3]2. Plan de Desarrollo Fisica'!$Q$79:$Q$80</definedName>
    <definedName name="Recursos_Físicos">'[12]2. Plan de Desarrollo Facultad'!$R$109:$R$110</definedName>
    <definedName name="Recursos_Tecnológicos" localSheetId="0">'[3]2. Plan de Desarrollo Fisica'!$P$79:$P$82</definedName>
    <definedName name="Recursos_Tecnológicos" localSheetId="3">'[3]2. Plan de Desarrollo Fisica'!$P$79:$P$82</definedName>
    <definedName name="Recursos_Tecnológicos">'[12]2. Plan de Desarrollo Facultad'!$Q$109:$Q$112</definedName>
  </definedNames>
  <calcPr calcId="144525"/>
</workbook>
</file>

<file path=xl/calcChain.xml><?xml version="1.0" encoding="utf-8"?>
<calcChain xmlns="http://schemas.openxmlformats.org/spreadsheetml/2006/main">
  <c r="J1048473" i="27" l="1"/>
  <c r="J10028" i="27"/>
  <c r="J10027" i="27"/>
  <c r="J10026" i="27"/>
  <c r="J10025" i="27"/>
  <c r="J10024" i="27"/>
  <c r="J10023" i="27"/>
  <c r="H10023" i="27"/>
  <c r="G10023" i="27"/>
  <c r="F10023" i="27"/>
  <c r="E10023" i="27"/>
  <c r="D10023" i="27"/>
  <c r="C10023" i="27"/>
  <c r="J10022" i="27"/>
  <c r="J10021" i="27"/>
  <c r="J10020" i="27"/>
  <c r="J10019" i="27"/>
  <c r="J10018" i="27"/>
  <c r="J10017" i="27"/>
  <c r="H10017" i="27"/>
  <c r="G10017" i="27"/>
  <c r="F10017" i="27"/>
  <c r="E10017" i="27"/>
  <c r="D10017" i="27"/>
  <c r="C10017" i="27"/>
  <c r="J10016" i="27"/>
  <c r="J10015" i="27"/>
  <c r="J10014" i="27"/>
  <c r="H10013" i="27"/>
  <c r="J10013" i="27" s="1"/>
  <c r="G10013" i="27"/>
  <c r="G10003" i="27" s="1"/>
  <c r="F10013" i="27"/>
  <c r="E10013" i="27"/>
  <c r="E10003" i="27" s="1"/>
  <c r="D10013" i="27"/>
  <c r="C10013" i="27"/>
  <c r="J10012" i="27"/>
  <c r="J10011" i="27"/>
  <c r="J10010" i="27"/>
  <c r="J10009" i="27"/>
  <c r="J10008" i="27"/>
  <c r="J10007" i="27"/>
  <c r="J10006" i="27"/>
  <c r="J10005" i="27"/>
  <c r="H10004" i="27"/>
  <c r="G10004" i="27"/>
  <c r="F10004" i="27"/>
  <c r="F10003" i="27" s="1"/>
  <c r="E10004" i="27"/>
  <c r="D10004" i="27"/>
  <c r="C10004" i="27"/>
  <c r="J10002" i="27"/>
  <c r="J10001" i="27"/>
  <c r="H1462" i="27"/>
  <c r="J1462" i="27" s="1"/>
  <c r="H1461" i="27"/>
  <c r="J1461" i="27" s="1"/>
  <c r="H1460" i="27"/>
  <c r="J1460" i="27" s="1"/>
  <c r="H1459" i="27"/>
  <c r="J1459" i="27" s="1"/>
  <c r="H1458" i="27"/>
  <c r="J1458" i="27" s="1"/>
  <c r="G1457" i="27"/>
  <c r="F1457" i="27"/>
  <c r="E1457" i="27"/>
  <c r="D1457" i="27"/>
  <c r="C1457" i="27"/>
  <c r="H1456" i="27"/>
  <c r="J1456" i="27" s="1"/>
  <c r="J1455" i="27"/>
  <c r="H1455" i="27"/>
  <c r="H1454" i="27"/>
  <c r="J1454" i="27" s="1"/>
  <c r="H1453" i="27"/>
  <c r="J1453" i="27" s="1"/>
  <c r="J1452" i="27"/>
  <c r="H1452" i="27"/>
  <c r="G1451" i="27"/>
  <c r="F1451" i="27"/>
  <c r="E1451" i="27"/>
  <c r="D1451" i="27"/>
  <c r="C1451" i="27"/>
  <c r="H1450" i="27"/>
  <c r="J1450" i="27" s="1"/>
  <c r="H1449" i="27"/>
  <c r="J1449" i="27" s="1"/>
  <c r="H1448" i="27"/>
  <c r="J1448" i="27" s="1"/>
  <c r="G1447" i="27"/>
  <c r="F1447" i="27"/>
  <c r="E1447" i="27"/>
  <c r="D1447" i="27"/>
  <c r="C1447" i="27"/>
  <c r="H1446" i="27"/>
  <c r="J1446" i="27" s="1"/>
  <c r="J1445" i="27"/>
  <c r="H1445" i="27"/>
  <c r="H1444" i="27"/>
  <c r="J1444" i="27" s="1"/>
  <c r="H1443" i="27"/>
  <c r="J1443" i="27" s="1"/>
  <c r="J1442" i="27"/>
  <c r="H1442" i="27"/>
  <c r="H1441" i="27"/>
  <c r="J1441" i="27" s="1"/>
  <c r="H1440" i="27"/>
  <c r="J1440" i="27" s="1"/>
  <c r="J1439" i="27"/>
  <c r="H1439" i="27"/>
  <c r="G1438" i="27"/>
  <c r="F1438" i="27"/>
  <c r="E1438" i="27"/>
  <c r="D1438" i="27"/>
  <c r="C1438" i="27"/>
  <c r="H1438" i="27" s="1"/>
  <c r="J1438" i="27" s="1"/>
  <c r="J1200" i="27"/>
  <c r="J1199" i="27"/>
  <c r="J1198" i="27"/>
  <c r="J1197" i="27"/>
  <c r="J1196" i="27"/>
  <c r="H1195" i="27"/>
  <c r="J1195" i="27" s="1"/>
  <c r="G1195" i="27"/>
  <c r="F1195" i="27"/>
  <c r="E1195" i="27"/>
  <c r="D1195" i="27"/>
  <c r="C1195" i="27"/>
  <c r="J1194" i="27"/>
  <c r="J1193" i="27"/>
  <c r="J1192" i="27"/>
  <c r="J1191" i="27"/>
  <c r="J1190" i="27"/>
  <c r="H1189" i="27"/>
  <c r="J1189" i="27" s="1"/>
  <c r="G1189" i="27"/>
  <c r="F1189" i="27"/>
  <c r="E1189" i="27"/>
  <c r="D1189" i="27"/>
  <c r="C1189" i="27"/>
  <c r="J1188" i="27"/>
  <c r="J1187" i="27"/>
  <c r="J1186" i="27"/>
  <c r="H1185" i="27"/>
  <c r="J1185" i="27" s="1"/>
  <c r="G1185" i="27"/>
  <c r="F1185" i="27"/>
  <c r="E1185" i="27"/>
  <c r="D1185" i="27"/>
  <c r="C1185" i="27"/>
  <c r="J1184" i="27"/>
  <c r="J1183" i="27"/>
  <c r="J1182" i="27"/>
  <c r="J1181" i="27"/>
  <c r="J1180" i="27"/>
  <c r="J1179" i="27"/>
  <c r="J1178" i="27"/>
  <c r="J1177" i="27"/>
  <c r="H1176" i="27"/>
  <c r="J1176" i="27" s="1"/>
  <c r="G1176" i="27"/>
  <c r="G1175" i="27" s="1"/>
  <c r="F1176" i="27"/>
  <c r="E1176" i="27"/>
  <c r="D1176" i="27"/>
  <c r="C1176" i="27"/>
  <c r="J1174" i="27"/>
  <c r="H1174" i="27"/>
  <c r="H1173" i="27"/>
  <c r="J1173" i="27" s="1"/>
  <c r="H1172" i="27"/>
  <c r="J1172" i="27" s="1"/>
  <c r="J1171" i="27"/>
  <c r="H1171" i="27"/>
  <c r="H1170" i="27"/>
  <c r="J1170" i="27" s="1"/>
  <c r="G1169" i="27"/>
  <c r="F1169" i="27"/>
  <c r="E1169" i="27"/>
  <c r="E1149" i="27" s="1"/>
  <c r="D1169" i="27"/>
  <c r="C1169" i="27"/>
  <c r="H1168" i="27"/>
  <c r="J1168" i="27" s="1"/>
  <c r="H1167" i="27"/>
  <c r="J1167" i="27" s="1"/>
  <c r="H1166" i="27"/>
  <c r="J1166" i="27" s="1"/>
  <c r="H1165" i="27"/>
  <c r="J1165" i="27" s="1"/>
  <c r="H1164" i="27"/>
  <c r="J1164" i="27" s="1"/>
  <c r="G1163" i="27"/>
  <c r="F1163" i="27"/>
  <c r="E1163" i="27"/>
  <c r="D1163" i="27"/>
  <c r="C1163" i="27"/>
  <c r="H1162" i="27"/>
  <c r="J1162" i="27" s="1"/>
  <c r="J1161" i="27"/>
  <c r="H1161" i="27"/>
  <c r="H1160" i="27"/>
  <c r="J1160" i="27" s="1"/>
  <c r="G1159" i="27"/>
  <c r="F1159" i="27"/>
  <c r="E1159" i="27"/>
  <c r="D1159" i="27"/>
  <c r="C1159" i="27"/>
  <c r="H1159" i="27" s="1"/>
  <c r="J1159" i="27" s="1"/>
  <c r="H1158" i="27"/>
  <c r="J1158" i="27" s="1"/>
  <c r="H1157" i="27"/>
  <c r="J1157" i="27" s="1"/>
  <c r="H1156" i="27"/>
  <c r="J1156" i="27" s="1"/>
  <c r="H1155" i="27"/>
  <c r="J1155" i="27" s="1"/>
  <c r="H1154" i="27"/>
  <c r="J1154" i="27" s="1"/>
  <c r="H1153" i="27"/>
  <c r="J1153" i="27" s="1"/>
  <c r="H1152" i="27"/>
  <c r="J1152" i="27" s="1"/>
  <c r="H1151" i="27"/>
  <c r="J1151" i="27" s="1"/>
  <c r="G1150" i="27"/>
  <c r="F1150" i="27"/>
  <c r="E1150" i="27"/>
  <c r="D1150" i="27"/>
  <c r="D1149" i="27" s="1"/>
  <c r="C1150" i="27"/>
  <c r="H1147" i="27"/>
  <c r="J1147" i="27" s="1"/>
  <c r="H1146" i="27"/>
  <c r="J1146" i="27" s="1"/>
  <c r="J1145" i="27"/>
  <c r="H1145" i="27"/>
  <c r="H1144" i="27"/>
  <c r="J1144" i="27" s="1"/>
  <c r="H1143" i="27"/>
  <c r="J1143" i="27" s="1"/>
  <c r="G1142" i="27"/>
  <c r="G1122" i="27" s="1"/>
  <c r="F1142" i="27"/>
  <c r="E1142" i="27"/>
  <c r="D1142" i="27"/>
  <c r="C1142" i="27"/>
  <c r="H1141" i="27"/>
  <c r="J1141" i="27" s="1"/>
  <c r="H1140" i="27"/>
  <c r="J1140" i="27" s="1"/>
  <c r="H1139" i="27"/>
  <c r="J1139" i="27" s="1"/>
  <c r="H1138" i="27"/>
  <c r="J1138" i="27" s="1"/>
  <c r="H1137" i="27"/>
  <c r="J1137" i="27" s="1"/>
  <c r="G1136" i="27"/>
  <c r="F1136" i="27"/>
  <c r="E1136" i="27"/>
  <c r="D1136" i="27"/>
  <c r="C1136" i="27"/>
  <c r="J1135" i="27"/>
  <c r="H1135" i="27"/>
  <c r="H1134" i="27"/>
  <c r="J1134" i="27" s="1"/>
  <c r="H1133" i="27"/>
  <c r="J1133" i="27" s="1"/>
  <c r="G1132" i="27"/>
  <c r="F1132" i="27"/>
  <c r="E1132" i="27"/>
  <c r="D1132" i="27"/>
  <c r="C1132" i="27"/>
  <c r="H1131" i="27"/>
  <c r="J1131" i="27" s="1"/>
  <c r="H1130" i="27"/>
  <c r="J1130" i="27" s="1"/>
  <c r="H1129" i="27"/>
  <c r="J1129" i="27" s="1"/>
  <c r="H1128" i="27"/>
  <c r="J1128" i="27" s="1"/>
  <c r="H1127" i="27"/>
  <c r="J1127" i="27" s="1"/>
  <c r="H1126" i="27"/>
  <c r="J1126" i="27" s="1"/>
  <c r="H1125" i="27"/>
  <c r="J1125" i="27" s="1"/>
  <c r="H1124" i="27"/>
  <c r="J1124" i="27" s="1"/>
  <c r="G1123" i="27"/>
  <c r="F1123" i="27"/>
  <c r="F1122" i="27" s="1"/>
  <c r="E1123" i="27"/>
  <c r="D1123" i="27"/>
  <c r="C1123" i="27"/>
  <c r="H1121" i="27"/>
  <c r="J1121" i="27" s="1"/>
  <c r="H1120" i="27"/>
  <c r="J1120" i="27" s="1"/>
  <c r="H1119" i="27"/>
  <c r="J1119" i="27" s="1"/>
  <c r="H1118" i="27"/>
  <c r="J1118" i="27" s="1"/>
  <c r="H1117" i="27"/>
  <c r="J1117" i="27" s="1"/>
  <c r="G1116" i="27"/>
  <c r="F1116" i="27"/>
  <c r="E1116" i="27"/>
  <c r="D1116" i="27"/>
  <c r="H1116" i="27" s="1"/>
  <c r="J1116" i="27" s="1"/>
  <c r="C1116" i="27"/>
  <c r="H1115" i="27"/>
  <c r="J1115" i="27" s="1"/>
  <c r="H1114" i="27"/>
  <c r="J1114" i="27" s="1"/>
  <c r="J1113" i="27"/>
  <c r="H1113" i="27"/>
  <c r="H1112" i="27"/>
  <c r="J1112" i="27" s="1"/>
  <c r="H1111" i="27"/>
  <c r="J1111" i="27" s="1"/>
  <c r="G1110" i="27"/>
  <c r="F1110" i="27"/>
  <c r="E1110" i="27"/>
  <c r="D1110" i="27"/>
  <c r="C1110" i="27"/>
  <c r="H1109" i="27"/>
  <c r="J1109" i="27" s="1"/>
  <c r="H1108" i="27"/>
  <c r="J1108" i="27" s="1"/>
  <c r="H1107" i="27"/>
  <c r="J1107" i="27" s="1"/>
  <c r="G1106" i="27"/>
  <c r="F1106" i="27"/>
  <c r="F1096" i="27" s="1"/>
  <c r="E1106" i="27"/>
  <c r="D1106" i="27"/>
  <c r="C1106" i="27"/>
  <c r="H1105" i="27"/>
  <c r="J1105" i="27" s="1"/>
  <c r="J1104" i="27"/>
  <c r="H1104" i="27"/>
  <c r="H1103" i="27"/>
  <c r="J1103" i="27" s="1"/>
  <c r="H1102" i="27"/>
  <c r="J1102" i="27" s="1"/>
  <c r="J1101" i="27"/>
  <c r="H1101" i="27"/>
  <c r="H1100" i="27"/>
  <c r="J1100" i="27" s="1"/>
  <c r="H1099" i="27"/>
  <c r="J1099" i="27" s="1"/>
  <c r="J1098" i="27"/>
  <c r="H1098" i="27"/>
  <c r="G1097" i="27"/>
  <c r="F1097" i="27"/>
  <c r="E1097" i="27"/>
  <c r="D1097" i="27"/>
  <c r="C1097" i="27"/>
  <c r="H1095" i="27"/>
  <c r="J1095" i="27" s="1"/>
  <c r="H1094" i="27"/>
  <c r="J1094" i="27" s="1"/>
  <c r="H1093" i="27"/>
  <c r="J1093" i="27" s="1"/>
  <c r="H1092" i="27"/>
  <c r="J1092" i="27" s="1"/>
  <c r="H1091" i="27"/>
  <c r="J1091" i="27" s="1"/>
  <c r="G1090" i="27"/>
  <c r="F1090" i="27"/>
  <c r="E1090" i="27"/>
  <c r="D1090" i="27"/>
  <c r="C1090" i="27"/>
  <c r="J1089" i="27"/>
  <c r="H1089" i="27"/>
  <c r="H1088" i="27"/>
  <c r="J1088" i="27" s="1"/>
  <c r="H1087" i="27"/>
  <c r="J1087" i="27" s="1"/>
  <c r="J1086" i="27"/>
  <c r="H1086" i="27"/>
  <c r="H1085" i="27"/>
  <c r="J1085" i="27" s="1"/>
  <c r="G1084" i="27"/>
  <c r="F1084" i="27"/>
  <c r="E1084" i="27"/>
  <c r="D1084" i="27"/>
  <c r="C1084" i="27"/>
  <c r="H1084" i="27" s="1"/>
  <c r="J1084" i="27" s="1"/>
  <c r="H1083" i="27"/>
  <c r="J1083" i="27" s="1"/>
  <c r="H1082" i="27"/>
  <c r="J1082" i="27" s="1"/>
  <c r="H1081" i="27"/>
  <c r="J1081" i="27" s="1"/>
  <c r="G1080" i="27"/>
  <c r="F1080" i="27"/>
  <c r="E1080" i="27"/>
  <c r="D1080" i="27"/>
  <c r="C1080" i="27"/>
  <c r="J1079" i="27"/>
  <c r="H1079" i="27"/>
  <c r="H1078" i="27"/>
  <c r="J1078" i="27" s="1"/>
  <c r="H1077" i="27"/>
  <c r="J1077" i="27" s="1"/>
  <c r="J1076" i="27"/>
  <c r="H1076" i="27"/>
  <c r="H1075" i="27"/>
  <c r="J1075" i="27" s="1"/>
  <c r="H1074" i="27"/>
  <c r="J1074" i="27" s="1"/>
  <c r="J1073" i="27"/>
  <c r="H1073" i="27"/>
  <c r="H1072" i="27"/>
  <c r="J1072" i="27" s="1"/>
  <c r="G1071" i="27"/>
  <c r="F1071" i="27"/>
  <c r="E1071" i="27"/>
  <c r="E1070" i="27" s="1"/>
  <c r="D1071" i="27"/>
  <c r="C1071" i="27"/>
  <c r="F1070" i="27"/>
  <c r="F1043" i="27" s="1"/>
  <c r="H1069" i="27"/>
  <c r="J1069" i="27" s="1"/>
  <c r="J1068" i="27"/>
  <c r="H1068" i="27"/>
  <c r="H1067" i="27"/>
  <c r="J1067" i="27" s="1"/>
  <c r="H1066" i="27"/>
  <c r="J1066" i="27" s="1"/>
  <c r="J1065" i="27"/>
  <c r="H1065" i="27"/>
  <c r="G1064" i="27"/>
  <c r="F1064" i="27"/>
  <c r="E1064" i="27"/>
  <c r="D1064" i="27"/>
  <c r="C1064" i="27"/>
  <c r="H1063" i="27"/>
  <c r="J1063" i="27" s="1"/>
  <c r="H1062" i="27"/>
  <c r="J1062" i="27" s="1"/>
  <c r="H1061" i="27"/>
  <c r="J1061" i="27" s="1"/>
  <c r="H1060" i="27"/>
  <c r="J1060" i="27" s="1"/>
  <c r="H1059" i="27"/>
  <c r="J1059" i="27" s="1"/>
  <c r="G1058" i="27"/>
  <c r="F1058" i="27"/>
  <c r="E1058" i="27"/>
  <c r="D1058" i="27"/>
  <c r="C1058" i="27"/>
  <c r="J1057" i="27"/>
  <c r="H1057" i="27"/>
  <c r="H1056" i="27"/>
  <c r="J1056" i="27" s="1"/>
  <c r="H1055" i="27"/>
  <c r="J1055" i="27" s="1"/>
  <c r="G1054" i="27"/>
  <c r="F1054" i="27"/>
  <c r="E1054" i="27"/>
  <c r="D1054" i="27"/>
  <c r="C1054" i="27"/>
  <c r="H1053" i="27"/>
  <c r="J1053" i="27" s="1"/>
  <c r="H1052" i="27"/>
  <c r="J1052" i="27" s="1"/>
  <c r="H1051" i="27"/>
  <c r="J1051" i="27" s="1"/>
  <c r="H1050" i="27"/>
  <c r="J1050" i="27" s="1"/>
  <c r="H1049" i="27"/>
  <c r="J1049" i="27" s="1"/>
  <c r="H1048" i="27"/>
  <c r="J1048" i="27" s="1"/>
  <c r="H1047" i="27"/>
  <c r="J1047" i="27" s="1"/>
  <c r="H1046" i="27"/>
  <c r="J1046" i="27" s="1"/>
  <c r="G1045" i="27"/>
  <c r="F1045" i="27"/>
  <c r="F1044" i="27" s="1"/>
  <c r="E1045" i="27"/>
  <c r="D1045" i="27"/>
  <c r="C1045" i="27"/>
  <c r="C1044" i="27" s="1"/>
  <c r="G1044" i="27"/>
  <c r="H1042" i="27"/>
  <c r="J1042" i="27" s="1"/>
  <c r="H1041" i="27"/>
  <c r="J1041" i="27" s="1"/>
  <c r="J1040" i="27"/>
  <c r="H1040" i="27"/>
  <c r="H1039" i="27"/>
  <c r="J1039" i="27" s="1"/>
  <c r="H1038" i="27"/>
  <c r="J1038" i="27" s="1"/>
  <c r="G1037" i="27"/>
  <c r="F1037" i="27"/>
  <c r="E1037" i="27"/>
  <c r="D1037" i="27"/>
  <c r="C1037" i="27"/>
  <c r="H1036" i="27"/>
  <c r="J1036" i="27" s="1"/>
  <c r="H1035" i="27"/>
  <c r="J1035" i="27" s="1"/>
  <c r="H1034" i="27"/>
  <c r="J1034" i="27" s="1"/>
  <c r="H1033" i="27"/>
  <c r="J1033" i="27" s="1"/>
  <c r="H1032" i="27"/>
  <c r="J1032" i="27" s="1"/>
  <c r="G1031" i="27"/>
  <c r="F1031" i="27"/>
  <c r="E1031" i="27"/>
  <c r="D1031" i="27"/>
  <c r="C1031" i="27"/>
  <c r="H1030" i="27"/>
  <c r="J1030" i="27" s="1"/>
  <c r="J1029" i="27"/>
  <c r="H1029" i="27"/>
  <c r="H1028" i="27"/>
  <c r="J1028" i="27" s="1"/>
  <c r="G1027" i="27"/>
  <c r="F1027" i="27"/>
  <c r="E1027" i="27"/>
  <c r="E1017" i="27" s="1"/>
  <c r="D1027" i="27"/>
  <c r="C1027" i="27"/>
  <c r="H1026" i="27"/>
  <c r="J1026" i="27" s="1"/>
  <c r="H1025" i="27"/>
  <c r="J1025" i="27" s="1"/>
  <c r="H1024" i="27"/>
  <c r="J1024" i="27" s="1"/>
  <c r="H1023" i="27"/>
  <c r="J1023" i="27" s="1"/>
  <c r="H1022" i="27"/>
  <c r="J1022" i="27" s="1"/>
  <c r="H1021" i="27"/>
  <c r="J1021" i="27" s="1"/>
  <c r="H1020" i="27"/>
  <c r="J1020" i="27" s="1"/>
  <c r="H1019" i="27"/>
  <c r="J1019" i="27" s="1"/>
  <c r="G1018" i="27"/>
  <c r="G1017" i="27" s="1"/>
  <c r="F1018" i="27"/>
  <c r="E1018" i="27"/>
  <c r="D1018" i="27"/>
  <c r="D1017" i="27" s="1"/>
  <c r="C1018" i="27"/>
  <c r="H1016" i="27"/>
  <c r="J1016" i="27" s="1"/>
  <c r="H1015" i="27"/>
  <c r="J1015" i="27" s="1"/>
  <c r="H1014" i="27"/>
  <c r="J1014" i="27" s="1"/>
  <c r="H1013" i="27"/>
  <c r="J1013" i="27" s="1"/>
  <c r="H1012" i="27"/>
  <c r="J1012" i="27" s="1"/>
  <c r="G1011" i="27"/>
  <c r="F1011" i="27"/>
  <c r="E1011" i="27"/>
  <c r="D1011" i="27"/>
  <c r="C1011" i="27"/>
  <c r="J1010" i="27"/>
  <c r="H1010" i="27"/>
  <c r="H1009" i="27"/>
  <c r="J1009" i="27" s="1"/>
  <c r="H1008" i="27"/>
  <c r="J1008" i="27" s="1"/>
  <c r="J1007" i="27"/>
  <c r="H1007" i="27"/>
  <c r="H1006" i="27"/>
  <c r="J1006" i="27" s="1"/>
  <c r="G1005" i="27"/>
  <c r="F1005" i="27"/>
  <c r="E1005" i="27"/>
  <c r="D1005" i="27"/>
  <c r="C1005" i="27"/>
  <c r="H1005" i="27" s="1"/>
  <c r="J1005" i="27" s="1"/>
  <c r="H1004" i="27"/>
  <c r="J1004" i="27" s="1"/>
  <c r="H1003" i="27"/>
  <c r="J1003" i="27" s="1"/>
  <c r="H1002" i="27"/>
  <c r="J1002" i="27" s="1"/>
  <c r="G1001" i="27"/>
  <c r="F1001" i="27"/>
  <c r="E1001" i="27"/>
  <c r="D1001" i="27"/>
  <c r="C1001" i="27"/>
  <c r="J1000" i="27"/>
  <c r="H1000" i="27"/>
  <c r="H999" i="27"/>
  <c r="J999" i="27" s="1"/>
  <c r="H998" i="27"/>
  <c r="J998" i="27" s="1"/>
  <c r="J997" i="27"/>
  <c r="H997" i="27"/>
  <c r="H996" i="27"/>
  <c r="J996" i="27" s="1"/>
  <c r="H995" i="27"/>
  <c r="J995" i="27" s="1"/>
  <c r="J994" i="27"/>
  <c r="H994" i="27"/>
  <c r="H993" i="27"/>
  <c r="J993" i="27" s="1"/>
  <c r="G992" i="27"/>
  <c r="F992" i="27"/>
  <c r="E992" i="27"/>
  <c r="E991" i="27" s="1"/>
  <c r="E990" i="27" s="1"/>
  <c r="D992" i="27"/>
  <c r="C992" i="27"/>
  <c r="F991" i="27"/>
  <c r="H988" i="27"/>
  <c r="J988" i="27" s="1"/>
  <c r="H987" i="27"/>
  <c r="J987" i="27" s="1"/>
  <c r="J986" i="27"/>
  <c r="H986" i="27"/>
  <c r="H985" i="27"/>
  <c r="J985" i="27" s="1"/>
  <c r="H984" i="27"/>
  <c r="J984" i="27" s="1"/>
  <c r="G983" i="27"/>
  <c r="G963" i="27" s="1"/>
  <c r="F983" i="27"/>
  <c r="E983" i="27"/>
  <c r="D983" i="27"/>
  <c r="C983" i="27"/>
  <c r="H982" i="27"/>
  <c r="J982" i="27" s="1"/>
  <c r="H981" i="27"/>
  <c r="J981" i="27" s="1"/>
  <c r="H980" i="27"/>
  <c r="J980" i="27" s="1"/>
  <c r="H979" i="27"/>
  <c r="J979" i="27" s="1"/>
  <c r="H978" i="27"/>
  <c r="J978" i="27" s="1"/>
  <c r="G977" i="27"/>
  <c r="F977" i="27"/>
  <c r="E977" i="27"/>
  <c r="D977" i="27"/>
  <c r="C977" i="27"/>
  <c r="J976" i="27"/>
  <c r="H976" i="27"/>
  <c r="H975" i="27"/>
  <c r="J975" i="27" s="1"/>
  <c r="H974" i="27"/>
  <c r="J974" i="27" s="1"/>
  <c r="G973" i="27"/>
  <c r="F973" i="27"/>
  <c r="E973" i="27"/>
  <c r="E963" i="27" s="1"/>
  <c r="D973" i="27"/>
  <c r="C973" i="27"/>
  <c r="H972" i="27"/>
  <c r="J972" i="27" s="1"/>
  <c r="H971" i="27"/>
  <c r="J971" i="27" s="1"/>
  <c r="H970" i="27"/>
  <c r="J970" i="27" s="1"/>
  <c r="H969" i="27"/>
  <c r="J969" i="27" s="1"/>
  <c r="H968" i="27"/>
  <c r="J968" i="27" s="1"/>
  <c r="H967" i="27"/>
  <c r="J967" i="27" s="1"/>
  <c r="H966" i="27"/>
  <c r="J966" i="27" s="1"/>
  <c r="H965" i="27"/>
  <c r="J965" i="27" s="1"/>
  <c r="G964" i="27"/>
  <c r="F964" i="27"/>
  <c r="F963" i="27" s="1"/>
  <c r="E964" i="27"/>
  <c r="D964" i="27"/>
  <c r="C964" i="27"/>
  <c r="H962" i="27"/>
  <c r="J962" i="27" s="1"/>
  <c r="H961" i="27"/>
  <c r="J961" i="27" s="1"/>
  <c r="H960" i="27"/>
  <c r="J960" i="27" s="1"/>
  <c r="H959" i="27"/>
  <c r="J959" i="27" s="1"/>
  <c r="H958" i="27"/>
  <c r="J958" i="27" s="1"/>
  <c r="G957" i="27"/>
  <c r="F957" i="27"/>
  <c r="E957" i="27"/>
  <c r="D957" i="27"/>
  <c r="C957" i="27"/>
  <c r="J956" i="27"/>
  <c r="H956" i="27"/>
  <c r="H955" i="27"/>
  <c r="J955" i="27" s="1"/>
  <c r="H954" i="27"/>
  <c r="J954" i="27" s="1"/>
  <c r="J953" i="27"/>
  <c r="H953" i="27"/>
  <c r="H952" i="27"/>
  <c r="J952" i="27" s="1"/>
  <c r="G951" i="27"/>
  <c r="F951" i="27"/>
  <c r="E951" i="27"/>
  <c r="D951" i="27"/>
  <c r="C951" i="27"/>
  <c r="H950" i="27"/>
  <c r="J950" i="27" s="1"/>
  <c r="H949" i="27"/>
  <c r="J949" i="27" s="1"/>
  <c r="H948" i="27"/>
  <c r="J948" i="27" s="1"/>
  <c r="G947" i="27"/>
  <c r="F947" i="27"/>
  <c r="E947" i="27"/>
  <c r="D947" i="27"/>
  <c r="H947" i="27" s="1"/>
  <c r="J947" i="27" s="1"/>
  <c r="C947" i="27"/>
  <c r="H946" i="27"/>
  <c r="J946" i="27" s="1"/>
  <c r="H945" i="27"/>
  <c r="J945" i="27" s="1"/>
  <c r="J944" i="27"/>
  <c r="H944" i="27"/>
  <c r="H943" i="27"/>
  <c r="J943" i="27" s="1"/>
  <c r="H942" i="27"/>
  <c r="J942" i="27" s="1"/>
  <c r="J941" i="27"/>
  <c r="H941" i="27"/>
  <c r="H940" i="27"/>
  <c r="J940" i="27" s="1"/>
  <c r="H939" i="27"/>
  <c r="J939" i="27" s="1"/>
  <c r="G938" i="27"/>
  <c r="F938" i="27"/>
  <c r="E938" i="27"/>
  <c r="D938" i="27"/>
  <c r="D937" i="27" s="1"/>
  <c r="C938" i="27"/>
  <c r="J936" i="27"/>
  <c r="H936" i="27"/>
  <c r="H935" i="27"/>
  <c r="J935" i="27" s="1"/>
  <c r="H934" i="27"/>
  <c r="J934" i="27" s="1"/>
  <c r="J933" i="27"/>
  <c r="H933" i="27"/>
  <c r="H932" i="27"/>
  <c r="J932" i="27" s="1"/>
  <c r="G931" i="27"/>
  <c r="F931" i="27"/>
  <c r="E931" i="27"/>
  <c r="E911" i="27" s="1"/>
  <c r="D931" i="27"/>
  <c r="C931" i="27"/>
  <c r="H930" i="27"/>
  <c r="J930" i="27" s="1"/>
  <c r="H929" i="27"/>
  <c r="J929" i="27" s="1"/>
  <c r="H928" i="27"/>
  <c r="J928" i="27" s="1"/>
  <c r="H927" i="27"/>
  <c r="J927" i="27" s="1"/>
  <c r="H926" i="27"/>
  <c r="J926" i="27" s="1"/>
  <c r="G925" i="27"/>
  <c r="F925" i="27"/>
  <c r="E925" i="27"/>
  <c r="D925" i="27"/>
  <c r="C925" i="27"/>
  <c r="H924" i="27"/>
  <c r="J924" i="27" s="1"/>
  <c r="J923" i="27"/>
  <c r="H923" i="27"/>
  <c r="H922" i="27"/>
  <c r="J922" i="27" s="1"/>
  <c r="G921" i="27"/>
  <c r="F921" i="27"/>
  <c r="E921" i="27"/>
  <c r="D921" i="27"/>
  <c r="C921" i="27"/>
  <c r="H921" i="27" s="1"/>
  <c r="J921" i="27" s="1"/>
  <c r="H920" i="27"/>
  <c r="J920" i="27" s="1"/>
  <c r="H919" i="27"/>
  <c r="J919" i="27" s="1"/>
  <c r="H918" i="27"/>
  <c r="J918" i="27" s="1"/>
  <c r="H917" i="27"/>
  <c r="J917" i="27" s="1"/>
  <c r="H916" i="27"/>
  <c r="J916" i="27" s="1"/>
  <c r="H915" i="27"/>
  <c r="J915" i="27" s="1"/>
  <c r="H914" i="27"/>
  <c r="J914" i="27" s="1"/>
  <c r="H913" i="27"/>
  <c r="J913" i="27" s="1"/>
  <c r="G912" i="27"/>
  <c r="F912" i="27"/>
  <c r="E912" i="27"/>
  <c r="D912" i="27"/>
  <c r="D911" i="27" s="1"/>
  <c r="C912" i="27"/>
  <c r="H910" i="27"/>
  <c r="J910" i="27" s="1"/>
  <c r="H909" i="27"/>
  <c r="J909" i="27" s="1"/>
  <c r="H908" i="27"/>
  <c r="J908" i="27" s="1"/>
  <c r="H907" i="27"/>
  <c r="J907" i="27" s="1"/>
  <c r="H906" i="27"/>
  <c r="J906" i="27" s="1"/>
  <c r="G905" i="27"/>
  <c r="F905" i="27"/>
  <c r="E905" i="27"/>
  <c r="D905" i="27"/>
  <c r="C905" i="27"/>
  <c r="H904" i="27"/>
  <c r="J904" i="27" s="1"/>
  <c r="J903" i="27"/>
  <c r="H903" i="27"/>
  <c r="H902" i="27"/>
  <c r="J902" i="27" s="1"/>
  <c r="H901" i="27"/>
  <c r="J901" i="27" s="1"/>
  <c r="J900" i="27"/>
  <c r="H900" i="27"/>
  <c r="G899" i="27"/>
  <c r="F899" i="27"/>
  <c r="E899" i="27"/>
  <c r="D899" i="27"/>
  <c r="C899" i="27"/>
  <c r="H898" i="27"/>
  <c r="J898" i="27" s="1"/>
  <c r="H897" i="27"/>
  <c r="J897" i="27" s="1"/>
  <c r="H896" i="27"/>
  <c r="J896" i="27" s="1"/>
  <c r="G895" i="27"/>
  <c r="F895" i="27"/>
  <c r="E895" i="27"/>
  <c r="D895" i="27"/>
  <c r="C895" i="27"/>
  <c r="J894" i="27"/>
  <c r="H894" i="27"/>
  <c r="H893" i="27"/>
  <c r="J893" i="27" s="1"/>
  <c r="H892" i="27"/>
  <c r="J892" i="27" s="1"/>
  <c r="J891" i="27"/>
  <c r="H891" i="27"/>
  <c r="H890" i="27"/>
  <c r="J890" i="27" s="1"/>
  <c r="H889" i="27"/>
  <c r="J889" i="27" s="1"/>
  <c r="J888" i="27"/>
  <c r="H888" i="27"/>
  <c r="H887" i="27"/>
  <c r="J887" i="27" s="1"/>
  <c r="G886" i="27"/>
  <c r="F886" i="27"/>
  <c r="E886" i="27"/>
  <c r="E885" i="27" s="1"/>
  <c r="D886" i="27"/>
  <c r="C886" i="27"/>
  <c r="G885" i="27"/>
  <c r="H883" i="27"/>
  <c r="J883" i="27" s="1"/>
  <c r="J882" i="27"/>
  <c r="H882" i="27"/>
  <c r="H881" i="27"/>
  <c r="J881" i="27" s="1"/>
  <c r="H880" i="27"/>
  <c r="J880" i="27" s="1"/>
  <c r="J879" i="27"/>
  <c r="H879" i="27"/>
  <c r="G878" i="27"/>
  <c r="F878" i="27"/>
  <c r="E878" i="27"/>
  <c r="D878" i="27"/>
  <c r="C878" i="27"/>
  <c r="H877" i="27"/>
  <c r="J877" i="27" s="1"/>
  <c r="H876" i="27"/>
  <c r="J876" i="27" s="1"/>
  <c r="H875" i="27"/>
  <c r="J875" i="27" s="1"/>
  <c r="H874" i="27"/>
  <c r="J874" i="27" s="1"/>
  <c r="H873" i="27"/>
  <c r="J873" i="27" s="1"/>
  <c r="G872" i="27"/>
  <c r="F872" i="27"/>
  <c r="E872" i="27"/>
  <c r="D872" i="27"/>
  <c r="C872" i="27"/>
  <c r="J871" i="27"/>
  <c r="H871" i="27"/>
  <c r="J870" i="27"/>
  <c r="H870" i="27"/>
  <c r="H869" i="27"/>
  <c r="J869" i="27" s="1"/>
  <c r="G868" i="27"/>
  <c r="F868" i="27"/>
  <c r="E868" i="27"/>
  <c r="D868" i="27"/>
  <c r="C868" i="27"/>
  <c r="H867" i="27"/>
  <c r="J867" i="27" s="1"/>
  <c r="H866" i="27"/>
  <c r="J866" i="27" s="1"/>
  <c r="H865" i="27"/>
  <c r="J865" i="27" s="1"/>
  <c r="H864" i="27"/>
  <c r="J864" i="27" s="1"/>
  <c r="H863" i="27"/>
  <c r="J863" i="27" s="1"/>
  <c r="H862" i="27"/>
  <c r="J862" i="27" s="1"/>
  <c r="H861" i="27"/>
  <c r="J861" i="27" s="1"/>
  <c r="H860" i="27"/>
  <c r="J860" i="27" s="1"/>
  <c r="G859" i="27"/>
  <c r="F859" i="27"/>
  <c r="E859" i="27"/>
  <c r="D859" i="27"/>
  <c r="C859" i="27"/>
  <c r="G858" i="27"/>
  <c r="H857" i="27"/>
  <c r="J857" i="27" s="1"/>
  <c r="H856" i="27"/>
  <c r="J856" i="27" s="1"/>
  <c r="H855" i="27"/>
  <c r="J855" i="27" s="1"/>
  <c r="H854" i="27"/>
  <c r="J854" i="27" s="1"/>
  <c r="H853" i="27"/>
  <c r="J853" i="27" s="1"/>
  <c r="G852" i="27"/>
  <c r="F852" i="27"/>
  <c r="E852" i="27"/>
  <c r="D852" i="27"/>
  <c r="C852" i="27"/>
  <c r="H851" i="27"/>
  <c r="J851" i="27" s="1"/>
  <c r="H850" i="27"/>
  <c r="J850" i="27" s="1"/>
  <c r="J849" i="27"/>
  <c r="H849" i="27"/>
  <c r="H848" i="27"/>
  <c r="J848" i="27" s="1"/>
  <c r="H847" i="27"/>
  <c r="J847" i="27" s="1"/>
  <c r="G846" i="27"/>
  <c r="F846" i="27"/>
  <c r="E846" i="27"/>
  <c r="D846" i="27"/>
  <c r="C846" i="27"/>
  <c r="H845" i="27"/>
  <c r="J845" i="27" s="1"/>
  <c r="H844" i="27"/>
  <c r="J844" i="27" s="1"/>
  <c r="H843" i="27"/>
  <c r="J843" i="27" s="1"/>
  <c r="G842" i="27"/>
  <c r="F842" i="27"/>
  <c r="E842" i="27"/>
  <c r="D842" i="27"/>
  <c r="H842" i="27" s="1"/>
  <c r="J842" i="27" s="1"/>
  <c r="C842" i="27"/>
  <c r="H841" i="27"/>
  <c r="J841" i="27" s="1"/>
  <c r="H840" i="27"/>
  <c r="J840" i="27" s="1"/>
  <c r="J839" i="27"/>
  <c r="H839" i="27"/>
  <c r="H838" i="27"/>
  <c r="J838" i="27" s="1"/>
  <c r="H837" i="27"/>
  <c r="J837" i="27" s="1"/>
  <c r="J836" i="27"/>
  <c r="H836" i="27"/>
  <c r="H835" i="27"/>
  <c r="J835" i="27" s="1"/>
  <c r="H834" i="27"/>
  <c r="J834" i="27" s="1"/>
  <c r="G833" i="27"/>
  <c r="G832" i="27" s="1"/>
  <c r="F833" i="27"/>
  <c r="E833" i="27"/>
  <c r="D833" i="27"/>
  <c r="C833" i="27"/>
  <c r="F832" i="27"/>
  <c r="J831" i="27"/>
  <c r="H831" i="27"/>
  <c r="H830" i="27"/>
  <c r="J830" i="27" s="1"/>
  <c r="H829" i="27"/>
  <c r="J829" i="27" s="1"/>
  <c r="J828" i="27"/>
  <c r="H828" i="27"/>
  <c r="H827" i="27"/>
  <c r="J827" i="27" s="1"/>
  <c r="G826" i="27"/>
  <c r="F826" i="27"/>
  <c r="E826" i="27"/>
  <c r="D826" i="27"/>
  <c r="C826" i="27"/>
  <c r="H826" i="27" s="1"/>
  <c r="J826" i="27" s="1"/>
  <c r="H825" i="27"/>
  <c r="J825" i="27" s="1"/>
  <c r="H824" i="27"/>
  <c r="J824" i="27" s="1"/>
  <c r="H823" i="27"/>
  <c r="J823" i="27" s="1"/>
  <c r="H822" i="27"/>
  <c r="J822" i="27" s="1"/>
  <c r="H821" i="27"/>
  <c r="J821" i="27" s="1"/>
  <c r="G820" i="27"/>
  <c r="F820" i="27"/>
  <c r="E820" i="27"/>
  <c r="D820" i="27"/>
  <c r="H820" i="27" s="1"/>
  <c r="J820" i="27" s="1"/>
  <c r="C820" i="27"/>
  <c r="H819" i="27"/>
  <c r="J819" i="27" s="1"/>
  <c r="H818" i="27"/>
  <c r="J818" i="27" s="1"/>
  <c r="J817" i="27"/>
  <c r="H817" i="27"/>
  <c r="G816" i="27"/>
  <c r="F816" i="27"/>
  <c r="E816" i="27"/>
  <c r="D816" i="27"/>
  <c r="C816" i="27"/>
  <c r="H816" i="27" s="1"/>
  <c r="J816" i="27" s="1"/>
  <c r="H815" i="27"/>
  <c r="J815" i="27" s="1"/>
  <c r="H814" i="27"/>
  <c r="J814" i="27" s="1"/>
  <c r="H813" i="27"/>
  <c r="J813" i="27" s="1"/>
  <c r="H812" i="27"/>
  <c r="J812" i="27" s="1"/>
  <c r="H811" i="27"/>
  <c r="J811" i="27" s="1"/>
  <c r="H810" i="27"/>
  <c r="J810" i="27" s="1"/>
  <c r="H809" i="27"/>
  <c r="J809" i="27" s="1"/>
  <c r="H808" i="27"/>
  <c r="J808" i="27" s="1"/>
  <c r="G807" i="27"/>
  <c r="G806" i="27" s="1"/>
  <c r="G805" i="27" s="1"/>
  <c r="F807" i="27"/>
  <c r="E807" i="27"/>
  <c r="D807" i="27"/>
  <c r="D806" i="27" s="1"/>
  <c r="C807" i="27"/>
  <c r="C806" i="27"/>
  <c r="H804" i="27"/>
  <c r="J804" i="27" s="1"/>
  <c r="H803" i="27"/>
  <c r="J803" i="27" s="1"/>
  <c r="J802" i="27"/>
  <c r="H802" i="27"/>
  <c r="H801" i="27"/>
  <c r="J801" i="27" s="1"/>
  <c r="H800" i="27"/>
  <c r="J800" i="27" s="1"/>
  <c r="G799" i="27"/>
  <c r="F799" i="27"/>
  <c r="E799" i="27"/>
  <c r="D799" i="27"/>
  <c r="C799" i="27"/>
  <c r="H798" i="27"/>
  <c r="J798" i="27" s="1"/>
  <c r="H797" i="27"/>
  <c r="J797" i="27" s="1"/>
  <c r="H796" i="27"/>
  <c r="J796" i="27" s="1"/>
  <c r="H795" i="27"/>
  <c r="J795" i="27" s="1"/>
  <c r="H794" i="27"/>
  <c r="J794" i="27" s="1"/>
  <c r="G793" i="27"/>
  <c r="F793" i="27"/>
  <c r="E793" i="27"/>
  <c r="D793" i="27"/>
  <c r="C793" i="27"/>
  <c r="H792" i="27"/>
  <c r="J792" i="27" s="1"/>
  <c r="J791" i="27"/>
  <c r="H791" i="27"/>
  <c r="H790" i="27"/>
  <c r="J790" i="27" s="1"/>
  <c r="G789" i="27"/>
  <c r="F789" i="27"/>
  <c r="E789" i="27"/>
  <c r="E779" i="27" s="1"/>
  <c r="D789" i="27"/>
  <c r="C789" i="27"/>
  <c r="H788" i="27"/>
  <c r="J788" i="27" s="1"/>
  <c r="H787" i="27"/>
  <c r="J787" i="27" s="1"/>
  <c r="H786" i="27"/>
  <c r="J786" i="27" s="1"/>
  <c r="H785" i="27"/>
  <c r="J785" i="27" s="1"/>
  <c r="H784" i="27"/>
  <c r="J784" i="27" s="1"/>
  <c r="H783" i="27"/>
  <c r="J783" i="27" s="1"/>
  <c r="H782" i="27"/>
  <c r="J782" i="27" s="1"/>
  <c r="H781" i="27"/>
  <c r="J781" i="27" s="1"/>
  <c r="G780" i="27"/>
  <c r="G779" i="27" s="1"/>
  <c r="F780" i="27"/>
  <c r="F779" i="27" s="1"/>
  <c r="E780" i="27"/>
  <c r="D780" i="27"/>
  <c r="D779" i="27" s="1"/>
  <c r="C780" i="27"/>
  <c r="C779" i="27" s="1"/>
  <c r="H778" i="27"/>
  <c r="J778" i="27" s="1"/>
  <c r="H777" i="27"/>
  <c r="J777" i="27" s="1"/>
  <c r="H776" i="27"/>
  <c r="J776" i="27" s="1"/>
  <c r="H775" i="27"/>
  <c r="J775" i="27" s="1"/>
  <c r="H774" i="27"/>
  <c r="J774" i="27" s="1"/>
  <c r="G773" i="27"/>
  <c r="F773" i="27"/>
  <c r="E773" i="27"/>
  <c r="D773" i="27"/>
  <c r="C773" i="27"/>
  <c r="H772" i="27"/>
  <c r="J772" i="27" s="1"/>
  <c r="H771" i="27"/>
  <c r="J771" i="27" s="1"/>
  <c r="J770" i="27"/>
  <c r="H770" i="27"/>
  <c r="H769" i="27"/>
  <c r="J769" i="27" s="1"/>
  <c r="H768" i="27"/>
  <c r="J768" i="27" s="1"/>
  <c r="G767" i="27"/>
  <c r="F767" i="27"/>
  <c r="E767" i="27"/>
  <c r="D767" i="27"/>
  <c r="C767" i="27"/>
  <c r="H766" i="27"/>
  <c r="J766" i="27" s="1"/>
  <c r="H765" i="27"/>
  <c r="J765" i="27" s="1"/>
  <c r="H764" i="27"/>
  <c r="J764" i="27" s="1"/>
  <c r="G763" i="27"/>
  <c r="F763" i="27"/>
  <c r="E763" i="27"/>
  <c r="D763" i="27"/>
  <c r="H763" i="27" s="1"/>
  <c r="J763" i="27" s="1"/>
  <c r="C763" i="27"/>
  <c r="H762" i="27"/>
  <c r="J762" i="27" s="1"/>
  <c r="H761" i="27"/>
  <c r="J761" i="27" s="1"/>
  <c r="J760" i="27"/>
  <c r="H760" i="27"/>
  <c r="H759" i="27"/>
  <c r="J759" i="27" s="1"/>
  <c r="H758" i="27"/>
  <c r="J758" i="27" s="1"/>
  <c r="J757" i="27"/>
  <c r="H757" i="27"/>
  <c r="H756" i="27"/>
  <c r="J756" i="27" s="1"/>
  <c r="H755" i="27"/>
  <c r="J755" i="27" s="1"/>
  <c r="G754" i="27"/>
  <c r="G753" i="27" s="1"/>
  <c r="F754" i="27"/>
  <c r="E754" i="27"/>
  <c r="D754" i="27"/>
  <c r="C754" i="27"/>
  <c r="F753" i="27"/>
  <c r="J752" i="27"/>
  <c r="H752" i="27"/>
  <c r="H751" i="27"/>
  <c r="J751" i="27" s="1"/>
  <c r="H750" i="27"/>
  <c r="J750" i="27" s="1"/>
  <c r="J749" i="27"/>
  <c r="H749" i="27"/>
  <c r="H748" i="27"/>
  <c r="J748" i="27" s="1"/>
  <c r="G747" i="27"/>
  <c r="F747" i="27"/>
  <c r="E747" i="27"/>
  <c r="D747" i="27"/>
  <c r="C747" i="27"/>
  <c r="H747" i="27" s="1"/>
  <c r="J747" i="27" s="1"/>
  <c r="H746" i="27"/>
  <c r="J746" i="27" s="1"/>
  <c r="H745" i="27"/>
  <c r="J745" i="27" s="1"/>
  <c r="H744" i="27"/>
  <c r="J744" i="27" s="1"/>
  <c r="H743" i="27"/>
  <c r="J743" i="27" s="1"/>
  <c r="H742" i="27"/>
  <c r="J742" i="27" s="1"/>
  <c r="G741" i="27"/>
  <c r="F741" i="27"/>
  <c r="E741" i="27"/>
  <c r="D741" i="27"/>
  <c r="H741" i="27" s="1"/>
  <c r="J741" i="27" s="1"/>
  <c r="C741" i="27"/>
  <c r="H740" i="27"/>
  <c r="J740" i="27" s="1"/>
  <c r="H739" i="27"/>
  <c r="J739" i="27" s="1"/>
  <c r="J738" i="27"/>
  <c r="H738" i="27"/>
  <c r="G737" i="27"/>
  <c r="F737" i="27"/>
  <c r="E737" i="27"/>
  <c r="D737" i="27"/>
  <c r="C737" i="27"/>
  <c r="H737" i="27" s="1"/>
  <c r="J737" i="27" s="1"/>
  <c r="H736" i="27"/>
  <c r="J736" i="27" s="1"/>
  <c r="H735" i="27"/>
  <c r="J735" i="27" s="1"/>
  <c r="H734" i="27"/>
  <c r="J734" i="27" s="1"/>
  <c r="H733" i="27"/>
  <c r="J733" i="27" s="1"/>
  <c r="H732" i="27"/>
  <c r="J732" i="27" s="1"/>
  <c r="H731" i="27"/>
  <c r="J731" i="27" s="1"/>
  <c r="H730" i="27"/>
  <c r="J730" i="27" s="1"/>
  <c r="H729" i="27"/>
  <c r="J729" i="27" s="1"/>
  <c r="G728" i="27"/>
  <c r="G727" i="27" s="1"/>
  <c r="G726" i="27" s="1"/>
  <c r="F728" i="27"/>
  <c r="E728" i="27"/>
  <c r="D728" i="27"/>
  <c r="D727" i="27" s="1"/>
  <c r="C728" i="27"/>
  <c r="H724" i="27"/>
  <c r="J724" i="27" s="1"/>
  <c r="H723" i="27"/>
  <c r="J723" i="27" s="1"/>
  <c r="H722" i="27"/>
  <c r="J722" i="27" s="1"/>
  <c r="H721" i="27"/>
  <c r="J721" i="27" s="1"/>
  <c r="H720" i="27"/>
  <c r="J720" i="27" s="1"/>
  <c r="G719" i="27"/>
  <c r="F719" i="27"/>
  <c r="E719" i="27"/>
  <c r="D719" i="27"/>
  <c r="C719" i="27"/>
  <c r="J718" i="27"/>
  <c r="H718" i="27"/>
  <c r="H717" i="27"/>
  <c r="J717" i="27" s="1"/>
  <c r="H716" i="27"/>
  <c r="J716" i="27" s="1"/>
  <c r="J715" i="27"/>
  <c r="H715" i="27"/>
  <c r="H714" i="27"/>
  <c r="J714" i="27" s="1"/>
  <c r="G713" i="27"/>
  <c r="F713" i="27"/>
  <c r="E713" i="27"/>
  <c r="D713" i="27"/>
  <c r="C713" i="27"/>
  <c r="H712" i="27"/>
  <c r="J712" i="27" s="1"/>
  <c r="H711" i="27"/>
  <c r="J711" i="27" s="1"/>
  <c r="H710" i="27"/>
  <c r="J710" i="27" s="1"/>
  <c r="G709" i="27"/>
  <c r="F709" i="27"/>
  <c r="E709" i="27"/>
  <c r="D709" i="27"/>
  <c r="H709" i="27" s="1"/>
  <c r="J709" i="27" s="1"/>
  <c r="C709" i="27"/>
  <c r="H708" i="27"/>
  <c r="J708" i="27" s="1"/>
  <c r="H707" i="27"/>
  <c r="J707" i="27" s="1"/>
  <c r="J706" i="27"/>
  <c r="H706" i="27"/>
  <c r="H705" i="27"/>
  <c r="J705" i="27" s="1"/>
  <c r="H704" i="27"/>
  <c r="J704" i="27" s="1"/>
  <c r="J703" i="27"/>
  <c r="H703" i="27"/>
  <c r="H702" i="27"/>
  <c r="J702" i="27" s="1"/>
  <c r="H701" i="27"/>
  <c r="J701" i="27" s="1"/>
  <c r="G700" i="27"/>
  <c r="F700" i="27"/>
  <c r="E700" i="27"/>
  <c r="D700" i="27"/>
  <c r="D699" i="27" s="1"/>
  <c r="C700" i="27"/>
  <c r="J698" i="27"/>
  <c r="H698" i="27"/>
  <c r="H697" i="27"/>
  <c r="J697" i="27" s="1"/>
  <c r="H696" i="27"/>
  <c r="J696" i="27" s="1"/>
  <c r="J695" i="27"/>
  <c r="H695" i="27"/>
  <c r="H694" i="27"/>
  <c r="J694" i="27" s="1"/>
  <c r="G693" i="27"/>
  <c r="F693" i="27"/>
  <c r="E693" i="27"/>
  <c r="E673" i="27" s="1"/>
  <c r="D693" i="27"/>
  <c r="C693" i="27"/>
  <c r="H692" i="27"/>
  <c r="J692" i="27" s="1"/>
  <c r="H691" i="27"/>
  <c r="J691" i="27" s="1"/>
  <c r="H690" i="27"/>
  <c r="J690" i="27" s="1"/>
  <c r="H689" i="27"/>
  <c r="J689" i="27" s="1"/>
  <c r="H688" i="27"/>
  <c r="J688" i="27" s="1"/>
  <c r="G687" i="27"/>
  <c r="F687" i="27"/>
  <c r="E687" i="27"/>
  <c r="D687" i="27"/>
  <c r="C687" i="27"/>
  <c r="H686" i="27"/>
  <c r="J686" i="27" s="1"/>
  <c r="J685" i="27"/>
  <c r="H685" i="27"/>
  <c r="H684" i="27"/>
  <c r="J684" i="27" s="1"/>
  <c r="G683" i="27"/>
  <c r="F683" i="27"/>
  <c r="E683" i="27"/>
  <c r="D683" i="27"/>
  <c r="C683" i="27"/>
  <c r="H683" i="27" s="1"/>
  <c r="J683" i="27" s="1"/>
  <c r="H682" i="27"/>
  <c r="J682" i="27" s="1"/>
  <c r="H681" i="27"/>
  <c r="J681" i="27" s="1"/>
  <c r="H680" i="27"/>
  <c r="J680" i="27" s="1"/>
  <c r="H679" i="27"/>
  <c r="J679" i="27" s="1"/>
  <c r="H678" i="27"/>
  <c r="J678" i="27" s="1"/>
  <c r="H677" i="27"/>
  <c r="J677" i="27" s="1"/>
  <c r="H676" i="27"/>
  <c r="J676" i="27" s="1"/>
  <c r="H675" i="27"/>
  <c r="J675" i="27" s="1"/>
  <c r="G674" i="27"/>
  <c r="F674" i="27"/>
  <c r="E674" i="27"/>
  <c r="D674" i="27"/>
  <c r="D673" i="27" s="1"/>
  <c r="D672" i="27" s="1"/>
  <c r="C674" i="27"/>
  <c r="H671" i="27"/>
  <c r="J671" i="27" s="1"/>
  <c r="J670" i="27"/>
  <c r="H670" i="27"/>
  <c r="H669" i="27"/>
  <c r="J669" i="27" s="1"/>
  <c r="H668" i="27"/>
  <c r="J668" i="27" s="1"/>
  <c r="J667" i="27"/>
  <c r="H667" i="27"/>
  <c r="G666" i="27"/>
  <c r="F666" i="27"/>
  <c r="E666" i="27"/>
  <c r="D666" i="27"/>
  <c r="C666" i="27"/>
  <c r="H666" i="27" s="1"/>
  <c r="J666" i="27" s="1"/>
  <c r="H665" i="27"/>
  <c r="J665" i="27" s="1"/>
  <c r="H664" i="27"/>
  <c r="J664" i="27" s="1"/>
  <c r="H663" i="27"/>
  <c r="J663" i="27" s="1"/>
  <c r="H662" i="27"/>
  <c r="J662" i="27" s="1"/>
  <c r="H661" i="27"/>
  <c r="J661" i="27" s="1"/>
  <c r="G660" i="27"/>
  <c r="F660" i="27"/>
  <c r="E660" i="27"/>
  <c r="D660" i="27"/>
  <c r="H660" i="27" s="1"/>
  <c r="J660" i="27" s="1"/>
  <c r="C660" i="27"/>
  <c r="H659" i="27"/>
  <c r="J659" i="27" s="1"/>
  <c r="H658" i="27"/>
  <c r="J658" i="27" s="1"/>
  <c r="J657" i="27"/>
  <c r="H657" i="27"/>
  <c r="G656" i="27"/>
  <c r="F656" i="27"/>
  <c r="E656" i="27"/>
  <c r="D656" i="27"/>
  <c r="C656" i="27"/>
  <c r="H655" i="27"/>
  <c r="J655" i="27" s="1"/>
  <c r="H654" i="27"/>
  <c r="J654" i="27" s="1"/>
  <c r="H653" i="27"/>
  <c r="J653" i="27" s="1"/>
  <c r="H652" i="27"/>
  <c r="J652" i="27" s="1"/>
  <c r="H651" i="27"/>
  <c r="J651" i="27" s="1"/>
  <c r="H650" i="27"/>
  <c r="J650" i="27" s="1"/>
  <c r="H649" i="27"/>
  <c r="J649" i="27" s="1"/>
  <c r="H648" i="27"/>
  <c r="J648" i="27" s="1"/>
  <c r="G647" i="27"/>
  <c r="F647" i="27"/>
  <c r="E647" i="27"/>
  <c r="D647" i="27"/>
  <c r="C647" i="27"/>
  <c r="E646" i="27"/>
  <c r="E645" i="27" s="1"/>
  <c r="H644" i="27"/>
  <c r="J644" i="27" s="1"/>
  <c r="H643" i="27"/>
  <c r="J643" i="27" s="1"/>
  <c r="J642" i="27"/>
  <c r="H642" i="27"/>
  <c r="H641" i="27"/>
  <c r="J641" i="27" s="1"/>
  <c r="H640" i="27"/>
  <c r="J640" i="27" s="1"/>
  <c r="G639" i="27"/>
  <c r="G619" i="27" s="1"/>
  <c r="F639" i="27"/>
  <c r="E639" i="27"/>
  <c r="D639" i="27"/>
  <c r="C639" i="27"/>
  <c r="H638" i="27"/>
  <c r="J638" i="27" s="1"/>
  <c r="H637" i="27"/>
  <c r="J637" i="27" s="1"/>
  <c r="H636" i="27"/>
  <c r="J636" i="27" s="1"/>
  <c r="H635" i="27"/>
  <c r="J635" i="27" s="1"/>
  <c r="H634" i="27"/>
  <c r="J634" i="27" s="1"/>
  <c r="G633" i="27"/>
  <c r="F633" i="27"/>
  <c r="E633" i="27"/>
  <c r="D633" i="27"/>
  <c r="C633" i="27"/>
  <c r="J632" i="27"/>
  <c r="H632" i="27"/>
  <c r="H631" i="27"/>
  <c r="J631" i="27" s="1"/>
  <c r="H630" i="27"/>
  <c r="J630" i="27" s="1"/>
  <c r="G629" i="27"/>
  <c r="F629" i="27"/>
  <c r="E629" i="27"/>
  <c r="D629" i="27"/>
  <c r="C629" i="27"/>
  <c r="H628" i="27"/>
  <c r="J628" i="27" s="1"/>
  <c r="H627" i="27"/>
  <c r="J627" i="27" s="1"/>
  <c r="H626" i="27"/>
  <c r="J626" i="27" s="1"/>
  <c r="H625" i="27"/>
  <c r="J625" i="27" s="1"/>
  <c r="H624" i="27"/>
  <c r="J624" i="27" s="1"/>
  <c r="H623" i="27"/>
  <c r="J623" i="27" s="1"/>
  <c r="H622" i="27"/>
  <c r="J622" i="27" s="1"/>
  <c r="H621" i="27"/>
  <c r="J621" i="27" s="1"/>
  <c r="G620" i="27"/>
  <c r="F620" i="27"/>
  <c r="F619" i="27" s="1"/>
  <c r="E620" i="27"/>
  <c r="D620" i="27"/>
  <c r="C620" i="27"/>
  <c r="H618" i="27"/>
  <c r="J618" i="27" s="1"/>
  <c r="H617" i="27"/>
  <c r="J617" i="27" s="1"/>
  <c r="H616" i="27"/>
  <c r="J616" i="27" s="1"/>
  <c r="H615" i="27"/>
  <c r="J615" i="27" s="1"/>
  <c r="H614" i="27"/>
  <c r="J614" i="27" s="1"/>
  <c r="G613" i="27"/>
  <c r="F613" i="27"/>
  <c r="E613" i="27"/>
  <c r="D613" i="27"/>
  <c r="C613" i="27"/>
  <c r="J612" i="27"/>
  <c r="H612" i="27"/>
  <c r="H611" i="27"/>
  <c r="J611" i="27" s="1"/>
  <c r="H610" i="27"/>
  <c r="J610" i="27" s="1"/>
  <c r="J609" i="27"/>
  <c r="H609" i="27"/>
  <c r="H608" i="27"/>
  <c r="J608" i="27" s="1"/>
  <c r="G607" i="27"/>
  <c r="F607" i="27"/>
  <c r="E607" i="27"/>
  <c r="D607" i="27"/>
  <c r="C607" i="27"/>
  <c r="H606" i="27"/>
  <c r="J606" i="27" s="1"/>
  <c r="H605" i="27"/>
  <c r="J605" i="27" s="1"/>
  <c r="H604" i="27"/>
  <c r="J604" i="27" s="1"/>
  <c r="G603" i="27"/>
  <c r="F603" i="27"/>
  <c r="E603" i="27"/>
  <c r="D603" i="27"/>
  <c r="H603" i="27" s="1"/>
  <c r="J603" i="27" s="1"/>
  <c r="C603" i="27"/>
  <c r="H602" i="27"/>
  <c r="J602" i="27" s="1"/>
  <c r="H601" i="27"/>
  <c r="J601" i="27" s="1"/>
  <c r="J600" i="27"/>
  <c r="H600" i="27"/>
  <c r="H599" i="27"/>
  <c r="J599" i="27" s="1"/>
  <c r="H598" i="27"/>
  <c r="J598" i="27" s="1"/>
  <c r="J597" i="27"/>
  <c r="H597" i="27"/>
  <c r="H596" i="27"/>
  <c r="J596" i="27" s="1"/>
  <c r="H595" i="27"/>
  <c r="J595" i="27" s="1"/>
  <c r="G594" i="27"/>
  <c r="F594" i="27"/>
  <c r="E594" i="27"/>
  <c r="D594" i="27"/>
  <c r="D593" i="27" s="1"/>
  <c r="C594" i="27"/>
  <c r="J592" i="27"/>
  <c r="H592" i="27"/>
  <c r="H591" i="27"/>
  <c r="J591" i="27" s="1"/>
  <c r="H590" i="27"/>
  <c r="J590" i="27" s="1"/>
  <c r="J589" i="27"/>
  <c r="H589" i="27"/>
  <c r="H588" i="27"/>
  <c r="J588" i="27" s="1"/>
  <c r="G587" i="27"/>
  <c r="F587" i="27"/>
  <c r="E587" i="27"/>
  <c r="E567" i="27" s="1"/>
  <c r="D587" i="27"/>
  <c r="C587" i="27"/>
  <c r="H586" i="27"/>
  <c r="J586" i="27" s="1"/>
  <c r="H585" i="27"/>
  <c r="J585" i="27" s="1"/>
  <c r="H584" i="27"/>
  <c r="J584" i="27" s="1"/>
  <c r="H583" i="27"/>
  <c r="J583" i="27" s="1"/>
  <c r="H582" i="27"/>
  <c r="J582" i="27" s="1"/>
  <c r="G581" i="27"/>
  <c r="F581" i="27"/>
  <c r="E581" i="27"/>
  <c r="D581" i="27"/>
  <c r="C581" i="27"/>
  <c r="H580" i="27"/>
  <c r="J580" i="27" s="1"/>
  <c r="J579" i="27"/>
  <c r="H579" i="27"/>
  <c r="H578" i="27"/>
  <c r="J578" i="27" s="1"/>
  <c r="G577" i="27"/>
  <c r="F577" i="27"/>
  <c r="E577" i="27"/>
  <c r="D577" i="27"/>
  <c r="C577" i="27"/>
  <c r="H577" i="27" s="1"/>
  <c r="J577" i="27" s="1"/>
  <c r="H576" i="27"/>
  <c r="J576" i="27" s="1"/>
  <c r="H575" i="27"/>
  <c r="J575" i="27" s="1"/>
  <c r="H574" i="27"/>
  <c r="J574" i="27" s="1"/>
  <c r="H573" i="27"/>
  <c r="J573" i="27" s="1"/>
  <c r="H572" i="27"/>
  <c r="J572" i="27" s="1"/>
  <c r="H571" i="27"/>
  <c r="J571" i="27" s="1"/>
  <c r="H570" i="27"/>
  <c r="J570" i="27" s="1"/>
  <c r="H569" i="27"/>
  <c r="J569" i="27" s="1"/>
  <c r="G568" i="27"/>
  <c r="F568" i="27"/>
  <c r="E568" i="27"/>
  <c r="D568" i="27"/>
  <c r="D567" i="27" s="1"/>
  <c r="C568" i="27"/>
  <c r="H566" i="27"/>
  <c r="J566" i="27" s="1"/>
  <c r="H565" i="27"/>
  <c r="J565" i="27" s="1"/>
  <c r="H564" i="27"/>
  <c r="J564" i="27" s="1"/>
  <c r="H563" i="27"/>
  <c r="J563" i="27" s="1"/>
  <c r="H562" i="27"/>
  <c r="J562" i="27" s="1"/>
  <c r="G561" i="27"/>
  <c r="F561" i="27"/>
  <c r="E561" i="27"/>
  <c r="D561" i="27"/>
  <c r="C561" i="27"/>
  <c r="H560" i="27"/>
  <c r="J560" i="27" s="1"/>
  <c r="J559" i="27"/>
  <c r="H559" i="27"/>
  <c r="H558" i="27"/>
  <c r="J558" i="27" s="1"/>
  <c r="H557" i="27"/>
  <c r="J557" i="27" s="1"/>
  <c r="J556" i="27"/>
  <c r="H556" i="27"/>
  <c r="G555" i="27"/>
  <c r="F555" i="27"/>
  <c r="E555" i="27"/>
  <c r="D555" i="27"/>
  <c r="C555" i="27"/>
  <c r="H555" i="27" s="1"/>
  <c r="J555" i="27" s="1"/>
  <c r="H554" i="27"/>
  <c r="J554" i="27" s="1"/>
  <c r="H553" i="27"/>
  <c r="J553" i="27" s="1"/>
  <c r="H552" i="27"/>
  <c r="J552" i="27" s="1"/>
  <c r="G551" i="27"/>
  <c r="F551" i="27"/>
  <c r="E551" i="27"/>
  <c r="D551" i="27"/>
  <c r="C551" i="27"/>
  <c r="J550" i="27"/>
  <c r="H550" i="27"/>
  <c r="H549" i="27"/>
  <c r="J549" i="27" s="1"/>
  <c r="H548" i="27"/>
  <c r="J548" i="27" s="1"/>
  <c r="J547" i="27"/>
  <c r="H547" i="27"/>
  <c r="H546" i="27"/>
  <c r="J546" i="27" s="1"/>
  <c r="H545" i="27"/>
  <c r="J545" i="27" s="1"/>
  <c r="J544" i="27"/>
  <c r="H544" i="27"/>
  <c r="H543" i="27"/>
  <c r="J543" i="27" s="1"/>
  <c r="G542" i="27"/>
  <c r="F542" i="27"/>
  <c r="E542" i="27"/>
  <c r="D542" i="27"/>
  <c r="C542" i="27"/>
  <c r="D541" i="27"/>
  <c r="H539" i="27"/>
  <c r="J539" i="27" s="1"/>
  <c r="H538" i="27"/>
  <c r="J538" i="27" s="1"/>
  <c r="H537" i="27"/>
  <c r="J537" i="27" s="1"/>
  <c r="H536" i="27"/>
  <c r="J536" i="27" s="1"/>
  <c r="H535" i="27"/>
  <c r="J535" i="27" s="1"/>
  <c r="G534" i="27"/>
  <c r="F534" i="27"/>
  <c r="E534" i="27"/>
  <c r="D534" i="27"/>
  <c r="H534" i="27" s="1"/>
  <c r="J534" i="27" s="1"/>
  <c r="C534" i="27"/>
  <c r="H533" i="27"/>
  <c r="J533" i="27" s="1"/>
  <c r="H532" i="27"/>
  <c r="J532" i="27" s="1"/>
  <c r="J531" i="27"/>
  <c r="H531" i="27"/>
  <c r="H530" i="27"/>
  <c r="J530" i="27" s="1"/>
  <c r="H529" i="27"/>
  <c r="J529" i="27" s="1"/>
  <c r="G528" i="27"/>
  <c r="F528" i="27"/>
  <c r="E528" i="27"/>
  <c r="D528" i="27"/>
  <c r="C528" i="27"/>
  <c r="H527" i="27"/>
  <c r="J527" i="27" s="1"/>
  <c r="H526" i="27"/>
  <c r="J526" i="27" s="1"/>
  <c r="H525" i="27"/>
  <c r="J525" i="27" s="1"/>
  <c r="G524" i="27"/>
  <c r="F524" i="27"/>
  <c r="E524" i="27"/>
  <c r="D524" i="27"/>
  <c r="H524" i="27" s="1"/>
  <c r="J524" i="27" s="1"/>
  <c r="C524" i="27"/>
  <c r="H523" i="27"/>
  <c r="J523" i="27" s="1"/>
  <c r="H522" i="27"/>
  <c r="J522" i="27" s="1"/>
  <c r="J521" i="27"/>
  <c r="H521" i="27"/>
  <c r="H520" i="27"/>
  <c r="J520" i="27" s="1"/>
  <c r="H519" i="27"/>
  <c r="J519" i="27" s="1"/>
  <c r="J518" i="27"/>
  <c r="H518" i="27"/>
  <c r="H517" i="27"/>
  <c r="J517" i="27" s="1"/>
  <c r="H516" i="27"/>
  <c r="J516" i="27" s="1"/>
  <c r="G515" i="27"/>
  <c r="G514" i="27" s="1"/>
  <c r="F515" i="27"/>
  <c r="E515" i="27"/>
  <c r="D515" i="27"/>
  <c r="C515" i="27"/>
  <c r="F514" i="27"/>
  <c r="J513" i="27"/>
  <c r="H513" i="27"/>
  <c r="H512" i="27"/>
  <c r="J512" i="27" s="1"/>
  <c r="H511" i="27"/>
  <c r="J511" i="27" s="1"/>
  <c r="J510" i="27"/>
  <c r="H510" i="27"/>
  <c r="H509" i="27"/>
  <c r="J509" i="27" s="1"/>
  <c r="G508" i="27"/>
  <c r="F508" i="27"/>
  <c r="E508" i="27"/>
  <c r="D508" i="27"/>
  <c r="C508" i="27"/>
  <c r="H508" i="27" s="1"/>
  <c r="J508" i="27" s="1"/>
  <c r="H507" i="27"/>
  <c r="J507" i="27" s="1"/>
  <c r="H506" i="27"/>
  <c r="J506" i="27" s="1"/>
  <c r="H505" i="27"/>
  <c r="J505" i="27" s="1"/>
  <c r="H504" i="27"/>
  <c r="J504" i="27" s="1"/>
  <c r="H503" i="27"/>
  <c r="J503" i="27" s="1"/>
  <c r="G502" i="27"/>
  <c r="G488" i="27" s="1"/>
  <c r="G487" i="27" s="1"/>
  <c r="F502" i="27"/>
  <c r="E502" i="27"/>
  <c r="D502" i="27"/>
  <c r="H502" i="27" s="1"/>
  <c r="J502" i="27" s="1"/>
  <c r="C502" i="27"/>
  <c r="H501" i="27"/>
  <c r="J501" i="27" s="1"/>
  <c r="H500" i="27"/>
  <c r="J500" i="27" s="1"/>
  <c r="J499" i="27"/>
  <c r="H499" i="27"/>
  <c r="G498" i="27"/>
  <c r="F498" i="27"/>
  <c r="E498" i="27"/>
  <c r="D498" i="27"/>
  <c r="C498" i="27"/>
  <c r="H497" i="27"/>
  <c r="J497" i="27" s="1"/>
  <c r="H496" i="27"/>
  <c r="J496" i="27" s="1"/>
  <c r="H495" i="27"/>
  <c r="J495" i="27" s="1"/>
  <c r="H494" i="27"/>
  <c r="J494" i="27" s="1"/>
  <c r="H493" i="27"/>
  <c r="J493" i="27" s="1"/>
  <c r="H492" i="27"/>
  <c r="J492" i="27" s="1"/>
  <c r="H491" i="27"/>
  <c r="J491" i="27" s="1"/>
  <c r="H490" i="27"/>
  <c r="J490" i="27" s="1"/>
  <c r="G489" i="27"/>
  <c r="F489" i="27"/>
  <c r="E489" i="27"/>
  <c r="E488" i="27" s="1"/>
  <c r="D489" i="27"/>
  <c r="C489" i="27"/>
  <c r="H485" i="27"/>
  <c r="J485" i="27" s="1"/>
  <c r="H484" i="27"/>
  <c r="J484" i="27" s="1"/>
  <c r="H483" i="27"/>
  <c r="J483" i="27" s="1"/>
  <c r="H482" i="27"/>
  <c r="J482" i="27" s="1"/>
  <c r="H481" i="27"/>
  <c r="J481" i="27" s="1"/>
  <c r="G480" i="27"/>
  <c r="F480" i="27"/>
  <c r="F460" i="27" s="1"/>
  <c r="F459" i="27" s="1"/>
  <c r="E480" i="27"/>
  <c r="D480" i="27"/>
  <c r="C480" i="27"/>
  <c r="J479" i="27"/>
  <c r="H479" i="27"/>
  <c r="J478" i="27"/>
  <c r="H478" i="27"/>
  <c r="H477" i="27"/>
  <c r="J477" i="27" s="1"/>
  <c r="J476" i="27"/>
  <c r="H476" i="27"/>
  <c r="H475" i="27"/>
  <c r="J475" i="27" s="1"/>
  <c r="G474" i="27"/>
  <c r="F474" i="27"/>
  <c r="E474" i="27"/>
  <c r="D474" i="27"/>
  <c r="C474" i="27"/>
  <c r="H473" i="27"/>
  <c r="J473" i="27" s="1"/>
  <c r="H472" i="27"/>
  <c r="J472" i="27" s="1"/>
  <c r="H471" i="27"/>
  <c r="J471" i="27" s="1"/>
  <c r="G470" i="27"/>
  <c r="F470" i="27"/>
  <c r="E470" i="27"/>
  <c r="D470" i="27"/>
  <c r="H470" i="27" s="1"/>
  <c r="J470" i="27" s="1"/>
  <c r="C470" i="27"/>
  <c r="H469" i="27"/>
  <c r="J469" i="27" s="1"/>
  <c r="H468" i="27"/>
  <c r="J468" i="27" s="1"/>
  <c r="J467" i="27"/>
  <c r="H467" i="27"/>
  <c r="J466" i="27"/>
  <c r="H466" i="27"/>
  <c r="H465" i="27"/>
  <c r="J465" i="27" s="1"/>
  <c r="J464" i="27"/>
  <c r="H464" i="27"/>
  <c r="J463" i="27"/>
  <c r="H463" i="27"/>
  <c r="H462" i="27"/>
  <c r="J462" i="27" s="1"/>
  <c r="G461" i="27"/>
  <c r="G460" i="27" s="1"/>
  <c r="G459" i="27" s="1"/>
  <c r="F461" i="27"/>
  <c r="E461" i="27"/>
  <c r="D461" i="27"/>
  <c r="C461" i="27"/>
  <c r="D460" i="27"/>
  <c r="D459" i="27" s="1"/>
  <c r="H458" i="27"/>
  <c r="J458" i="27" s="1"/>
  <c r="H457" i="27"/>
  <c r="J457" i="27" s="1"/>
  <c r="H456" i="27"/>
  <c r="J456" i="27" s="1"/>
  <c r="H455" i="27"/>
  <c r="J455" i="27" s="1"/>
  <c r="H454" i="27"/>
  <c r="J454" i="27" s="1"/>
  <c r="G453" i="27"/>
  <c r="F453" i="27"/>
  <c r="E453" i="27"/>
  <c r="D453" i="27"/>
  <c r="H453" i="27" s="1"/>
  <c r="J453" i="27" s="1"/>
  <c r="C453" i="27"/>
  <c r="H452" i="27"/>
  <c r="J452" i="27" s="1"/>
  <c r="H451" i="27"/>
  <c r="J451" i="27" s="1"/>
  <c r="J450" i="27"/>
  <c r="H450" i="27"/>
  <c r="H449" i="27"/>
  <c r="J449" i="27" s="1"/>
  <c r="H448" i="27"/>
  <c r="J448" i="27" s="1"/>
  <c r="G447" i="27"/>
  <c r="F447" i="27"/>
  <c r="E447" i="27"/>
  <c r="D447" i="27"/>
  <c r="D433" i="27" s="1"/>
  <c r="D432" i="27" s="1"/>
  <c r="C447" i="27"/>
  <c r="H446" i="27"/>
  <c r="J446" i="27" s="1"/>
  <c r="H445" i="27"/>
  <c r="J445" i="27" s="1"/>
  <c r="H444" i="27"/>
  <c r="J444" i="27" s="1"/>
  <c r="G443" i="27"/>
  <c r="F443" i="27"/>
  <c r="E443" i="27"/>
  <c r="D443" i="27"/>
  <c r="C443" i="27"/>
  <c r="H442" i="27"/>
  <c r="J442" i="27" s="1"/>
  <c r="J441" i="27"/>
  <c r="H441" i="27"/>
  <c r="H440" i="27"/>
  <c r="J440" i="27" s="1"/>
  <c r="H439" i="27"/>
  <c r="J439" i="27" s="1"/>
  <c r="J438" i="27"/>
  <c r="H438" i="27"/>
  <c r="H437" i="27"/>
  <c r="J437" i="27" s="1"/>
  <c r="H436" i="27"/>
  <c r="J436" i="27" s="1"/>
  <c r="J435" i="27"/>
  <c r="H435" i="27"/>
  <c r="G434" i="27"/>
  <c r="F434" i="27"/>
  <c r="E434" i="27"/>
  <c r="E433" i="27" s="1"/>
  <c r="E432" i="27" s="1"/>
  <c r="D434" i="27"/>
  <c r="C434" i="27"/>
  <c r="H434" i="27" s="1"/>
  <c r="J434" i="27" s="1"/>
  <c r="H431" i="27"/>
  <c r="J431" i="27" s="1"/>
  <c r="H430" i="27"/>
  <c r="J430" i="27" s="1"/>
  <c r="H429" i="27"/>
  <c r="J429" i="27" s="1"/>
  <c r="H428" i="27"/>
  <c r="J428" i="27" s="1"/>
  <c r="H427" i="27"/>
  <c r="J427" i="27" s="1"/>
  <c r="G426" i="27"/>
  <c r="F426" i="27"/>
  <c r="E426" i="27"/>
  <c r="D426" i="27"/>
  <c r="C426" i="27"/>
  <c r="H425" i="27"/>
  <c r="J425" i="27" s="1"/>
  <c r="J424" i="27"/>
  <c r="H424" i="27"/>
  <c r="H423" i="27"/>
  <c r="J423" i="27" s="1"/>
  <c r="H422" i="27"/>
  <c r="J422" i="27" s="1"/>
  <c r="J421" i="27"/>
  <c r="H421" i="27"/>
  <c r="G420" i="27"/>
  <c r="F420" i="27"/>
  <c r="E420" i="27"/>
  <c r="D420" i="27"/>
  <c r="C420" i="27"/>
  <c r="H420" i="27" s="1"/>
  <c r="J420" i="27" s="1"/>
  <c r="H419" i="27"/>
  <c r="J419" i="27" s="1"/>
  <c r="H418" i="27"/>
  <c r="J418" i="27" s="1"/>
  <c r="H417" i="27"/>
  <c r="J417" i="27" s="1"/>
  <c r="G416" i="27"/>
  <c r="F416" i="27"/>
  <c r="E416" i="27"/>
  <c r="D416" i="27"/>
  <c r="C416" i="27"/>
  <c r="J415" i="27"/>
  <c r="H415" i="27"/>
  <c r="H414" i="27"/>
  <c r="J414" i="27" s="1"/>
  <c r="H413" i="27"/>
  <c r="J413" i="27" s="1"/>
  <c r="J412" i="27"/>
  <c r="H412" i="27"/>
  <c r="H411" i="27"/>
  <c r="J411" i="27" s="1"/>
  <c r="H410" i="27"/>
  <c r="J410" i="27" s="1"/>
  <c r="J409" i="27"/>
  <c r="H409" i="27"/>
  <c r="H408" i="27"/>
  <c r="J408" i="27" s="1"/>
  <c r="G407" i="27"/>
  <c r="G406" i="27" s="1"/>
  <c r="F407" i="27"/>
  <c r="E407" i="27"/>
  <c r="E406" i="27" s="1"/>
  <c r="D407" i="27"/>
  <c r="C407" i="27"/>
  <c r="F406" i="27"/>
  <c r="D406" i="27"/>
  <c r="H405" i="27"/>
  <c r="J405" i="27" s="1"/>
  <c r="H404" i="27"/>
  <c r="J404" i="27" s="1"/>
  <c r="J403" i="27"/>
  <c r="H403" i="27"/>
  <c r="H402" i="27"/>
  <c r="J402" i="27" s="1"/>
  <c r="H401" i="27"/>
  <c r="J401" i="27" s="1"/>
  <c r="G400" i="27"/>
  <c r="F400" i="27"/>
  <c r="E400" i="27"/>
  <c r="D400" i="27"/>
  <c r="C400" i="27"/>
  <c r="H399" i="27"/>
  <c r="J399" i="27" s="1"/>
  <c r="H398" i="27"/>
  <c r="J398" i="27" s="1"/>
  <c r="H397" i="27"/>
  <c r="J397" i="27" s="1"/>
  <c r="H396" i="27"/>
  <c r="J396" i="27" s="1"/>
  <c r="H395" i="27"/>
  <c r="J395" i="27" s="1"/>
  <c r="G394" i="27"/>
  <c r="F394" i="27"/>
  <c r="E394" i="27"/>
  <c r="D394" i="27"/>
  <c r="C394" i="27"/>
  <c r="J393" i="27"/>
  <c r="H393" i="27"/>
  <c r="H392" i="27"/>
  <c r="J392" i="27" s="1"/>
  <c r="H391" i="27"/>
  <c r="J391" i="27" s="1"/>
  <c r="G390" i="27"/>
  <c r="F390" i="27"/>
  <c r="E390" i="27"/>
  <c r="D390" i="27"/>
  <c r="C390" i="27"/>
  <c r="H389" i="27"/>
  <c r="J389" i="27" s="1"/>
  <c r="H388" i="27"/>
  <c r="J388" i="27" s="1"/>
  <c r="H387" i="27"/>
  <c r="J387" i="27" s="1"/>
  <c r="H386" i="27"/>
  <c r="J386" i="27" s="1"/>
  <c r="H385" i="27"/>
  <c r="J385" i="27" s="1"/>
  <c r="H384" i="27"/>
  <c r="J384" i="27" s="1"/>
  <c r="H383" i="27"/>
  <c r="J383" i="27" s="1"/>
  <c r="H382" i="27"/>
  <c r="J382" i="27" s="1"/>
  <c r="G381" i="27"/>
  <c r="F381" i="27"/>
  <c r="F380" i="27" s="1"/>
  <c r="E381" i="27"/>
  <c r="E380" i="27" s="1"/>
  <c r="D381" i="27"/>
  <c r="C381" i="27"/>
  <c r="G380" i="27"/>
  <c r="C380" i="27"/>
  <c r="H379" i="27"/>
  <c r="J379" i="27" s="1"/>
  <c r="H378" i="27"/>
  <c r="J378" i="27" s="1"/>
  <c r="H377" i="27"/>
  <c r="J377" i="27" s="1"/>
  <c r="H376" i="27"/>
  <c r="J376" i="27" s="1"/>
  <c r="H375" i="27"/>
  <c r="J375" i="27" s="1"/>
  <c r="G374" i="27"/>
  <c r="F374" i="27"/>
  <c r="E374" i="27"/>
  <c r="D374" i="27"/>
  <c r="C374" i="27"/>
  <c r="H373" i="27"/>
  <c r="J373" i="27" s="1"/>
  <c r="J372" i="27"/>
  <c r="H372" i="27"/>
  <c r="H371" i="27"/>
  <c r="J371" i="27" s="1"/>
  <c r="H370" i="27"/>
  <c r="J370" i="27" s="1"/>
  <c r="J369" i="27"/>
  <c r="H369" i="27"/>
  <c r="G368" i="27"/>
  <c r="F368" i="27"/>
  <c r="E368" i="27"/>
  <c r="D368" i="27"/>
  <c r="C368" i="27"/>
  <c r="H368" i="27" s="1"/>
  <c r="J368" i="27" s="1"/>
  <c r="H367" i="27"/>
  <c r="J367" i="27" s="1"/>
  <c r="H366" i="27"/>
  <c r="J366" i="27" s="1"/>
  <c r="H365" i="27"/>
  <c r="J365" i="27" s="1"/>
  <c r="G364" i="27"/>
  <c r="F364" i="27"/>
  <c r="E364" i="27"/>
  <c r="D364" i="27"/>
  <c r="C364" i="27"/>
  <c r="J363" i="27"/>
  <c r="H363" i="27"/>
  <c r="H362" i="27"/>
  <c r="J362" i="27" s="1"/>
  <c r="H361" i="27"/>
  <c r="J361" i="27" s="1"/>
  <c r="J360" i="27"/>
  <c r="H360" i="27"/>
  <c r="H359" i="27"/>
  <c r="J359" i="27" s="1"/>
  <c r="H358" i="27"/>
  <c r="J358" i="27" s="1"/>
  <c r="J357" i="27"/>
  <c r="H357" i="27"/>
  <c r="H356" i="27"/>
  <c r="J356" i="27" s="1"/>
  <c r="G355" i="27"/>
  <c r="G354" i="27" s="1"/>
  <c r="F355" i="27"/>
  <c r="E355" i="27"/>
  <c r="E354" i="27" s="1"/>
  <c r="E353" i="27" s="1"/>
  <c r="D355" i="27"/>
  <c r="C355" i="27"/>
  <c r="F354" i="27"/>
  <c r="D354" i="27"/>
  <c r="H351" i="27"/>
  <c r="J351" i="27" s="1"/>
  <c r="H350" i="27"/>
  <c r="J350" i="27" s="1"/>
  <c r="J349" i="27"/>
  <c r="H349" i="27"/>
  <c r="H348" i="27"/>
  <c r="J348" i="27" s="1"/>
  <c r="H347" i="27"/>
  <c r="J347" i="27" s="1"/>
  <c r="G346" i="27"/>
  <c r="F346" i="27"/>
  <c r="E346" i="27"/>
  <c r="D346" i="27"/>
  <c r="C346" i="27"/>
  <c r="H345" i="27"/>
  <c r="J345" i="27" s="1"/>
  <c r="H344" i="27"/>
  <c r="J344" i="27" s="1"/>
  <c r="H343" i="27"/>
  <c r="J343" i="27" s="1"/>
  <c r="H342" i="27"/>
  <c r="J342" i="27" s="1"/>
  <c r="H341" i="27"/>
  <c r="J341" i="27" s="1"/>
  <c r="G340" i="27"/>
  <c r="F340" i="27"/>
  <c r="E340" i="27"/>
  <c r="D340" i="27"/>
  <c r="C340" i="27"/>
  <c r="J339" i="27"/>
  <c r="H339" i="27"/>
  <c r="H338" i="27"/>
  <c r="J338" i="27" s="1"/>
  <c r="H337" i="27"/>
  <c r="J337" i="27" s="1"/>
  <c r="G336" i="27"/>
  <c r="F336" i="27"/>
  <c r="E336" i="27"/>
  <c r="D336" i="27"/>
  <c r="C336" i="27"/>
  <c r="H335" i="27"/>
  <c r="J335" i="27" s="1"/>
  <c r="H334" i="27"/>
  <c r="J334" i="27" s="1"/>
  <c r="H333" i="27"/>
  <c r="J333" i="27" s="1"/>
  <c r="H332" i="27"/>
  <c r="J332" i="27" s="1"/>
  <c r="H331" i="27"/>
  <c r="J331" i="27" s="1"/>
  <c r="H330" i="27"/>
  <c r="J330" i="27" s="1"/>
  <c r="H329" i="27"/>
  <c r="J329" i="27" s="1"/>
  <c r="H328" i="27"/>
  <c r="J328" i="27" s="1"/>
  <c r="G327" i="27"/>
  <c r="F327" i="27"/>
  <c r="F326" i="27" s="1"/>
  <c r="F325" i="27" s="1"/>
  <c r="E327" i="27"/>
  <c r="E326" i="27" s="1"/>
  <c r="E325" i="27" s="1"/>
  <c r="D327" i="27"/>
  <c r="C327" i="27"/>
  <c r="G326" i="27"/>
  <c r="G325" i="27" s="1"/>
  <c r="C326" i="27"/>
  <c r="J324" i="27"/>
  <c r="H324" i="27"/>
  <c r="H323" i="27"/>
  <c r="J323" i="27" s="1"/>
  <c r="H322" i="27"/>
  <c r="J322" i="27" s="1"/>
  <c r="J321" i="27"/>
  <c r="H321" i="27"/>
  <c r="H320" i="27"/>
  <c r="J320" i="27" s="1"/>
  <c r="G319" i="27"/>
  <c r="F319" i="27"/>
  <c r="E319" i="27"/>
  <c r="D319" i="27"/>
  <c r="C319" i="27"/>
  <c r="H318" i="27"/>
  <c r="J318" i="27" s="1"/>
  <c r="H317" i="27"/>
  <c r="J317" i="27" s="1"/>
  <c r="H316" i="27"/>
  <c r="J316" i="27" s="1"/>
  <c r="H315" i="27"/>
  <c r="J315" i="27" s="1"/>
  <c r="H314" i="27"/>
  <c r="J314" i="27" s="1"/>
  <c r="G313" i="27"/>
  <c r="F313" i="27"/>
  <c r="E313" i="27"/>
  <c r="D313" i="27"/>
  <c r="C313" i="27"/>
  <c r="H312" i="27"/>
  <c r="J312" i="27" s="1"/>
  <c r="J311" i="27"/>
  <c r="H311" i="27"/>
  <c r="H310" i="27"/>
  <c r="J310" i="27" s="1"/>
  <c r="G309" i="27"/>
  <c r="F309" i="27"/>
  <c r="E309" i="27"/>
  <c r="E299" i="27" s="1"/>
  <c r="E298" i="27" s="1"/>
  <c r="D309" i="27"/>
  <c r="C309" i="27"/>
  <c r="H308" i="27"/>
  <c r="J308" i="27" s="1"/>
  <c r="H307" i="27"/>
  <c r="J307" i="27" s="1"/>
  <c r="H306" i="27"/>
  <c r="J306" i="27" s="1"/>
  <c r="H305" i="27"/>
  <c r="J305" i="27" s="1"/>
  <c r="H304" i="27"/>
  <c r="J304" i="27" s="1"/>
  <c r="H303" i="27"/>
  <c r="J303" i="27" s="1"/>
  <c r="H302" i="27"/>
  <c r="J302" i="27" s="1"/>
  <c r="H301" i="27"/>
  <c r="J301" i="27" s="1"/>
  <c r="G300" i="27"/>
  <c r="G299" i="27" s="1"/>
  <c r="G298" i="27" s="1"/>
  <c r="F300" i="27"/>
  <c r="F299" i="27" s="1"/>
  <c r="F298" i="27" s="1"/>
  <c r="E300" i="27"/>
  <c r="D300" i="27"/>
  <c r="C300" i="27"/>
  <c r="C299" i="27" s="1"/>
  <c r="H297" i="27"/>
  <c r="J297" i="27" s="1"/>
  <c r="J296" i="27"/>
  <c r="H296" i="27"/>
  <c r="H295" i="27"/>
  <c r="J295" i="27" s="1"/>
  <c r="H294" i="27"/>
  <c r="J294" i="27" s="1"/>
  <c r="J293" i="27"/>
  <c r="H293" i="27"/>
  <c r="G292" i="27"/>
  <c r="F292" i="27"/>
  <c r="E292" i="27"/>
  <c r="D292" i="27"/>
  <c r="C292" i="27"/>
  <c r="H291" i="27"/>
  <c r="J291" i="27" s="1"/>
  <c r="H290" i="27"/>
  <c r="J290" i="27" s="1"/>
  <c r="H289" i="27"/>
  <c r="J289" i="27" s="1"/>
  <c r="H288" i="27"/>
  <c r="J288" i="27" s="1"/>
  <c r="H287" i="27"/>
  <c r="J287" i="27" s="1"/>
  <c r="G286" i="27"/>
  <c r="F286" i="27"/>
  <c r="E286" i="27"/>
  <c r="H286" i="27" s="1"/>
  <c r="J286" i="27" s="1"/>
  <c r="D286" i="27"/>
  <c r="C286" i="27"/>
  <c r="J285" i="27"/>
  <c r="H285" i="27"/>
  <c r="H284" i="27"/>
  <c r="J284" i="27" s="1"/>
  <c r="H283" i="27"/>
  <c r="J283" i="27" s="1"/>
  <c r="G282" i="27"/>
  <c r="F282" i="27"/>
  <c r="E282" i="27"/>
  <c r="D282" i="27"/>
  <c r="C282" i="27"/>
  <c r="H281" i="27"/>
  <c r="J281" i="27" s="1"/>
  <c r="H280" i="27"/>
  <c r="J280" i="27" s="1"/>
  <c r="H279" i="27"/>
  <c r="J279" i="27" s="1"/>
  <c r="H278" i="27"/>
  <c r="J278" i="27" s="1"/>
  <c r="H277" i="27"/>
  <c r="J277" i="27" s="1"/>
  <c r="H276" i="27"/>
  <c r="J276" i="27" s="1"/>
  <c r="H275" i="27"/>
  <c r="J275" i="27" s="1"/>
  <c r="H274" i="27"/>
  <c r="J274" i="27" s="1"/>
  <c r="G273" i="27"/>
  <c r="F273" i="27"/>
  <c r="E273" i="27"/>
  <c r="E272" i="27" s="1"/>
  <c r="D273" i="27"/>
  <c r="C273" i="27"/>
  <c r="G272" i="27"/>
  <c r="H271" i="27"/>
  <c r="J271" i="27" s="1"/>
  <c r="H270" i="27"/>
  <c r="J270" i="27" s="1"/>
  <c r="H269" i="27"/>
  <c r="J269" i="27" s="1"/>
  <c r="H268" i="27"/>
  <c r="J268" i="27" s="1"/>
  <c r="H267" i="27"/>
  <c r="J267" i="27" s="1"/>
  <c r="G266" i="27"/>
  <c r="F266" i="27"/>
  <c r="E266" i="27"/>
  <c r="D266" i="27"/>
  <c r="C266" i="27"/>
  <c r="H265" i="27"/>
  <c r="J265" i="27" s="1"/>
  <c r="J264" i="27"/>
  <c r="H264" i="27"/>
  <c r="H263" i="27"/>
  <c r="J263" i="27" s="1"/>
  <c r="H262" i="27"/>
  <c r="J262" i="27" s="1"/>
  <c r="J261" i="27"/>
  <c r="H261" i="27"/>
  <c r="G260" i="27"/>
  <c r="F260" i="27"/>
  <c r="F246" i="27" s="1"/>
  <c r="E260" i="27"/>
  <c r="D260" i="27"/>
  <c r="D246" i="27" s="1"/>
  <c r="C260" i="27"/>
  <c r="H260" i="27" s="1"/>
  <c r="J260" i="27" s="1"/>
  <c r="H259" i="27"/>
  <c r="J259" i="27" s="1"/>
  <c r="H258" i="27"/>
  <c r="J258" i="27" s="1"/>
  <c r="H257" i="27"/>
  <c r="J257" i="27" s="1"/>
  <c r="G256" i="27"/>
  <c r="F256" i="27"/>
  <c r="E256" i="27"/>
  <c r="D256" i="27"/>
  <c r="C256" i="27"/>
  <c r="J255" i="27"/>
  <c r="H255" i="27"/>
  <c r="H254" i="27"/>
  <c r="J254" i="27" s="1"/>
  <c r="H253" i="27"/>
  <c r="J253" i="27" s="1"/>
  <c r="J252" i="27"/>
  <c r="H252" i="27"/>
  <c r="H251" i="27"/>
  <c r="J251" i="27" s="1"/>
  <c r="H250" i="27"/>
  <c r="J250" i="27" s="1"/>
  <c r="J249" i="27"/>
  <c r="H249" i="27"/>
  <c r="H248" i="27"/>
  <c r="J248" i="27" s="1"/>
  <c r="G247" i="27"/>
  <c r="F247" i="27"/>
  <c r="E247" i="27"/>
  <c r="D247" i="27"/>
  <c r="C247" i="27"/>
  <c r="H243" i="27"/>
  <c r="J243" i="27" s="1"/>
  <c r="H242" i="27"/>
  <c r="J242" i="27" s="1"/>
  <c r="J241" i="27"/>
  <c r="H241" i="27"/>
  <c r="H240" i="27"/>
  <c r="J240" i="27" s="1"/>
  <c r="H239" i="27"/>
  <c r="J239" i="27" s="1"/>
  <c r="G238" i="27"/>
  <c r="F238" i="27"/>
  <c r="E238" i="27"/>
  <c r="D238" i="27"/>
  <c r="C238" i="27"/>
  <c r="H237" i="27"/>
  <c r="J237" i="27" s="1"/>
  <c r="H236" i="27"/>
  <c r="J236" i="27" s="1"/>
  <c r="H235" i="27"/>
  <c r="J235" i="27" s="1"/>
  <c r="H234" i="27"/>
  <c r="J234" i="27" s="1"/>
  <c r="H233" i="27"/>
  <c r="J233" i="27" s="1"/>
  <c r="G232" i="27"/>
  <c r="F232" i="27"/>
  <c r="E232" i="27"/>
  <c r="D232" i="27"/>
  <c r="C232" i="27"/>
  <c r="J231" i="27"/>
  <c r="H231" i="27"/>
  <c r="H230" i="27"/>
  <c r="J230" i="27" s="1"/>
  <c r="H229" i="27"/>
  <c r="J229" i="27" s="1"/>
  <c r="G228" i="27"/>
  <c r="F228" i="27"/>
  <c r="E228" i="27"/>
  <c r="D228" i="27"/>
  <c r="C228" i="27"/>
  <c r="H227" i="27"/>
  <c r="J227" i="27" s="1"/>
  <c r="H226" i="27"/>
  <c r="J226" i="27" s="1"/>
  <c r="H225" i="27"/>
  <c r="J225" i="27" s="1"/>
  <c r="H224" i="27"/>
  <c r="J224" i="27" s="1"/>
  <c r="H223" i="27"/>
  <c r="J223" i="27" s="1"/>
  <c r="H222" i="27"/>
  <c r="J222" i="27" s="1"/>
  <c r="H221" i="27"/>
  <c r="J221" i="27" s="1"/>
  <c r="H220" i="27"/>
  <c r="J220" i="27" s="1"/>
  <c r="G219" i="27"/>
  <c r="F219" i="27"/>
  <c r="F218" i="27" s="1"/>
  <c r="E219" i="27"/>
  <c r="E218" i="27" s="1"/>
  <c r="D219" i="27"/>
  <c r="C219" i="27"/>
  <c r="G218" i="27"/>
  <c r="C218" i="27"/>
  <c r="H217" i="27"/>
  <c r="J217" i="27" s="1"/>
  <c r="H216" i="27"/>
  <c r="J216" i="27" s="1"/>
  <c r="H215" i="27"/>
  <c r="J215" i="27" s="1"/>
  <c r="H214" i="27"/>
  <c r="J214" i="27" s="1"/>
  <c r="H213" i="27"/>
  <c r="J213" i="27" s="1"/>
  <c r="G212" i="27"/>
  <c r="F212" i="27"/>
  <c r="E212" i="27"/>
  <c r="D212" i="27"/>
  <c r="C212" i="27"/>
  <c r="H211" i="27"/>
  <c r="J211" i="27" s="1"/>
  <c r="J210" i="27"/>
  <c r="H210" i="27"/>
  <c r="H209" i="27"/>
  <c r="J209" i="27" s="1"/>
  <c r="H208" i="27"/>
  <c r="J208" i="27" s="1"/>
  <c r="J207" i="27"/>
  <c r="H207" i="27"/>
  <c r="G206" i="27"/>
  <c r="F206" i="27"/>
  <c r="E206" i="27"/>
  <c r="D206" i="27"/>
  <c r="D192" i="27" s="1"/>
  <c r="C206" i="27"/>
  <c r="H206" i="27" s="1"/>
  <c r="J206" i="27" s="1"/>
  <c r="H205" i="27"/>
  <c r="J205" i="27" s="1"/>
  <c r="H204" i="27"/>
  <c r="J204" i="27" s="1"/>
  <c r="H203" i="27"/>
  <c r="J203" i="27" s="1"/>
  <c r="G202" i="27"/>
  <c r="F202" i="27"/>
  <c r="E202" i="27"/>
  <c r="D202" i="27"/>
  <c r="C202" i="27"/>
  <c r="J201" i="27"/>
  <c r="H201" i="27"/>
  <c r="H200" i="27"/>
  <c r="J200" i="27" s="1"/>
  <c r="H199" i="27"/>
  <c r="J199" i="27" s="1"/>
  <c r="J198" i="27"/>
  <c r="H198" i="27"/>
  <c r="H197" i="27"/>
  <c r="J197" i="27" s="1"/>
  <c r="H196" i="27"/>
  <c r="J196" i="27" s="1"/>
  <c r="J195" i="27"/>
  <c r="H195" i="27"/>
  <c r="H194" i="27"/>
  <c r="J194" i="27" s="1"/>
  <c r="G193" i="27"/>
  <c r="F193" i="27"/>
  <c r="E193" i="27"/>
  <c r="E192" i="27" s="1"/>
  <c r="E191" i="27" s="1"/>
  <c r="D193" i="27"/>
  <c r="C193" i="27"/>
  <c r="F192" i="27"/>
  <c r="F191" i="27" s="1"/>
  <c r="H190" i="27"/>
  <c r="J190" i="27" s="1"/>
  <c r="H189" i="27"/>
  <c r="J189" i="27" s="1"/>
  <c r="H188" i="27"/>
  <c r="J188" i="27" s="1"/>
  <c r="H187" i="27"/>
  <c r="J187" i="27" s="1"/>
  <c r="H186" i="27"/>
  <c r="J186" i="27" s="1"/>
  <c r="G185" i="27"/>
  <c r="F185" i="27"/>
  <c r="E185" i="27"/>
  <c r="D185" i="27"/>
  <c r="C185" i="27"/>
  <c r="J184" i="27"/>
  <c r="H184" i="27"/>
  <c r="H183" i="27"/>
  <c r="J183" i="27" s="1"/>
  <c r="H182" i="27"/>
  <c r="J182" i="27" s="1"/>
  <c r="J181" i="27"/>
  <c r="H181" i="27"/>
  <c r="H180" i="27"/>
  <c r="J180" i="27" s="1"/>
  <c r="G179" i="27"/>
  <c r="F179" i="27"/>
  <c r="E179" i="27"/>
  <c r="D179" i="27"/>
  <c r="C179" i="27"/>
  <c r="H178" i="27"/>
  <c r="J178" i="27" s="1"/>
  <c r="H177" i="27"/>
  <c r="J177" i="27" s="1"/>
  <c r="H176" i="27"/>
  <c r="J176" i="27" s="1"/>
  <c r="G175" i="27"/>
  <c r="F175" i="27"/>
  <c r="E175" i="27"/>
  <c r="D175" i="27"/>
  <c r="H175" i="27" s="1"/>
  <c r="J175" i="27" s="1"/>
  <c r="C175" i="27"/>
  <c r="H174" i="27"/>
  <c r="J174" i="27" s="1"/>
  <c r="H173" i="27"/>
  <c r="J173" i="27" s="1"/>
  <c r="J172" i="27"/>
  <c r="H172" i="27"/>
  <c r="H171" i="27"/>
  <c r="J171" i="27" s="1"/>
  <c r="H170" i="27"/>
  <c r="J170" i="27" s="1"/>
  <c r="J169" i="27"/>
  <c r="H169" i="27"/>
  <c r="H168" i="27"/>
  <c r="J168" i="27" s="1"/>
  <c r="H167" i="27"/>
  <c r="J167" i="27" s="1"/>
  <c r="G166" i="27"/>
  <c r="G165" i="27" s="1"/>
  <c r="G164" i="27" s="1"/>
  <c r="F166" i="27"/>
  <c r="E166" i="27"/>
  <c r="D166" i="27"/>
  <c r="C166" i="27"/>
  <c r="F165" i="27"/>
  <c r="F164" i="27" s="1"/>
  <c r="D165" i="27"/>
  <c r="D164" i="27" s="1"/>
  <c r="H163" i="27"/>
  <c r="J163" i="27" s="1"/>
  <c r="H162" i="27"/>
  <c r="J162" i="27" s="1"/>
  <c r="H161" i="27"/>
  <c r="J161" i="27" s="1"/>
  <c r="H160" i="27"/>
  <c r="J160" i="27" s="1"/>
  <c r="H159" i="27"/>
  <c r="J159" i="27" s="1"/>
  <c r="G158" i="27"/>
  <c r="F158" i="27"/>
  <c r="E158" i="27"/>
  <c r="D158" i="27"/>
  <c r="H158" i="27" s="1"/>
  <c r="J158" i="27" s="1"/>
  <c r="C158" i="27"/>
  <c r="H157" i="27"/>
  <c r="J157" i="27" s="1"/>
  <c r="H156" i="27"/>
  <c r="J156" i="27" s="1"/>
  <c r="J155" i="27"/>
  <c r="H155" i="27"/>
  <c r="H154" i="27"/>
  <c r="J154" i="27" s="1"/>
  <c r="H153" i="27"/>
  <c r="J153" i="27" s="1"/>
  <c r="G152" i="27"/>
  <c r="F152" i="27"/>
  <c r="E152" i="27"/>
  <c r="D152" i="27"/>
  <c r="C152" i="27"/>
  <c r="H151" i="27"/>
  <c r="J151" i="27" s="1"/>
  <c r="H150" i="27"/>
  <c r="J150" i="27" s="1"/>
  <c r="H149" i="27"/>
  <c r="J149" i="27" s="1"/>
  <c r="G148" i="27"/>
  <c r="F148" i="27"/>
  <c r="E148" i="27"/>
  <c r="D148" i="27"/>
  <c r="C148" i="27"/>
  <c r="H147" i="27"/>
  <c r="J147" i="27" s="1"/>
  <c r="J146" i="27"/>
  <c r="H146" i="27"/>
  <c r="H145" i="27"/>
  <c r="J145" i="27" s="1"/>
  <c r="H144" i="27"/>
  <c r="J144" i="27" s="1"/>
  <c r="J143" i="27"/>
  <c r="H143" i="27"/>
  <c r="H142" i="27"/>
  <c r="J142" i="27" s="1"/>
  <c r="H141" i="27"/>
  <c r="J141" i="27" s="1"/>
  <c r="J140" i="27"/>
  <c r="H140" i="27"/>
  <c r="G139" i="27"/>
  <c r="G138" i="27" s="1"/>
  <c r="F139" i="27"/>
  <c r="F138" i="27" s="1"/>
  <c r="E139" i="27"/>
  <c r="D139" i="27"/>
  <c r="D138" i="27" s="1"/>
  <c r="C139" i="27"/>
  <c r="J137" i="27"/>
  <c r="H137" i="27"/>
  <c r="H136" i="27"/>
  <c r="J136" i="27" s="1"/>
  <c r="H135" i="27"/>
  <c r="J135" i="27" s="1"/>
  <c r="J134" i="27"/>
  <c r="H134" i="27"/>
  <c r="H133" i="27"/>
  <c r="J133" i="27" s="1"/>
  <c r="G132" i="27"/>
  <c r="F132" i="27"/>
  <c r="E132" i="27"/>
  <c r="D132" i="27"/>
  <c r="C132" i="27"/>
  <c r="H131" i="27"/>
  <c r="J131" i="27" s="1"/>
  <c r="H130" i="27"/>
  <c r="J130" i="27" s="1"/>
  <c r="H129" i="27"/>
  <c r="J129" i="27" s="1"/>
  <c r="H128" i="27"/>
  <c r="J128" i="27" s="1"/>
  <c r="H127" i="27"/>
  <c r="J127" i="27" s="1"/>
  <c r="G126" i="27"/>
  <c r="F126" i="27"/>
  <c r="E126" i="27"/>
  <c r="D126" i="27"/>
  <c r="C126" i="27"/>
  <c r="H125" i="27"/>
  <c r="J125" i="27" s="1"/>
  <c r="H124" i="27"/>
  <c r="J124" i="27" s="1"/>
  <c r="J123" i="27"/>
  <c r="H123" i="27"/>
  <c r="G122" i="27"/>
  <c r="F122" i="27"/>
  <c r="E122" i="27"/>
  <c r="D122" i="27"/>
  <c r="C122" i="27"/>
  <c r="C112" i="27" s="1"/>
  <c r="H121" i="27"/>
  <c r="J121" i="27" s="1"/>
  <c r="H120" i="27"/>
  <c r="J120" i="27" s="1"/>
  <c r="H119" i="27"/>
  <c r="J119" i="27" s="1"/>
  <c r="H118" i="27"/>
  <c r="J118" i="27" s="1"/>
  <c r="H117" i="27"/>
  <c r="J117" i="27" s="1"/>
  <c r="H116" i="27"/>
  <c r="J116" i="27" s="1"/>
  <c r="H115" i="27"/>
  <c r="J115" i="27" s="1"/>
  <c r="H114" i="27"/>
  <c r="J114" i="27" s="1"/>
  <c r="G113" i="27"/>
  <c r="G112" i="27" s="1"/>
  <c r="F113" i="27"/>
  <c r="E113" i="27"/>
  <c r="D113" i="27"/>
  <c r="H113" i="27" s="1"/>
  <c r="J113" i="27" s="1"/>
  <c r="C113" i="27"/>
  <c r="E112" i="27"/>
  <c r="H111" i="27"/>
  <c r="J111" i="27" s="1"/>
  <c r="H110" i="27"/>
  <c r="J110" i="27" s="1"/>
  <c r="H109" i="27"/>
  <c r="J109" i="27" s="1"/>
  <c r="H108" i="27"/>
  <c r="J108" i="27" s="1"/>
  <c r="H107" i="27"/>
  <c r="J107" i="27" s="1"/>
  <c r="G106" i="27"/>
  <c r="F106" i="27"/>
  <c r="E106" i="27"/>
  <c r="D106" i="27"/>
  <c r="C106" i="27"/>
  <c r="J105" i="27"/>
  <c r="H105" i="27"/>
  <c r="H104" i="27"/>
  <c r="J104" i="27" s="1"/>
  <c r="H103" i="27"/>
  <c r="J103" i="27" s="1"/>
  <c r="J102" i="27"/>
  <c r="H102" i="27"/>
  <c r="H101" i="27"/>
  <c r="J101" i="27" s="1"/>
  <c r="G100" i="27"/>
  <c r="F100" i="27"/>
  <c r="E100" i="27"/>
  <c r="D100" i="27"/>
  <c r="C100" i="27"/>
  <c r="H99" i="27"/>
  <c r="J99" i="27" s="1"/>
  <c r="H98" i="27"/>
  <c r="J98" i="27" s="1"/>
  <c r="H97" i="27"/>
  <c r="J97" i="27" s="1"/>
  <c r="G96" i="27"/>
  <c r="F96" i="27"/>
  <c r="E96" i="27"/>
  <c r="D96" i="27"/>
  <c r="H96" i="27" s="1"/>
  <c r="J96" i="27" s="1"/>
  <c r="C96" i="27"/>
  <c r="H95" i="27"/>
  <c r="J95" i="27" s="1"/>
  <c r="H94" i="27"/>
  <c r="J94" i="27" s="1"/>
  <c r="J93" i="27"/>
  <c r="H93" i="27"/>
  <c r="H92" i="27"/>
  <c r="J92" i="27" s="1"/>
  <c r="H91" i="27"/>
  <c r="J91" i="27" s="1"/>
  <c r="J90" i="27"/>
  <c r="H90" i="27"/>
  <c r="H89" i="27"/>
  <c r="J89" i="27" s="1"/>
  <c r="H88" i="27"/>
  <c r="J88" i="27" s="1"/>
  <c r="G87" i="27"/>
  <c r="G86" i="27" s="1"/>
  <c r="F87" i="27"/>
  <c r="E87" i="27"/>
  <c r="D87" i="27"/>
  <c r="C87" i="27"/>
  <c r="F86" i="27"/>
  <c r="D86" i="27"/>
  <c r="H84" i="27"/>
  <c r="J84" i="27" s="1"/>
  <c r="H83" i="27"/>
  <c r="J83" i="27" s="1"/>
  <c r="H82" i="27"/>
  <c r="J82" i="27" s="1"/>
  <c r="H81" i="27"/>
  <c r="J81" i="27" s="1"/>
  <c r="H80" i="27"/>
  <c r="J80" i="27" s="1"/>
  <c r="G79" i="27"/>
  <c r="F79" i="27"/>
  <c r="E79" i="27"/>
  <c r="D79" i="27"/>
  <c r="C79" i="27"/>
  <c r="H78" i="27"/>
  <c r="J78" i="27" s="1"/>
  <c r="J77" i="27"/>
  <c r="H77" i="27"/>
  <c r="H76" i="27"/>
  <c r="J76" i="27" s="1"/>
  <c r="H75" i="27"/>
  <c r="J75" i="27" s="1"/>
  <c r="J74" i="27"/>
  <c r="H74" i="27"/>
  <c r="G73" i="27"/>
  <c r="F73" i="27"/>
  <c r="E73" i="27"/>
  <c r="D73" i="27"/>
  <c r="C73" i="27"/>
  <c r="H72" i="27"/>
  <c r="J72" i="27" s="1"/>
  <c r="H71" i="27"/>
  <c r="J71" i="27" s="1"/>
  <c r="H70" i="27"/>
  <c r="J70" i="27" s="1"/>
  <c r="G69" i="27"/>
  <c r="F69" i="27"/>
  <c r="E69" i="27"/>
  <c r="D69" i="27"/>
  <c r="C69" i="27"/>
  <c r="H68" i="27"/>
  <c r="J68" i="27" s="1"/>
  <c r="J67" i="27"/>
  <c r="H67" i="27"/>
  <c r="H66" i="27"/>
  <c r="J66" i="27" s="1"/>
  <c r="H65" i="27"/>
  <c r="J65" i="27" s="1"/>
  <c r="J64" i="27"/>
  <c r="H64" i="27"/>
  <c r="H63" i="27"/>
  <c r="J63" i="27" s="1"/>
  <c r="H62" i="27"/>
  <c r="J62" i="27" s="1"/>
  <c r="J61" i="27"/>
  <c r="H61" i="27"/>
  <c r="G60" i="27"/>
  <c r="F60" i="27"/>
  <c r="F59" i="27" s="1"/>
  <c r="E60" i="27"/>
  <c r="D60" i="27"/>
  <c r="C60" i="27"/>
  <c r="J58" i="27"/>
  <c r="J57" i="27"/>
  <c r="J56" i="27"/>
  <c r="J55" i="27"/>
  <c r="J54" i="27"/>
  <c r="G53" i="27"/>
  <c r="F53" i="27"/>
  <c r="E53" i="27"/>
  <c r="D53" i="27"/>
  <c r="C53" i="27"/>
  <c r="J52" i="27"/>
  <c r="J51" i="27"/>
  <c r="J50" i="27"/>
  <c r="J49" i="27"/>
  <c r="J48" i="27"/>
  <c r="G47" i="27"/>
  <c r="F47" i="27"/>
  <c r="E47" i="27"/>
  <c r="D47" i="27"/>
  <c r="C47" i="27"/>
  <c r="J46" i="27"/>
  <c r="J45" i="27"/>
  <c r="J44" i="27"/>
  <c r="G43" i="27"/>
  <c r="F43" i="27"/>
  <c r="E43" i="27"/>
  <c r="D43" i="27"/>
  <c r="C43" i="27"/>
  <c r="J42" i="27"/>
  <c r="J41" i="27"/>
  <c r="J40" i="27"/>
  <c r="J39" i="27"/>
  <c r="J38" i="27"/>
  <c r="J37" i="27"/>
  <c r="J36" i="27"/>
  <c r="J35" i="27"/>
  <c r="G34" i="27"/>
  <c r="F34" i="27"/>
  <c r="E34" i="27"/>
  <c r="D34" i="27"/>
  <c r="C34" i="27"/>
  <c r="J32" i="27"/>
  <c r="J31" i="27"/>
  <c r="J30" i="27"/>
  <c r="J29" i="27"/>
  <c r="J28" i="27"/>
  <c r="G27" i="27"/>
  <c r="F27" i="27"/>
  <c r="E27" i="27"/>
  <c r="D27" i="27"/>
  <c r="C27" i="27"/>
  <c r="J26" i="27"/>
  <c r="J25" i="27"/>
  <c r="J24" i="27"/>
  <c r="J23" i="27"/>
  <c r="J22" i="27"/>
  <c r="G21" i="27"/>
  <c r="F21" i="27"/>
  <c r="E21" i="27"/>
  <c r="D21" i="27"/>
  <c r="C21" i="27"/>
  <c r="J20" i="27"/>
  <c r="J19" i="27"/>
  <c r="J18" i="27"/>
  <c r="G17" i="27"/>
  <c r="F17" i="27"/>
  <c r="E17" i="27"/>
  <c r="D17" i="27"/>
  <c r="C17" i="27"/>
  <c r="J16" i="27"/>
  <c r="J15" i="27"/>
  <c r="J14" i="27"/>
  <c r="J13" i="27"/>
  <c r="J12" i="27"/>
  <c r="J11" i="27"/>
  <c r="J10" i="27"/>
  <c r="J9" i="27"/>
  <c r="G8" i="27"/>
  <c r="F8" i="27"/>
  <c r="E8" i="27"/>
  <c r="D8" i="27"/>
  <c r="C8" i="27"/>
  <c r="G85" i="27" l="1"/>
  <c r="H69" i="27"/>
  <c r="J69" i="27" s="1"/>
  <c r="H100" i="27"/>
  <c r="J100" i="27" s="1"/>
  <c r="E59" i="27"/>
  <c r="H73" i="27"/>
  <c r="J73" i="27" s="1"/>
  <c r="H87" i="27"/>
  <c r="J87" i="27" s="1"/>
  <c r="H106" i="27"/>
  <c r="J106" i="27" s="1"/>
  <c r="F112" i="27"/>
  <c r="F85" i="27" s="1"/>
  <c r="H126" i="27"/>
  <c r="J126" i="27" s="1"/>
  <c r="H132" i="27"/>
  <c r="J132" i="27" s="1"/>
  <c r="H139" i="27"/>
  <c r="J139" i="27" s="1"/>
  <c r="E246" i="27"/>
  <c r="E245" i="27" s="1"/>
  <c r="E244" i="27" s="1"/>
  <c r="H292" i="27"/>
  <c r="J292" i="27" s="1"/>
  <c r="C272" i="27"/>
  <c r="F433" i="27"/>
  <c r="F432" i="27" s="1"/>
  <c r="H122" i="27"/>
  <c r="J122" i="27" s="1"/>
  <c r="G59" i="27"/>
  <c r="D59" i="27"/>
  <c r="E86" i="27"/>
  <c r="E138" i="27"/>
  <c r="H152" i="27"/>
  <c r="J152" i="27" s="1"/>
  <c r="H166" i="27"/>
  <c r="J166" i="27" s="1"/>
  <c r="H185" i="27"/>
  <c r="J185" i="27" s="1"/>
  <c r="G192" i="27"/>
  <c r="G191" i="27" s="1"/>
  <c r="H202" i="27"/>
  <c r="J202" i="27" s="1"/>
  <c r="H219" i="27"/>
  <c r="J219" i="27" s="1"/>
  <c r="H228" i="27"/>
  <c r="J228" i="27" s="1"/>
  <c r="H232" i="27"/>
  <c r="J232" i="27" s="1"/>
  <c r="H238" i="27"/>
  <c r="J238" i="27" s="1"/>
  <c r="G246" i="27"/>
  <c r="G245" i="27" s="1"/>
  <c r="H256" i="27"/>
  <c r="J256" i="27" s="1"/>
  <c r="H273" i="27"/>
  <c r="J273" i="27" s="1"/>
  <c r="H282" i="27"/>
  <c r="J282" i="27" s="1"/>
  <c r="H327" i="27"/>
  <c r="J327" i="27" s="1"/>
  <c r="H336" i="27"/>
  <c r="J336" i="27" s="1"/>
  <c r="H340" i="27"/>
  <c r="J340" i="27" s="1"/>
  <c r="H346" i="27"/>
  <c r="J346" i="27" s="1"/>
  <c r="G353" i="27"/>
  <c r="H364" i="27"/>
  <c r="J364" i="27" s="1"/>
  <c r="H381" i="27"/>
  <c r="J381" i="27" s="1"/>
  <c r="H390" i="27"/>
  <c r="J390" i="27" s="1"/>
  <c r="H394" i="27"/>
  <c r="J394" i="27" s="1"/>
  <c r="H400" i="27"/>
  <c r="J400" i="27" s="1"/>
  <c r="H416" i="27"/>
  <c r="J416" i="27" s="1"/>
  <c r="H447" i="27"/>
  <c r="J447" i="27" s="1"/>
  <c r="E619" i="27"/>
  <c r="D753" i="27"/>
  <c r="D726" i="27" s="1"/>
  <c r="H773" i="27"/>
  <c r="J773" i="27" s="1"/>
  <c r="H148" i="27"/>
  <c r="J148" i="27" s="1"/>
  <c r="E165" i="27"/>
  <c r="E164" i="27" s="1"/>
  <c r="H179" i="27"/>
  <c r="J179" i="27" s="1"/>
  <c r="H193" i="27"/>
  <c r="J193" i="27" s="1"/>
  <c r="H212" i="27"/>
  <c r="J212" i="27" s="1"/>
  <c r="H247" i="27"/>
  <c r="J247" i="27" s="1"/>
  <c r="H266" i="27"/>
  <c r="J266" i="27" s="1"/>
  <c r="F272" i="27"/>
  <c r="F245" i="27" s="1"/>
  <c r="F244" i="27" s="1"/>
  <c r="H300" i="27"/>
  <c r="J300" i="27" s="1"/>
  <c r="H309" i="27"/>
  <c r="J309" i="27" s="1"/>
  <c r="H313" i="27"/>
  <c r="J313" i="27" s="1"/>
  <c r="H319" i="27"/>
  <c r="J319" i="27" s="1"/>
  <c r="H355" i="27"/>
  <c r="J355" i="27" s="1"/>
  <c r="H374" i="27"/>
  <c r="J374" i="27" s="1"/>
  <c r="H407" i="27"/>
  <c r="J407" i="27" s="1"/>
  <c r="H426" i="27"/>
  <c r="J426" i="27" s="1"/>
  <c r="G433" i="27"/>
  <c r="G432" i="27" s="1"/>
  <c r="H443" i="27"/>
  <c r="J443" i="27" s="1"/>
  <c r="E460" i="27"/>
  <c r="E459" i="27" s="1"/>
  <c r="E352" i="27" s="1"/>
  <c r="H474" i="27"/>
  <c r="J474" i="27" s="1"/>
  <c r="H489" i="27"/>
  <c r="J489" i="27" s="1"/>
  <c r="H498" i="27"/>
  <c r="J498" i="27" s="1"/>
  <c r="C488" i="27"/>
  <c r="C727" i="27"/>
  <c r="H461" i="27"/>
  <c r="J461" i="27" s="1"/>
  <c r="H480" i="27"/>
  <c r="J480" i="27" s="1"/>
  <c r="F488" i="27"/>
  <c r="F487" i="27" s="1"/>
  <c r="H551" i="27"/>
  <c r="J551" i="27" s="1"/>
  <c r="F567" i="27"/>
  <c r="G567" i="27"/>
  <c r="F593" i="27"/>
  <c r="H613" i="27"/>
  <c r="J613" i="27" s="1"/>
  <c r="H633" i="27"/>
  <c r="J633" i="27" s="1"/>
  <c r="H639" i="27"/>
  <c r="J639" i="27" s="1"/>
  <c r="D646" i="27"/>
  <c r="D645" i="27" s="1"/>
  <c r="H656" i="27"/>
  <c r="J656" i="27" s="1"/>
  <c r="F673" i="27"/>
  <c r="F672" i="27" s="1"/>
  <c r="G673" i="27"/>
  <c r="F699" i="27"/>
  <c r="H719" i="27"/>
  <c r="J719" i="27" s="1"/>
  <c r="F727" i="27"/>
  <c r="F726" i="27" s="1"/>
  <c r="E727" i="27"/>
  <c r="F806" i="27"/>
  <c r="F805" i="27" s="1"/>
  <c r="E806" i="27"/>
  <c r="F1017" i="27"/>
  <c r="F990" i="27" s="1"/>
  <c r="D832" i="27"/>
  <c r="E514" i="27"/>
  <c r="E487" i="27" s="1"/>
  <c r="H528" i="27"/>
  <c r="J528" i="27" s="1"/>
  <c r="F541" i="27"/>
  <c r="H561" i="27"/>
  <c r="J561" i="27" s="1"/>
  <c r="H581" i="27"/>
  <c r="J581" i="27" s="1"/>
  <c r="H587" i="27"/>
  <c r="J587" i="27" s="1"/>
  <c r="H607" i="27"/>
  <c r="J607" i="27" s="1"/>
  <c r="D619" i="27"/>
  <c r="D540" i="27" s="1"/>
  <c r="H629" i="27"/>
  <c r="J629" i="27" s="1"/>
  <c r="F646" i="27"/>
  <c r="F645" i="27" s="1"/>
  <c r="G646" i="27"/>
  <c r="G645" i="27" s="1"/>
  <c r="H687" i="27"/>
  <c r="J687" i="27" s="1"/>
  <c r="H693" i="27"/>
  <c r="J693" i="27" s="1"/>
  <c r="H713" i="27"/>
  <c r="J713" i="27" s="1"/>
  <c r="E753" i="27"/>
  <c r="H767" i="27"/>
  <c r="J767" i="27" s="1"/>
  <c r="H789" i="27"/>
  <c r="J789" i="27" s="1"/>
  <c r="H793" i="27"/>
  <c r="J793" i="27" s="1"/>
  <c r="H799" i="27"/>
  <c r="J799" i="27" s="1"/>
  <c r="E832" i="27"/>
  <c r="H846" i="27"/>
  <c r="J846" i="27" s="1"/>
  <c r="C858" i="27"/>
  <c r="F858" i="27"/>
  <c r="E858" i="27"/>
  <c r="H899" i="27"/>
  <c r="J899" i="27" s="1"/>
  <c r="C885" i="27"/>
  <c r="F885" i="27"/>
  <c r="H905" i="27"/>
  <c r="J905" i="27" s="1"/>
  <c r="H925" i="27"/>
  <c r="J925" i="27" s="1"/>
  <c r="H951" i="27"/>
  <c r="J951" i="27" s="1"/>
  <c r="D963" i="27"/>
  <c r="H973" i="27"/>
  <c r="J973" i="27" s="1"/>
  <c r="H1027" i="27"/>
  <c r="J1027" i="27" s="1"/>
  <c r="H1031" i="27"/>
  <c r="J1031" i="27" s="1"/>
  <c r="H1037" i="27"/>
  <c r="J1037" i="27" s="1"/>
  <c r="E1044" i="27"/>
  <c r="D1096" i="27"/>
  <c r="E1096" i="27"/>
  <c r="D1122" i="27"/>
  <c r="H1132" i="27"/>
  <c r="J1132" i="27" s="1"/>
  <c r="E1122" i="27"/>
  <c r="H1163" i="27"/>
  <c r="J1163" i="27" s="1"/>
  <c r="E1175" i="27"/>
  <c r="E1148" i="27" s="1"/>
  <c r="H1447" i="27"/>
  <c r="J1447" i="27" s="1"/>
  <c r="H1457" i="27"/>
  <c r="J1457" i="27" s="1"/>
  <c r="D10003" i="27"/>
  <c r="D858" i="27"/>
  <c r="H868" i="27"/>
  <c r="J868" i="27" s="1"/>
  <c r="H872" i="27"/>
  <c r="J872" i="27" s="1"/>
  <c r="H878" i="27"/>
  <c r="J878" i="27" s="1"/>
  <c r="D885" i="27"/>
  <c r="D884" i="27" s="1"/>
  <c r="H895" i="27"/>
  <c r="J895" i="27" s="1"/>
  <c r="F911" i="27"/>
  <c r="G911" i="27"/>
  <c r="F937" i="27"/>
  <c r="H957" i="27"/>
  <c r="J957" i="27" s="1"/>
  <c r="H977" i="27"/>
  <c r="J977" i="27" s="1"/>
  <c r="G991" i="27"/>
  <c r="G990" i="27" s="1"/>
  <c r="H1001" i="27"/>
  <c r="J1001" i="27" s="1"/>
  <c r="D991" i="27"/>
  <c r="D990" i="27" s="1"/>
  <c r="D1044" i="27"/>
  <c r="D1043" i="27" s="1"/>
  <c r="H1054" i="27"/>
  <c r="J1054" i="27" s="1"/>
  <c r="H1058" i="27"/>
  <c r="J1058" i="27" s="1"/>
  <c r="H1064" i="27"/>
  <c r="J1064" i="27" s="1"/>
  <c r="G1070" i="27"/>
  <c r="H1080" i="27"/>
  <c r="J1080" i="27" s="1"/>
  <c r="D1070" i="27"/>
  <c r="H1097" i="27"/>
  <c r="J1097" i="27" s="1"/>
  <c r="H1110" i="27"/>
  <c r="J1110" i="27" s="1"/>
  <c r="H1136" i="27"/>
  <c r="J1136" i="27" s="1"/>
  <c r="F1149" i="27"/>
  <c r="G1149" i="27"/>
  <c r="G1148" i="27" s="1"/>
  <c r="C1175" i="27"/>
  <c r="H1175" i="27" s="1"/>
  <c r="J1175" i="27" s="1"/>
  <c r="F1175" i="27"/>
  <c r="H1451" i="27"/>
  <c r="J1451" i="27" s="1"/>
  <c r="C10003" i="27"/>
  <c r="D1175" i="27"/>
  <c r="F7" i="27"/>
  <c r="H21" i="27"/>
  <c r="J21" i="27" s="1"/>
  <c r="G7" i="27"/>
  <c r="E7" i="27"/>
  <c r="H17" i="27"/>
  <c r="J17" i="27" s="1"/>
  <c r="D7" i="27"/>
  <c r="C33" i="27"/>
  <c r="G33" i="27"/>
  <c r="H53" i="27"/>
  <c r="J53" i="27" s="1"/>
  <c r="H47" i="27"/>
  <c r="J47" i="27" s="1"/>
  <c r="F33" i="27"/>
  <c r="D33" i="27"/>
  <c r="D6" i="27" s="1"/>
  <c r="H43" i="27"/>
  <c r="J43" i="27" s="1"/>
  <c r="E33" i="27"/>
  <c r="H60" i="27"/>
  <c r="J60" i="27" s="1"/>
  <c r="C59" i="27"/>
  <c r="H59" i="27" s="1"/>
  <c r="J59" i="27" s="1"/>
  <c r="H79" i="27"/>
  <c r="J79" i="27" s="1"/>
  <c r="H8" i="27"/>
  <c r="J8" i="27" s="1"/>
  <c r="C7" i="27"/>
  <c r="H27" i="27"/>
  <c r="J27" i="27" s="1"/>
  <c r="H34" i="27"/>
  <c r="J34" i="27" s="1"/>
  <c r="G244" i="27"/>
  <c r="F353" i="27"/>
  <c r="F352" i="27" s="1"/>
  <c r="H515" i="27"/>
  <c r="J515" i="27" s="1"/>
  <c r="C514" i="27"/>
  <c r="H647" i="27"/>
  <c r="J647" i="27" s="1"/>
  <c r="H754" i="27"/>
  <c r="J754" i="27" s="1"/>
  <c r="C753" i="27"/>
  <c r="H753" i="27" s="1"/>
  <c r="J753" i="27" s="1"/>
  <c r="H779" i="27"/>
  <c r="J779" i="27" s="1"/>
  <c r="H833" i="27"/>
  <c r="J833" i="27" s="1"/>
  <c r="C832" i="27"/>
  <c r="H832" i="27" s="1"/>
  <c r="J832" i="27" s="1"/>
  <c r="H852" i="27"/>
  <c r="J852" i="27" s="1"/>
  <c r="H858" i="27"/>
  <c r="J858" i="27" s="1"/>
  <c r="H885" i="27"/>
  <c r="J885" i="27" s="1"/>
  <c r="H1106" i="27"/>
  <c r="J1106" i="27" s="1"/>
  <c r="C86" i="27"/>
  <c r="D112" i="27"/>
  <c r="D85" i="27" s="1"/>
  <c r="C138" i="27"/>
  <c r="H138" i="27" s="1"/>
  <c r="J138" i="27" s="1"/>
  <c r="C165" i="27"/>
  <c r="C192" i="27"/>
  <c r="D218" i="27"/>
  <c r="D191" i="27" s="1"/>
  <c r="C246" i="27"/>
  <c r="D272" i="27"/>
  <c r="D245" i="27" s="1"/>
  <c r="C298" i="27"/>
  <c r="D299" i="27"/>
  <c r="D298" i="27" s="1"/>
  <c r="C325" i="27"/>
  <c r="D326" i="27"/>
  <c r="D325" i="27" s="1"/>
  <c r="C354" i="27"/>
  <c r="D380" i="27"/>
  <c r="H380" i="27" s="1"/>
  <c r="J380" i="27" s="1"/>
  <c r="C406" i="27"/>
  <c r="H406" i="27" s="1"/>
  <c r="J406" i="27" s="1"/>
  <c r="C433" i="27"/>
  <c r="C460" i="27"/>
  <c r="C487" i="27"/>
  <c r="D488" i="27"/>
  <c r="D514" i="27"/>
  <c r="H542" i="27"/>
  <c r="J542" i="27" s="1"/>
  <c r="C541" i="27"/>
  <c r="E541" i="27"/>
  <c r="G541" i="27"/>
  <c r="C567" i="27"/>
  <c r="H567" i="27" s="1"/>
  <c r="J567" i="27" s="1"/>
  <c r="H594" i="27"/>
  <c r="J594" i="27" s="1"/>
  <c r="C593" i="27"/>
  <c r="E593" i="27"/>
  <c r="G593" i="27"/>
  <c r="C619" i="27"/>
  <c r="H619" i="27" s="1"/>
  <c r="J619" i="27" s="1"/>
  <c r="C646" i="27"/>
  <c r="C673" i="27"/>
  <c r="H700" i="27"/>
  <c r="J700" i="27" s="1"/>
  <c r="C699" i="27"/>
  <c r="E699" i="27"/>
  <c r="G699" i="27"/>
  <c r="G672" i="27" s="1"/>
  <c r="H728" i="27"/>
  <c r="J728" i="27" s="1"/>
  <c r="H780" i="27"/>
  <c r="J780" i="27" s="1"/>
  <c r="H807" i="27"/>
  <c r="J807" i="27" s="1"/>
  <c r="H859" i="27"/>
  <c r="J859" i="27" s="1"/>
  <c r="H912" i="27"/>
  <c r="J912" i="27" s="1"/>
  <c r="H931" i="27"/>
  <c r="J931" i="27" s="1"/>
  <c r="C911" i="27"/>
  <c r="H911" i="27" s="1"/>
  <c r="J911" i="27" s="1"/>
  <c r="H964" i="27"/>
  <c r="J964" i="27" s="1"/>
  <c r="H983" i="27"/>
  <c r="J983" i="27" s="1"/>
  <c r="C963" i="27"/>
  <c r="H992" i="27"/>
  <c r="J992" i="27" s="1"/>
  <c r="C991" i="27"/>
  <c r="H1011" i="27"/>
  <c r="J1011" i="27" s="1"/>
  <c r="C1017" i="27"/>
  <c r="H1017" i="27" s="1"/>
  <c r="J1017" i="27" s="1"/>
  <c r="E1043" i="27"/>
  <c r="H1071" i="27"/>
  <c r="J1071" i="27" s="1"/>
  <c r="C1070" i="27"/>
  <c r="H1070" i="27" s="1"/>
  <c r="J1070" i="27" s="1"/>
  <c r="H1090" i="27"/>
  <c r="J1090" i="27" s="1"/>
  <c r="C1096" i="27"/>
  <c r="H1123" i="27"/>
  <c r="J1123" i="27" s="1"/>
  <c r="H1142" i="27"/>
  <c r="J1142" i="27" s="1"/>
  <c r="C1122" i="27"/>
  <c r="H1122" i="27" s="1"/>
  <c r="J1122" i="27" s="1"/>
  <c r="D1148" i="27"/>
  <c r="F1148" i="27"/>
  <c r="H1150" i="27"/>
  <c r="J1150" i="27" s="1"/>
  <c r="H1169" i="27"/>
  <c r="J1169" i="27" s="1"/>
  <c r="C1149" i="27"/>
  <c r="H568" i="27"/>
  <c r="J568" i="27" s="1"/>
  <c r="H620" i="27"/>
  <c r="J620" i="27" s="1"/>
  <c r="E672" i="27"/>
  <c r="H674" i="27"/>
  <c r="J674" i="27" s="1"/>
  <c r="H727" i="27"/>
  <c r="J727" i="27" s="1"/>
  <c r="H886" i="27"/>
  <c r="J886" i="27" s="1"/>
  <c r="H938" i="27"/>
  <c r="J938" i="27" s="1"/>
  <c r="C937" i="27"/>
  <c r="E937" i="27"/>
  <c r="E884" i="27" s="1"/>
  <c r="G937" i="27"/>
  <c r="G884" i="27" s="1"/>
  <c r="G725" i="27" s="1"/>
  <c r="H1018" i="27"/>
  <c r="J1018" i="27" s="1"/>
  <c r="H1045" i="27"/>
  <c r="J1045" i="27" s="1"/>
  <c r="G1096" i="27"/>
  <c r="G1043" i="27" s="1"/>
  <c r="J10004" i="27"/>
  <c r="H10003" i="27"/>
  <c r="J10003" i="27" s="1"/>
  <c r="G352" i="27" l="1"/>
  <c r="C726" i="27"/>
  <c r="F989" i="27"/>
  <c r="D244" i="27"/>
  <c r="H1044" i="27"/>
  <c r="J1044" i="27" s="1"/>
  <c r="H806" i="27"/>
  <c r="J806" i="27" s="1"/>
  <c r="F884" i="27"/>
  <c r="F540" i="27"/>
  <c r="E726" i="27"/>
  <c r="F486" i="27"/>
  <c r="E85" i="27"/>
  <c r="E989" i="27"/>
  <c r="H963" i="27"/>
  <c r="J963" i="27" s="1"/>
  <c r="E6" i="27"/>
  <c r="F6" i="27"/>
  <c r="F5" i="27" s="1"/>
  <c r="D805" i="27"/>
  <c r="D725" i="27" s="1"/>
  <c r="E805" i="27"/>
  <c r="E725" i="27" s="1"/>
  <c r="F725" i="27"/>
  <c r="F1201" i="27" s="1"/>
  <c r="G6" i="27"/>
  <c r="G5" i="27" s="1"/>
  <c r="H33" i="27"/>
  <c r="J33" i="27" s="1"/>
  <c r="D5" i="27"/>
  <c r="H726" i="27"/>
  <c r="J726" i="27" s="1"/>
  <c r="H1149" i="27"/>
  <c r="J1149" i="27" s="1"/>
  <c r="C1148" i="27"/>
  <c r="H1148" i="27" s="1"/>
  <c r="J1148" i="27" s="1"/>
  <c r="H1096" i="27"/>
  <c r="J1096" i="27" s="1"/>
  <c r="D989" i="27"/>
  <c r="H991" i="27"/>
  <c r="J991" i="27" s="1"/>
  <c r="C990" i="27"/>
  <c r="H646" i="27"/>
  <c r="J646" i="27" s="1"/>
  <c r="C645" i="27"/>
  <c r="H645" i="27" s="1"/>
  <c r="J645" i="27" s="1"/>
  <c r="H593" i="27"/>
  <c r="J593" i="27" s="1"/>
  <c r="E540" i="27"/>
  <c r="E486" i="27" s="1"/>
  <c r="D487" i="27"/>
  <c r="D486" i="27" s="1"/>
  <c r="H460" i="27"/>
  <c r="J460" i="27" s="1"/>
  <c r="C459" i="27"/>
  <c r="H459" i="27" s="1"/>
  <c r="J459" i="27" s="1"/>
  <c r="H354" i="27"/>
  <c r="J354" i="27" s="1"/>
  <c r="C353" i="27"/>
  <c r="H325" i="27"/>
  <c r="J325" i="27" s="1"/>
  <c r="H298" i="27"/>
  <c r="J298" i="27" s="1"/>
  <c r="H246" i="27"/>
  <c r="J246" i="27" s="1"/>
  <c r="C245" i="27"/>
  <c r="H192" i="27"/>
  <c r="J192" i="27" s="1"/>
  <c r="C191" i="27"/>
  <c r="H191" i="27" s="1"/>
  <c r="J191" i="27" s="1"/>
  <c r="H86" i="27"/>
  <c r="J86" i="27" s="1"/>
  <c r="C85" i="27"/>
  <c r="H85" i="27" s="1"/>
  <c r="J85" i="27" s="1"/>
  <c r="C1043" i="27"/>
  <c r="H1043" i="27" s="1"/>
  <c r="J1043" i="27" s="1"/>
  <c r="H218" i="27"/>
  <c r="J218" i="27" s="1"/>
  <c r="H112" i="27"/>
  <c r="J112" i="27" s="1"/>
  <c r="H7" i="27"/>
  <c r="J7" i="27" s="1"/>
  <c r="C6" i="27"/>
  <c r="H488" i="27"/>
  <c r="J488" i="27" s="1"/>
  <c r="D353" i="27"/>
  <c r="D352" i="27" s="1"/>
  <c r="H299" i="27"/>
  <c r="J299" i="27" s="1"/>
  <c r="H937" i="27"/>
  <c r="J937" i="27" s="1"/>
  <c r="G989" i="27"/>
  <c r="H699" i="27"/>
  <c r="J699" i="27" s="1"/>
  <c r="H673" i="27"/>
  <c r="J673" i="27" s="1"/>
  <c r="C672" i="27"/>
  <c r="H672" i="27" s="1"/>
  <c r="J672" i="27" s="1"/>
  <c r="G540" i="27"/>
  <c r="G486" i="27" s="1"/>
  <c r="H541" i="27"/>
  <c r="J541" i="27" s="1"/>
  <c r="C540" i="27"/>
  <c r="H487" i="27"/>
  <c r="J487" i="27" s="1"/>
  <c r="C486" i="27"/>
  <c r="H433" i="27"/>
  <c r="J433" i="27" s="1"/>
  <c r="C432" i="27"/>
  <c r="H432" i="27" s="1"/>
  <c r="J432" i="27" s="1"/>
  <c r="H165" i="27"/>
  <c r="J165" i="27" s="1"/>
  <c r="C164" i="27"/>
  <c r="H164" i="27" s="1"/>
  <c r="J164" i="27" s="1"/>
  <c r="C884" i="27"/>
  <c r="H884" i="27" s="1"/>
  <c r="J884" i="27" s="1"/>
  <c r="C805" i="27"/>
  <c r="H805" i="27" s="1"/>
  <c r="J805" i="27" s="1"/>
  <c r="H514" i="27"/>
  <c r="J514" i="27" s="1"/>
  <c r="H272" i="27"/>
  <c r="J272" i="27" s="1"/>
  <c r="H326" i="27"/>
  <c r="J326" i="27" s="1"/>
  <c r="H486" i="27" l="1"/>
  <c r="J486" i="27" s="1"/>
  <c r="E1201" i="27"/>
  <c r="H540" i="27"/>
  <c r="J540" i="27" s="1"/>
  <c r="E5" i="27"/>
  <c r="H6" i="27"/>
  <c r="J6" i="27" s="1"/>
  <c r="C5" i="27"/>
  <c r="H5" i="27" s="1"/>
  <c r="J5" i="27" s="1"/>
  <c r="H990" i="27"/>
  <c r="J990" i="27" s="1"/>
  <c r="C989" i="27"/>
  <c r="D1201" i="27"/>
  <c r="C725" i="27"/>
  <c r="H725" i="27" s="1"/>
  <c r="J725" i="27" s="1"/>
  <c r="G1201" i="27"/>
  <c r="H245" i="27"/>
  <c r="J245" i="27" s="1"/>
  <c r="C244" i="27"/>
  <c r="H244" i="27" s="1"/>
  <c r="J244" i="27" s="1"/>
  <c r="H353" i="27"/>
  <c r="J353" i="27" s="1"/>
  <c r="C352" i="27"/>
  <c r="H352" i="27" s="1"/>
  <c r="J352" i="27" s="1"/>
  <c r="C1201" i="27" l="1"/>
  <c r="H1201" i="27" s="1"/>
  <c r="J1201" i="27" s="1"/>
  <c r="H989" i="27"/>
  <c r="J989" i="27" s="1"/>
</calcChain>
</file>

<file path=xl/sharedStrings.xml><?xml version="1.0" encoding="utf-8"?>
<sst xmlns="http://schemas.openxmlformats.org/spreadsheetml/2006/main" count="2119" uniqueCount="850">
  <si>
    <t>1.1</t>
  </si>
  <si>
    <t>1.1.1</t>
  </si>
  <si>
    <t>1.1.2</t>
  </si>
  <si>
    <t>1.1.3</t>
  </si>
  <si>
    <t>1.2.1</t>
  </si>
  <si>
    <t>1.2.2</t>
  </si>
  <si>
    <t>1.2.3</t>
  </si>
  <si>
    <t>Fecha de finalización</t>
  </si>
  <si>
    <t>Responsable Principal</t>
  </si>
  <si>
    <t>Responsable Secundario</t>
  </si>
  <si>
    <t>Fecha de inicio</t>
  </si>
  <si>
    <t>Objetivos/Subobjetivos/Acciones</t>
  </si>
  <si>
    <t>Número</t>
  </si>
  <si>
    <t>Evaluación</t>
  </si>
  <si>
    <t>Costo Total</t>
  </si>
  <si>
    <t>Costo Total (5 años)</t>
  </si>
  <si>
    <t>Costo Año1</t>
  </si>
  <si>
    <t>Costo Año2</t>
  </si>
  <si>
    <t>Costo Año3</t>
  </si>
  <si>
    <t>Costo Año4</t>
  </si>
  <si>
    <t>Costo Año5</t>
  </si>
  <si>
    <t>Excedente/Déficit</t>
  </si>
  <si>
    <t>Ingresos disponibles Proyectados</t>
  </si>
  <si>
    <t>2.1.1</t>
  </si>
  <si>
    <t>2.1.2</t>
  </si>
  <si>
    <t>VISIÓN</t>
  </si>
  <si>
    <t>Indicador</t>
  </si>
  <si>
    <t>Meta</t>
  </si>
  <si>
    <t xml:space="preserve">MISIÓN </t>
  </si>
  <si>
    <t>Estudiantes esperados a 2015</t>
  </si>
  <si>
    <t>Pregrado</t>
  </si>
  <si>
    <t>Maestría</t>
  </si>
  <si>
    <t>Doctorado</t>
  </si>
  <si>
    <t>Profesores esperados a 2015</t>
  </si>
  <si>
    <t>Planta</t>
  </si>
  <si>
    <t>Cátedra</t>
  </si>
  <si>
    <t>Programas ofrecidos esperados a 2015</t>
  </si>
  <si>
    <t>Proporción de estudiantes extranjeros esperados a 2015 (%)</t>
  </si>
  <si>
    <t>Proporción de Profesores Internaciones a 2015 (%)</t>
  </si>
  <si>
    <t>VALORES</t>
  </si>
  <si>
    <t>1.3.1</t>
  </si>
  <si>
    <t>1.3.2</t>
  </si>
  <si>
    <t>2.2.1</t>
  </si>
  <si>
    <t>2.2.2</t>
  </si>
  <si>
    <t>2.2.3</t>
  </si>
  <si>
    <t>TOTAL PLAN</t>
  </si>
  <si>
    <t>1.2</t>
  </si>
  <si>
    <t>3.1.1</t>
  </si>
  <si>
    <t>3.1.2</t>
  </si>
  <si>
    <t>5.1.1</t>
  </si>
  <si>
    <t>3.1.3</t>
  </si>
  <si>
    <t>3.2.1</t>
  </si>
  <si>
    <t>4.1</t>
  </si>
  <si>
    <t>4.1.1</t>
  </si>
  <si>
    <t>4.1.2</t>
  </si>
  <si>
    <t>4.2.3</t>
  </si>
  <si>
    <t>4.2</t>
  </si>
  <si>
    <t>4.2.1</t>
  </si>
  <si>
    <t>4.2.2</t>
  </si>
  <si>
    <t>4.3.1</t>
  </si>
  <si>
    <t>4.4.1</t>
  </si>
  <si>
    <t>4.4.2</t>
  </si>
  <si>
    <t>5.1.2</t>
  </si>
  <si>
    <t>6.1.1</t>
  </si>
  <si>
    <t>6.1.2</t>
  </si>
  <si>
    <t>Costos de personal</t>
  </si>
  <si>
    <t>Profesores</t>
  </si>
  <si>
    <t>Salarios Profesores</t>
  </si>
  <si>
    <t>Capacitación y desarrollo profesoral (cursos cortos, cursos de verano, incentivos, entre otros)</t>
  </si>
  <si>
    <t>Personal Administrativo</t>
  </si>
  <si>
    <t>Salarios Personal Administrativo</t>
  </si>
  <si>
    <t>Capacitación y desarrollo de personal Administrativo (idiomas, herramientas tecnológicas, entre otros)</t>
  </si>
  <si>
    <t>Otros costos de personal</t>
  </si>
  <si>
    <t>Gastos de viajes, viáticos, alojamiento y manutención</t>
  </si>
  <si>
    <t xml:space="preserve">Costos de recursos </t>
  </si>
  <si>
    <t>Tecnológicos (software, hardware, páginas web, audiovisuales, entre otros)</t>
  </si>
  <si>
    <t>Bibliográficos (libros, suscripciones a revistas y bases de datos)</t>
  </si>
  <si>
    <t>Equipos (laboratorios, talleres, seguridad industrial, entre otros)</t>
  </si>
  <si>
    <t xml:space="preserve">Costos de divulgación </t>
  </si>
  <si>
    <t>Publicidad, propaganda y divulgación</t>
  </si>
  <si>
    <t>Promoción (diseño, edición y distribución de publicidad, entre otros)</t>
  </si>
  <si>
    <t>Eventos (logística)</t>
  </si>
  <si>
    <t>Edición de libros y publicaciones</t>
  </si>
  <si>
    <t>Publicaciones (diseño, edición y distribución, entre otros)</t>
  </si>
  <si>
    <t>Otros costos</t>
  </si>
  <si>
    <t>Número Detallado</t>
  </si>
  <si>
    <t xml:space="preserve"> </t>
  </si>
  <si>
    <t>Consolidar los programas de pregrado y posgrado de la Facultad</t>
  </si>
  <si>
    <t>Diseñar sistemas de evaluación y seguimiento de la estructura curricular de los programas</t>
  </si>
  <si>
    <t>Diseñar, desarrollar e implementar sistemas subjetivos de evaluacion de cursos de docencia y de servicio</t>
  </si>
  <si>
    <t>Evaluar la percepción de los estudiantes y de los profesores en relación con su formación en áreas  y competencias específicas.*</t>
  </si>
  <si>
    <t>Diseñar y ofrecer Maestría en Ciencias</t>
  </si>
  <si>
    <t>Definir las competencias de los estudiantes y los currículos de los programas de posgrado a partir de la experiencia adquirida y estudios de buenas prácticas con los lineamientos de la Facultad.*</t>
  </si>
  <si>
    <t xml:space="preserve">Establecer el proceso de selección y los requisitos para los estudiantes de posgrado.*
</t>
  </si>
  <si>
    <t>Generar mecanismos de divulgación y promoción de los nuevos programas.*</t>
  </si>
  <si>
    <t>1.3</t>
  </si>
  <si>
    <t>Fortalecer y ampliar la formación disciplinar e integral de los programas de la Facultad</t>
  </si>
  <si>
    <t>Incrementar la oferta de los CBU interdepartamentales en el area de ciencia y tecnologia</t>
  </si>
  <si>
    <t>1.4</t>
  </si>
  <si>
    <t>Facilitar la internacionalización en los programas de la Facultad para estudiantes y profesores</t>
  </si>
  <si>
    <t>1.4.1</t>
  </si>
  <si>
    <t>Diseñar e Implementar mecanismos de participación de profesores y estudiantes en eventos científicos nacionales e internacionales</t>
  </si>
  <si>
    <t>1.4.3</t>
  </si>
  <si>
    <t>Diseñar mecanismos que faciliten la realización de escuelas de verano, que cuenten con la participación de los Departamentos de la Facultad</t>
  </si>
  <si>
    <t>Atraer y retener estudiantes de alto nivel académico, generando interés por el estudio de las ciencias</t>
  </si>
  <si>
    <t>2.1</t>
  </si>
  <si>
    <t>Atraer estudiantes de alto nivel académico mediante vínculos con los colegios y mejorando las condiciones de los estudiantes</t>
  </si>
  <si>
    <t>Participar en programas como pequeños científicos</t>
  </si>
  <si>
    <t>2.2</t>
  </si>
  <si>
    <t>Atraer y retener estudiantes regionales y extranjeros</t>
  </si>
  <si>
    <t>Gestionar recursos para aumentar apoyo de las asistencias graduadas</t>
  </si>
  <si>
    <t>2.3</t>
  </si>
  <si>
    <t>Aumentar el numero de estudiantes en los programas de la Facultad</t>
  </si>
  <si>
    <t>2.3.1</t>
  </si>
  <si>
    <t>Promocionar los dobles programas y opciones en los cursos existentes de la Facultad de Ciencias</t>
  </si>
  <si>
    <t>Estimular una estructura de investigación que garantice aprovechar nuestras ventajas competitivas y el reconocimiento cientifico de la comunidad internacional</t>
  </si>
  <si>
    <t>3.1</t>
  </si>
  <si>
    <t>Vincular a la Facultad de Ciencias en proyectos de impacto para el país, para aplicar el conocimiento en la solucion de problemas.</t>
  </si>
  <si>
    <t>Promover la investigación de impacto para el país a través de convocatorias financiadas parcialmente por la Facultad</t>
  </si>
  <si>
    <t>Establecer convenios que vinculen la comunidad académica internacional, al gobierno,  y a entidades privadas en la creación, financiación y definición de proyectos .</t>
  </si>
  <si>
    <t>Acercarse y establecer proyectos con agremiaciones  y asociaciones para definir el papel que puede jugar la investigación en ciencias en éstos sectores</t>
  </si>
  <si>
    <t>3.2</t>
  </si>
  <si>
    <t>Promover la interacción científica  con investigadores de otras áreas del conocimiento</t>
  </si>
  <si>
    <t>Diseñar el Centro de investigaciones en biomédicas</t>
  </si>
  <si>
    <t>3.3</t>
  </si>
  <si>
    <t>Estimular las Publicaciones</t>
  </si>
  <si>
    <t>3.3.2</t>
  </si>
  <si>
    <t>Definir e implementar estímulos para apoyar la producción de libros  y textos</t>
  </si>
  <si>
    <t xml:space="preserve">Reestructurar la gestión y función administrativa de la Facultad </t>
  </si>
  <si>
    <t>Creación de Oficina de Investigaciones</t>
  </si>
  <si>
    <t>Definir políticas, funciones y estrategia de la Oficina de Investigaciones</t>
  </si>
  <si>
    <t>Contratar el personal requerido para suplir  la estructura administrativa y de apoyo de la Oficina</t>
  </si>
  <si>
    <t>Fortalecer y optimizar la estructura administrativa de la Facultad</t>
  </si>
  <si>
    <t>Concluir el estudio que viene desarrollando la Universidad a través de la Oficina de Planeación</t>
  </si>
  <si>
    <t xml:space="preserve">Garantizar el personal óptimo necesario para apoyar los procesos de la Facultad </t>
  </si>
  <si>
    <t>Diseñar planes de capacitación para asegurar competencias en el personal.</t>
  </si>
  <si>
    <t>4.2.4</t>
  </si>
  <si>
    <t>Establecer espacios (para el desarrollo de actividades complementarias) que favorezcan el ambiente laboral de la Facultad</t>
  </si>
  <si>
    <t>4.3</t>
  </si>
  <si>
    <t>Revisar la escala salarial de los profesores</t>
  </si>
  <si>
    <t>Proponer ante la Vicerrectoría Académica  la estructura salarial de los profesores</t>
  </si>
  <si>
    <t>4.4</t>
  </si>
  <si>
    <t>Apoyar a los Directores en la creación de  condiciones de infraestructura de la Facultad que respondan a sus necesidades de crecimiento .</t>
  </si>
  <si>
    <t>Gestionar la dotacion de los equipos necesarios de los laboratorios de la Facultad</t>
  </si>
  <si>
    <t>Contar con espacios indicados para el desarrollo de las  funciones</t>
  </si>
  <si>
    <t>Facilitar la sostenibilidad financiera en el largo plazo y diversificar los ingresos de la Facultad</t>
  </si>
  <si>
    <t>5.1</t>
  </si>
  <si>
    <t>Optimizar la gestión financiera de la Facultad</t>
  </si>
  <si>
    <t>Diseñar esquemas de consecución de recursos con organismos internacionales, el sector privado, el gobierno y personas naturales.</t>
  </si>
  <si>
    <t>Optimizar el uso de los recursos de matrícula de posgrados</t>
  </si>
  <si>
    <t>5.1.3</t>
  </si>
  <si>
    <t>Definir un modelo de distribución de ingresos internos de la Facultad de Ciencias</t>
  </si>
  <si>
    <t>5.2</t>
  </si>
  <si>
    <t>Creación de fondos financieros</t>
  </si>
  <si>
    <t>5.2.1</t>
  </si>
  <si>
    <t>Crear fondo de arranque para profesores nuevos.</t>
  </si>
  <si>
    <t>5.2.2</t>
  </si>
  <si>
    <t>Crear fondo de mantenimiento y reposicion de equipos de investigación.</t>
  </si>
  <si>
    <t>5.2.3</t>
  </si>
  <si>
    <t>Crear fondo para promever la actividad de investigación interdepartamental</t>
  </si>
  <si>
    <t>5.3</t>
  </si>
  <si>
    <t>Fortalecer los recursos de investigación y tecnología en la Facultad</t>
  </si>
  <si>
    <t>5.3.1</t>
  </si>
  <si>
    <t>5.3.2</t>
  </si>
  <si>
    <t>Implementar un repositorio de elementos de investigación</t>
  </si>
  <si>
    <t>5.3.3</t>
  </si>
  <si>
    <t>Centralizar la estructura de tecnologías de información de la Facultad de Ciencias.</t>
  </si>
  <si>
    <t>5.3.4</t>
  </si>
  <si>
    <t>Invertir en infraestructura de tecnología</t>
  </si>
  <si>
    <t>Divulgar el conocimiento cientifico a todos los niveles de manera continua y articipar en la construcción de las  políticas en Ciencias en el País</t>
  </si>
  <si>
    <t>6.1</t>
  </si>
  <si>
    <t>Apoyar la realizacion de eventos cientificos en la universidad con la participacion de conferencistas internacionales</t>
  </si>
  <si>
    <t xml:space="preserve">Hacer eventos de ciencia para promocionar nuestros programas </t>
  </si>
  <si>
    <t>Diseñar mecanismos para facilitar traer profesores internacionales a nuestros eventos</t>
  </si>
  <si>
    <t>6.2</t>
  </si>
  <si>
    <t>Fortalecer las publicaciones seriadas y la presencia virtual de la Facultad</t>
  </si>
  <si>
    <t>6.2.1</t>
  </si>
  <si>
    <t>Aumentar la periodicidad y circulación de la  revista HipOtesis</t>
  </si>
  <si>
    <t>6.2.2</t>
  </si>
  <si>
    <t>Aumentar la periodicidad y circulación de la revista EMA</t>
  </si>
  <si>
    <t>6.2.3</t>
  </si>
  <si>
    <t>Unificar diseños y contenidos de las páginas web de la Facultad de Ciencias: Departamentos, laboratorios, centros de investigación.</t>
  </si>
  <si>
    <t>6.2.4</t>
  </si>
  <si>
    <t>Tener versión virtual de las revistas HipOtesis y EMA</t>
  </si>
  <si>
    <t>6.4</t>
  </si>
  <si>
    <t>Construir vinculos y mecanismos con entidades para participar en la definicion de politicas publicas en ciencias</t>
  </si>
  <si>
    <t>6.4.1</t>
  </si>
  <si>
    <t>Participar en comités científicos (Colciencias, Ministerios - Educación, Minas, Medio Ambiente)</t>
  </si>
  <si>
    <t>6.4.2</t>
  </si>
  <si>
    <t xml:space="preserve">Participar activamente en asociaciones que representan las disciplinas de la Facultad. </t>
  </si>
  <si>
    <t>1.4.2</t>
  </si>
  <si>
    <t>2.3.2</t>
  </si>
  <si>
    <t>2.3.3</t>
  </si>
  <si>
    <t>3.3.1</t>
  </si>
  <si>
    <t>6.3.1</t>
  </si>
  <si>
    <t>Diseñar e implemetar sistemas objetivos para evaluar el aprendizaje en cursos de servicio de Ciencias</t>
  </si>
  <si>
    <t>Crear e invitar a eventos como feria de la ciencia, teatro químico, semana de la ciencia</t>
  </si>
  <si>
    <t>Gestionar la remodelacion, construccion y dotacion a estandares internacionales de los equipos necesarios para fortalecer los postgrados de los laboratorios de la Facultad</t>
  </si>
  <si>
    <t>x</t>
  </si>
  <si>
    <t>Equipos de Laboratorio</t>
  </si>
  <si>
    <t>Recursos Bibliográficos</t>
  </si>
  <si>
    <t>Recursos Tecnológicos</t>
  </si>
  <si>
    <t>Planta Física</t>
  </si>
  <si>
    <t>Salones Generales</t>
  </si>
  <si>
    <t>Ene-01-2011</t>
  </si>
  <si>
    <t>Dic-31-2015</t>
  </si>
  <si>
    <t>Director del Departamento.</t>
  </si>
  <si>
    <t>Coordinador de Pregrado, Director de Maestría y Doctorado, Comité de Pregrado, Comité de Posgrado.</t>
  </si>
  <si>
    <t>Entrega semestral al comité de pregrado por parte de los profesores, de los programas de los cursos.</t>
  </si>
  <si>
    <t>Actas de Comité de Pregrado.</t>
  </si>
  <si>
    <t>Coordinador de Pregrado, Comité de Pregrado.</t>
  </si>
  <si>
    <t>Informe anual del Comité de Pregrado sobre los cambios efectuados a los programas.</t>
  </si>
  <si>
    <t>Actualización de la totalidad de los programas de los cursos.</t>
  </si>
  <si>
    <t>Coordinador de Pregrado, Director de Maestría y Doctorado, profesores del Departamento.</t>
  </si>
  <si>
    <t>Informe anual de los Coordinadores al Consejo de Departamento sobre el estado de los programas curriculares.</t>
  </si>
  <si>
    <t>ECAES, estadísticas de aceptación de nuestros egresados en programas en otras universidades. Acreditación nacional del programa de doctorado.</t>
  </si>
  <si>
    <t>Mantener estándares actualizados, de la más alta calidad en los programas curriculares.</t>
  </si>
  <si>
    <t>Coordinador de Pregrado, Director de Maestría y Doctorado.</t>
  </si>
  <si>
    <t>Encuestas a estudiantes, exámenes finales comunes, índices de mortalidad, estudios comparativos de evaluaciones.</t>
  </si>
  <si>
    <t>Mejoramiento de los resultados en:
- Exámenes del ciclo básico.
- ECAES.
- Encuestas.
- Examen de Conocimientos.</t>
  </si>
  <si>
    <t>Tener un sistema que asegure la calidad de los cursos.</t>
  </si>
  <si>
    <t>Coordinador de Pregrado.</t>
  </si>
  <si>
    <t>Mostrar los resultados ante el Consejo de Departamento.</t>
  </si>
  <si>
    <t>Porcentaje de mortalidad y deserción en los cursos.</t>
  </si>
  <si>
    <t xml:space="preserve">Mejorar continuamente el nivel de aprendizaje de los estudiantes,  basados en los resultados de las estadísticas. </t>
  </si>
  <si>
    <t>Evaluación de las distintas metodologías. Reportes de actividades desarrolladas con el CIFE.</t>
  </si>
  <si>
    <t>Mejoramiento de los resultados en:
- Exámenes del ciclo básico.
- ECAES.
- Encuestas.
- Examen de ingreso al posgrado.</t>
  </si>
  <si>
    <t>Mejorar el nivel de aprendizaje de los estudiantes en nuestros cursos.</t>
  </si>
  <si>
    <t>1.2.4</t>
  </si>
  <si>
    <t>Comparación de resultados de exámenes similares efectuados en distintos periodos.</t>
  </si>
  <si>
    <t>Correlaciones con resultados posteriores.</t>
  </si>
  <si>
    <t>Tener un banco de problemas revisado y actualizado que permita hacer comparaciones entre distintas metodologías de enseñanza.</t>
  </si>
  <si>
    <t>1.2.5</t>
  </si>
  <si>
    <t>Análisis periódico de los resultados obtenidos por nuestros egresados en exámenes externos.</t>
  </si>
  <si>
    <t>Resultados en ECAES, Major Field Test, GRE, EXADEP.</t>
  </si>
  <si>
    <t>Ubicar a nuestros egresados en posiciones destacadas internacionalmente.</t>
  </si>
  <si>
    <t>Coordinador de Pregrado, profesores del Departamento.</t>
  </si>
  <si>
    <t>Cuantificar el número de cursos creados en SICUA y el número de cursos con uso de herramientas computacionales.</t>
  </si>
  <si>
    <t>Número de cursos activos en diferentes plataformas; por ejemplo, SICUA PLUS.</t>
  </si>
  <si>
    <t xml:space="preserve">Alcanzar un mínimo de 30% de cursos que incluyan en sus programas simulaciones computacionales, uso de sicuaplus y de recursos virtuales. </t>
  </si>
  <si>
    <t>Coordinador de Pregrado, Coordinador de Laboratorios de Docencia, asistente de experimentos demostrativos.</t>
  </si>
  <si>
    <t>Presentación en las clases de experimentos demostrativos que complementen el proceso de aprendizaje.</t>
  </si>
  <si>
    <t>Informe del asistente de experimentos demostrativos al Comité de Pregrado.</t>
  </si>
  <si>
    <t>Desarrollar y crear nuevos experimentos demostrativos y usar tecnologías avanzadas para enseñanza de la física.</t>
  </si>
  <si>
    <t>Vicerrectoría de Investigaciones, Director del Departamento.</t>
  </si>
  <si>
    <t>Director de Maestría y Doctorado.</t>
  </si>
  <si>
    <t>Contratos que aseguren su sostenimiento y pago de matrícula anual.</t>
  </si>
  <si>
    <t>Número de estudiantes nuevos de doctorado financiados.</t>
  </si>
  <si>
    <t>Asegurar financiación de mínimo 30 estudiantes de doctorado, con salarios competitivos.</t>
  </si>
  <si>
    <t xml:space="preserve"> Vicerrectoría de Investigaciones, Profesores investigadores, Director del Departamento.</t>
  </si>
  <si>
    <t>Director de Maestría y Doctorado, Rectoría.</t>
  </si>
  <si>
    <t>Evaluar si los equipos cumplen con las necesidades de los grupos de investigación.</t>
  </si>
  <si>
    <t>Número de proyectos de investigación, publicaciones y número de estudiantes de doctorado que hacen uso de estos equipos.</t>
  </si>
  <si>
    <t>Los investigadores deben contar con los equipos necesarios para realizar investigación de frontera.</t>
  </si>
  <si>
    <t>Director departamento</t>
  </si>
  <si>
    <t>coordinador de computo, Ingniero de computo</t>
  </si>
  <si>
    <t>evaluar el uso del data center en comparación con su capacidad.</t>
  </si>
  <si>
    <t>Inventario de PCs de investigadores. Estadisticas de uso del data center.</t>
  </si>
  <si>
    <t>Garantizar  los recursos computacionales de nuestro data center que se requieren para investigación</t>
  </si>
  <si>
    <t>1.4.4</t>
  </si>
  <si>
    <t>Vicerrectoría de Investigaciones, Rectoría, Facultad de Ciencias, Director del Departamento.</t>
  </si>
  <si>
    <t>Profesores Investigadores, Director de Maestría y Doctorado.</t>
  </si>
  <si>
    <t xml:space="preserve">Verificar si se cumplen las necesidades en cuanto a equipos robustos, de los grupos de investigación. </t>
  </si>
  <si>
    <t>Número de estudiantes de doctorado y profesores usando los equipos.</t>
  </si>
  <si>
    <t>Los investigadores y sus estudiantes de doctorado cuentan con los equipos necesarios para realizar investigación de frontera.</t>
  </si>
  <si>
    <t>1.4.5</t>
  </si>
  <si>
    <t>Directores de Tesis, Facultad de Ciencias.</t>
  </si>
  <si>
    <t>Profesores Investigadores.</t>
  </si>
  <si>
    <t>Cuantificar el número de seminarios y estudiantes que asisten y hacen presentaciones en los seminarios de investigación.</t>
  </si>
  <si>
    <t>Registro semestral de charlas dadas por estudiantes en los seminarios de los grupos de investigacion, y de participación en congresos.</t>
  </si>
  <si>
    <t xml:space="preserve">Cada grupo de investigación debe tener un seminario de investigación por semana y los estudiantes asisten regularmente a los seminarios y actividades del grupo. El grupo también fomenta la participación de sus estudiantes en eventos científicos. </t>
  </si>
  <si>
    <t>1.4.6</t>
  </si>
  <si>
    <t>Dic-31-2012</t>
  </si>
  <si>
    <t>Director de Maestría y Doctorado, Director del Departamento.</t>
  </si>
  <si>
    <t>Comité de Posgrado.</t>
  </si>
  <si>
    <t>Record académico, cartas de referencia y puntajes en examen de admisión.</t>
  </si>
  <si>
    <t>Porcentaje de estudiantes admitidos.</t>
  </si>
  <si>
    <t>Seleccionar los mejores estudiantes para nuestros programas de posgrado con el fin de mantener un alto estándar académico.</t>
  </si>
  <si>
    <t>1.4.7</t>
  </si>
  <si>
    <t>Director de Maestría y Doctorado, Facultad de Ciencias, Vicerrectoría de Investigaciones.</t>
  </si>
  <si>
    <t xml:space="preserve">Avances en  la presentación de propuestas por parte del Departamento de Física, la Decanatura de Ciencias y la Vicerrectoría de Investigaciones. </t>
  </si>
  <si>
    <t>Número de programas de doctorado interdisciplinarios.</t>
  </si>
  <si>
    <t>Presentar a la Universidad por lo menos un proyecto de un programa interdisciplinario de doctorado, debidamente reglamentado.</t>
  </si>
  <si>
    <t>1.5.1</t>
  </si>
  <si>
    <t>Profesores del Departamento.</t>
  </si>
  <si>
    <t>Agendas de eventos cientificos organizados. Paginas web de los eventos. Lista de participantes.</t>
  </si>
  <si>
    <t>Número de eventos cientificos organizados por profesores del departamento.</t>
  </si>
  <si>
    <t>Tener por lo menos tres eventos cientificos organizados por los profesores del Departamento.</t>
  </si>
  <si>
    <t>1.5.2</t>
  </si>
  <si>
    <t>Vicerrectoría de Investigaciones, Facultad de Ciencias.</t>
  </si>
  <si>
    <t>Número de visitas de profesores a centros de investigación y participación en eventos científicos.</t>
  </si>
  <si>
    <t>Numero de pasantías - visitas realizadas y participaciones activas en eventos científicos.</t>
  </si>
  <si>
    <t>Cada profesor viaja por lo menos una vez al año a centros de investigación o eventos científicos de carácter internacional. Tener por lo menos 4 invitados internacionales al coloquio de Física.</t>
  </si>
  <si>
    <t>1.5.3</t>
  </si>
  <si>
    <t>Número de convenios firmados</t>
  </si>
  <si>
    <t>Número de estudiantes participando del convenio.</t>
  </si>
  <si>
    <t>Fortalecer nuestros programas académicos a través de convenios con universidades reconocidas internacionalmente.</t>
  </si>
  <si>
    <t>Director del Departamento</t>
  </si>
  <si>
    <t>Exámenes finales comunes, índices de mortalidad,  estudios comparativos de evaluaciones, otro tipo de encuestas.</t>
  </si>
  <si>
    <t xml:space="preserve">Garantizar un estándar de calidad de enseñanza. Facilitar el apoyo necesario para mejorar la docencia. </t>
  </si>
  <si>
    <t>Análisis periódico del cumplimiento de las actividades docentes por parte de nuestros asistentes graduados.</t>
  </si>
  <si>
    <t>Encuestas de cursos.</t>
  </si>
  <si>
    <t>Mejorar la docencia impartida por nuestros asistentes graduados.</t>
  </si>
  <si>
    <t>Consejo del Departamento.</t>
  </si>
  <si>
    <t>Contratos firmados y convocatoria internacional.</t>
  </si>
  <si>
    <t>Número de nuevos profesores investigadores contratados, con experiencia posdoctoral internacional y número de candidatos entrevistados de manera personal.</t>
  </si>
  <si>
    <t>Todas las nuevas contrataciones son de investigadores con experiencia posdoctoral.</t>
  </si>
  <si>
    <t>Encuesta a profesores.</t>
  </si>
  <si>
    <t>Tiempo empleado en pasar propuestas de investigación. Documentos generados para la orientación a nuevos profesores.</t>
  </si>
  <si>
    <t>Los profesores nuevos cuentan con ayuda para su traslado a la Universidad y documentos guías para su establecimiento en la Universidad y en la ciudad.</t>
  </si>
  <si>
    <t>Profesores investigadores, Director del Departamento.</t>
  </si>
  <si>
    <t>Cuantificar el número de postdocs contratados, profesores que visitan y hacen sus pasantías en el Departamento, y que aportan conocimiento científico.</t>
  </si>
  <si>
    <t>Numero de postdocs y profesores invitados.</t>
  </si>
  <si>
    <t xml:space="preserve"> Los profesores mantienen programas de investigación solidos con  fuertes conexiones científicas. Lo que permite el intercambio de investigadores y la vinculación de postdocs. Mínimo 2 postdcos y 1 profesor visitante por año.</t>
  </si>
  <si>
    <t>2.2.4</t>
  </si>
  <si>
    <t>Comité de Selección Profesoral.</t>
  </si>
  <si>
    <t>Contratos firmados y actas del proceso llevado a cabo por el Comité de Selección.</t>
  </si>
  <si>
    <t>Incremento del número de profesores en éstas áreas.</t>
  </si>
  <si>
    <t xml:space="preserve">Alcanzar el número óptimo de integrantes para cada grupo, de manera que se satisfagan las necesidades de investigación.  </t>
  </si>
  <si>
    <t>Comité de evaluacion de desempeño.</t>
  </si>
  <si>
    <t>Estadísticas de los resultados de los exámenes finales. Encuestas y entrevistas con el Comité de Evaluación de desempeño profesoral.</t>
  </si>
  <si>
    <t>Asegurar un estándar mínimo de calidad de docencia.</t>
  </si>
  <si>
    <t>Copia de programa del curso, exámenes parciales y finales.</t>
  </si>
  <si>
    <t>Encuesta a profesores y estudiantes sobre el curso dictado.</t>
  </si>
  <si>
    <t>Mantener programas mínimos que sean homologables a nivel internacional, independientemente del profesor que los dicte.</t>
  </si>
  <si>
    <t>Encuestas y entrevistas con el Comité de Evaluación de desempeño profesoral.</t>
  </si>
  <si>
    <t>Ningún profesor del Departamento está por debajo de una desviación estándar del promedio de la encuesta realizada por la Universidad.</t>
  </si>
  <si>
    <t>Profesores investigadores, Director de Maestría y Doctorado, Facultad de Ciencias.</t>
  </si>
  <si>
    <t>Cuantificar el número de proyectos que presentan los profesores a entidades financiadoras externas.</t>
  </si>
  <si>
    <t>Recursos externos al Departamento obtenidos y colaboraciones existentes.</t>
  </si>
  <si>
    <t>Los investigadores deben tener un fuerte apoyo administrativo y mantener conexiones científicas para por lo menos, tener un proyecto de investigación anual funcionando.</t>
  </si>
  <si>
    <t>Dic-31-2011</t>
  </si>
  <si>
    <t>Coordinador Laboratorios  de Investigación.</t>
  </si>
  <si>
    <t>Lista de investigadores a los cuales se les provee el servicio.</t>
  </si>
  <si>
    <t>Numero de galones de Helio y Nitrógeno líquido suministrados.</t>
  </si>
  <si>
    <t>Satisfacer las necesidades de Nitrógeno y Helio líquido del Deparatmento de Física y otros departamentos de la Universidad.</t>
  </si>
  <si>
    <t>Comité de Evaluación Profesoral del Departamento.</t>
  </si>
  <si>
    <t>Cada profesor se compromete a entregar al Director de Departamento, un informe de autoevaluación y desarrollo profesional sobre sus actividades de investigación.</t>
  </si>
  <si>
    <t>Entrega periódica de los informes al Comité de Evaluación, acta de evaluación de pares.</t>
  </si>
  <si>
    <t xml:space="preserve">Cumplimiento de los objetivos propuestos en el plan de trabajo. </t>
  </si>
  <si>
    <t>3.1.4</t>
  </si>
  <si>
    <t>Profesores investigadores, Director de Maestría y Doctorado.</t>
  </si>
  <si>
    <t>Lista de incentivos generados.</t>
  </si>
  <si>
    <t>Número de aplicaciones de científicos de alto nivel.</t>
  </si>
  <si>
    <t>Mejorar la productividad del Departamento.</t>
  </si>
  <si>
    <t>3.1.5</t>
  </si>
  <si>
    <t>Lista de colaboraciones.</t>
  </si>
  <si>
    <t>Número de profesores participando en colaboraciones internacionales.</t>
  </si>
  <si>
    <t>Mejorar la productividad científica y visibilidad del Departamento.</t>
  </si>
  <si>
    <t>Coordinador Laboratorios  de Investigación.</t>
  </si>
  <si>
    <t>Equipos comprados para los laboratorios de investigación.</t>
  </si>
  <si>
    <t xml:space="preserve"> Acortar el tiempo en el que los profesores nuevos empiezan a investigar y hacen su primera publicación desde la universidad. </t>
  </si>
  <si>
    <t>3.2.2</t>
  </si>
  <si>
    <t>Lista de instituciones financiando proyectos de investigación.</t>
  </si>
  <si>
    <t>Número de proyectos de investigación financiados.</t>
  </si>
  <si>
    <t>Fortalecer la financiación para la investigación en el Departamento.</t>
  </si>
  <si>
    <t>Director del Departamento, Profesores.</t>
  </si>
  <si>
    <t>Verificar las políticas de incentivos y tipos de apoyo que el Departamento da para la producción de material docente.</t>
  </si>
  <si>
    <t>Número de libros y documentos generados por el Departamento.</t>
  </si>
  <si>
    <t>Mejorar visibilidad academica, generando material academico popio.</t>
  </si>
  <si>
    <t>Número de científicos de alto nivel contratados.</t>
  </si>
  <si>
    <t>Citaciones ISI de publicaciones del Departamento. Número de eventos cientificos con participación de profesores del departamento. Eventos cientificos realizados por el Departamento.</t>
  </si>
  <si>
    <t>Hacer atractivo al Departamento para científicos de alto nivel.</t>
  </si>
  <si>
    <t>Coordinador de Pregrado, coordinador de posgrado.</t>
  </si>
  <si>
    <t>Promedios ponderados de estudiantes que se graduan. Evaluaciones de jurados de tesis.</t>
  </si>
  <si>
    <t>Atraer estudiantes de alta calidad.</t>
  </si>
  <si>
    <t>Director de departamento</t>
  </si>
  <si>
    <t>Coordinador de posgrado</t>
  </si>
  <si>
    <t>Incremento en estudiantes aplicando a nuestros programas de posgrado.</t>
  </si>
  <si>
    <t>Datos por semestre de numero de estudiantes solicitando admisión .</t>
  </si>
  <si>
    <t>Atraer estudiantes con alto desempeño academico y de investigación.</t>
  </si>
  <si>
    <t>Facultad de Ciencias, Director del Departamento.</t>
  </si>
  <si>
    <t>Cursos de capacitación tomados por el personal administrativo y de apoyo.</t>
  </si>
  <si>
    <t>Capacitar al personal administrativo y de apoyo del Departamento para que realicen sus labores de manera más eficiente.</t>
  </si>
  <si>
    <t>Coordinador de pregrado, posgrado y computo</t>
  </si>
  <si>
    <t>Lista de  responsables de los diferentes procesos. Lista de funciones del personal de apoyo.</t>
  </si>
  <si>
    <t>Mejorar nuestros procesos y controles</t>
  </si>
  <si>
    <t>Coordinador de Laboratorios de Docencia, Coordinador de Laboratorios de Investigación.</t>
  </si>
  <si>
    <t>Base de datos de equipos para investigación, y de su uso por parte de los estudiantes.</t>
  </si>
  <si>
    <t xml:space="preserve"> Contar con los equipos necesarios para la realización de las actividades de docencia e investigación en los laboratorios.</t>
  </si>
  <si>
    <t>Flujo de inventarios en el depósito de suministros.</t>
  </si>
  <si>
    <t>Lista de suministros que se pueden adquirir en el depósito.</t>
  </si>
  <si>
    <t>Agilizar la adquisición de suministros de uso común en los laboratorios de investigación.</t>
  </si>
  <si>
    <t>Coordinadores de Cómputo y de Biblioteca del Departamento, Director del Departamento.</t>
  </si>
  <si>
    <t>Base de datos de suscripciones revistas, libros y equipos de cómputo.</t>
  </si>
  <si>
    <t>Número de suscripciones a revistas, número de libros, capacidad computacional del Departamento.</t>
  </si>
  <si>
    <t>Mantener una apropiada accesibilidad  a  la bibliografia necesitada por nuestros profesores y estudiantes.</t>
  </si>
  <si>
    <t>5.2.4</t>
  </si>
  <si>
    <t>Coordinador de computo. Ingeniero de Computo.</t>
  </si>
  <si>
    <t>Director departamento.</t>
  </si>
  <si>
    <t>Inventario de equipos con su correspondiente antigüedad.</t>
  </si>
  <si>
    <t>Permitir el uso óptimo de nuestra sala de computo a profesores y estudiantes.</t>
  </si>
  <si>
    <t>5.2.5</t>
  </si>
  <si>
    <t>Inventario de PCs de oficina del departamento.</t>
  </si>
  <si>
    <t>Número de equipos disponibles versus numero de estudiantes + profesores + personal de apoyo.</t>
  </si>
  <si>
    <t>Permitir el óptimo funcionamiento del departamento.</t>
  </si>
  <si>
    <t>Director del Departamento, Director de Maestrías y Doctorados.</t>
  </si>
  <si>
    <t>Profesores Investigadores, Vicerrectoría de Investigaciones.</t>
  </si>
  <si>
    <t>Cuantificar el número de actividades realizadas anualmente para captar estudiantes y el impacto de estas actividades sobre el número de estudiantes que se reciben anualmente.</t>
  </si>
  <si>
    <t>Factor de impacto de actividades para captación de estudiantes.</t>
  </si>
  <si>
    <t>Tener mínimo 30% de estudiantes de doctorado de fuera de Bogotá.</t>
  </si>
  <si>
    <t>Profesores, Director del Departamento.</t>
  </si>
  <si>
    <t>Coordinador de Pregrado, Director de Maestria y Doctorado.</t>
  </si>
  <si>
    <t>Nivel de exposición y reconocimiento logrado ante la comunidad.</t>
  </si>
  <si>
    <t>Acercarse a la comunidad uniandina y comunidad en general. Dar a conocer las labores del Departamento de Física.</t>
  </si>
  <si>
    <t>Coordinador de Cómputo.</t>
  </si>
  <si>
    <t>Nueva página Web.</t>
  </si>
  <si>
    <t>Contar con una página Web que esté actualizada y que la información del Departamento sea de fácil acceso.</t>
  </si>
  <si>
    <t>Profesor encargado del coloquio.</t>
  </si>
  <si>
    <t>Listas de programación semestral de coloquios.</t>
  </si>
  <si>
    <t>Número de conferencistas externos invitados.</t>
  </si>
  <si>
    <t>Traer por lo menos 10 científicos de renombre internacional.</t>
  </si>
  <si>
    <t>Profesores Investigadores, Director de Maestría y Doctorado, Vicerrectoría de Investigaciones, Rectoría.</t>
  </si>
  <si>
    <t>Resultados de proyectos que vinculan  otras universidades y empresas.</t>
  </si>
  <si>
    <t>Número de empresas y universidades vinculadas.</t>
  </si>
  <si>
    <t>Realizar como mínimo un evento del Departamento, invitando empresas.</t>
  </si>
  <si>
    <t>Revisión permanente de la pagina Web y cuantificación del número de visitas que hacen los egresados al Departamento de Física.</t>
  </si>
  <si>
    <t>Numero de visitas, convenios, proyectos, intercambios y colaboraciones.</t>
  </si>
  <si>
    <t>Mantener contacto científico permanente con nuestros egresados.</t>
  </si>
  <si>
    <t>Fortalecer y posicionar los programas de pregrado y posgrado con énfasis en el doctorado, dentro del contexto nacional e internacional</t>
  </si>
  <si>
    <t>Comparar permanentemente los programas curriculares del Departamento con los establecidos a nivel internacional y garantizar su nivel de actualización.</t>
  </si>
  <si>
    <t>Desarrollar y aplicar mecanismos que mejoren la calidad de la enseñanza que imparte el Departamento.</t>
  </si>
  <si>
    <t>Usar mecanismos de evaluación externos al Departamento,  con el fin de establecer una escala de comparación de nuestros estudiantes con estudiantes de otras instituciones.</t>
  </si>
  <si>
    <t>Fomentar en los estudiantes el uso de herramientas computacionales y cursos virtuales.</t>
  </si>
  <si>
    <t>Mantener adecuadamente el desarrollo de experimentos demostrativos, así como permitir la innovación en nuevas formas de enseñanza con tecnologías avanzadas.</t>
  </si>
  <si>
    <t xml:space="preserve">Obtener los recursos financieros necesarios para equipos de investigación en física experimental. </t>
  </si>
  <si>
    <t xml:space="preserve">Adquirir los equipos robustos para la investigación llevada a cabo por los estudiantes de doctorado. </t>
  </si>
  <si>
    <t>Fomentar, gestionar y reglamentar el desarrollo de programas doctorales interdisciplinarios.</t>
  </si>
  <si>
    <t>1.5</t>
  </si>
  <si>
    <t>Diseñar mecanismos de evaluación en la docencia de los profesores, complementarios a las encuestas que contestan los estudiantes.</t>
  </si>
  <si>
    <t>Facilitar la llegada de los nuevos profesores al Departamento con ayuda para su traslado a la Universidad y documentos guías para su establecimiento en la Universidad y en la ciudad.</t>
  </si>
  <si>
    <t>Evaluar anualmente el desempeño de los profesores en las actividades de docencia.</t>
  </si>
  <si>
    <t>Apoyar y fomentar mecanismos de ayuda para profesores que deban mejorar sus actividades docentes.</t>
  </si>
  <si>
    <t>Facilitar y apoyar la presentación de propuestas de investigación de los profesores investigadores del Departamento y contribuir con contrapartidas.</t>
  </si>
  <si>
    <t>Mejorar la visibilidad del Departamento en investigación.</t>
  </si>
  <si>
    <t>Lograr una efectividad administrativa</t>
  </si>
  <si>
    <t>Hacer invitaciones continuas a científicos destacados internacionalmente, al coloquio divulgativo del Departamento.</t>
  </si>
  <si>
    <t>Establecer una comunicación más continua y directa con los egresados.</t>
  </si>
  <si>
    <t>Fortalecer nuestros programas académicos del pregrado y posgrado, de modo que cumplan estándares internacionales.</t>
  </si>
  <si>
    <t>Estandarización de los programas de los cursos ofrecidos a los estudiantes de pregrado y posgrado.</t>
  </si>
  <si>
    <t>Hacer una revisión periódica de nuestros programas de cursos de servicio.</t>
  </si>
  <si>
    <t>Implementar un sistema de evaluación del aprendizaje de los programas y perfeccionar continuamente nuestros métodos de enseñanza.</t>
  </si>
  <si>
    <t>Recolectar datos y establecer las correlaciones existentes sobre las notas finales que han obtenido los estudiantes, para evaluar nuestra docencia.</t>
  </si>
  <si>
    <t xml:space="preserve"> Colaborar con el CIFE en el desarrollo e implementación de ayudas y métodos de enseñanza.</t>
  </si>
  <si>
    <t>Mejorar el diseño de exámenes finales para que permitan evaluar, de manera más confiable, el nivel de aprendizaje en los cursos.</t>
  </si>
  <si>
    <t>Promover el uso de metodologías docentes innovadoras que promuevan el aprendizaje autónomo.</t>
  </si>
  <si>
    <t xml:space="preserve"> Consolidar y mejorar las condiciones del programa de doctorado.</t>
  </si>
  <si>
    <t>Ampliar el esquema de financiación ofrecido por la universidad al programa doctoral (becas, intercambios, movilidad).</t>
  </si>
  <si>
    <t>Mantener la capacidad computacional del departamento necesaria para sus actividades de investigación.</t>
  </si>
  <si>
    <t>Fomentar la asistencia a seminarios de investigación y congresos, y una participación más activa por parte de los estudiantes en actividades de investigación.</t>
  </si>
  <si>
    <t>Revisar y mejorar los procesos de admisión al posgrado.</t>
  </si>
  <si>
    <t>Facilitar la internacionalización en la oferta de programas.</t>
  </si>
  <si>
    <t>Fomentar la realización de escuelas de verano y eventos cientificos nacionales e internacionales organizados por profesores del departamento.</t>
  </si>
  <si>
    <t>Crear políticas de movilidad internacional, para traer profesores invitados al departamento y permitir a nuestros profesores presentar sus trabajos de investigación.</t>
  </si>
  <si>
    <t>Promover el desarrollo de convenios que fortalezcan nuestras actividades academicas y de investigación.</t>
  </si>
  <si>
    <t>Consolidar un cuerpo profesoral sólido.</t>
  </si>
  <si>
    <t>Realizar seguimiento y evaluación de la calidad de le enseñanza.</t>
  </si>
  <si>
    <t>Hacer seguimiento a las labores de docencia de nuestros asistentes graduados.</t>
  </si>
  <si>
    <t>Vincular y mantener excelentes profesores.</t>
  </si>
  <si>
    <t xml:space="preserve"> Vinculación de profesores con experiencia postdoctoral a nivel internacional.</t>
  </si>
  <si>
    <t>Contratar posdoctorados, tener profesores visitantes y establecer visitas de estudiantes de doctorado externos.</t>
  </si>
  <si>
    <t>Contratación para fortalecer áreas de investigación en vías de desarrollo y áreas que requieren relevo generacional.</t>
  </si>
  <si>
    <t>Generar compromiso en los profesores con las actividades de docencia.</t>
  </si>
  <si>
    <t>Fomentar en los profesores la necesidad de respetar el núcleo básico de los programas de los cursos dictados.</t>
  </si>
  <si>
    <t>Ampliar y fortalecer la investigación en el departamento.</t>
  </si>
  <si>
    <t>Fortalecer la actividad investigativa de los programas del Departamento.</t>
  </si>
  <si>
    <t>Poner en funcionamiento la planta de criogenia y generar sistema de servicios a otros departamentos.</t>
  </si>
  <si>
    <t>Evaluar y redefinir los compromisos adquiridos por los profesores para el desarrollo de su investigación a través del plan de trabajo anual propuesto por ellos mismos.</t>
  </si>
  <si>
    <t>Desarrollar políticas de incentivos para atraer y mantener en el Departamento, científicos de alta calidad.</t>
  </si>
  <si>
    <t>Fomentar y facilitar colaboración en investigación con instituciones de reconocimiento internacional.</t>
  </si>
  <si>
    <t xml:space="preserve"> Incrementar la financiación para proyectos y recursos de investigación.</t>
  </si>
  <si>
    <t xml:space="preserve"> Asegurar los recursos financieros para el desarrollo de la investigación de profesores, a través del apoyo a laboratorios de investigación y equipos.</t>
  </si>
  <si>
    <t>Incrementar el apoyo financiero del sector privado y de entidades gubernamentales nacionales y extranjeras para proyectos de investigación.</t>
  </si>
  <si>
    <t>Fortalecer la visibilidad y la difusión de la producción académica del Departamento en sectores estratégicos.</t>
  </si>
  <si>
    <t xml:space="preserve"> Incrementar la producción de material docente propio del Departamento.</t>
  </si>
  <si>
    <t>Atraer y retener estudiantes de calidad.</t>
  </si>
  <si>
    <t xml:space="preserve">Establecer mecanismos para la atracción y retención de los mejores estudiantes </t>
  </si>
  <si>
    <t>Mejorar las estrategías de scouting para estudiantes de pregrado y posgrado.</t>
  </si>
  <si>
    <t>Fortalecer la gestión administrativa del Departamento.</t>
  </si>
  <si>
    <t>Capacitar al personal administrativo y de apoyo del Departamento, en aspectos clave que permitan optimizar los procesos en el Departamento.</t>
  </si>
  <si>
    <t>Revisar los procesos y el soporte administrativo acorde con la estrategia del Departamento.</t>
  </si>
  <si>
    <t>Contar con los recursos necesarios para el desarrollo de nuestras actividades</t>
  </si>
  <si>
    <t xml:space="preserve">Adquirir y mantener los equipos necesarios para los laboratorios de docencia  garantizando la capacidad con respecto a la demanda de uso. </t>
  </si>
  <si>
    <t xml:space="preserve"> Generar un depósito de suministros para los laboratorios de investigación, con los respectivos controles de inventario.</t>
  </si>
  <si>
    <t>Suplir los requerimientos  bibliográficos del Departamento.</t>
  </si>
  <si>
    <t>Mantener actualizada nuestra sala de computo, compufísica.</t>
  </si>
  <si>
    <t xml:space="preserve"> Mantener actualizados los computadores de profesores, estudiantes de posgrado y personal de apoyo.</t>
  </si>
  <si>
    <t>Lograr reconocimiento e impacto en el entorno.</t>
  </si>
  <si>
    <t>Posicionar y promocionar los programas académicos del departamento.</t>
  </si>
  <si>
    <t>Implementación de actividades de difusión relacionadas con la búsqueda de estudiantes, dentro y fuera del país.</t>
  </si>
  <si>
    <t>Realizar labores de divulgación y extensión de los programas académicos del departamento.</t>
  </si>
  <si>
    <t>Promocionar las actividades del Departamento y fortalecer la presencia en el entorno.</t>
  </si>
  <si>
    <t xml:space="preserve"> Actualizar la página Web del Departamento, con información de publicaciones, seminarios y eventos.</t>
  </si>
  <si>
    <t xml:space="preserve"> Fomentar la realización de eventos cientificos nacionales e internacionales organizados por profesores del departamento.</t>
  </si>
  <si>
    <t>Establecer conexiones con otras Universidades y empresas para mantener una activa presencia nacional e internacional.</t>
  </si>
  <si>
    <t>Fortalecer la comunicación con los egresados</t>
  </si>
  <si>
    <t>6.3</t>
  </si>
  <si>
    <t>Observaciones</t>
  </si>
  <si>
    <t>1) Resultados obtenidos</t>
  </si>
  <si>
    <t>2) Evidencia de acción ejecutada</t>
  </si>
  <si>
    <t>3) Resultado de indicador</t>
  </si>
  <si>
    <t>1) Acción ejecutada</t>
  </si>
  <si>
    <t>Documento de estandarización con los contenidos básicos de los cursos de pregrado, con sus respecitvos objetivos, pre y co-requisitos y textos guia.</t>
  </si>
  <si>
    <t>Actas del comité de pregrado.</t>
  </si>
  <si>
    <t xml:space="preserve">Todos los cursos de pregrado han sido revisados. </t>
  </si>
  <si>
    <t>Revisión del curriculo del pregrado de Física.</t>
  </si>
  <si>
    <t>Documentos de avance en la discusión de una reforma curricular para el pregrado de Física. Actas de los comites de pregrado.</t>
  </si>
  <si>
    <t>Se revisarón los programas de cursos magistrales. Se presentó una propuesta de reforma de magistrales a Ingiería en Agosto 3 de 2012.</t>
  </si>
  <si>
    <t>Acta de comité academicos de ingeniería de Agosto 3 de 2012. Actas de comitpe de pregrado.</t>
  </si>
  <si>
    <t>Documento con propuesta de reforma de las magistrales de Física , Física 2, Onads y fluidos y Física Moderna.</t>
  </si>
  <si>
    <t>Informe presentado al MEN.</t>
  </si>
  <si>
    <t>Reolución del MEN renovando el porgama de doctorado por 7 años. A partir de Abril de 2011.</t>
  </si>
  <si>
    <t>Proceso de Autoevaluación programa de maestría.</t>
  </si>
  <si>
    <t>Documento de autoevlauación enviado al CNA.</t>
  </si>
  <si>
    <t>Programa de maestría en proceso de acreditación. Visita pares será en noviembre 15 y 16 de 2012.</t>
  </si>
  <si>
    <t xml:space="preserve"> Se colocó el curso Clinica de problemas como  obligatorio en el pensum de pregrado con 0.5 créditos. Se redujo Introducción a Física a 0.5 créditos.</t>
  </si>
  <si>
    <t>Curriculum de pregrado actualizado.</t>
  </si>
  <si>
    <t>Renovación del registro calificado del programa de doctorado por 7 años.</t>
  </si>
  <si>
    <t xml:space="preserve">Se realizó un pilotaje con parcial 2 común para Física 1 y Física 2.  Se generó una pagina web donde los estudiantes de las secciones de problemas pueden dar realimentación al profesor y al departamento en el momento que lo desee. </t>
  </si>
  <si>
    <t>Copia de examen común. Copias de la realimentación enviada por los estudiantes.</t>
  </si>
  <si>
    <t>El parcial 2 común mostró una menor dispersión de las notas en las respectivas magistrales, se revisará como mejorar la logistica. Se envió a los profeores de sección de problemas con mas quejas las copias de las quejas reportadas por sus estudiantes.</t>
  </si>
  <si>
    <t>Horarios y copias de examenes.</t>
  </si>
  <si>
    <t>Se han hecho estudios estadisticos del desempeño de los estudiantes de Física 1 y Física 2.</t>
  </si>
  <si>
    <t xml:space="preserve">Se hizo una revisión del examen final para que todos los estudiantes de todas las magistrales del curso de física 1 tomen el examen simultaneamente, igual para física 2. </t>
  </si>
  <si>
    <t>Actas de consejo de física.</t>
  </si>
  <si>
    <t>Se ha visto una reducción de la moratlidad de los estudiantes en Física 1 y 2 de 40% a 35%.</t>
  </si>
  <si>
    <t>Se han hecho comparaciones del examen parcial 2 común con los parciales de semetrseanteriores que eran diferentes para cada magistral.</t>
  </si>
  <si>
    <t>Acta consejo de física, Oct. 8 2012</t>
  </si>
  <si>
    <t>Se ve una disminución en la dispersión de las notas, pero también se ve una reducción en el promedio, lo que puede incrementar la mortalidad.</t>
  </si>
  <si>
    <t>De 300 problemas se pasó a 500.</t>
  </si>
  <si>
    <t>Se actualizaron bases de datos de egresados de maestría.</t>
  </si>
  <si>
    <t>archivos actualizados.</t>
  </si>
  <si>
    <t>Base de datos de egresados de maestría actualizada.</t>
  </si>
  <si>
    <t>Se ha incrementado el banco de problemas disponible para el examen final de física 1 y física 2.</t>
  </si>
  <si>
    <t>Se ha incrementado el banco de problemas disponible para el examen final de física 1 física 2.</t>
  </si>
  <si>
    <t>Base de datos de egresados de pregrado y doctorado actualizada.</t>
  </si>
  <si>
    <t>Se actualizaron bases de datos de egresados de pregrado y doctorado.</t>
  </si>
  <si>
    <t>El CIFE ha hecho seguimiento a algunos cursos magistrales de Física1 y Física 2. También ha trabajado con el profesor de Física Básica2.</t>
  </si>
  <si>
    <t>Reportes del CIFE</t>
  </si>
  <si>
    <t>Material desarrollado en conjunto con el CIFE. Publicación en revista de enseñanza con resultados.</t>
  </si>
  <si>
    <t>Se realizaron estudios con el CIFE de quices para verificar la prelectura de los temas enseñados en algunas magistrales de Física1 y Física 2.</t>
  </si>
  <si>
    <t>Informe del CIFE</t>
  </si>
  <si>
    <t>Quices realizados en sicua previos a la clase contribuyen a que los estudiantes lleguen mejor preparados apra la clase.</t>
  </si>
  <si>
    <t>Se contrató un estudiante de maestría para mantener los experimentos demostrativos en todas las magistrales de física 1 y física 2.</t>
  </si>
  <si>
    <t>Experimentos demostrativos programados en los programas de los cursos.</t>
  </si>
  <si>
    <t>Experimentos demostrativos ejecutados cada 15 días en las clases magistrales.</t>
  </si>
  <si>
    <t>Implementación de ayudas en sicuaplus para el curso Grandes ideas de la fisica. Generación del cursos actividades de fisica 1 y actividades de fisica 2.</t>
  </si>
  <si>
    <t>material en sicuaplus</t>
  </si>
  <si>
    <t>alredeor del 5% de los cursos con uso de sicuaplus y/o herramientas computacionales</t>
  </si>
  <si>
    <t xml:space="preserve">Se contrató a un laboratorista de planta para encargarse de experimentos demostrativos existentes y diseñar nuevos. </t>
  </si>
  <si>
    <t xml:space="preserve">Nuevos formatos de experimentos demostrativos. Programas de los cursos Física 1 y Física 2. </t>
  </si>
  <si>
    <t>Implementaciónd e tarjetas de respuesta electronica en magistrales de física 1 y física 2. Implemetación de nueva pagina en sicuaplus con herramientas virtuales para estudiantes de física 1 y física2</t>
  </si>
  <si>
    <t>Banco de quices para sistema de tarjetas de respuesta electronica para cursos de física en el b202.</t>
  </si>
  <si>
    <t>Aun falta por incrementar el # de cursos con simulaciones computacionales.</t>
  </si>
  <si>
    <t>Se incrementó de 15 a 20 el número de estudiantes de doctorado.</t>
  </si>
  <si>
    <t># estudiantes de doctorado matriculados en el 2011</t>
  </si>
  <si>
    <t>Incremento de 25% en # estudiantes de doctorado.</t>
  </si>
  <si>
    <t>Se incrementó a 26 el # deestudiantes de doctorado. 5 con financiación externa (2 de CERN, 2 de COLCIENCIAS, 1 en comisión de estudios).</t>
  </si>
  <si>
    <t># de estudiantes de doctorado matriculados en el 2012.</t>
  </si>
  <si>
    <t>Incremento de 30% (comparado con 201) en # de estudiantes de dcotorado. Todos con financiación.</t>
  </si>
  <si>
    <t>Clases más activas con mayor participación de los estudiantes. Falta el diseño de experimentos demostrativos para los otros cursos diferentes a física 1 y física 2 y cursos intermedios y avanzados de la carrera.</t>
  </si>
  <si>
    <t>Se terminó la dotación de los siguientes laboratorios: Preparaciónde muestras, magnetismo, superconductividad, optica cuántica, Altas Energías.</t>
  </si>
  <si>
    <t>Lista de compras ejecutada en el 2011</t>
  </si>
  <si>
    <t>Mayor actividad experimental en el departamanto de Física</t>
  </si>
  <si>
    <t>Se reemplazarón PCs con mas de 7 años de uso.</t>
  </si>
  <si>
    <t>Inventario de computadores de Física.</t>
  </si>
  <si>
    <t>Actualización de servidores de uso general del departamento.</t>
  </si>
  <si>
    <t>Falta por reemplazar PCs de estudiantes de maestría. Falta incrementar capcaidad de almacenamiento de data center.</t>
  </si>
  <si>
    <t>Inventarios de computadores.</t>
  </si>
  <si>
    <t>Se reemplazarón 25 PCs de uso de estudiantes de dcotorado cuyos PCs anteriores tenian mas de 6 años de uso. Se amplió data center de física para apoyar a otros departamentos con espacios de computo apropiados..</t>
  </si>
  <si>
    <t>Profesores del departamento de Física colaboraron con la adquisición del microscopio confocal.</t>
  </si>
  <si>
    <t>Propuesta aprobada por vicerrectoria de investigaciones.</t>
  </si>
  <si>
    <t>Microscopio confocal funcionando. Aunque aún falta incrementar su uso.</t>
  </si>
  <si>
    <t>Profesores del departamento de Física han apoyado la posibilidad aceptar un microscopio TEM.</t>
  </si>
  <si>
    <t>Pendiente la adquisición del TEM.</t>
  </si>
  <si>
    <t>Se vienen ofreciendo seminarios semanales de : Materia condensada, Física Teórica, Altas Energías, Biofisica, Astronomía y Geociencias.</t>
  </si>
  <si>
    <t>Programación de  seminarios</t>
  </si>
  <si>
    <t>Charlas semanales sobre temas de investigación</t>
  </si>
  <si>
    <t>Asistencia al XXIV congreso nacional de física: 20 estudiantes de posgrado.</t>
  </si>
  <si>
    <t>memorias del congreso.</t>
  </si>
  <si>
    <t>Participación de estudiantes en eventos cientificos.</t>
  </si>
  <si>
    <t>Se ha gestionado proyectos de investigación interdisciplinarios.</t>
  </si>
  <si>
    <t>Propuestas de proyectos interdisciplinarios.</t>
  </si>
  <si>
    <t>Publicaciones de carácter interdisciplinario.</t>
  </si>
  <si>
    <t>Se ha fomentado la participación de profesores en proyectos interdisciplinarios.</t>
  </si>
  <si>
    <t>Propuestas de proyectos.</t>
  </si>
  <si>
    <t>Paginas web de eventos. Reportes de  los organizadores de los eventos.</t>
  </si>
  <si>
    <t>Se apoyaron las siguientes escuelas y eventos cientificos organizados por profesores del departamento: Escuela de Física Matemática, Escuela de  Física de partículas, Encuentro de Física Teórica, Escuela de Física Nuclear, taller de detectores.</t>
  </si>
  <si>
    <t>Se apoyaron las siguientes escuelas y eventos cientificos organizados por profesores del departamento: Escuela de Física Matemática, Escuela de  Física de partículas, escuela de Física estadistica, Metodos topologicos en teoría cuántica de Campos.</t>
  </si>
  <si>
    <t>Se cumplió la meta de mínimo 3 eventos cientificos organizados por profesores de nuestro departamento.</t>
  </si>
  <si>
    <t>Convenio firmado</t>
  </si>
  <si>
    <t>Se firmó el convenio UNIANDES-CBPF, Brazil</t>
  </si>
  <si>
    <t>En el 2011 tuvimos 33 inscritos para la maestría y se recibieron 10. Se tuvieron 7 inscritos para el doctorado y se recibieron 4.</t>
  </si>
  <si>
    <t>Listas de estudiantes inscritos vs matriculados.</t>
  </si>
  <si>
    <t>Se establecieron cortes de exigenic para recibir los mejores estudiantes.</t>
  </si>
  <si>
    <t>En el 2012 hubo 50 estudiantes inscritos para la maestría y se recibieron 11 y 18 para el doctorado y se recibieron 7.</t>
  </si>
  <si>
    <t>Se contrató a un catedratico con experiencia para hacer seguimiento y aseosría a los asistentes graduados.</t>
  </si>
  <si>
    <t>Contrato de seguimiento a asistentes graduados con Angél Chaparro.</t>
  </si>
  <si>
    <t>Se dio realimentación a ls asistentes graduados para mejorar su docencia.</t>
  </si>
  <si>
    <t>pagina web y reportes generados.</t>
  </si>
  <si>
    <t>Se firmó un convenio UNIANDES- Universidad de Catalunya España para la coasesoría de un estudiante de doctorado de UNIANDES. Se está firmando un convenio mas general.</t>
  </si>
  <si>
    <t>Nuevo convenio</t>
  </si>
  <si>
    <t>Contratos de profesores.</t>
  </si>
  <si>
    <t>Se llegó a 26 profesores de planta.</t>
  </si>
  <si>
    <t>Se abrió convocatoria para profesor en Física teórica.</t>
  </si>
  <si>
    <t>Avisos de convocatoria.</t>
  </si>
  <si>
    <t>El profesor seleccionado declinó la posición en último minuto.</t>
  </si>
  <si>
    <t>Se contratarón 3 profesores con experiencia postdoctoral en las siguientes areas: Óptica Cuántica, Materia Condensada, Astrofísica. Se tiene abierta convocatoria para un profesor en Física Teórica.</t>
  </si>
  <si>
    <t>Documento disponible en pagina web del departamento.</t>
  </si>
  <si>
    <t>Profesores siguieron documento guía para su establecimiento en la universidad.</t>
  </si>
  <si>
    <t>contratos de postdocs</t>
  </si>
  <si>
    <t>Apoyo a actividades de investigación.</t>
  </si>
  <si>
    <t>Se contratarón 4 postdocs para las siguientes areas de investigación: Astronomía, Biofísica, Alts Eneergías, Matería Condensada.</t>
  </si>
  <si>
    <t>4 grupos de investigación cuentan con tres profesores o más. Geofísica y Física Te´rica cuentan con dos profesores.</t>
  </si>
  <si>
    <t>Se hacen resportes semestrales de las encuestas de los cursos, con promedios, desviaciones estándar y se verifican situaciones anomalas lejos del promedio del departamento. Se tiene en cuenta la docencia en la evaluación anual de desempeño.</t>
  </si>
  <si>
    <t>Los profesores han tomado medidas para mejorar su docencia. Una medida ha sido seguiemiento del CIFE.</t>
  </si>
  <si>
    <t>Se revisaron los contenidos básicos de todos los cursos de pregrado de física.</t>
  </si>
  <si>
    <t>Se terminó el documento guía para profesores nuevos (en español e inglés).</t>
  </si>
  <si>
    <t>Se culminó una versión preliminar de documento guía.</t>
  </si>
  <si>
    <t>Versión preliminar del documento.</t>
  </si>
  <si>
    <t>Estudios de encuestas realizados. Actas del consejo del departamento.</t>
  </si>
  <si>
    <t>Documentos con contenidos básicos y requisitos de los cursos.</t>
  </si>
  <si>
    <t>Actas comitpe de pregrado.</t>
  </si>
  <si>
    <t>Se están revisando los contenidos básicos de los crusos del núcelo del posgrado y terminando una propuesta de reforma curricular para el pregrado.</t>
  </si>
  <si>
    <t>Actas comites de pregrado y posgrado.</t>
  </si>
  <si>
    <t>Reforma curicular para ser implementada en 2013.</t>
  </si>
  <si>
    <t>Reportes de asistencias a congresos y/o pasantías de investigación.</t>
  </si>
  <si>
    <t>Visibilidad internacional del departamento de Física.</t>
  </si>
  <si>
    <t>En el 2011  hubo 14 profesores que realizaron 24 viajes internacionales para participar activamente en congresos o realizar actividades de investigación. El departamento tuvo 31 invitados internacionales.</t>
  </si>
  <si>
    <t>En el 2012  hubo 13 profesores que realizaron 16 viajes internacionales para participar activamente en congresos o realizar actividades de investigación. El departamento ha tenido 31 invitados internacionales.</t>
  </si>
  <si>
    <t>Se hacen estudios de los resultados del examen final y la mortalidad de los cursos de física 1 y física 2.</t>
  </si>
  <si>
    <t>Se hacen estudios de los resultados del examen final y la mortalidad de los cursos de física 1 y física 2.  Se hizo pilotaje sobre parcial 2 de física 1 y física 2 común para todas las magistrales.</t>
  </si>
  <si>
    <t>Actas consejo departamento</t>
  </si>
  <si>
    <t>Se tienen mecanismos adicionales a las encuestas de los estudiantes para evaluar la docencia de nuestros profesores.</t>
  </si>
  <si>
    <t>A los profesores con bajas encuestas y bajos promedios en sus cursos se les aconseja tomar un seguimiento del CIFE.</t>
  </si>
  <si>
    <t>Evaluaciones de desemepeño.</t>
  </si>
  <si>
    <t>Se han visto mejoras en el desemepeño docente de profesores aconsejados.</t>
  </si>
  <si>
    <t>En evaluaciones de desempeño anual se ha hecho enfasis a algunos profesores sobre la necesidad de mejorar su docencia.</t>
  </si>
  <si>
    <t>Evaluaciones de desempeño.</t>
  </si>
  <si>
    <t>Compromiso de los profesores por mejorar su docencia.</t>
  </si>
  <si>
    <t>Se avanzó con la puesta en marcha.</t>
  </si>
  <si>
    <t>Informes del CIF y facturas de compras, instalaciones electricas, plataforma chiller.</t>
  </si>
  <si>
    <t>Se realizaron conexiones de tuberias de alimentación y recuperación de helio, adecuaciones físicas e instalaciones eléctricas. Se hizo la compra de chiller y transformador.</t>
  </si>
  <si>
    <t>Reportes del ingeniero encargado de la planta de criogenia. Comunicaciones con juridica.</t>
  </si>
  <si>
    <t>Se realizaron pruebas y correciones de fugas. Se paso a juridica el incumplimiento del proveedor del chiller. Se instaló una torre de enfiramiento en vez del chiller. Se han ralizado pruebas de encendido de la planta de nitrogeno.</t>
  </si>
  <si>
    <t>En la evaluación anual de desempeño se han verificado el cumplimiento de objetivos de investigación de cada profesor y se han estabelcido compromisos puntuales para el siguiente año.</t>
  </si>
  <si>
    <t>Verificación de objetivos propuestos en investigación.</t>
  </si>
  <si>
    <t xml:space="preserve">Los incentivos para nuevos profesores está:  1 curso el primer semestre, reembolso de gastos de viaje hasta por 3000 dolares, proyecto de profesor asistente por 48 SMMLV/año por tres años. </t>
  </si>
  <si>
    <t>Documentos de autoevaluación y entrevista con pares.</t>
  </si>
  <si>
    <t>Nuevas contrataciones son de investigadores con experiencia postdoctoral.</t>
  </si>
  <si>
    <t>Carta de ofrecimiento de puesto profesoral</t>
  </si>
  <si>
    <t>Se optimizan los ingresos por cursos dictados con el fin de geenrar excedentese que se puedan invertir para apoyo a la investigación.</t>
  </si>
  <si>
    <t>Se realizó dotación de laboratorios de investigación.</t>
  </si>
  <si>
    <t>El departamenteo manitene un fondo para fungibles de investigación y mantenimiento de equipos.</t>
  </si>
  <si>
    <t>Compras de equipos realizadas.</t>
  </si>
  <si>
    <t>Compras de fungibles realizadas y facturas de mantenimiento y reparación de equipos.</t>
  </si>
  <si>
    <t>Se cuenta actualmente con financiación de proyectos por parte de COLCIENCIAS, ICETEX, Laboratorio CERN, Banco de la republica.</t>
  </si>
  <si>
    <t>Se hab incrementado solicitudes de apoyo al ICETEX y a COLCIENCIAS para viajes. Se han pasado propuestas a NSF, INH (estados unidos), laboratorio  CERn Suiza, Prorgama EPLANET (becas marie Curie), Echos Nord , Francia.</t>
  </si>
  <si>
    <t>Propuestas de proyectos</t>
  </si>
  <si>
    <t>Segunda edición libro de prefisica publicado.</t>
  </si>
  <si>
    <t>1 nuevo libro publicado en el departamento de física.</t>
  </si>
  <si>
    <t>Se está avanzando con la publicación del libro Grandes ideas de la Física.</t>
  </si>
  <si>
    <t>En proceso de revisión de textos. El libro grandes ideas de la física saldrá publciado en el 2013.</t>
  </si>
  <si>
    <t>Se generaron nuevos panfletos con información de pregrado y posgrado. Se realizó un día de puertas abiertas en los laboratorios de física durante el XXIV congreso nacional de física.</t>
  </si>
  <si>
    <t>Incremento de número de aplicantes al posgrado. Se ha visto un incremento en # estudiantes de pregrado también.</t>
  </si>
  <si>
    <t>Se contrató a una persona en el cargo de coordinador academico administrativo, una de sus funciones es mejorar el scouting en el departamento.</t>
  </si>
  <si>
    <t>copias de panfletos de pregrado y posgrado.</t>
  </si>
  <si>
    <t>Aun faltan estrategias para seguir mejorando el scouting, que serán implementadas en el 2013.</t>
  </si>
  <si>
    <t>Se publicó por la editorial Cengage Learning la segunda edición del libro de prefisica.</t>
  </si>
  <si>
    <t>Textos escritos por los tres profesores que están escribiendo el libro: B. Gómez, J.C. Sanabria, J. Roldan.</t>
  </si>
  <si>
    <t>en el 2011 se obtuvieron: 137 publicaciones, 1 capitulo de libro, 9 contribuciones en memorias de eventos.</t>
  </si>
  <si>
    <t>Publicaciones reportadas en bases de datos de revistas indexadas</t>
  </si>
  <si>
    <t>En el 2012 se han obtenido hasta el momento: 55 publicaciones y 5 contribuciones en memorias de eventos.</t>
  </si>
  <si>
    <t>Productividad de más de 2 artículos/profesor del departamento.</t>
  </si>
  <si>
    <t>Productividad de más de 4 artículos/profesor del departamento.</t>
  </si>
  <si>
    <t>De 500 problemas se pasó a 800.  Tenemos como objetivo llegar a 1000.</t>
  </si>
  <si>
    <t>Se ha mejorado la divulgación a traves de nuestra pagina web.</t>
  </si>
  <si>
    <t>Mayor numero de estudiantes inscritos para el posgrado.</t>
  </si>
  <si>
    <t>pagina web del departamento.</t>
  </si>
  <si>
    <t>Facturas por pago de stand. Actas de la facultad de ciencias donde se certifica la participación de física en expociencia 2011.</t>
  </si>
  <si>
    <t>Contrato de persona contratada.</t>
  </si>
  <si>
    <t>reportes de colsubsidio sobre cursos de inglés dictado.</t>
  </si>
  <si>
    <t>Se mejoró la proficiencia en inglés del personal administrativo.</t>
  </si>
  <si>
    <t>Se realizó capacitación para el personal administrativo en inglés. Se realizó capacitación en software labview para personal de laboratorios.</t>
  </si>
  <si>
    <t>Se ha programado capacitación en labview avanzado para personal de laboratorios para diciembre de 2012.</t>
  </si>
  <si>
    <t>En espera de ejecución de curso avanzado de labview.</t>
  </si>
  <si>
    <t>Mapas de procesos generados.</t>
  </si>
  <si>
    <t>Se contrató temporalmente a un técnico de computo para que contribuyera a la actualización de la pagina web del departamento.</t>
  </si>
  <si>
    <t>copia del contrato.</t>
  </si>
  <si>
    <t>Pagina web del departamento actualizada.</t>
  </si>
  <si>
    <t>Siguiendo sugerencia de auditoria interna se han separado las funciones de solicitud de pedidos de liberación de pedidos.</t>
  </si>
  <si>
    <t>Se está terminando la elaboración de mapas de procesos administrativos con el fin de proceder a redistribuir funciones si es necesario. Se han realizado las capacitaciones en SAP para el personal que lo requiere.</t>
  </si>
  <si>
    <t>Factura de compra de PCs para compufisica.</t>
  </si>
  <si>
    <t xml:space="preserve"> En total hubo 16 proyectos presentados a la universidad (semilla,interfacultades, vic. Investigaciones), 6 proyectos a COLCIENCIAS, 3 a fuentes externas y 6 en colaboración internacional (laboratorio CERN, Echos Nord, INH).</t>
  </si>
  <si>
    <t>Se cuenta actualmente con financiación de proyectos por parte de COLCIENCIAS, Laboratorio CERN, Echos Nord.</t>
  </si>
  <si>
    <t xml:space="preserve"> En total hubo 26 proyectos presentados a la universidad (semilla,interfacultades, vic. Investigaciones), 9 proyectos a COLCIENCIAS, 4 a fuentes externas y 9 en colaboración internacional (laboratorio CERN, Echos Nord, INH, EPLANET).</t>
  </si>
  <si>
    <t>Se cuenta actualmente con financiación de proyectos por parte de COLCIENCIAS, Laboratorio CERN, EPLANET, ICETEX.</t>
  </si>
  <si>
    <t>En 2012 se ha solicitado hasta el momento 31 titulos, 12 bases de datos y 50 publicaciones periodicas.</t>
  </si>
  <si>
    <t>En 2011 se solicitó a biblioteca la adquisición de 496 titulos, la suscripción a 11 bases de datos y a 50 publicaciones periodicas.</t>
  </si>
  <si>
    <t>Inventario de Biblioteca</t>
  </si>
  <si>
    <t>Se han hecho las adquisiciones del material bibliografico solicitado por los profesores del departamento.</t>
  </si>
  <si>
    <t>Sala de computo actualizada con 25 equipos disponibles.</t>
  </si>
  <si>
    <t>No ha sido posible adecuar las condiciones de temperatura de la sala ya que no se puede instalar un sistema de aire acondicionado apropiado.</t>
  </si>
  <si>
    <t>Aun se necesita mejorar la condición de temperatura de la sala y ampliarla para que también sea aprovechada para los cursos computacionales de Geociencias.</t>
  </si>
  <si>
    <t>Se empezó la escritura de un documento guía para profesores nuevos.</t>
  </si>
  <si>
    <t>Se realizó un inventario de equipos y dispositivos para los laboratoriso de docencia y se estableció lista que necesitaba reeemplazo. Se solicitó apoyo a decanatura de ciencias para reemplazo de equipos y dispositvos obsoletos.</t>
  </si>
  <si>
    <t>Lista de equipos a reemplazar</t>
  </si>
  <si>
    <t>Inventario de equipos actualizado</t>
  </si>
  <si>
    <t>Inventario de equipos y dispositivos nuevos.</t>
  </si>
  <si>
    <t>Ha sido complicado tener un deposito de susministros. Se han hecho compras al principio de año para tener provisiones de elementos basicos de uso continuo.</t>
  </si>
  <si>
    <t>lista de compras de fungibles</t>
  </si>
  <si>
    <t>Falta por definir estrategia para tener deposito de fungibles.</t>
  </si>
  <si>
    <t>Inventario de equipos y visita a la sala de computo.</t>
  </si>
  <si>
    <t>Se generó una nueva pagina web para el departamento de Física. Se contrató temporalmente un técnico de computo para su implementación.</t>
  </si>
  <si>
    <t>Pagina web nueva.</t>
  </si>
  <si>
    <t>Se ha generado pagina con facil acceso a la información del departamento.</t>
  </si>
  <si>
    <t>Se está trabajando en actualizar paginas web de grupos de investigación.</t>
  </si>
  <si>
    <t>Se han generado formatos comunes para las pagians web de los grupos. Falta que lso grupos terminen de suministrar la información necesaria.</t>
  </si>
  <si>
    <t>Se ha incrementado solicitudes de apoyo al ICETEX y a COLCIENCIAS para viajes. Se han pasado propuestas a NSF, INH (estados unidos), laboratorio  CERn Suiza, Prorgama EPLANET (becas marie Curie), Echos Nord , Francia.</t>
  </si>
  <si>
    <t>lista de programación de coloquios en 2011</t>
  </si>
  <si>
    <t>lista de programación de coloquios en 2012</t>
  </si>
  <si>
    <t xml:space="preserve">13 cientificos extranjeros dieron charla en el coloquio de física durante el 2011. </t>
  </si>
  <si>
    <t>En total 13 conferencistas externos invitados.</t>
  </si>
  <si>
    <t>8 cientificos extranjeros dieron charla en el coloquio de física durante el 2011. Incluidos el premio Nobel Douglas Oscheroff y el destacao cientifico Paul davies.</t>
  </si>
  <si>
    <t>En total 8 conferencistas externos invitados.</t>
  </si>
  <si>
    <t>convenio firmado con CBPF</t>
  </si>
  <si>
    <t>Se estableció un convenio con el centro CBPF de Brasil, hay estrecha colaboración en computación GRID. Se tiene proyecto de investigación de COLCIENCIAS junto con la universidad de nariño Pasto y Universidad del Tolima.</t>
  </si>
  <si>
    <t>Falta un acercamiento a empresas y otras universidades</t>
  </si>
  <si>
    <t>Se estableció un convenio con U. Catalunya  (UPC)España para coasesoria de estudiante de maestría UNIANDES. Se está firmando convenio mas general con la UPC.</t>
  </si>
  <si>
    <t>Documentos de convenios</t>
  </si>
  <si>
    <t>Flata mas acercamiento a otras universidades nacionales y extranjeras y mas acercamiento a empresas.</t>
  </si>
  <si>
    <t>Se generó inventario de computadores y se planeó reemplazo de computadores en dos fases: 2012 y 2013.</t>
  </si>
  <si>
    <t>Inventario de computadores con su respectivo año de adquisición.</t>
  </si>
  <si>
    <t>Se reemplazaron computadores de profesores con mas de 5 años de antigüedad asi como servidores de uso general. Se compraron 25 PCs nuevos para reemplazar PCs antiguos de estudiantes de dcotorado.</t>
  </si>
  <si>
    <t>Lista de compras de computadores.</t>
  </si>
  <si>
    <t>Actulización de compuatdores de profesores y estudiantes de doctorado.</t>
  </si>
  <si>
    <t>banco de problemas</t>
  </si>
  <si>
    <t>Actas de consejo de facultad de ciencias</t>
  </si>
  <si>
    <t>Lista de procedencia de estudiantes de dcotorado.</t>
  </si>
  <si>
    <t>Se realizó una jornada de puertas abiertas en los laboratorios de investigación en física, durante el XXIV congreso nacional de física.</t>
  </si>
  <si>
    <t>Divulgación de inscripciones al posgrado en pagina web.</t>
  </si>
  <si>
    <t>mayor número de estuiantes aplicando al posgrado.</t>
  </si>
  <si>
    <t>Acta de consejo de departamento de noviembre de 2011.</t>
  </si>
  <si>
    <t>Se realizarón dos cursos de educación continuada:Estrellas y nebulosas, El universo cuantico.</t>
  </si>
  <si>
    <t>Se realizaron dos cursos de educación continuada: Estrellas y nebulosas, El Universo Cuántico.</t>
  </si>
  <si>
    <t>reportes de educación continuada de estos cursos.</t>
  </si>
  <si>
    <t>Mayor visibilidad externa al departamento.</t>
  </si>
  <si>
    <t>Falta generar un inventario de flujo de suministros en cada laboratorio.</t>
  </si>
  <si>
    <t>Actualización de equipos de lab de docencia efectuada. Solo falta reposición anual de implementos y fungibles. Falta también hacer inversión en dispositivos de adquisición de datos por labview y automatización de experimentos.</t>
  </si>
  <si>
    <t>Planta de Nitrogeno funcionando. Se están empezando pruebas de encendido de planta de Helio. Faltan algunas adecuaciones finales.</t>
  </si>
  <si>
    <t>Inventarios de equipos pequeños para medición que se necesitan paa complementar la investigación en los laboratorios.</t>
  </si>
  <si>
    <t>Copia del inventario</t>
  </si>
  <si>
    <t>Falta ejecutar compra de equipos de medición y generar un plan para mantenimiento y reposición de equipos.</t>
  </si>
  <si>
    <t>Cumplimiento</t>
  </si>
  <si>
    <t>Pasos a seguir</t>
  </si>
  <si>
    <t>Mantener núcleos básicos de los cursos  actualizados y que sean homologables a nivel internacional, independientemente del profesor que los dicte.</t>
  </si>
  <si>
    <t>Identificar acciones concretas para mejorar la admisión</t>
  </si>
  <si>
    <t xml:space="preserve">Los resultados del 2011 y 2012 son iguales. Quiere decir que no se avanzo en el 2012? </t>
  </si>
  <si>
    <t>Solicitar el link</t>
  </si>
  <si>
    <t>Número de visitas  a colegios y universidades. Número de eventos promocionando nuestros programas.</t>
  </si>
  <si>
    <t>Divulgar las ventajas que posee nuestro progama para estudiantes de posgrado.</t>
  </si>
  <si>
    <t xml:space="preserve">Se tomó con cautela la divulgación de información acerca del posgrado debido a las discusiones acerca de modificaciones en las asistencias graduadas y créditos condonables. </t>
  </si>
  <si>
    <t>Se ha avanzado en el scouting, sin embargo no se tiene referencia del número de inscritos requeridos</t>
  </si>
  <si>
    <t>Número de proyectos nuevos para laboratorio intermedio y avanzado.
Número de equipos reemplazados.
Número de experimentos mejorados.</t>
  </si>
  <si>
    <t>Ha sido complicado tener un depósito de suministros. Se han hecho compras al principio de año para tener provisiones de elementos basicos de uso continuo.</t>
  </si>
  <si>
    <t>Número de equipos disponibles en nuestra sala de computo.</t>
  </si>
  <si>
    <t>Revisar si se requiere otro tipo de actualizaciones, como de software</t>
  </si>
  <si>
    <t>La acción era hasta el 2011, sin embargo se está trabajando en otras páginas web</t>
  </si>
  <si>
    <t>Ok, evaluar la disminución del 2011 al 2012</t>
  </si>
  <si>
    <t>Se recomendará realizar los estudios definidos en la acción</t>
  </si>
  <si>
    <t>Se recomendará realizar las comparaciones propuestas</t>
  </si>
  <si>
    <t>La meta es el 30% de los cursos</t>
  </si>
  <si>
    <t>Establecer si fue asistencia o presentación de resultados</t>
  </si>
  <si>
    <t>Cómo se evalua que se está mejorando en el proceso? Se revisan los criterios??</t>
  </si>
  <si>
    <t>Revisar documento en la web</t>
  </si>
  <si>
    <t>Cómo se retroalimenta o asegura el cumplimiento del ciclo de mejoramiento cada semestre??</t>
  </si>
  <si>
    <t>Se tienen mediciones para evaluar la meta propuesta?</t>
  </si>
  <si>
    <t>Cuantificar el resultado del indicador para verificar el estado respecto a la meta</t>
  </si>
  <si>
    <t>Falta revisar posgrado. Revisar cómo mantener actualizados y estandarizados los cursos</t>
  </si>
  <si>
    <t>Identificar las actas de Comité de pregrado</t>
  </si>
  <si>
    <t>Calcular indicador</t>
  </si>
  <si>
    <t>Definir la meta del indicador y el estado actual</t>
  </si>
  <si>
    <t>Identificar ubicación de las actas de comité</t>
  </si>
  <si>
    <t>Identificar ubicación del banco de problemas</t>
  </si>
  <si>
    <t>Identificar ubicación de la base de datos</t>
  </si>
  <si>
    <t>Revaluar si la meta es alcanzable</t>
  </si>
  <si>
    <t>Identificar ubicación de los formatos de experimentos</t>
  </si>
  <si>
    <t>Precisar meta a 2015. Se recomienda medir el % faltante de equipos</t>
  </si>
  <si>
    <t>Calcular estadísticas de uso del data center.</t>
  </si>
  <si>
    <t>Identificar ubicación de las actas y calcular el indicador</t>
  </si>
  <si>
    <t>Cuantificar la participación en los seminarios</t>
  </si>
  <si>
    <t>Identificar ubicación de las propuestas</t>
  </si>
  <si>
    <t>Identificar la forma en que llevan el registro de los eventos y escuela de verano. Informar links de las páginas de eventos.</t>
  </si>
  <si>
    <t>Identificar la ubicación de los reportes de asistencia</t>
  </si>
  <si>
    <t xml:space="preserve">Calcular indicadores e identificar ubicación de los convenios </t>
  </si>
  <si>
    <t>Identificar conclusiones de los estudios realizados</t>
  </si>
  <si>
    <t>Cuantificar meta de evaluación de la docencia</t>
  </si>
  <si>
    <t>Se generó una pagina web de reportes de estudiantes donde pueden dar realimentación a los asistentes graduados.</t>
  </si>
  <si>
    <t>Para los casos criticos se les pidió a los asistentes graduados un plan de mejora.</t>
  </si>
  <si>
    <t>Identificar hallazgos del seguimiento trabajado. Implementar el plan de mejora y evaluarlo</t>
  </si>
  <si>
    <t>Cuantificar la meta de profesores post doctorales</t>
  </si>
  <si>
    <t>Verificar profesores visitantes y aporte de conocimiento científico</t>
  </si>
  <si>
    <t>Identificar número óptimo de integrantes por grupo</t>
  </si>
  <si>
    <t>Identificar el estándar mínimo bajo el cual se medirá el desempeño de los profesores</t>
  </si>
  <si>
    <t>Identificar hallazgos de los estudios de contenidos. Identificar ubicación de áctas de comité.</t>
  </si>
  <si>
    <t>Identificar mecanismos de ayuda para mejorar las falencias en las evaluaciones realizadas</t>
  </si>
  <si>
    <t>Identificar número de investigaciones por profesor presentadas a entidades de financiación externa</t>
  </si>
  <si>
    <t>No se completó la acción en el plazo definido</t>
  </si>
  <si>
    <t>Finalizar las adecuaciones e identificar ubicación de informes del CIF</t>
  </si>
  <si>
    <t xml:space="preserve">Identificar peridiocidad de la evaluación y redefinición de compromisos y los informes del Comité de Evaluación. </t>
  </si>
  <si>
    <t>¿La totalidad de profesores están involucrados?</t>
  </si>
  <si>
    <t>Cuantificar meta de productividad del Dpto. Identificar ubicación de cartas de ofrecimiento de trabajo</t>
  </si>
  <si>
    <t>Identificar el número de profesores realizando colaboraciones más allá del número de convenios</t>
  </si>
  <si>
    <t>Identificar ubicación de los convenios</t>
  </si>
  <si>
    <t>Se optimizan los ingresos por cursos dictados con el fin de generar excedentes que se puedan invertir para apoyo a la investigación.</t>
  </si>
  <si>
    <t>Medir % de optimización de ingresos anuales e identificar relación con la meta del tiempo de investigación del profesor</t>
  </si>
  <si>
    <t>Identificar ubicación de la documentación de los proyectos</t>
  </si>
  <si>
    <t>Se debería establecer una meta de producción de libros y revaluar el horizonte de tiempo de la acción</t>
  </si>
  <si>
    <t>Identificar la ubicación de los panfletos y del análisis del número de inscritos</t>
  </si>
  <si>
    <t>Se hizo divulgación amplia, con un stand en el congreso nacional de física en Octubre de 2011. También se hizo divulgación de nuestro pregrado en expociencia 2011.</t>
  </si>
  <si>
    <t>Se ha avanzado en la divulgación, sin embargo no se tiene referencia del número de inscritos. Y precisar la divulgación web en el 2012.</t>
  </si>
  <si>
    <t>Aprobación de decanatura para capacitación de labview.</t>
  </si>
  <si>
    <t>La acción finaliza en el 2012 y revisar si es necesario realizar otras capacitaciones para alcanzar la meta</t>
  </si>
  <si>
    <t>Las evidencias no generan una mejora de los procesos y el horizonte de tiempo finalizó</t>
  </si>
  <si>
    <t>Identificar hallazgos y generar mejoras en procesos y funciones</t>
  </si>
  <si>
    <t>Se adquirieron equipos y dispositivos necesarios para actualizar los laboratorios de docencia. Estamos ahora automatizando experimentos para hacer toma de datos con uso de labview.</t>
  </si>
  <si>
    <t xml:space="preserve">Identificar ubicación del inventario de equipos </t>
  </si>
  <si>
    <t>Se evidencian avances</t>
  </si>
  <si>
    <t>Definir plan para generar el depósito y los controles de inventario</t>
  </si>
  <si>
    <t>Se actualizaron titulos en las areas de física que son relevantes al departamento.</t>
  </si>
  <si>
    <t>Definir la meta de recursos bibliográficos que se requiere</t>
  </si>
  <si>
    <t>Se reemplazaron los 25 PCs de la sala en el 2011. Se realizó una adecuación de pintura a la sala. No ha sido posible mejorar las condiciones de aire acondicionado.</t>
  </si>
  <si>
    <t>Se necesita mejorar el scouting para alcanzar la meta de 30% de estudiantes de doctorado fuera de Bogotá. Actualmente solo contamos con un 10% fuera de Bogota.</t>
  </si>
  <si>
    <t>Se ha avanzado en las actividades</t>
  </si>
  <si>
    <t>Identificar y cuantificar la meta</t>
  </si>
  <si>
    <t>paginas web de grupos a ser lanzadas en diciembre de 2012.</t>
  </si>
  <si>
    <t>Evaluar la definición de la acción si se va a trabajar en más páginas web y el horizonte de tiempo</t>
  </si>
  <si>
    <t>Identificar links de eventos en la web</t>
  </si>
  <si>
    <t>Identificar listados de conferencistas</t>
  </si>
  <si>
    <t>Las bases de datos pueden ser un paso inicial, sin embargo no se evidencia comunicación con egresados</t>
  </si>
  <si>
    <t>No es claro por qué se pone como resultado el  cambio en la Clínica de problemas</t>
  </si>
  <si>
    <t>En qué forma se mide lo internacional? La referencias a la acreditación son en el ámbito nacional</t>
  </si>
  <si>
    <t>Definir la meta y el estado actual</t>
  </si>
  <si>
    <t>Cuáles serían los mecanismos de mejoramiento a la enseñanza?? Definir un alcance de la meta</t>
  </si>
  <si>
    <t>Establecer el alcance de la acción ya que solo se ha hecho para los cursos de Física 1 y Física 2</t>
  </si>
  <si>
    <t>Relacionar los nombres de los profesores y posdoctores contratados</t>
  </si>
  <si>
    <t>Se podría calcular el total de recursos externos de los proyectos de Investigación. ¿Todos los proyectos presentados fueron aprobados?</t>
  </si>
  <si>
    <t>Definir la meta acorde a las acciones y calcular indicadores de publicaciones ISI y eventos realizados por el Dpto.¿Está información la tiene la Vicerrectoría de Investigaciones?</t>
  </si>
  <si>
    <t>Identificar el estado actual y establecer el alcance de la capacitación</t>
  </si>
  <si>
    <t>Identificar ubicación del listado de estudiantes fuera de Bogotá y actas de consejo. Realizar el cálculo del indicador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</si>
</sst>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 #,##0.00_);_(&quot;$&quot;\ * \(#,##0.00\);_(&quot;$&quot;\ * &quot;-&quot;??_);_(@_)"/>
    <numFmt numFmtId="43" formatCode="_(* #,##0.00_);_(* \(#,##0.00\);_(* &quot;-&quot;??_);_(@_)"/>
    <numFmt numFmtId="164" formatCode="_(&quot;$&quot;\ * #,##0_);_(&quot;$&quot;\ * \(#,##0\);_(&quot;$&quot;\ * &quot;-&quot;??_);_(@_)"/>
  </numFmts>
  <fonts count="13" x14ac:knownFonts="1">
    <font>
      <sz val="11"/>
      <color theme="1"/>
      <name val="Calibri"/>
      <family val="2"/>
      <scheme val="minor"/>
    </font>
    <font>
      <b/>
      <sz val="11"/>
      <color theme="0"/>
      <name val="Calibri"/>
      <family val="2"/>
      <scheme val="minor"/>
    </font>
    <font>
      <sz val="11"/>
      <color theme="1"/>
      <name val="Calibri"/>
      <family val="2"/>
      <scheme val="minor"/>
    </font>
    <font>
      <b/>
      <sz val="16"/>
      <color theme="3" tint="-0.499984740745262"/>
      <name val="Calibri"/>
      <family val="2"/>
      <scheme val="minor"/>
    </font>
    <font>
      <b/>
      <sz val="14"/>
      <color theme="3" tint="-0.499984740745262"/>
      <name val="Calibri"/>
      <family val="2"/>
      <scheme val="minor"/>
    </font>
    <font>
      <b/>
      <sz val="11"/>
      <color theme="1"/>
      <name val="Calibri"/>
      <family val="2"/>
      <scheme val="minor"/>
    </font>
    <font>
      <b/>
      <sz val="11"/>
      <name val="Calibri"/>
      <family val="2"/>
      <scheme val="minor"/>
    </font>
    <font>
      <sz val="11"/>
      <name val="Calibri"/>
      <family val="2"/>
      <scheme val="minor"/>
    </font>
    <font>
      <sz val="11"/>
      <color indexed="8"/>
      <name val="Calibri"/>
      <family val="2"/>
    </font>
    <font>
      <b/>
      <i/>
      <sz val="11"/>
      <name val="Calibri"/>
      <family val="2"/>
      <scheme val="minor"/>
    </font>
    <font>
      <b/>
      <i/>
      <sz val="11"/>
      <color theme="1"/>
      <name val="Calibri"/>
      <family val="2"/>
      <scheme val="minor"/>
    </font>
    <font>
      <sz val="8"/>
      <color rgb="FF000000"/>
      <name val="Tahoma"/>
      <family val="2"/>
    </font>
    <font>
      <b/>
      <sz val="14"/>
      <color rgb="FFC00000"/>
      <name val="Calibri"/>
      <family val="2"/>
      <scheme val="minor"/>
    </font>
  </fonts>
  <fills count="14">
    <fill>
      <patternFill patternType="none"/>
    </fill>
    <fill>
      <patternFill patternType="gray125"/>
    </fill>
    <fill>
      <patternFill patternType="solid">
        <fgColor theme="3" tint="-0.49998474074526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1" tint="0.34998626667073579"/>
        <bgColor indexed="64"/>
      </patternFill>
    </fill>
    <fill>
      <patternFill patternType="solid">
        <fgColor theme="5" tint="-0.249977111117893"/>
        <bgColor indexed="64"/>
      </patternFill>
    </fill>
    <fill>
      <patternFill patternType="solid">
        <fgColor rgb="FFA7E3C5"/>
        <bgColor indexed="64"/>
      </patternFill>
    </fill>
    <fill>
      <patternFill patternType="solid">
        <fgColor rgb="FFCDCDCD"/>
        <bgColor indexed="64"/>
      </patternFill>
    </fill>
    <fill>
      <patternFill patternType="solid">
        <fgColor theme="4" tint="0.39997558519241921"/>
        <bgColor indexed="64"/>
      </patternFill>
    </fill>
  </fills>
  <borders count="18">
    <border>
      <left/>
      <right/>
      <top/>
      <bottom/>
      <diagonal/>
    </border>
    <border>
      <left style="dashed">
        <color indexed="64"/>
      </left>
      <right style="dashed">
        <color indexed="64"/>
      </right>
      <top style="dashed">
        <color indexed="64"/>
      </top>
      <bottom style="dashed">
        <color indexed="64"/>
      </bottom>
      <diagonal/>
    </border>
    <border>
      <left style="thin">
        <color indexed="64"/>
      </left>
      <right style="thin">
        <color indexed="64"/>
      </right>
      <top style="thin">
        <color indexed="64"/>
      </top>
      <bottom style="thin">
        <color indexed="64"/>
      </bottom>
      <diagonal/>
    </border>
    <border>
      <left/>
      <right style="dashed">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dashed">
        <color indexed="64"/>
      </left>
      <right style="dashed">
        <color indexed="64"/>
      </right>
      <top style="medium">
        <color indexed="64"/>
      </top>
      <bottom/>
      <diagonal/>
    </border>
    <border>
      <left/>
      <right style="dashed">
        <color indexed="64"/>
      </right>
      <top/>
      <bottom style="dashed">
        <color indexed="64"/>
      </bottom>
      <diagonal/>
    </border>
    <border>
      <left style="dashed">
        <color indexed="64"/>
      </left>
      <right style="medium">
        <color indexed="64"/>
      </right>
      <top/>
      <bottom style="dashed">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s>
  <cellStyleXfs count="10">
    <xf numFmtId="0" fontId="0" fillId="0" borderId="0"/>
    <xf numFmtId="44" fontId="2" fillId="0" borderId="0" applyFont="0" applyFill="0" applyBorder="0" applyAlignment="0" applyProtection="0"/>
    <xf numFmtId="0" fontId="8" fillId="0" borderId="0"/>
    <xf numFmtId="44" fontId="8"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8" fillId="0" borderId="0" applyFont="0" applyFill="0" applyBorder="0" applyAlignment="0" applyProtection="0"/>
    <xf numFmtId="0" fontId="2" fillId="0" borderId="0"/>
    <xf numFmtId="9" fontId="8" fillId="0" borderId="0" applyFont="0" applyFill="0" applyBorder="0" applyAlignment="0" applyProtection="0"/>
    <xf numFmtId="9" fontId="2" fillId="0" borderId="0" applyFont="0" applyFill="0" applyBorder="0" applyAlignment="0" applyProtection="0"/>
  </cellStyleXfs>
  <cellXfs count="97">
    <xf numFmtId="0" fontId="0" fillId="0" borderId="0" xfId="0"/>
    <xf numFmtId="0" fontId="1" fillId="2" borderId="1" xfId="0" applyFont="1" applyFill="1" applyBorder="1" applyAlignment="1">
      <alignment horizontal="center" wrapText="1"/>
    </xf>
    <xf numFmtId="0" fontId="0" fillId="4" borderId="0" xfId="0" applyFill="1"/>
    <xf numFmtId="0" fontId="4" fillId="4" borderId="0" xfId="0" applyFont="1" applyFill="1" applyAlignment="1"/>
    <xf numFmtId="0" fontId="3" fillId="4" borderId="0" xfId="0" applyFont="1" applyFill="1" applyAlignment="1"/>
    <xf numFmtId="0" fontId="5" fillId="4" borderId="0" xfId="0" applyFont="1" applyFill="1"/>
    <xf numFmtId="0" fontId="0" fillId="5" borderId="2" xfId="0" applyFill="1" applyBorder="1"/>
    <xf numFmtId="0" fontId="1" fillId="6" borderId="1" xfId="0" applyFont="1" applyFill="1" applyBorder="1" applyAlignment="1">
      <alignment horizontal="center" vertical="center" wrapText="1"/>
    </xf>
    <xf numFmtId="164" fontId="1" fillId="6" borderId="1" xfId="1" applyNumberFormat="1" applyFont="1" applyFill="1" applyBorder="1" applyAlignment="1">
      <alignment horizontal="center" vertical="center" wrapText="1"/>
    </xf>
    <xf numFmtId="164" fontId="1" fillId="7" borderId="1" xfId="1" applyNumberFormat="1" applyFont="1" applyFill="1" applyBorder="1" applyAlignment="1">
      <alignment horizontal="right" wrapText="1"/>
    </xf>
    <xf numFmtId="0" fontId="0" fillId="3" borderId="1" xfId="0" applyFill="1" applyBorder="1" applyAlignment="1">
      <alignment vertical="center" wrapText="1"/>
    </xf>
    <xf numFmtId="0" fontId="0" fillId="4" borderId="0" xfId="0" applyFill="1" applyAlignment="1">
      <alignment vertical="center" wrapText="1"/>
    </xf>
    <xf numFmtId="0" fontId="0" fillId="4" borderId="0" xfId="0" applyFill="1" applyAlignment="1">
      <alignment horizontal="center" vertical="center" wrapText="1"/>
    </xf>
    <xf numFmtId="0" fontId="1" fillId="7" borderId="1" xfId="0" applyFont="1" applyFill="1" applyBorder="1" applyAlignment="1">
      <alignment horizontal="left" vertical="center" wrapText="1"/>
    </xf>
    <xf numFmtId="0" fontId="0" fillId="8" borderId="1" xfId="0" applyFill="1" applyBorder="1" applyAlignment="1">
      <alignment vertical="center" wrapText="1"/>
    </xf>
    <xf numFmtId="0" fontId="6" fillId="4" borderId="1" xfId="0" applyFont="1" applyFill="1" applyBorder="1" applyAlignment="1">
      <alignment vertical="center" wrapText="1"/>
    </xf>
    <xf numFmtId="0" fontId="9" fillId="0" borderId="1" xfId="0" applyFont="1" applyFill="1" applyBorder="1" applyAlignment="1">
      <alignment horizontal="left" vertical="center" wrapText="1"/>
    </xf>
    <xf numFmtId="0" fontId="7" fillId="0" borderId="1" xfId="0" applyFont="1" applyFill="1" applyBorder="1" applyAlignment="1">
      <alignment vertical="center" wrapText="1"/>
    </xf>
    <xf numFmtId="0" fontId="10" fillId="0" borderId="1" xfId="0" applyFont="1" applyFill="1" applyBorder="1" applyAlignment="1">
      <alignment horizontal="left" vertical="center" wrapText="1"/>
    </xf>
    <xf numFmtId="164" fontId="1" fillId="7" borderId="1" xfId="1" applyNumberFormat="1" applyFont="1" applyFill="1" applyBorder="1" applyAlignment="1">
      <alignment horizontal="center" vertical="center" wrapText="1"/>
    </xf>
    <xf numFmtId="164" fontId="7" fillId="4" borderId="0" xfId="1" applyNumberFormat="1" applyFont="1" applyFill="1" applyAlignment="1">
      <alignment horizontal="center" vertical="center" wrapText="1"/>
    </xf>
    <xf numFmtId="164" fontId="2" fillId="4" borderId="0" xfId="1" applyNumberFormat="1" applyFont="1" applyFill="1" applyAlignment="1">
      <alignment horizontal="center" vertical="center" wrapText="1"/>
    </xf>
    <xf numFmtId="0" fontId="0" fillId="0" borderId="0" xfId="0" applyAlignment="1">
      <alignment wrapText="1"/>
    </xf>
    <xf numFmtId="0" fontId="1" fillId="7" borderId="1" xfId="0" applyFont="1" applyFill="1" applyBorder="1" applyAlignment="1">
      <alignment horizontal="center" vertical="center" wrapText="1"/>
    </xf>
    <xf numFmtId="164" fontId="2" fillId="8" borderId="1" xfId="1" applyNumberFormat="1" applyFont="1" applyFill="1" applyBorder="1" applyAlignment="1">
      <alignment horizontal="center" vertical="center" wrapText="1"/>
    </xf>
    <xf numFmtId="0" fontId="0" fillId="8" borderId="1" xfId="0" applyFill="1" applyBorder="1" applyAlignment="1">
      <alignment horizontal="center" vertical="center" wrapText="1"/>
    </xf>
    <xf numFmtId="164" fontId="2" fillId="3" borderId="1" xfId="1"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7" fillId="4" borderId="1" xfId="0" applyFont="1" applyFill="1" applyBorder="1" applyAlignment="1">
      <alignment horizontal="right" vertical="center" wrapText="1"/>
    </xf>
    <xf numFmtId="164" fontId="7" fillId="4" borderId="1" xfId="1"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0" borderId="1" xfId="0" applyFont="1" applyFill="1" applyBorder="1" applyAlignment="1">
      <alignment horizontal="right" vertical="center" wrapText="1"/>
    </xf>
    <xf numFmtId="164" fontId="7" fillId="0" borderId="1" xfId="1"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0" fillId="0" borderId="1" xfId="0" applyFill="1" applyBorder="1" applyAlignment="1">
      <alignment horizontal="right" vertical="center" wrapText="1"/>
    </xf>
    <xf numFmtId="164" fontId="2" fillId="0" borderId="1" xfId="1"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wrapText="1"/>
    </xf>
    <xf numFmtId="0" fontId="1" fillId="7" borderId="1" xfId="0" applyFont="1" applyFill="1" applyBorder="1" applyAlignment="1">
      <alignment horizontal="right" vertical="center" wrapText="1"/>
    </xf>
    <xf numFmtId="0" fontId="0" fillId="8" borderId="1" xfId="0" applyFill="1" applyBorder="1" applyAlignment="1">
      <alignment horizontal="right" vertical="center" wrapText="1"/>
    </xf>
    <xf numFmtId="0" fontId="0" fillId="3" borderId="1" xfId="0" applyFill="1" applyBorder="1" applyAlignment="1">
      <alignment horizontal="right" vertical="center" wrapText="1"/>
    </xf>
    <xf numFmtId="9" fontId="0" fillId="5" borderId="2" xfId="0" applyNumberFormat="1" applyFill="1" applyBorder="1"/>
    <xf numFmtId="0" fontId="12" fillId="4" borderId="0" xfId="0" applyFont="1" applyFill="1"/>
    <xf numFmtId="0" fontId="0" fillId="4" borderId="0" xfId="0" applyFont="1" applyFill="1" applyAlignment="1">
      <alignment horizontal="center" vertical="center" wrapText="1"/>
    </xf>
    <xf numFmtId="0" fontId="0" fillId="4" borderId="0" xfId="0" applyFont="1" applyFill="1" applyAlignment="1">
      <alignment horizontal="left" vertical="center" wrapText="1"/>
    </xf>
    <xf numFmtId="0" fontId="0" fillId="4" borderId="0" xfId="0" applyFont="1" applyFill="1" applyAlignment="1">
      <alignment vertical="center" wrapText="1"/>
    </xf>
    <xf numFmtId="0" fontId="1" fillId="10" borderId="9"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5" fillId="11" borderId="1" xfId="0" applyFont="1" applyFill="1" applyBorder="1" applyAlignment="1">
      <alignment horizontal="center" vertical="center"/>
    </xf>
    <xf numFmtId="0" fontId="6" fillId="11" borderId="14" xfId="0" applyFont="1" applyFill="1" applyBorder="1" applyAlignment="1">
      <alignment vertical="center" wrapText="1"/>
    </xf>
    <xf numFmtId="0" fontId="0" fillId="11" borderId="15" xfId="0" applyFill="1" applyBorder="1" applyAlignment="1">
      <alignment vertical="center" wrapText="1"/>
    </xf>
    <xf numFmtId="0" fontId="0" fillId="11" borderId="1" xfId="0" applyFill="1" applyBorder="1" applyAlignment="1">
      <alignment vertical="center" wrapText="1"/>
    </xf>
    <xf numFmtId="0" fontId="6" fillId="11" borderId="16"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11" borderId="17" xfId="0" applyFont="1" applyFill="1" applyBorder="1" applyAlignment="1">
      <alignment horizontal="left" vertical="center" wrapText="1"/>
    </xf>
    <xf numFmtId="0" fontId="7" fillId="0" borderId="0" xfId="0" applyFont="1" applyFill="1" applyAlignment="1">
      <alignment vertical="center" wrapText="1"/>
    </xf>
    <xf numFmtId="0" fontId="0" fillId="12" borderId="1" xfId="0" applyFont="1" applyFill="1" applyBorder="1" applyAlignment="1">
      <alignment horizontal="center" vertical="center"/>
    </xf>
    <xf numFmtId="0" fontId="7" fillId="12" borderId="14" xfId="0" applyFont="1" applyFill="1" applyBorder="1" applyAlignment="1">
      <alignment vertical="center" wrapText="1"/>
    </xf>
    <xf numFmtId="0" fontId="0" fillId="12" borderId="15" xfId="0" applyFont="1" applyFill="1" applyBorder="1" applyAlignment="1">
      <alignment vertical="center" wrapText="1"/>
    </xf>
    <xf numFmtId="0" fontId="0" fillId="12" borderId="1" xfId="0" applyFont="1" applyFill="1" applyBorder="1" applyAlignment="1">
      <alignment vertical="center" wrapText="1"/>
    </xf>
    <xf numFmtId="0" fontId="7" fillId="12" borderId="16"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7" fillId="12" borderId="17" xfId="0" applyFont="1" applyFill="1" applyBorder="1" applyAlignment="1">
      <alignment horizontal="left" vertical="center" wrapText="1"/>
    </xf>
    <xf numFmtId="0" fontId="0" fillId="0" borderId="16" xfId="0" applyFill="1" applyBorder="1" applyAlignment="1">
      <alignment horizontal="center" vertical="center"/>
    </xf>
    <xf numFmtId="0" fontId="0" fillId="0" borderId="17" xfId="0" applyFill="1" applyBorder="1" applyAlignment="1">
      <alignment vertical="center" wrapText="1"/>
    </xf>
    <xf numFmtId="17" fontId="0" fillId="0" borderId="16" xfId="0" applyNumberFormat="1" applyFill="1" applyBorder="1" applyAlignment="1">
      <alignment horizontal="center" vertical="center"/>
    </xf>
    <xf numFmtId="17" fontId="0" fillId="0" borderId="1" xfId="0" applyNumberFormat="1" applyFill="1" applyBorder="1" applyAlignment="1">
      <alignment horizontal="center" vertical="center"/>
    </xf>
    <xf numFmtId="0" fontId="0" fillId="0" borderId="1" xfId="0" applyFill="1" applyBorder="1" applyAlignment="1">
      <alignment horizontal="left" vertical="center" wrapText="1"/>
    </xf>
    <xf numFmtId="3" fontId="0" fillId="0" borderId="17" xfId="0" applyNumberFormat="1" applyFill="1" applyBorder="1" applyAlignment="1">
      <alignment horizontal="left" vertical="center" wrapText="1"/>
    </xf>
    <xf numFmtId="0" fontId="0" fillId="0" borderId="16" xfId="0" applyFill="1" applyBorder="1" applyAlignment="1">
      <alignment horizontal="left" vertical="center" wrapText="1"/>
    </xf>
    <xf numFmtId="164" fontId="0" fillId="0" borderId="1" xfId="1" applyNumberFormat="1" applyFont="1" applyFill="1" applyBorder="1" applyAlignment="1">
      <alignment horizontal="left" vertical="center" wrapText="1"/>
    </xf>
    <xf numFmtId="164" fontId="0" fillId="0" borderId="1" xfId="1" applyNumberFormat="1" applyFont="1" applyFill="1" applyBorder="1" applyAlignment="1">
      <alignment horizontal="center" vertical="center" wrapText="1"/>
    </xf>
    <xf numFmtId="164" fontId="0" fillId="0" borderId="17" xfId="1" applyNumberFormat="1" applyFont="1" applyFill="1" applyBorder="1" applyAlignment="1">
      <alignment horizontal="center" vertical="center" wrapText="1"/>
    </xf>
    <xf numFmtId="164" fontId="0" fillId="0" borderId="16" xfId="1" applyNumberFormat="1" applyFont="1" applyFill="1" applyBorder="1" applyAlignment="1">
      <alignment horizontal="center" vertical="center" wrapText="1"/>
    </xf>
    <xf numFmtId="0" fontId="0" fillId="0" borderId="0" xfId="0" applyFill="1" applyAlignment="1">
      <alignment vertical="center" wrapText="1"/>
    </xf>
    <xf numFmtId="0" fontId="0" fillId="0" borderId="0" xfId="0" applyFont="1" applyFill="1" applyAlignment="1">
      <alignment horizontal="center" vertical="center" wrapText="1"/>
    </xf>
    <xf numFmtId="0" fontId="0" fillId="0" borderId="0" xfId="0" applyFont="1" applyFill="1" applyAlignment="1">
      <alignment horizontal="left" vertical="center" wrapText="1"/>
    </xf>
    <xf numFmtId="0" fontId="0" fillId="0" borderId="0" xfId="0" applyFont="1" applyFill="1" applyAlignment="1">
      <alignment vertical="center" wrapText="1"/>
    </xf>
    <xf numFmtId="0" fontId="1" fillId="9" borderId="0" xfId="0" applyFont="1" applyFill="1" applyBorder="1" applyAlignment="1">
      <alignment horizontal="center" vertical="center" wrapText="1"/>
    </xf>
    <xf numFmtId="0" fontId="0" fillId="0" borderId="16" xfId="0" applyFill="1" applyBorder="1" applyAlignment="1">
      <alignment horizontal="center" vertical="center" wrapText="1"/>
    </xf>
    <xf numFmtId="0" fontId="1" fillId="13" borderId="0" xfId="0" applyFont="1" applyFill="1" applyBorder="1" applyAlignment="1">
      <alignment horizontal="center" vertical="center" wrapText="1"/>
    </xf>
    <xf numFmtId="0" fontId="4" fillId="4" borderId="0" xfId="0" applyFont="1" applyFill="1" applyAlignment="1">
      <alignment horizontal="center"/>
    </xf>
    <xf numFmtId="0" fontId="3" fillId="4" borderId="0" xfId="0" applyFont="1" applyFill="1" applyAlignment="1">
      <alignment horizontal="center"/>
    </xf>
    <xf numFmtId="0" fontId="1" fillId="9" borderId="11" xfId="0" applyFont="1" applyFill="1" applyBorder="1" applyAlignment="1">
      <alignment horizontal="center" vertical="center" wrapText="1"/>
    </xf>
    <xf numFmtId="0" fontId="1" fillId="9" borderId="12"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1" fillId="9" borderId="10" xfId="0" applyFont="1" applyFill="1" applyBorder="1" applyAlignment="1">
      <alignment horizontal="center" vertical="center" wrapText="1"/>
    </xf>
    <xf numFmtId="3" fontId="1" fillId="9" borderId="4" xfId="0" applyNumberFormat="1" applyFont="1" applyFill="1" applyBorder="1" applyAlignment="1">
      <alignment horizontal="center" vertical="center" wrapText="1"/>
    </xf>
    <xf numFmtId="3" fontId="1" fillId="9" borderId="8" xfId="0" applyNumberFormat="1" applyFont="1" applyFill="1" applyBorder="1" applyAlignment="1">
      <alignment horizontal="center" vertical="center" wrapText="1"/>
    </xf>
  </cellXfs>
  <cellStyles count="10">
    <cellStyle name="Millares 2" xfId="6"/>
    <cellStyle name="Moneda" xfId="1" builtinId="4"/>
    <cellStyle name="Moneda 2" xfId="3"/>
    <cellStyle name="Moneda 2 2" xfId="5"/>
    <cellStyle name="Moneda 3" xfId="4"/>
    <cellStyle name="Normal" xfId="0" builtinId="0"/>
    <cellStyle name="Normal 2" xfId="2"/>
    <cellStyle name="Normal 3" xfId="7"/>
    <cellStyle name="Porcentaje 2" xfId="8"/>
    <cellStyle name="Porcentual 2"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firstButton="1" lockText="1" noThreeD="1"/>
</file>

<file path=xl/ctrlProps/ctrlProp5.xml><?xml version="1.0" encoding="utf-8"?>
<formControlPr xmlns="http://schemas.microsoft.com/office/spreadsheetml/2009/9/main" objectType="Radio" firstButton="1"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checked="Checked" firstButton="1"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GBox" noThreeD="1"/>
</file>

<file path=xl/drawings/_rels/drawing2.xml.rels><?xml version="1.0" encoding="UTF-8" standalone="yes"?>
<Relationships xmlns="http://schemas.openxmlformats.org/package/2006/relationships"><Relationship Id="rId1" Type="http://schemas.openxmlformats.org/officeDocument/2006/relationships/hyperlink" Target="#'Componentes del Plan'!A1"/></Relationships>
</file>

<file path=xl/drawings/_rels/drawing3.xml.rels><?xml version="1.0" encoding="UTF-8" standalone="yes"?>
<Relationships xmlns="http://schemas.openxmlformats.org/package/2006/relationships"><Relationship Id="rId1" Type="http://schemas.openxmlformats.org/officeDocument/2006/relationships/hyperlink" Target="#'Componentes del Plan'!A1"/></Relationships>
</file>

<file path=xl/drawings/drawing1.xml><?xml version="1.0" encoding="utf-8"?>
<xdr:wsDr xmlns:xdr="http://schemas.openxmlformats.org/drawingml/2006/spreadsheetDrawing" xmlns:a="http://schemas.openxmlformats.org/drawingml/2006/main">
  <xdr:twoCellAnchor>
    <xdr:from>
      <xdr:col>0</xdr:col>
      <xdr:colOff>200025</xdr:colOff>
      <xdr:row>4</xdr:row>
      <xdr:rowOff>38099</xdr:rowOff>
    </xdr:from>
    <xdr:to>
      <xdr:col>7</xdr:col>
      <xdr:colOff>342900</xdr:colOff>
      <xdr:row>11</xdr:row>
      <xdr:rowOff>133350</xdr:rowOff>
    </xdr:to>
    <xdr:sp macro="" textlink="">
      <xdr:nvSpPr>
        <xdr:cNvPr id="2" name="1 CuadroTexto"/>
        <xdr:cNvSpPr txBox="1"/>
      </xdr:nvSpPr>
      <xdr:spPr>
        <a:xfrm>
          <a:off x="200025" y="847724"/>
          <a:ext cx="5800725" cy="142875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s-CO" sz="1100">
              <a:solidFill>
                <a:schemeClr val="dk1"/>
              </a:solidFill>
              <a:latin typeface="+mn-lt"/>
              <a:ea typeface="+mn-ea"/>
              <a:cs typeface="+mn-cs"/>
            </a:rPr>
            <a:t>El Departamento forma profesionales e investigadores en física, y contribuye a la generación de nuevo conocimiento para el desarrollo científico del país. Mantiene un nivel de excelencia en actividades de docencia, investigación y extensión. </a:t>
          </a:r>
          <a:r>
            <a:rPr lang="es-CO" sz="1100" baseline="0">
              <a:solidFill>
                <a:schemeClr val="dk1"/>
              </a:solidFill>
              <a:latin typeface="+mn-lt"/>
              <a:ea typeface="+mn-ea"/>
              <a:cs typeface="+mn-cs"/>
            </a:rPr>
            <a:t> E</a:t>
          </a:r>
          <a:r>
            <a:rPr lang="es-CO" sz="1100">
              <a:solidFill>
                <a:schemeClr val="dk1"/>
              </a:solidFill>
              <a:latin typeface="+mn-lt"/>
              <a:ea typeface="+mn-ea"/>
              <a:cs typeface="+mn-cs"/>
            </a:rPr>
            <a:t>l Departamento trabaja permanentemente en mejorar las técnicas de enseñanza para transmitir eficientemente el pensamiento científico;  participa activamente en la creación de nuevo conocimiento en diversas áreas de frontera de la física; y  promueve la divulgación y socialización de la física. </a:t>
          </a:r>
          <a:endParaRPr lang="es-CO"/>
        </a:p>
        <a:p>
          <a:endParaRPr lang="es-CO" sz="1100">
            <a:ln w="12700">
              <a:noFill/>
            </a:ln>
          </a:endParaRPr>
        </a:p>
      </xdr:txBody>
    </xdr:sp>
    <xdr:clientData/>
  </xdr:twoCellAnchor>
  <xdr:twoCellAnchor>
    <xdr:from>
      <xdr:col>0</xdr:col>
      <xdr:colOff>190500</xdr:colOff>
      <xdr:row>12</xdr:row>
      <xdr:rowOff>247649</xdr:rowOff>
    </xdr:from>
    <xdr:to>
      <xdr:col>7</xdr:col>
      <xdr:colOff>333375</xdr:colOff>
      <xdr:row>23</xdr:row>
      <xdr:rowOff>47625</xdr:rowOff>
    </xdr:to>
    <xdr:sp macro="" textlink="">
      <xdr:nvSpPr>
        <xdr:cNvPr id="3" name="2 CuadroTexto"/>
        <xdr:cNvSpPr txBox="1"/>
      </xdr:nvSpPr>
      <xdr:spPr>
        <a:xfrm>
          <a:off x="190500" y="2581274"/>
          <a:ext cx="5800725" cy="1971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fontAlgn="base"/>
          <a:r>
            <a:rPr lang="es-CO" sz="1100">
              <a:solidFill>
                <a:schemeClr val="dk1"/>
              </a:solidFill>
              <a:latin typeface="+mn-lt"/>
              <a:ea typeface="+mn-ea"/>
              <a:cs typeface="+mn-cs"/>
            </a:rPr>
            <a:t>El Departamento de Física tiene varios retos, en docencia e investigación, para  mantener un nivel de excelencia. En el campo de la docencia se crean nuevas formas de enseñanza que motiven el interés por estudiar Física, así como se forman excelentes estudiantes de pregrado para que continúen estudios de posgrado y realicen una carrera de investigación científica. </a:t>
          </a:r>
          <a:endParaRPr lang="es-CO"/>
        </a:p>
        <a:p>
          <a:r>
            <a:rPr lang="es-CO" sz="1100">
              <a:solidFill>
                <a:schemeClr val="dk1"/>
              </a:solidFill>
              <a:latin typeface="+mn-lt"/>
              <a:ea typeface="+mn-ea"/>
              <a:cs typeface="+mn-cs"/>
            </a:rPr>
            <a:t>En cuanto a la investigación, se fomenta una atmósfera apropiada para atraer y mantener activos a profesores con el máximo grado de educación, así como a investigadores y egresados comprometidos con el desarrollo de una amplia variedad de áreas de investigación.  Igualmente, se incentivan trabajos en áreas interdisciplinarias, se adquieren y renuevan equipos que permiten realizar apropiadamente investigación de frontera en áreas experimentales y computacionales, y se actualizan las colecciones bibliográficas de la especialidad.</a:t>
          </a:r>
          <a:endParaRPr lang="es-CO" sz="1100"/>
        </a:p>
      </xdr:txBody>
    </xdr:sp>
    <xdr:clientData/>
  </xdr:twoCellAnchor>
  <xdr:twoCellAnchor>
    <xdr:from>
      <xdr:col>0</xdr:col>
      <xdr:colOff>47624</xdr:colOff>
      <xdr:row>0</xdr:row>
      <xdr:rowOff>85725</xdr:rowOff>
    </xdr:from>
    <xdr:to>
      <xdr:col>5</xdr:col>
      <xdr:colOff>761999</xdr:colOff>
      <xdr:row>1</xdr:row>
      <xdr:rowOff>171450</xdr:rowOff>
    </xdr:to>
    <xdr:sp macro="" textlink="">
      <xdr:nvSpPr>
        <xdr:cNvPr id="5" name="4 CuadroTexto"/>
        <xdr:cNvSpPr txBox="1"/>
      </xdr:nvSpPr>
      <xdr:spPr>
        <a:xfrm>
          <a:off x="47624" y="85725"/>
          <a:ext cx="4848225" cy="276225"/>
        </a:xfrm>
        <a:prstGeom prst="rect">
          <a:avLst/>
        </a:prstGeom>
        <a:ln/>
        <a:effectLst>
          <a:outerShdw blurRad="40000" dist="23000" dir="5400000" rotWithShape="0">
            <a:srgbClr val="000000">
              <a:alpha val="35000"/>
            </a:srgbClr>
          </a:outerShdw>
        </a:effectLst>
      </xdr:spPr>
      <xdr:style>
        <a:lnRef idx="1">
          <a:schemeClr val="accent1"/>
        </a:lnRef>
        <a:fillRef idx="3">
          <a:schemeClr val="accent1"/>
        </a:fillRef>
        <a:effectRef idx="2">
          <a:schemeClr val="accent1"/>
        </a:effectRef>
        <a:fontRef idx="minor">
          <a:schemeClr val="lt1"/>
        </a:fontRef>
      </xdr:style>
      <xdr:txBody>
        <a:bodyPr vertOverflow="clip" wrap="square" rtlCol="0" anchor="t"/>
        <a:lstStyle/>
        <a:p>
          <a:r>
            <a:rPr lang="es-CO" sz="1400" b="1"/>
            <a:t>1. MISIÓN Y VISIÓN DE LA FACULTAD/DEPARTAMENTO</a:t>
          </a:r>
        </a:p>
      </xdr:txBody>
    </xdr:sp>
    <xdr:clientData/>
  </xdr:twoCellAnchor>
  <xdr:twoCellAnchor>
    <xdr:from>
      <xdr:col>0</xdr:col>
      <xdr:colOff>209550</xdr:colOff>
      <xdr:row>25</xdr:row>
      <xdr:rowOff>104775</xdr:rowOff>
    </xdr:from>
    <xdr:to>
      <xdr:col>7</xdr:col>
      <xdr:colOff>352425</xdr:colOff>
      <xdr:row>31</xdr:row>
      <xdr:rowOff>57150</xdr:rowOff>
    </xdr:to>
    <xdr:sp macro="" textlink="">
      <xdr:nvSpPr>
        <xdr:cNvPr id="6" name="5 CuadroTexto"/>
        <xdr:cNvSpPr txBox="1"/>
      </xdr:nvSpPr>
      <xdr:spPr>
        <a:xfrm>
          <a:off x="209550" y="5067300"/>
          <a:ext cx="5800725"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sz="1100">
              <a:solidFill>
                <a:schemeClr val="dk1"/>
              </a:solidFill>
              <a:latin typeface="+mn-lt"/>
              <a:ea typeface="+mn-ea"/>
              <a:cs typeface="+mn-cs"/>
            </a:rPr>
            <a:t>La excelencia académica de su planta profesoral  y su alta producción científica  posicionan al departamento de física  como líder a nivel nacional y de Latino América.  Sus egresados se caracterizan por su alto nivel académico, su etica profesional  y su formación investigativa, lo que les permite  desarrollar carreras científicas muy exitosas.</a:t>
          </a:r>
        </a:p>
        <a:p>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0</xdr:rowOff>
    </xdr:from>
    <xdr:to>
      <xdr:col>9</xdr:col>
      <xdr:colOff>1104903</xdr:colOff>
      <xdr:row>1</xdr:row>
      <xdr:rowOff>161925</xdr:rowOff>
    </xdr:to>
    <xdr:sp macro="" textlink="">
      <xdr:nvSpPr>
        <xdr:cNvPr id="2" name="1 CuadroTexto">
          <a:hlinkClick xmlns:r="http://schemas.openxmlformats.org/officeDocument/2006/relationships" r:id="rId1"/>
        </xdr:cNvPr>
        <xdr:cNvSpPr txBox="1"/>
      </xdr:nvSpPr>
      <xdr:spPr>
        <a:xfrm>
          <a:off x="8629650" y="0"/>
          <a:ext cx="2057403" cy="352425"/>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wrap="square" rtlCol="0" anchor="t"/>
        <a:lstStyle/>
        <a:p>
          <a:r>
            <a:rPr lang="es-CO" sz="1600" b="1"/>
            <a:t>Volver al</a:t>
          </a:r>
          <a:r>
            <a:rPr lang="es-CO" sz="1600" b="1" baseline="0"/>
            <a:t> Menú inicial</a:t>
          </a:r>
          <a:endParaRPr lang="es-CO" sz="1600" b="1"/>
        </a:p>
      </xdr:txBody>
    </xdr:sp>
    <xdr:clientData/>
  </xdr:twoCellAnchor>
  <xdr:twoCellAnchor>
    <xdr:from>
      <xdr:col>0</xdr:col>
      <xdr:colOff>0</xdr:colOff>
      <xdr:row>0</xdr:row>
      <xdr:rowOff>47625</xdr:rowOff>
    </xdr:from>
    <xdr:to>
      <xdr:col>1</xdr:col>
      <xdr:colOff>1152525</xdr:colOff>
      <xdr:row>2</xdr:row>
      <xdr:rowOff>0</xdr:rowOff>
    </xdr:to>
    <xdr:sp macro="" textlink="">
      <xdr:nvSpPr>
        <xdr:cNvPr id="3" name="2 CuadroTexto"/>
        <xdr:cNvSpPr txBox="1"/>
      </xdr:nvSpPr>
      <xdr:spPr>
        <a:xfrm>
          <a:off x="0" y="47625"/>
          <a:ext cx="1981200" cy="333375"/>
        </a:xfrm>
        <a:custGeom>
          <a:avLst/>
          <a:gdLst>
            <a:gd name="connsiteX0" fmla="*/ 0 w 1743075"/>
            <a:gd name="connsiteY0" fmla="*/ 0 h 295275"/>
            <a:gd name="connsiteX1" fmla="*/ 1743075 w 1743075"/>
            <a:gd name="connsiteY1" fmla="*/ 0 h 295275"/>
            <a:gd name="connsiteX2" fmla="*/ 1743075 w 1743075"/>
            <a:gd name="connsiteY2" fmla="*/ 295275 h 295275"/>
            <a:gd name="connsiteX3" fmla="*/ 0 w 1743075"/>
            <a:gd name="connsiteY3" fmla="*/ 295275 h 295275"/>
            <a:gd name="connsiteX4" fmla="*/ 0 w 1743075"/>
            <a:gd name="connsiteY4" fmla="*/ 0 h 2952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43075" h="295275">
              <a:moveTo>
                <a:pt x="0" y="0"/>
              </a:moveTo>
              <a:lnTo>
                <a:pt x="1743075" y="0"/>
              </a:lnTo>
              <a:lnTo>
                <a:pt x="1743075" y="295275"/>
              </a:lnTo>
              <a:lnTo>
                <a:pt x="0" y="295275"/>
              </a:lnTo>
              <a:lnTo>
                <a:pt x="0" y="0"/>
              </a:lnTo>
              <a:close/>
            </a:path>
          </a:pathLst>
        </a:custGeom>
        <a:ln/>
      </xdr:spPr>
      <xdr:style>
        <a:lnRef idx="1">
          <a:schemeClr val="accent1"/>
        </a:lnRef>
        <a:fillRef idx="3">
          <a:schemeClr val="accent1"/>
        </a:fillRef>
        <a:effectRef idx="2">
          <a:schemeClr val="accent1"/>
        </a:effectRef>
        <a:fontRef idx="minor">
          <a:schemeClr val="lt1"/>
        </a:fontRef>
      </xdr:style>
      <xdr:txBody>
        <a:bodyPr vertOverflow="clip" wrap="square" rtlCol="0" anchor="t"/>
        <a:lstStyle/>
        <a:p>
          <a:pPr algn="ctr"/>
          <a:r>
            <a:rPr lang="es-CO" sz="1400" b="1"/>
            <a:t>3. PLAN FINANCIERO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47625</xdr:rowOff>
    </xdr:from>
    <xdr:to>
      <xdr:col>2</xdr:col>
      <xdr:colOff>390525</xdr:colOff>
      <xdr:row>2</xdr:row>
      <xdr:rowOff>0</xdr:rowOff>
    </xdr:to>
    <xdr:sp macro="" textlink="">
      <xdr:nvSpPr>
        <xdr:cNvPr id="2" name="1 CuadroTexto"/>
        <xdr:cNvSpPr txBox="1"/>
      </xdr:nvSpPr>
      <xdr:spPr>
        <a:xfrm>
          <a:off x="0" y="47625"/>
          <a:ext cx="1914525" cy="333375"/>
        </a:xfrm>
        <a:custGeom>
          <a:avLst/>
          <a:gdLst>
            <a:gd name="connsiteX0" fmla="*/ 0 w 1743075"/>
            <a:gd name="connsiteY0" fmla="*/ 0 h 295275"/>
            <a:gd name="connsiteX1" fmla="*/ 1743075 w 1743075"/>
            <a:gd name="connsiteY1" fmla="*/ 0 h 295275"/>
            <a:gd name="connsiteX2" fmla="*/ 1743075 w 1743075"/>
            <a:gd name="connsiteY2" fmla="*/ 295275 h 295275"/>
            <a:gd name="connsiteX3" fmla="*/ 0 w 1743075"/>
            <a:gd name="connsiteY3" fmla="*/ 295275 h 295275"/>
            <a:gd name="connsiteX4" fmla="*/ 0 w 1743075"/>
            <a:gd name="connsiteY4" fmla="*/ 0 h 2952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43075" h="295275">
              <a:moveTo>
                <a:pt x="0" y="0"/>
              </a:moveTo>
              <a:lnTo>
                <a:pt x="1743075" y="0"/>
              </a:lnTo>
              <a:lnTo>
                <a:pt x="1743075" y="295275"/>
              </a:lnTo>
              <a:lnTo>
                <a:pt x="0" y="295275"/>
              </a:lnTo>
              <a:lnTo>
                <a:pt x="0" y="0"/>
              </a:lnTo>
              <a:close/>
            </a:path>
          </a:pathLst>
        </a:custGeom>
        <a:ln/>
      </xdr:spPr>
      <xdr:style>
        <a:lnRef idx="1">
          <a:schemeClr val="accent1"/>
        </a:lnRef>
        <a:fillRef idx="3">
          <a:schemeClr val="accent1"/>
        </a:fillRef>
        <a:effectRef idx="2">
          <a:schemeClr val="accent1"/>
        </a:effectRef>
        <a:fontRef idx="minor">
          <a:schemeClr val="lt1"/>
        </a:fontRef>
      </xdr:style>
      <xdr:txBody>
        <a:bodyPr vertOverflow="clip" wrap="square" rtlCol="0" anchor="t"/>
        <a:lstStyle/>
        <a:p>
          <a:pPr algn="ctr"/>
          <a:r>
            <a:rPr lang="es-CO" sz="1400" b="1"/>
            <a:t>4. PREGUNTAS  CLAVES</a:t>
          </a:r>
        </a:p>
      </xdr:txBody>
    </xdr:sp>
    <xdr:clientData/>
  </xdr:twoCellAnchor>
  <xdr:twoCellAnchor>
    <xdr:from>
      <xdr:col>7</xdr:col>
      <xdr:colOff>66675</xdr:colOff>
      <xdr:row>0</xdr:row>
      <xdr:rowOff>47625</xdr:rowOff>
    </xdr:from>
    <xdr:to>
      <xdr:col>9</xdr:col>
      <xdr:colOff>695328</xdr:colOff>
      <xdr:row>2</xdr:row>
      <xdr:rowOff>19050</xdr:rowOff>
    </xdr:to>
    <xdr:sp macro="" textlink="">
      <xdr:nvSpPr>
        <xdr:cNvPr id="3" name="2 CuadroTexto">
          <a:hlinkClick xmlns:r="http://schemas.openxmlformats.org/officeDocument/2006/relationships" r:id="rId1"/>
        </xdr:cNvPr>
        <xdr:cNvSpPr txBox="1"/>
      </xdr:nvSpPr>
      <xdr:spPr>
        <a:xfrm>
          <a:off x="5400675" y="47625"/>
          <a:ext cx="2152653" cy="352425"/>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wrap="square" rtlCol="0" anchor="t"/>
        <a:lstStyle/>
        <a:p>
          <a:r>
            <a:rPr lang="es-CO" sz="1600" b="1"/>
            <a:t>Volver al</a:t>
          </a:r>
          <a:r>
            <a:rPr lang="es-CO" sz="1600" b="1" baseline="0"/>
            <a:t> Menú inicial</a:t>
          </a:r>
          <a:endParaRPr lang="es-CO" sz="1600" b="1"/>
        </a:p>
      </xdr:txBody>
    </xdr:sp>
    <xdr:clientData/>
  </xdr:twoCellAnchor>
  <xdr:twoCellAnchor>
    <xdr:from>
      <xdr:col>0</xdr:col>
      <xdr:colOff>0</xdr:colOff>
      <xdr:row>2</xdr:row>
      <xdr:rowOff>142874</xdr:rowOff>
    </xdr:from>
    <xdr:to>
      <xdr:col>9</xdr:col>
      <xdr:colOff>714375</xdr:colOff>
      <xdr:row>5</xdr:row>
      <xdr:rowOff>180975</xdr:rowOff>
    </xdr:to>
    <xdr:sp macro="" textlink="">
      <xdr:nvSpPr>
        <xdr:cNvPr id="4" name="3 CuadroTexto"/>
        <xdr:cNvSpPr txBox="1"/>
      </xdr:nvSpPr>
      <xdr:spPr>
        <a:xfrm>
          <a:off x="0" y="523874"/>
          <a:ext cx="7572375" cy="609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a:t>Como parte de la planeación Institucional,</a:t>
          </a:r>
          <a:r>
            <a:rPr lang="es-CO" sz="1100" baseline="0"/>
            <a:t> es importante responder las siguientes preguntas para facilitar la identificación de recursos para los próximos 5 años. Tenga presente que se deben responder con base al estado actual de la Facultad o Departamento y los valores son aproximados, teniendo un rango de holgura de más o menos 10%:</a:t>
          </a:r>
          <a:endParaRPr lang="es-CO" sz="1100"/>
        </a:p>
      </xdr:txBody>
    </xdr:sp>
    <xdr:clientData/>
  </xdr:twoCellAnchor>
  <xdr:twoCellAnchor>
    <xdr:from>
      <xdr:col>0</xdr:col>
      <xdr:colOff>0</xdr:colOff>
      <xdr:row>35</xdr:row>
      <xdr:rowOff>38099</xdr:rowOff>
    </xdr:from>
    <xdr:to>
      <xdr:col>9</xdr:col>
      <xdr:colOff>714375</xdr:colOff>
      <xdr:row>41</xdr:row>
      <xdr:rowOff>76200</xdr:rowOff>
    </xdr:to>
    <xdr:sp macro="" textlink="">
      <xdr:nvSpPr>
        <xdr:cNvPr id="5" name="4 CuadroTexto"/>
        <xdr:cNvSpPr txBox="1"/>
      </xdr:nvSpPr>
      <xdr:spPr>
        <a:xfrm>
          <a:off x="0" y="6619874"/>
          <a:ext cx="7572375" cy="1181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b="1" baseline="0"/>
            <a:t>VALORACIÓN DE RECURSOS</a:t>
          </a:r>
        </a:p>
        <a:p>
          <a:endParaRPr lang="es-CO" sz="1100" baseline="0"/>
        </a:p>
        <a:p>
          <a:r>
            <a:rPr lang="es-CO" sz="1100" baseline="0"/>
            <a:t>A continuación se listan algunos de los recursos misionales de la Universidad que se deben valorar, con el fin de identificar puntos de desarrollo institucionales para los próximos 5 años. Para tal fin es necesario que realicen un breve comentario del estado actual de los recursos a nivel de Facultad y lo que esperan para la nueva vigencia del PDI. En caso que haya alguno que no se encuentre en el listado, favor adiciónelo y realicen los comentarios que consideren pertienentes.</a:t>
          </a:r>
          <a:endParaRPr lang="es-CO" sz="1100"/>
        </a:p>
      </xdr:txBody>
    </xdr:sp>
    <xdr:clientData/>
  </xdr:twoCellAnchor>
  <xdr:twoCellAnchor>
    <xdr:from>
      <xdr:col>0</xdr:col>
      <xdr:colOff>0</xdr:colOff>
      <xdr:row>43</xdr:row>
      <xdr:rowOff>38100</xdr:rowOff>
    </xdr:from>
    <xdr:to>
      <xdr:col>9</xdr:col>
      <xdr:colOff>714375</xdr:colOff>
      <xdr:row>46</xdr:row>
      <xdr:rowOff>180975</xdr:rowOff>
    </xdr:to>
    <xdr:sp macro="" textlink="">
      <xdr:nvSpPr>
        <xdr:cNvPr id="6" name="5 CuadroTexto"/>
        <xdr:cNvSpPr txBox="1"/>
      </xdr:nvSpPr>
      <xdr:spPr>
        <a:xfrm>
          <a:off x="0" y="8143875"/>
          <a:ext cx="7572375"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b="1" baseline="0"/>
            <a:t>COMENTARIOS: </a:t>
          </a:r>
        </a:p>
        <a:p>
          <a:endParaRPr lang="es-CO" sz="1100" b="1" baseline="0"/>
        </a:p>
        <a:p>
          <a:r>
            <a:rPr lang="es-CO" sz="1100" b="0" baseline="0"/>
            <a:t>Es fundamental  para el desarrollo del departamento de física  continuar con la adquisición de equipos de laboratorio para investigación. Nuestra productividad cientifica esta estrechamente ligada con tener los equipos básicos de investigación, los cuales esperamos terminar de adquirir en el periodo 2011-2015.</a:t>
          </a:r>
        </a:p>
        <a:p>
          <a:endParaRPr lang="es-CO" sz="1100" b="0" baseline="0"/>
        </a:p>
      </xdr:txBody>
    </xdr:sp>
    <xdr:clientData/>
  </xdr:twoCellAnchor>
  <xdr:twoCellAnchor>
    <xdr:from>
      <xdr:col>0</xdr:col>
      <xdr:colOff>0</xdr:colOff>
      <xdr:row>49</xdr:row>
      <xdr:rowOff>38100</xdr:rowOff>
    </xdr:from>
    <xdr:to>
      <xdr:col>9</xdr:col>
      <xdr:colOff>714375</xdr:colOff>
      <xdr:row>52</xdr:row>
      <xdr:rowOff>180975</xdr:rowOff>
    </xdr:to>
    <xdr:sp macro="" textlink="">
      <xdr:nvSpPr>
        <xdr:cNvPr id="7" name="6 CuadroTexto"/>
        <xdr:cNvSpPr txBox="1"/>
      </xdr:nvSpPr>
      <xdr:spPr>
        <a:xfrm>
          <a:off x="0" y="10001250"/>
          <a:ext cx="7572375"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b="1" baseline="0"/>
            <a:t>COMENTARIOS:</a:t>
          </a:r>
        </a:p>
        <a:p>
          <a:r>
            <a:rPr lang="es-CO" sz="1100" baseline="0"/>
            <a:t>Es necesario para nosotros  mantener las suscripciones actuales a revistas. Esto facilita la consulta bibliografica por parte de nuestros investigadores.</a:t>
          </a:r>
        </a:p>
        <a:p>
          <a:endParaRPr lang="es-CO" sz="1100" baseline="0"/>
        </a:p>
      </xdr:txBody>
    </xdr:sp>
    <xdr:clientData/>
  </xdr:twoCellAnchor>
  <xdr:twoCellAnchor>
    <xdr:from>
      <xdr:col>0</xdr:col>
      <xdr:colOff>0</xdr:colOff>
      <xdr:row>55</xdr:row>
      <xdr:rowOff>47625</xdr:rowOff>
    </xdr:from>
    <xdr:to>
      <xdr:col>9</xdr:col>
      <xdr:colOff>714375</xdr:colOff>
      <xdr:row>59</xdr:row>
      <xdr:rowOff>0</xdr:rowOff>
    </xdr:to>
    <xdr:sp macro="" textlink="">
      <xdr:nvSpPr>
        <xdr:cNvPr id="8" name="7 CuadroTexto"/>
        <xdr:cNvSpPr txBox="1"/>
      </xdr:nvSpPr>
      <xdr:spPr>
        <a:xfrm>
          <a:off x="0" y="11087100"/>
          <a:ext cx="7572375"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b="1" baseline="0"/>
            <a:t>COMENTARIOS:</a:t>
          </a:r>
        </a:p>
        <a:p>
          <a:r>
            <a:rPr lang="es-CO" sz="1100" baseline="0"/>
            <a:t>Mantener los equipos de computacion básico para cada profesor y estudiante de doctorado es fundamental. La  investigación nuestra requiere de tener equipos de computo de alto  rendimiento. Es por eso importante fortalecer el data center de física y el nodo GRID de la Universidad de Los Andes.</a:t>
          </a:r>
        </a:p>
      </xdr:txBody>
    </xdr:sp>
    <xdr:clientData/>
  </xdr:twoCellAnchor>
  <xdr:twoCellAnchor>
    <xdr:from>
      <xdr:col>0</xdr:col>
      <xdr:colOff>0</xdr:colOff>
      <xdr:row>67</xdr:row>
      <xdr:rowOff>47625</xdr:rowOff>
    </xdr:from>
    <xdr:to>
      <xdr:col>9</xdr:col>
      <xdr:colOff>714375</xdr:colOff>
      <xdr:row>71</xdr:row>
      <xdr:rowOff>95250</xdr:rowOff>
    </xdr:to>
    <xdr:sp macro="" textlink="">
      <xdr:nvSpPr>
        <xdr:cNvPr id="9" name="8 CuadroTexto"/>
        <xdr:cNvSpPr txBox="1"/>
      </xdr:nvSpPr>
      <xdr:spPr>
        <a:xfrm>
          <a:off x="0" y="13696950"/>
          <a:ext cx="7572375"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b="1" baseline="0"/>
            <a:t>COMENTARIOS:</a:t>
          </a:r>
        </a:p>
        <a:p>
          <a:r>
            <a:rPr lang="es-CO" sz="1100" b="0" baseline="0"/>
            <a:t>El salón B202 esta siendo usado a toda su capacidad por el departamento de física de martes a Jueves. Es posible que el número de magistrales aumente, por lo cual necesitaremos un salon adicional para suplir estas necesidades. Dado que para nuestras magistrales usamos equipos, ubicados en el edificio B, para relizar experimentos demostrativos,  lo mas apropiado sería ubicar otro salón en el edificio B para nuevas magistrales.</a:t>
          </a:r>
          <a:endParaRPr lang="es-CO" sz="1100" b="1" baseline="0"/>
        </a:p>
        <a:p>
          <a:endParaRPr lang="es-CO" sz="1100" baseline="0"/>
        </a:p>
      </xdr:txBody>
    </xdr:sp>
    <xdr:clientData/>
  </xdr:twoCellAnchor>
  <xdr:twoCellAnchor>
    <xdr:from>
      <xdr:col>0</xdr:col>
      <xdr:colOff>0</xdr:colOff>
      <xdr:row>61</xdr:row>
      <xdr:rowOff>47625</xdr:rowOff>
    </xdr:from>
    <xdr:to>
      <xdr:col>9</xdr:col>
      <xdr:colOff>714375</xdr:colOff>
      <xdr:row>65</xdr:row>
      <xdr:rowOff>0</xdr:rowOff>
    </xdr:to>
    <xdr:sp macro="" textlink="">
      <xdr:nvSpPr>
        <xdr:cNvPr id="10" name="9 CuadroTexto"/>
        <xdr:cNvSpPr txBox="1"/>
      </xdr:nvSpPr>
      <xdr:spPr>
        <a:xfrm>
          <a:off x="0" y="12258675"/>
          <a:ext cx="7572375"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CO" sz="1100" b="1" baseline="0"/>
            <a:t>COMENTARIOS:</a:t>
          </a:r>
        </a:p>
        <a:p>
          <a:r>
            <a:rPr lang="es-CO" sz="1100" baseline="0"/>
            <a:t>Las instalaciones del edificio IP y la zona de oficinas de estudiantes de posgrado en el edificio I (la capilla) fueron planeadas para cubrir los planes de desarrollo, entre el 2011 y2015, del departamento  en su planta profesoral y para los estudiantes de posgrado. Aun tenemos algunas necesidades de espacio para nuestros practicantes docentes y para compufisica.  </a:t>
          </a:r>
        </a:p>
        <a:p>
          <a:endParaRPr lang="es-CO" sz="1100" baseline="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6</xdr:col>
          <xdr:colOff>609600</xdr:colOff>
          <xdr:row>9</xdr:row>
          <xdr:rowOff>85725</xdr:rowOff>
        </xdr:to>
        <xdr:sp macro="" textlink="">
          <xdr:nvSpPr>
            <xdr:cNvPr id="22529" name="Group Box 1" hidden="1">
              <a:extLst>
                <a:ext uri="{63B3BB69-23CF-44E3-9099-C40C66FF867C}">
                  <a14:compatExt spid="_x0000_s2252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s-CO" sz="800" b="0" i="0" u="none" strike="noStrike" baseline="0">
                  <a:solidFill>
                    <a:srgbClr val="000000"/>
                  </a:solidFill>
                  <a:latin typeface="Tahoma"/>
                  <a:ea typeface="Tahoma"/>
                  <a:cs typeface="Tahoma"/>
                </a:rPr>
                <a:t>Estudiantes Pregrado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4</xdr:col>
          <xdr:colOff>0</xdr:colOff>
          <xdr:row>9</xdr:row>
          <xdr:rowOff>28575</xdr:rowOff>
        </xdr:to>
        <xdr:sp macro="" textlink="">
          <xdr:nvSpPr>
            <xdr:cNvPr id="22530" name="Option Button 2" hidden="1">
              <a:extLst>
                <a:ext uri="{63B3BB69-23CF-44E3-9099-C40C66FF867C}">
                  <a14:compatExt spid="_x0000_s2253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Incrementará la población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200025</xdr:colOff>
          <xdr:row>8</xdr:row>
          <xdr:rowOff>0</xdr:rowOff>
        </xdr:from>
        <xdr:to>
          <xdr:col>5</xdr:col>
          <xdr:colOff>200025</xdr:colOff>
          <xdr:row>9</xdr:row>
          <xdr:rowOff>28575</xdr:rowOff>
        </xdr:to>
        <xdr:sp macro="" textlink="">
          <xdr:nvSpPr>
            <xdr:cNvPr id="22531" name="Option Button 3" hidden="1">
              <a:extLst>
                <a:ext uri="{63B3BB69-23CF-44E3-9099-C40C66FF867C}">
                  <a14:compatExt spid="_x0000_s2253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Mantendrá igual la población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7</xdr:row>
          <xdr:rowOff>180975</xdr:rowOff>
        </xdr:from>
        <xdr:to>
          <xdr:col>7</xdr:col>
          <xdr:colOff>133350</xdr:colOff>
          <xdr:row>9</xdr:row>
          <xdr:rowOff>19050</xdr:rowOff>
        </xdr:to>
        <xdr:sp macro="" textlink="">
          <xdr:nvSpPr>
            <xdr:cNvPr id="22532" name="Option Button 4" hidden="1">
              <a:extLst>
                <a:ext uri="{63B3BB69-23CF-44E3-9099-C40C66FF867C}">
                  <a14:compatExt spid="_x0000_s2253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Disminuirá la población</a:t>
              </a:r>
            </a:p>
          </xdr:txBody>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10</xdr:row>
          <xdr:rowOff>114300</xdr:rowOff>
        </xdr:from>
        <xdr:to>
          <xdr:col>6</xdr:col>
          <xdr:colOff>619125</xdr:colOff>
          <xdr:row>13</xdr:row>
          <xdr:rowOff>104775</xdr:rowOff>
        </xdr:to>
        <xdr:grpSp>
          <xdr:nvGrpSpPr>
            <xdr:cNvPr id="15" name="Group 15"/>
            <xdr:cNvGrpSpPr>
              <a:grpSpLocks/>
            </xdr:cNvGrpSpPr>
          </xdr:nvGrpSpPr>
          <xdr:grpSpPr bwMode="auto">
            <a:xfrm>
              <a:off x="0" y="2019300"/>
              <a:ext cx="5191125" cy="561975"/>
              <a:chOff x="0" y="212"/>
              <a:chExt cx="545" cy="59"/>
            </a:xfrm>
          </xdr:grpSpPr>
          <xdr:sp macro="" textlink="">
            <xdr:nvSpPr>
              <xdr:cNvPr id="22533" name="Option Button 5" hidden="1">
                <a:extLst>
                  <a:ext uri="{63B3BB69-23CF-44E3-9099-C40C66FF867C}">
                    <a14:compatExt spid="_x0000_s22533"/>
                  </a:ext>
                </a:extLst>
              </xdr:cNvPr>
              <xdr:cNvSpPr/>
            </xdr:nvSpPr>
            <xdr:spPr>
              <a:xfrm>
                <a:off x="0" y="235"/>
                <a:ext cx="240" cy="23"/>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Incrementará la población</a:t>
                </a:r>
              </a:p>
            </xdr:txBody>
          </xdr:sp>
          <xdr:sp macro="" textlink="">
            <xdr:nvSpPr>
              <xdr:cNvPr id="22534" name="Option Button 6" hidden="1">
                <a:extLst>
                  <a:ext uri="{63B3BB69-23CF-44E3-9099-C40C66FF867C}">
                    <a14:compatExt spid="_x0000_s22534"/>
                  </a:ext>
                </a:extLst>
              </xdr:cNvPr>
              <xdr:cNvSpPr/>
            </xdr:nvSpPr>
            <xdr:spPr>
              <a:xfrm>
                <a:off x="181" y="235"/>
                <a:ext cx="240" cy="23"/>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Mantendrá igual la población</a:t>
                </a:r>
              </a:p>
            </xdr:txBody>
          </xdr:sp>
          <xdr:sp macro="" textlink="">
            <xdr:nvSpPr>
              <xdr:cNvPr id="22535" name="Option Button 7" hidden="1">
                <a:extLst>
                  <a:ext uri="{63B3BB69-23CF-44E3-9099-C40C66FF867C}">
                    <a14:compatExt spid="_x0000_s22535"/>
                  </a:ext>
                </a:extLst>
              </xdr:cNvPr>
              <xdr:cNvSpPr/>
            </xdr:nvSpPr>
            <xdr:spPr>
              <a:xfrm>
                <a:off x="385" y="235"/>
                <a:ext cx="140" cy="23"/>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Disminuirá la población</a:t>
                </a:r>
              </a:p>
            </xdr:txBody>
          </xdr:sp>
          <xdr:sp macro="" textlink="">
            <xdr:nvSpPr>
              <xdr:cNvPr id="22536" name="Group Box 8" hidden="1">
                <a:extLst>
                  <a:ext uri="{63B3BB69-23CF-44E3-9099-C40C66FF867C}">
                    <a14:compatExt spid="_x0000_s22536"/>
                  </a:ext>
                </a:extLst>
              </xdr:cNvPr>
              <xdr:cNvSpPr/>
            </xdr:nvSpPr>
            <xdr:spPr>
              <a:xfrm>
                <a:off x="0" y="212"/>
                <a:ext cx="545" cy="59"/>
              </a:xfrm>
              <a:prstGeom prst="rect">
                <a:avLst/>
              </a:prstGeom>
            </xdr:spPr>
            <xdr:txBody>
              <a:bodyPr vertOverflow="clip" wrap="none" lIns="27432" tIns="18288" rIns="0" bIns="0" anchor="t" upright="1"/>
              <a:lstStyle/>
              <a:p>
                <a:pPr algn="l" rtl="0">
                  <a:defRPr sz="1000"/>
                </a:pPr>
                <a:r>
                  <a:rPr lang="es-CO" sz="800" b="0" i="0" u="none" strike="noStrike" baseline="0">
                    <a:solidFill>
                      <a:srgbClr val="000000"/>
                    </a:solidFill>
                    <a:latin typeface="Tahoma"/>
                    <a:ea typeface="Tahoma"/>
                    <a:cs typeface="Tahoma"/>
                  </a:rPr>
                  <a:t>Estudiantes maestría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14</xdr:row>
          <xdr:rowOff>133350</xdr:rowOff>
        </xdr:from>
        <xdr:to>
          <xdr:col>6</xdr:col>
          <xdr:colOff>619125</xdr:colOff>
          <xdr:row>17</xdr:row>
          <xdr:rowOff>123825</xdr:rowOff>
        </xdr:to>
        <xdr:grpSp>
          <xdr:nvGrpSpPr>
            <xdr:cNvPr id="20" name="Group 16"/>
            <xdr:cNvGrpSpPr>
              <a:grpSpLocks/>
            </xdr:cNvGrpSpPr>
          </xdr:nvGrpSpPr>
          <xdr:grpSpPr bwMode="auto">
            <a:xfrm>
              <a:off x="0" y="2800350"/>
              <a:ext cx="5191125" cy="561975"/>
              <a:chOff x="0" y="212"/>
              <a:chExt cx="545" cy="59"/>
            </a:xfrm>
          </xdr:grpSpPr>
          <xdr:sp macro="" textlink="">
            <xdr:nvSpPr>
              <xdr:cNvPr id="22537" name="Option Button 9" hidden="1">
                <a:extLst>
                  <a:ext uri="{63B3BB69-23CF-44E3-9099-C40C66FF867C}">
                    <a14:compatExt spid="_x0000_s22537"/>
                  </a:ext>
                </a:extLst>
              </xdr:cNvPr>
              <xdr:cNvSpPr/>
            </xdr:nvSpPr>
            <xdr:spPr>
              <a:xfrm>
                <a:off x="0" y="235"/>
                <a:ext cx="240" cy="23"/>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Incrementará la población</a:t>
                </a:r>
              </a:p>
            </xdr:txBody>
          </xdr:sp>
          <xdr:sp macro="" textlink="">
            <xdr:nvSpPr>
              <xdr:cNvPr id="22538" name="Option Button 10" hidden="1">
                <a:extLst>
                  <a:ext uri="{63B3BB69-23CF-44E3-9099-C40C66FF867C}">
                    <a14:compatExt spid="_x0000_s22538"/>
                  </a:ext>
                </a:extLst>
              </xdr:cNvPr>
              <xdr:cNvSpPr/>
            </xdr:nvSpPr>
            <xdr:spPr>
              <a:xfrm>
                <a:off x="181" y="235"/>
                <a:ext cx="240" cy="23"/>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Mantendrá igual la población</a:t>
                </a:r>
              </a:p>
            </xdr:txBody>
          </xdr:sp>
          <xdr:sp macro="" textlink="">
            <xdr:nvSpPr>
              <xdr:cNvPr id="22539" name="Option Button 11" hidden="1">
                <a:extLst>
                  <a:ext uri="{63B3BB69-23CF-44E3-9099-C40C66FF867C}">
                    <a14:compatExt spid="_x0000_s22539"/>
                  </a:ext>
                </a:extLst>
              </xdr:cNvPr>
              <xdr:cNvSpPr/>
            </xdr:nvSpPr>
            <xdr:spPr>
              <a:xfrm>
                <a:off x="385" y="235"/>
                <a:ext cx="140" cy="23"/>
              </a:xfrm>
              <a:prstGeom prst="rect">
                <a:avLst/>
              </a:prstGeom>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Disminuirá la población</a:t>
                </a:r>
              </a:p>
            </xdr:txBody>
          </xdr:sp>
          <xdr:sp macro="" textlink="">
            <xdr:nvSpPr>
              <xdr:cNvPr id="22540" name="Group Box 12" hidden="1">
                <a:extLst>
                  <a:ext uri="{63B3BB69-23CF-44E3-9099-C40C66FF867C}">
                    <a14:compatExt spid="_x0000_s22540"/>
                  </a:ext>
                </a:extLst>
              </xdr:cNvPr>
              <xdr:cNvSpPr/>
            </xdr:nvSpPr>
            <xdr:spPr>
              <a:xfrm>
                <a:off x="0" y="212"/>
                <a:ext cx="545" cy="59"/>
              </a:xfrm>
              <a:prstGeom prst="rect">
                <a:avLst/>
              </a:prstGeom>
            </xdr:spPr>
            <xdr:txBody>
              <a:bodyPr vertOverflow="clip" wrap="none" lIns="27432" tIns="18288" rIns="0" bIns="0" anchor="t" upright="1"/>
              <a:lstStyle/>
              <a:p>
                <a:pPr algn="l" rtl="0">
                  <a:defRPr sz="1000"/>
                </a:pPr>
                <a:r>
                  <a:rPr lang="es-CO" sz="800" b="0" i="0" u="none" strike="noStrike" baseline="0">
                    <a:solidFill>
                      <a:srgbClr val="000000"/>
                    </a:solidFill>
                    <a:latin typeface="Tahoma"/>
                    <a:ea typeface="Tahoma"/>
                    <a:cs typeface="Tahoma"/>
                  </a:rPr>
                  <a:t>Estudiantes Doctorado</a:t>
                </a:r>
              </a:p>
            </xdr:txBody>
          </xdr:sp>
        </xdr:grp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p.saza151/Escritorio/Plan%202010-2015%20Fac%20Ciencias%20Social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saza151/Datos%20de%20programa/Microsoft/Excel/Plan%202010-2015%20Fac%20Ciencias%20Sociale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DI/Planes/Fac.%20Ciencias/Fisica/Plan%202010-2015%20F&#237;sica%20V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saza151/Escritorio/Plan%202010-2015%20Antropolog&#237;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DI/Planes/Fac.%20Ciencias%20Sociales/Aprobados%20con%20Macros/Planes%20CISO%20APROBADO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c.%20Ciencias%20Sociales/Aprobados%20con%20Macros/Planes%20CISO%20APROBADO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c.%20Ingenier&#237;a/Aprobados/Propuesta%20Planes%20Fac%20%20Ingenieria%20V2%20Mar17%20(16.05.1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saza151/Escritorio/Plan%202010-2015%20Filosof&#237;a.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saza151/Datos%20de%20programa/Microsoft/Excel/Plan%202010-2015%20Filosof&#237;a.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c.%20Ciencias/Decanatura/Plan%202010-2015%20Fac%20Ciencias%20V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prieto/AppData/Local/Microsoft/Windows/Temporary%20Internet%20Files/Content.Outlook/CFQAYUZ9/Propuesta%20Fac%20Ingenieria%20Completa%20V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FE/Plan%20CIFE%202010-2015%20Oct2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DI/Planes/Fac.%20Ingenier&#237;a/Plan%202010-2015%20Ing%20El&#233;ctrica%20y%20Electr&#243;nic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Revisión Decanatura"/>
      <sheetName val="2. Plan de Desarrollo Facultad"/>
      <sheetName val="3. Plan Financiero por unidad"/>
      <sheetName val="3.1 Parámetros Financieros"/>
      <sheetName val="4. Preguntas Claves"/>
      <sheetName val="Comentarios Generales"/>
    </sheetNames>
    <sheetDataSet>
      <sheetData sheetId="0"/>
      <sheetData sheetId="1"/>
      <sheetData sheetId="2">
        <row r="67">
          <cell r="M67" t="str">
            <v>Evaluación</v>
          </cell>
        </row>
      </sheetData>
      <sheetData sheetId="3">
        <row r="5">
          <cell r="H5">
            <v>1200000000</v>
          </cell>
        </row>
      </sheetData>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Revisión Decanatura"/>
      <sheetName val="2. Plan de Desarrollo Facultad"/>
      <sheetName val="3. Plan Financiero por unidad"/>
      <sheetName val="3.1 Parámetros Financieros"/>
      <sheetName val="4. Preguntas Claves"/>
      <sheetName val="Comentarios Generales"/>
    </sheetNames>
    <sheetDataSet>
      <sheetData sheetId="0"/>
      <sheetData sheetId="1"/>
      <sheetData sheetId="2">
        <row r="67">
          <cell r="M67" t="str">
            <v>Evaluación</v>
          </cell>
        </row>
      </sheetData>
      <sheetData sheetId="3">
        <row r="5">
          <cell r="H5">
            <v>1200000000</v>
          </cell>
        </row>
      </sheetData>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2. Plan de Desarrollo Fisica"/>
      <sheetName val="3. Plan Financiero por Unidad"/>
      <sheetName val="Comentarios"/>
      <sheetName val="3.1 Parámetros Financieros"/>
      <sheetName val="4. Preguntas Claves"/>
    </sheetNames>
    <sheetDataSet>
      <sheetData sheetId="0" refreshError="1"/>
      <sheetData sheetId="1" refreshError="1"/>
      <sheetData sheetId="2">
        <row r="79">
          <cell r="K79" t="str">
            <v>Currículo</v>
          </cell>
          <cell r="L79" t="str">
            <v>Productos bibliográficos y técnicos</v>
          </cell>
          <cell r="M79" t="str">
            <v>Consejería/ Seguimiento Académico</v>
          </cell>
          <cell r="N79" t="str">
            <v>Evaluación</v>
          </cell>
          <cell r="O79" t="str">
            <v>Biblioteca</v>
          </cell>
          <cell r="P79" t="str">
            <v xml:space="preserve">Equipos </v>
          </cell>
          <cell r="Q79" t="str">
            <v>Planta Física</v>
          </cell>
          <cell r="R79" t="str">
            <v>Ingresos</v>
          </cell>
          <cell r="S79" t="str">
            <v>Estructura organizacional</v>
          </cell>
          <cell r="T79" t="str">
            <v>Educación Continuada</v>
          </cell>
          <cell r="U79" t="str">
            <v>Servicios</v>
          </cell>
        </row>
        <row r="80">
          <cell r="K80" t="str">
            <v>Nuevos Programas / Cursos</v>
          </cell>
          <cell r="L80" t="str">
            <v>Proyectos</v>
          </cell>
          <cell r="M80" t="str">
            <v>Formación Extracurricular /Bienestar</v>
          </cell>
          <cell r="N80" t="str">
            <v>Compensación y bienestar</v>
          </cell>
          <cell r="P80" t="str">
            <v>Tecnologías de Información</v>
          </cell>
          <cell r="Q80" t="str">
            <v>Laboratorios</v>
          </cell>
          <cell r="R80" t="str">
            <v>Fuentes de financiación</v>
          </cell>
          <cell r="S80" t="str">
            <v>Procesos Institucionales</v>
          </cell>
          <cell r="T80" t="str">
            <v>Participación</v>
          </cell>
          <cell r="U80" t="str">
            <v>Bases de Datos</v>
          </cell>
        </row>
        <row r="81">
          <cell r="K81" t="str">
            <v>Referenciación</v>
          </cell>
          <cell r="L81" t="str">
            <v>Espacios Académicos</v>
          </cell>
          <cell r="M81" t="str">
            <v>Selección</v>
          </cell>
          <cell r="N81" t="str">
            <v>Participación</v>
          </cell>
          <cell r="P81" t="str">
            <v>Comunicaciones</v>
          </cell>
          <cell r="R81" t="str">
            <v>Inversión</v>
          </cell>
          <cell r="S81" t="str">
            <v>Comunicaciones internas</v>
          </cell>
          <cell r="T81" t="str">
            <v>Vínculos Empresas</v>
          </cell>
          <cell r="U81" t="str">
            <v>Inserción Laboral</v>
          </cell>
        </row>
        <row r="82">
          <cell r="K82" t="str">
            <v>Scouting</v>
          </cell>
          <cell r="L82" t="str">
            <v>Grupos de Investigación/ Líneas</v>
          </cell>
          <cell r="M82" t="str">
            <v>Evaluación</v>
          </cell>
          <cell r="N82" t="str">
            <v>Exposiciones</v>
          </cell>
          <cell r="P82" t="str">
            <v>Páginas web</v>
          </cell>
          <cell r="R82" t="str">
            <v>Costos/ Gastos</v>
          </cell>
          <cell r="S82" t="str">
            <v>Bienestar del talento humano</v>
          </cell>
          <cell r="T82" t="str">
            <v>Redes, convenios</v>
          </cell>
          <cell r="U82" t="str">
            <v>Donaciones</v>
          </cell>
        </row>
        <row r="83">
          <cell r="K83" t="str">
            <v>Evaluación del aprendizaje</v>
          </cell>
          <cell r="L83" t="str">
            <v>Financiación</v>
          </cell>
          <cell r="M83" t="str">
            <v>Financiación</v>
          </cell>
          <cell r="N83" t="str">
            <v>Capacitación docente</v>
          </cell>
          <cell r="S83" t="str">
            <v>Gobierno</v>
          </cell>
          <cell r="T83" t="str">
            <v>Posicionamiento / Mercadeo</v>
          </cell>
        </row>
        <row r="84">
          <cell r="K84" t="str">
            <v>Metodología docente</v>
          </cell>
          <cell r="L84" t="str">
            <v>Evaluación</v>
          </cell>
          <cell r="M84" t="str">
            <v>Variación en Población</v>
          </cell>
          <cell r="N84" t="str">
            <v>Vinculación /Escolaridad</v>
          </cell>
          <cell r="T84" t="str">
            <v>Comunicaciones</v>
          </cell>
        </row>
        <row r="85">
          <cell r="K85" t="str">
            <v>Internacionalización</v>
          </cell>
          <cell r="L85" t="str">
            <v>Reglamentación / Políticas</v>
          </cell>
          <cell r="M85" t="str">
            <v>Internacionalización</v>
          </cell>
          <cell r="N85" t="str">
            <v>STAI</v>
          </cell>
          <cell r="T85" t="str">
            <v>Acreditación / Rankings</v>
          </cell>
        </row>
        <row r="86">
          <cell r="K86" t="str">
            <v>Calidad</v>
          </cell>
          <cell r="L86" t="str">
            <v>Redes / Alianzas</v>
          </cell>
          <cell r="M86" t="str">
            <v>Participación</v>
          </cell>
          <cell r="N86" t="str">
            <v>Financiación</v>
          </cell>
        </row>
        <row r="87">
          <cell r="L87" t="str">
            <v>Internacionalización</v>
          </cell>
          <cell r="N87" t="str">
            <v>Masa Crítica</v>
          </cell>
        </row>
        <row r="88">
          <cell r="N88" t="str">
            <v>Internacionalización</v>
          </cell>
        </row>
        <row r="89">
          <cell r="N89" t="str">
            <v>Ordenamiento Profesoral</v>
          </cell>
        </row>
      </sheetData>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Revisión Antropología"/>
      <sheetName val="2. Plan de Desarrollo Facultad"/>
      <sheetName val="3. Plan Financiero por unidad"/>
      <sheetName val="3.1 Parámetros Financieros"/>
      <sheetName val="4. Preguntas Claves"/>
      <sheetName val="Plan Financiero por Accion"/>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_repetidas Deca"/>
      <sheetName val="Revisión Decanatura"/>
      <sheetName val="Acc_repetidas Hist"/>
      <sheetName val="Revisión Historia"/>
      <sheetName val="Acc_repetidas Psicol"/>
      <sheetName val="Revisión Psicología"/>
      <sheetName val="Acc_Repetidas Leng"/>
      <sheetName val="Revisión Lenguajes"/>
      <sheetName val="Acc_Repetidas Antropo"/>
      <sheetName val="Revisión Antropología"/>
      <sheetName val="Acc_Repetidas CPol"/>
      <sheetName val="Revisión Ciencia Política"/>
      <sheetName val="Acc_Repet Filos"/>
      <sheetName val="Revisión Filosofía"/>
    </sheetNames>
    <sheetDataSet>
      <sheetData sheetId="0"/>
      <sheetData sheetId="1">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v>1</v>
          </cell>
          <cell r="B5">
            <v>1</v>
          </cell>
          <cell r="C5" t="str">
            <v>Objetivo 1 Consolidar la Facultad como líder en Colombia y la región por medio de sus programas de pregrado y posgrado</v>
          </cell>
          <cell r="D5">
            <v>0</v>
          </cell>
          <cell r="E5">
            <v>0</v>
          </cell>
          <cell r="F5">
            <v>0</v>
          </cell>
          <cell r="G5">
            <v>0</v>
          </cell>
          <cell r="H5">
            <v>0</v>
          </cell>
          <cell r="I5">
            <v>0</v>
          </cell>
          <cell r="J5">
            <v>0</v>
          </cell>
          <cell r="K5">
            <v>0</v>
          </cell>
        </row>
        <row r="6">
          <cell r="A6" t="str">
            <v>1.1</v>
          </cell>
          <cell r="B6" t="str">
            <v>1.1</v>
          </cell>
          <cell r="C6" t="str">
            <v>Subobjetivo 1 Consolidar la Facultad como lugar de referencia en formación de pregrado</v>
          </cell>
          <cell r="D6">
            <v>0</v>
          </cell>
          <cell r="E6">
            <v>0</v>
          </cell>
          <cell r="F6">
            <v>0</v>
          </cell>
          <cell r="G6">
            <v>0</v>
          </cell>
          <cell r="H6">
            <v>0</v>
          </cell>
          <cell r="I6">
            <v>0</v>
          </cell>
          <cell r="J6">
            <v>0</v>
          </cell>
          <cell r="K6">
            <v>0</v>
          </cell>
        </row>
        <row r="7">
          <cell r="A7" t="str">
            <v>1.1.1</v>
          </cell>
          <cell r="B7" t="str">
            <v>1.1.1</v>
          </cell>
          <cell r="C7" t="str">
            <v>Acción 1 Seguimiento a la calidad docente</v>
          </cell>
          <cell r="D7" t="str">
            <v>01-11</v>
          </cell>
          <cell r="E7" t="str">
            <v>12-15</v>
          </cell>
          <cell r="F7" t="str">
            <v>DECANO</v>
          </cell>
          <cell r="G7" t="str">
            <v>DIR DEPTO</v>
          </cell>
          <cell r="H7">
            <v>0</v>
          </cell>
          <cell r="I7" t="str">
            <v>REVISION SISTEMA ACTUAL</v>
          </cell>
          <cell r="J7" t="str">
            <v>AUMENTO # EVALUCIONES POSITIVAS</v>
          </cell>
          <cell r="K7" t="str">
            <v>AUMENTO EN EL PROMEDIO DE LAS EVALUACIONES</v>
          </cell>
        </row>
        <row r="8">
          <cell r="A8" t="str">
            <v>1.1.2</v>
          </cell>
          <cell r="B8" t="str">
            <v>1.1.2</v>
          </cell>
          <cell r="C8" t="str">
            <v>Acción 2 Estrategias de mejoramiento de la pedagogía</v>
          </cell>
          <cell r="D8" t="str">
            <v>01-11</v>
          </cell>
          <cell r="E8" t="str">
            <v>12-15</v>
          </cell>
          <cell r="F8" t="str">
            <v>DECANO</v>
          </cell>
          <cell r="G8" t="str">
            <v>DIR DEPTO</v>
          </cell>
          <cell r="H8">
            <v>0</v>
          </cell>
          <cell r="I8" t="str">
            <v>REVISION SISTEMA ACTUAL</v>
          </cell>
          <cell r="J8" t="str">
            <v>AUMENTO # EVALUCIONES POSITIVAS</v>
          </cell>
          <cell r="K8" t="str">
            <v>AUMENTO EN EL PROMEDIO DE LAS EVALUACIONES</v>
          </cell>
        </row>
        <row r="9">
          <cell r="A9" t="str">
            <v>1.2.1</v>
          </cell>
          <cell r="B9" t="str">
            <v>1.1.3</v>
          </cell>
          <cell r="C9" t="str">
            <v>Acción 3 Seguimiento estructura curricular de acuerdo con el PDI</v>
          </cell>
          <cell r="D9" t="str">
            <v>01-11</v>
          </cell>
          <cell r="E9" t="str">
            <v>12-15</v>
          </cell>
          <cell r="F9" t="str">
            <v>DECANO</v>
          </cell>
          <cell r="G9" t="str">
            <v>DIR DEPTO</v>
          </cell>
          <cell r="H9">
            <v>0</v>
          </cell>
          <cell r="I9" t="str">
            <v>REVISION CURRICULO ACTUAL</v>
          </cell>
          <cell r="J9" t="str">
            <v>NUEVOS CURRICULOS</v>
          </cell>
          <cell r="K9" t="str">
            <v>REVISION DE LOS CURRICULOS DE PREGRADO</v>
          </cell>
        </row>
        <row r="10">
          <cell r="A10" t="str">
            <v>2.1.1</v>
          </cell>
          <cell r="B10" t="str">
            <v>1.1.4</v>
          </cell>
          <cell r="C10" t="str">
            <v>Acción 3 Promoción y reclutamiento de los mejores estudiantes</v>
          </cell>
          <cell r="D10" t="str">
            <v>01-11</v>
          </cell>
          <cell r="E10" t="str">
            <v>12-15</v>
          </cell>
          <cell r="F10" t="str">
            <v>DECANO</v>
          </cell>
          <cell r="G10" t="str">
            <v>DIR DEPTO</v>
          </cell>
          <cell r="H10">
            <v>0</v>
          </cell>
          <cell r="I10" t="str">
            <v>REVISION SISTEMA RECLUTAMIENTO</v>
          </cell>
          <cell r="J10" t="str">
            <v># ESTUDIANTES RECLUTADOS</v>
          </cell>
          <cell r="K10" t="str">
            <v>AUMENTO EN EL NUMERO DE INSCRITOS</v>
          </cell>
        </row>
        <row r="11">
          <cell r="A11">
            <v>1</v>
          </cell>
          <cell r="B11">
            <v>1.2</v>
          </cell>
          <cell r="C11" t="str">
            <v>Subobjetivo 2 Consolidar la Facultad como lugar de referencia en formación de posgrado</v>
          </cell>
          <cell r="D11">
            <v>0</v>
          </cell>
          <cell r="E11">
            <v>0</v>
          </cell>
          <cell r="F11">
            <v>0</v>
          </cell>
          <cell r="G11">
            <v>0</v>
          </cell>
          <cell r="H11">
            <v>0</v>
          </cell>
          <cell r="I11">
            <v>0</v>
          </cell>
          <cell r="J11">
            <v>0</v>
          </cell>
          <cell r="K11">
            <v>0</v>
          </cell>
        </row>
        <row r="12">
          <cell r="A12" t="str">
            <v>2.1.1</v>
          </cell>
          <cell r="B12" t="str">
            <v>1.2.1</v>
          </cell>
          <cell r="C12" t="str">
            <v>Acción 1 Garantizar el acceso de los mejores estudiantes</v>
          </cell>
          <cell r="D12" t="str">
            <v>01-11</v>
          </cell>
          <cell r="E12" t="str">
            <v>12-15</v>
          </cell>
          <cell r="F12" t="str">
            <v>DECANO</v>
          </cell>
          <cell r="G12" t="str">
            <v>DIR DEPTO</v>
          </cell>
          <cell r="H12">
            <v>0</v>
          </cell>
          <cell r="I12" t="str">
            <v>REVISION SISTEMA RECLUTAMIENTO</v>
          </cell>
          <cell r="J12" t="str">
            <v># ESTUDIANTES RECLUTADOS</v>
          </cell>
          <cell r="K12" t="str">
            <v>AUMENTO EN EL NUMERO DE INSCRITOS</v>
          </cell>
        </row>
        <row r="13">
          <cell r="A13" t="str">
            <v>3.2.3</v>
          </cell>
          <cell r="B13" t="str">
            <v>1.2.2</v>
          </cell>
          <cell r="C13" t="str">
            <v>Acción 2 Involucrar a los estudiantes de posgrado en las líneas y grupos de investigación de la Facultad</v>
          </cell>
          <cell r="D13" t="str">
            <v>01-12</v>
          </cell>
          <cell r="E13" t="str">
            <v>12-15</v>
          </cell>
          <cell r="F13" t="str">
            <v>DECANO</v>
          </cell>
          <cell r="G13" t="str">
            <v>DIR DEPTO</v>
          </cell>
          <cell r="H13">
            <v>0</v>
          </cell>
          <cell r="I13" t="str">
            <v>REVISION PARTICIPACION ACTUAL</v>
          </cell>
          <cell r="J13" t="str">
            <v># ESTUDIANTES EN GRUPOS DE INVESTIGACION</v>
          </cell>
          <cell r="K13" t="str">
            <v>AUMENTO DE 20% EN EL NUMERO DE ESTUDIANTES EN GRUPOS DE INV</v>
          </cell>
        </row>
        <row r="14">
          <cell r="A14" t="str">
            <v>2.1.2</v>
          </cell>
          <cell r="B14" t="str">
            <v>1.2.3</v>
          </cell>
          <cell r="C14" t="str">
            <v>Acción 3 Establecer sistemas de apoyo sostenibles para los estudiantes de posgrado</v>
          </cell>
          <cell r="D14" t="str">
            <v>01-12</v>
          </cell>
          <cell r="E14" t="str">
            <v>12-15</v>
          </cell>
          <cell r="F14" t="str">
            <v>DECANO</v>
          </cell>
          <cell r="G14" t="str">
            <v>DIR DEPTO</v>
          </cell>
          <cell r="H14">
            <v>0</v>
          </cell>
          <cell r="I14" t="str">
            <v>REVISION SISTEMA DE APOYO ACTUAL</v>
          </cell>
          <cell r="J14" t="str">
            <v>SISTEMA DE APOYO SOSTENIBLE</v>
          </cell>
          <cell r="K14" t="str">
            <v>GESTIONAR 500M DE DONACIONES</v>
          </cell>
        </row>
        <row r="15">
          <cell r="A15" t="str">
            <v>3.6.2</v>
          </cell>
          <cell r="B15" t="str">
            <v>1.2.4</v>
          </cell>
          <cell r="C15" t="str">
            <v>Acción 4 Establecer intercambio de estudiantes que van o vienen en pasantías que convierten a uniandes en punto de referencia</v>
          </cell>
          <cell r="D15" t="str">
            <v>01-12</v>
          </cell>
          <cell r="E15" t="str">
            <v>12-15</v>
          </cell>
          <cell r="F15" t="str">
            <v>DECANO</v>
          </cell>
          <cell r="G15" t="str">
            <v>DIR DEPTO</v>
          </cell>
          <cell r="H15">
            <v>0</v>
          </cell>
          <cell r="I15" t="str">
            <v>REVISION PASANTIAS ACTUALES</v>
          </cell>
          <cell r="J15" t="str">
            <v># ESTUDIANTES EN PASANTÍA</v>
          </cell>
          <cell r="K15" t="str">
            <v>100% DE LOS ESTUDIANTES EN PASANTIA</v>
          </cell>
        </row>
        <row r="16">
          <cell r="A16" t="str">
            <v>3.6.1</v>
          </cell>
          <cell r="B16" t="str">
            <v>1.2.5</v>
          </cell>
          <cell r="C16" t="str">
            <v>Acción 5 Cotutorías y proyectos de investigación conjunta con centros y/o universidades extranjeras de calidad</v>
          </cell>
          <cell r="D16" t="str">
            <v>01-12</v>
          </cell>
          <cell r="E16" t="str">
            <v>12-15</v>
          </cell>
          <cell r="F16" t="str">
            <v>DECANO</v>
          </cell>
          <cell r="G16" t="str">
            <v>DIR DEPTO</v>
          </cell>
          <cell r="H16">
            <v>0</v>
          </cell>
          <cell r="I16" t="str">
            <v>REVISION PROYECTOS CONJUNTOS</v>
          </cell>
          <cell r="J16" t="str">
            <v># PROYECTOS CONJUNTOS</v>
          </cell>
          <cell r="K16" t="str">
            <v>3 PROYECTOS CONJUNTOS POR AÑO</v>
          </cell>
        </row>
        <row r="17">
          <cell r="A17" t="str">
            <v>3.2</v>
          </cell>
          <cell r="B17">
            <v>1.3</v>
          </cell>
          <cell r="C17" t="str">
            <v>Subobjetivo 3 Articular la relación posgrados-Investigación</v>
          </cell>
          <cell r="D17">
            <v>0</v>
          </cell>
          <cell r="E17">
            <v>0</v>
          </cell>
          <cell r="F17">
            <v>0</v>
          </cell>
          <cell r="G17">
            <v>0</v>
          </cell>
          <cell r="H17">
            <v>0</v>
          </cell>
          <cell r="I17">
            <v>0</v>
          </cell>
          <cell r="J17">
            <v>0</v>
          </cell>
          <cell r="K17">
            <v>0</v>
          </cell>
        </row>
        <row r="18">
          <cell r="A18" t="str">
            <v>3.2.1</v>
          </cell>
          <cell r="B18" t="str">
            <v>1.3.1</v>
          </cell>
          <cell r="C18" t="str">
            <v>Acción 1 Estructurar los grupos de investigación (Colciencias) en torno a las actividades de posgrado</v>
          </cell>
          <cell r="D18" t="str">
            <v>01-12</v>
          </cell>
          <cell r="E18" t="str">
            <v>12-15</v>
          </cell>
          <cell r="F18" t="str">
            <v>DECANO</v>
          </cell>
          <cell r="G18" t="str">
            <v>DIR DEPTO</v>
          </cell>
          <cell r="H18">
            <v>0</v>
          </cell>
          <cell r="I18" t="str">
            <v>REVISION LINEAS INV GRUPOS</v>
          </cell>
          <cell r="J18" t="str">
            <v># DE LINEAS ARTICULADAS CON EL POSGRADO</v>
          </cell>
          <cell r="K18" t="str">
            <v>4 LINEAS ARTICULADAS CON EL POSGRADO AL AÑO</v>
          </cell>
        </row>
        <row r="19">
          <cell r="A19" t="str">
            <v>3.2.2</v>
          </cell>
          <cell r="B19" t="str">
            <v>1.3.2</v>
          </cell>
          <cell r="C19" t="str">
            <v>Acción 2 Articular necesidades docentes con necesidades de investigación</v>
          </cell>
          <cell r="D19" t="str">
            <v>01-12</v>
          </cell>
          <cell r="E19" t="str">
            <v>12-15</v>
          </cell>
          <cell r="F19" t="str">
            <v>DECANO</v>
          </cell>
          <cell r="G19" t="str">
            <v>DIR DEPTO</v>
          </cell>
          <cell r="H19">
            <v>0</v>
          </cell>
          <cell r="I19" t="str">
            <v>REVISION RELACION ACTUAL NECESIDADES DOC-INV</v>
          </cell>
          <cell r="J19" t="str">
            <v>DOCUMENTO FACULTAD</v>
          </cell>
          <cell r="K19" t="str">
            <v>1 DOCUMENTO AL AÑO</v>
          </cell>
        </row>
        <row r="20">
          <cell r="A20" t="str">
            <v>3.1.1</v>
          </cell>
          <cell r="B20" t="str">
            <v>1.3.3</v>
          </cell>
          <cell r="C20" t="str">
            <v>Acción 3 Estimular la financiación de estudiantes de posgrado en proyectos de investigación</v>
          </cell>
          <cell r="D20" t="str">
            <v>01-12</v>
          </cell>
          <cell r="E20" t="str">
            <v>12-15</v>
          </cell>
          <cell r="F20" t="str">
            <v>DECANO</v>
          </cell>
          <cell r="G20" t="str">
            <v>DIR DEPTO</v>
          </cell>
          <cell r="H20">
            <v>0</v>
          </cell>
          <cell r="I20" t="str">
            <v>SISTEMA ACTUAL DE PRESUPUESTO PROYECTOS</v>
          </cell>
          <cell r="J20" t="str">
            <v>DOCUMENTO FACULTAD</v>
          </cell>
          <cell r="K20" t="str">
            <v>1 DOCUMENTO AL AÑO</v>
          </cell>
        </row>
        <row r="21">
          <cell r="A21">
            <v>3</v>
          </cell>
          <cell r="B21">
            <v>2</v>
          </cell>
          <cell r="C21" t="str">
            <v>Objetivo 2 Consolidar la Facultad como líder en Colombia en actividades de Investigación y divulgación de la misma</v>
          </cell>
          <cell r="D21">
            <v>0</v>
          </cell>
          <cell r="E21">
            <v>0</v>
          </cell>
          <cell r="F21">
            <v>0</v>
          </cell>
          <cell r="G21">
            <v>0</v>
          </cell>
          <cell r="H21">
            <v>0</v>
          </cell>
          <cell r="I21">
            <v>0</v>
          </cell>
          <cell r="J21">
            <v>0</v>
          </cell>
          <cell r="K21">
            <v>0</v>
          </cell>
        </row>
        <row r="22">
          <cell r="A22" t="str">
            <v>3.3</v>
          </cell>
          <cell r="B22">
            <v>2.1</v>
          </cell>
          <cell r="C22" t="str">
            <v>Subobjetivo 1 Incrementar la cantidad y calidad de investigaciones</v>
          </cell>
          <cell r="D22">
            <v>0</v>
          </cell>
          <cell r="E22">
            <v>0</v>
          </cell>
          <cell r="F22">
            <v>0</v>
          </cell>
          <cell r="G22">
            <v>0</v>
          </cell>
          <cell r="H22">
            <v>0</v>
          </cell>
          <cell r="I22">
            <v>0</v>
          </cell>
          <cell r="J22">
            <v>0</v>
          </cell>
          <cell r="K22">
            <v>0</v>
          </cell>
        </row>
        <row r="23">
          <cell r="A23" t="str">
            <v>3.3.1</v>
          </cell>
          <cell r="B23" t="str">
            <v>2.1.1</v>
          </cell>
          <cell r="C23" t="str">
            <v>Acción 1 Consolidar mecanismos de evaluación de pares</v>
          </cell>
          <cell r="D23" t="str">
            <v>01-12</v>
          </cell>
          <cell r="E23" t="str">
            <v>12-15</v>
          </cell>
          <cell r="F23" t="str">
            <v>DECANO</v>
          </cell>
          <cell r="G23" t="str">
            <v>DIR DEPTO</v>
          </cell>
          <cell r="H23">
            <v>0</v>
          </cell>
          <cell r="I23" t="str">
            <v>REVISION SISTEMA EVALUACION</v>
          </cell>
          <cell r="J23" t="str">
            <v># PROYECTOS EVALUADOS CON PARES</v>
          </cell>
          <cell r="K23" t="str">
            <v>AUMENTO DE 30% DE PROYECTOS EVALUADOS CON PARES</v>
          </cell>
        </row>
        <row r="24">
          <cell r="A24" t="str">
            <v>3.4.5</v>
          </cell>
          <cell r="B24" t="str">
            <v>2.1.2</v>
          </cell>
          <cell r="C24" t="str">
            <v>Acción 2 Consolidación comité editorial</v>
          </cell>
          <cell r="D24" t="str">
            <v>01-11</v>
          </cell>
          <cell r="E24" t="str">
            <v>12-11</v>
          </cell>
          <cell r="F24" t="str">
            <v>DECANO</v>
          </cell>
          <cell r="G24" t="str">
            <v>DIR CESO</v>
          </cell>
          <cell r="H24">
            <v>0</v>
          </cell>
          <cell r="I24" t="str">
            <v>REVISION COMITÉ ACTUAL</v>
          </cell>
          <cell r="J24" t="str">
            <v>CONFIGURACION COMITÉ DE ACUERDO CON ESTANDAR</v>
          </cell>
          <cell r="K24" t="str">
            <v>CONFIGURACION COMITÉ DE ACUERDO CON ESTANDAR</v>
          </cell>
        </row>
        <row r="25">
          <cell r="A25" t="str">
            <v>3.1.2</v>
          </cell>
          <cell r="B25" t="str">
            <v>2.1.3</v>
          </cell>
          <cell r="C25" t="str">
            <v>Acción 3 Incrementar apoyo financiero de proyectos</v>
          </cell>
          <cell r="D25" t="str">
            <v>01-11</v>
          </cell>
          <cell r="E25" t="str">
            <v>12-11</v>
          </cell>
          <cell r="F25" t="str">
            <v>DECANO</v>
          </cell>
          <cell r="G25" t="str">
            <v>DIR CESO</v>
          </cell>
          <cell r="H25">
            <v>0</v>
          </cell>
          <cell r="I25" t="str">
            <v>REVISION APOYO FINANCIERO ACTUAL</v>
          </cell>
          <cell r="J25" t="str">
            <v># PROYECTOS FINANCIADOS</v>
          </cell>
          <cell r="K25" t="str">
            <v>AUMENTO DE 30% EN PROYECTOS FINANCIADOS</v>
          </cell>
        </row>
        <row r="26">
          <cell r="A26" t="str">
            <v>3.3.2</v>
          </cell>
          <cell r="B26" t="str">
            <v>2.1.4</v>
          </cell>
          <cell r="C26" t="str">
            <v>Acción 4 apoyar la elaboración y presentación de proyectos</v>
          </cell>
          <cell r="D26" t="str">
            <v>01-11</v>
          </cell>
          <cell r="E26" t="str">
            <v>12-11</v>
          </cell>
          <cell r="F26" t="str">
            <v>DECANO</v>
          </cell>
          <cell r="G26" t="str">
            <v>DIR CESO</v>
          </cell>
          <cell r="H26">
            <v>0</v>
          </cell>
          <cell r="I26" t="str">
            <v>REVISION SISTEMA APOYO ACTUAL</v>
          </cell>
          <cell r="J26" t="str">
            <v># DE PROYECTOS APOYADOS</v>
          </cell>
          <cell r="K26" t="str">
            <v>AUMENTO DE 30% EN PROYECTOS FINANCIADOS</v>
          </cell>
        </row>
        <row r="27">
          <cell r="A27" t="str">
            <v>3.3.3</v>
          </cell>
          <cell r="B27" t="str">
            <v>2.1.5</v>
          </cell>
          <cell r="C27" t="str">
            <v>Acción 5 Establecer sistema de indicadores de investigación útil para la planeación estratégica</v>
          </cell>
          <cell r="D27" t="str">
            <v>01-11</v>
          </cell>
          <cell r="E27" t="str">
            <v>12-11</v>
          </cell>
          <cell r="F27" t="str">
            <v>DECANO</v>
          </cell>
          <cell r="G27" t="str">
            <v>DIR CESO</v>
          </cell>
          <cell r="H27">
            <v>0</v>
          </cell>
          <cell r="I27" t="str">
            <v>REVISION SISTEMA INDICADORES ACTUAL</v>
          </cell>
          <cell r="J27" t="str">
            <v>DOCUMENTO</v>
          </cell>
          <cell r="K27" t="str">
            <v>1 DOCUMENTO AL AÑO</v>
          </cell>
        </row>
        <row r="28">
          <cell r="A28" t="str">
            <v>3.3.5</v>
          </cell>
          <cell r="B28" t="str">
            <v>2.1.6</v>
          </cell>
          <cell r="C28" t="str">
            <v>Acción 6 Fortalecimiento de Biblioteca y bases de datos</v>
          </cell>
          <cell r="D28" t="str">
            <v>01-11</v>
          </cell>
          <cell r="E28" t="str">
            <v>12-13</v>
          </cell>
          <cell r="F28" t="str">
            <v>DECANO</v>
          </cell>
          <cell r="G28" t="str">
            <v>DIR CESO</v>
          </cell>
          <cell r="H28">
            <v>0</v>
          </cell>
          <cell r="I28" t="str">
            <v>REVISION LIBROS Y BD</v>
          </cell>
          <cell r="J28" t="str">
            <v># LIBROS COMPRADOS</v>
          </cell>
          <cell r="K28" t="str">
            <v>AUMENTO DEL 20% EN LIBROS COMPRADOS</v>
          </cell>
        </row>
        <row r="29">
          <cell r="A29" t="str">
            <v>3.4</v>
          </cell>
          <cell r="B29">
            <v>2.2000000000000002</v>
          </cell>
          <cell r="C29" t="str">
            <v>Subobjetivo 2 Garantizar la visibilidad e impacto de las actividades de investigación de la Facultad</v>
          </cell>
          <cell r="D29">
            <v>0</v>
          </cell>
          <cell r="E29">
            <v>0</v>
          </cell>
          <cell r="F29">
            <v>0</v>
          </cell>
          <cell r="G29">
            <v>0</v>
          </cell>
          <cell r="H29">
            <v>0</v>
          </cell>
          <cell r="I29">
            <v>0</v>
          </cell>
          <cell r="J29">
            <v>0</v>
          </cell>
          <cell r="K29">
            <v>0</v>
          </cell>
        </row>
        <row r="30">
          <cell r="A30" t="str">
            <v>3.4.1</v>
          </cell>
          <cell r="B30" t="str">
            <v>2.2.1</v>
          </cell>
          <cell r="C30" t="str">
            <v>Acción 1 Rediseño estrategias de divulgación</v>
          </cell>
          <cell r="D30" t="str">
            <v>01-11</v>
          </cell>
          <cell r="E30" t="str">
            <v>12-11</v>
          </cell>
          <cell r="F30" t="str">
            <v>DECANO</v>
          </cell>
          <cell r="G30" t="str">
            <v>DIR DEPTO</v>
          </cell>
          <cell r="H30">
            <v>0</v>
          </cell>
          <cell r="I30" t="str">
            <v>REVISION ESTRATEGIAS ACTUALES DIVULGACION</v>
          </cell>
          <cell r="J30" t="str">
            <v>DOCUMENTO ESTRATEGIAS</v>
          </cell>
          <cell r="K30" t="str">
            <v>1 DOCUMENTO AL AÑO</v>
          </cell>
        </row>
        <row r="31">
          <cell r="A31" t="str">
            <v>3.3.4</v>
          </cell>
          <cell r="B31" t="str">
            <v>2.2.2</v>
          </cell>
          <cell r="C31" t="str">
            <v>Acción 2 Publicación de resultados de investigación con criterios de calidad</v>
          </cell>
          <cell r="D31" t="str">
            <v>01-11</v>
          </cell>
          <cell r="E31" t="str">
            <v>12-11</v>
          </cell>
          <cell r="F31" t="str">
            <v>DECANO</v>
          </cell>
          <cell r="G31" t="str">
            <v>DIR DEPTO</v>
          </cell>
          <cell r="H31">
            <v>0</v>
          </cell>
          <cell r="I31" t="str">
            <v>REVISION PUBLICACIONES ACTUALES</v>
          </cell>
          <cell r="J31" t="str">
            <v># PUBLICACIONES CALIDAD</v>
          </cell>
          <cell r="K31" t="str">
            <v>AUMENTO DEL 20% EN PUBLICACIONES DE CALIDAD</v>
          </cell>
        </row>
        <row r="32">
          <cell r="A32" t="str">
            <v>3.4.1</v>
          </cell>
          <cell r="B32" t="str">
            <v>2.2.3</v>
          </cell>
          <cell r="C32" t="str">
            <v>Acción 3 Rediseño de colecciones</v>
          </cell>
          <cell r="D32" t="str">
            <v>01-11</v>
          </cell>
          <cell r="E32" t="str">
            <v>12-11</v>
          </cell>
          <cell r="F32" t="str">
            <v>DECANO</v>
          </cell>
          <cell r="G32" t="str">
            <v>DIR DEPTO</v>
          </cell>
          <cell r="H32">
            <v>0</v>
          </cell>
          <cell r="I32" t="str">
            <v>REVISION COLECCIONES</v>
          </cell>
          <cell r="J32" t="str">
            <v># COLECCIONES LANZADAS</v>
          </cell>
          <cell r="K32" t="str">
            <v>2 COLECCIONES POR AÑO</v>
          </cell>
        </row>
        <row r="33">
          <cell r="A33" t="str">
            <v>3.3.6</v>
          </cell>
          <cell r="B33" t="str">
            <v>2.2.4</v>
          </cell>
          <cell r="C33" t="str">
            <v>Acción 4 Mayor presencia en revistas de primer nivel</v>
          </cell>
          <cell r="D33" t="str">
            <v>01-11</v>
          </cell>
          <cell r="E33" t="str">
            <v>12-15</v>
          </cell>
          <cell r="F33" t="str">
            <v>DECANO</v>
          </cell>
          <cell r="G33" t="str">
            <v>DIR DEPTO</v>
          </cell>
          <cell r="H33">
            <v>0</v>
          </cell>
          <cell r="I33" t="str">
            <v>INVENTARIO DE PUBLICACION</v>
          </cell>
          <cell r="J33" t="str">
            <v># DE REVISTAS DE PRIMER NIVEL</v>
          </cell>
          <cell r="K33" t="str">
            <v>6 REVISTAS DE PRIMER NIVEL AL AÑO</v>
          </cell>
        </row>
        <row r="34">
          <cell r="A34" t="str">
            <v>3.4.2</v>
          </cell>
          <cell r="B34" t="str">
            <v>2.2.5</v>
          </cell>
          <cell r="C34" t="str">
            <v>Acción 5 Inclusión en Bases de Datos electrónicas</v>
          </cell>
          <cell r="D34" t="str">
            <v>01-11</v>
          </cell>
          <cell r="E34" t="str">
            <v>12-15</v>
          </cell>
          <cell r="F34" t="str">
            <v>DECANO</v>
          </cell>
          <cell r="G34" t="str">
            <v>DIR DEPTO</v>
          </cell>
          <cell r="H34">
            <v>0</v>
          </cell>
          <cell r="I34" t="str">
            <v>INVENTARIO DE BD ELECTRONICAS</v>
          </cell>
          <cell r="J34" t="str">
            <v># DE BASE DE DATOS ELECTRONICAS</v>
          </cell>
          <cell r="K34" t="str">
            <v>4 BD AL AÑO</v>
          </cell>
        </row>
        <row r="35">
          <cell r="A35" t="str">
            <v>3.4</v>
          </cell>
          <cell r="B35">
            <v>2.2999999999999998</v>
          </cell>
          <cell r="C35" t="str">
            <v>Subobjetivo 3 Impulsar la divulgación de actividades de investigación a grupos de interés específicos</v>
          </cell>
          <cell r="D35">
            <v>0</v>
          </cell>
          <cell r="E35">
            <v>0</v>
          </cell>
          <cell r="F35">
            <v>0</v>
          </cell>
          <cell r="G35">
            <v>0</v>
          </cell>
          <cell r="H35">
            <v>0</v>
          </cell>
          <cell r="I35">
            <v>0</v>
          </cell>
          <cell r="J35">
            <v>0</v>
          </cell>
          <cell r="K35">
            <v>0</v>
          </cell>
        </row>
        <row r="36">
          <cell r="A36" t="str">
            <v>3.4.3</v>
          </cell>
          <cell r="B36" t="str">
            <v>2.3.1</v>
          </cell>
          <cell r="C36" t="str">
            <v>Acción 1 Establecer mecanismos de comunicación con medios especializados según el grupo</v>
          </cell>
          <cell r="D36" t="str">
            <v>01-11</v>
          </cell>
          <cell r="E36" t="str">
            <v>12-15</v>
          </cell>
          <cell r="F36" t="str">
            <v>DECANO</v>
          </cell>
          <cell r="G36" t="str">
            <v>DIR DEPTO</v>
          </cell>
          <cell r="H36">
            <v>0</v>
          </cell>
          <cell r="I36" t="str">
            <v>INVENTARIO GRUPOS</v>
          </cell>
          <cell r="J36" t="str">
            <v># DE GRUPOS ESPECIFICOS</v>
          </cell>
          <cell r="K36" t="str">
            <v>10 GRUPOS AL AÑO</v>
          </cell>
        </row>
        <row r="37">
          <cell r="A37" t="str">
            <v>3.4.4</v>
          </cell>
          <cell r="B37" t="str">
            <v>2.3.2</v>
          </cell>
          <cell r="C37" t="str">
            <v>Acción 2 Identificar espacios académicos donde se promueve el conocimiento de los trabajos que adelanta la Facultad</v>
          </cell>
          <cell r="D37" t="str">
            <v>01-11</v>
          </cell>
          <cell r="E37" t="str">
            <v>12-15</v>
          </cell>
          <cell r="F37" t="str">
            <v>DECANO</v>
          </cell>
          <cell r="G37" t="str">
            <v>DIR DEPTO</v>
          </cell>
          <cell r="H37">
            <v>0</v>
          </cell>
          <cell r="I37" t="str">
            <v>INVENTARIO DE ESPACIOS ACADEM</v>
          </cell>
          <cell r="J37" t="str">
            <v># ESPACIOS ACADEMICOS</v>
          </cell>
          <cell r="K37" t="str">
            <v>6 ESPACIOS ACADEMICOS</v>
          </cell>
        </row>
        <row r="38">
          <cell r="A38">
            <v>5</v>
          </cell>
          <cell r="B38">
            <v>3</v>
          </cell>
          <cell r="C38" t="str">
            <v>Objetivo 3 Contribuir al debate académico en las ciencias sociales a través de proyectos, publicaciones e impacto en políticas públicas y a través de sus egresados</v>
          </cell>
          <cell r="D38">
            <v>0</v>
          </cell>
          <cell r="E38">
            <v>0</v>
          </cell>
          <cell r="F38">
            <v>0</v>
          </cell>
          <cell r="G38">
            <v>0</v>
          </cell>
          <cell r="H38">
            <v>0</v>
          </cell>
          <cell r="I38">
            <v>0</v>
          </cell>
          <cell r="J38">
            <v>0</v>
          </cell>
          <cell r="K38">
            <v>0</v>
          </cell>
        </row>
        <row r="39">
          <cell r="A39" t="str">
            <v>5.1</v>
          </cell>
          <cell r="B39">
            <v>3.1</v>
          </cell>
          <cell r="C39" t="str">
            <v>Subobjetivo 1 Garantizar la visibilidad e impacto de las actividades académicas de la Facultad</v>
          </cell>
          <cell r="D39">
            <v>0</v>
          </cell>
          <cell r="E39">
            <v>0</v>
          </cell>
          <cell r="F39">
            <v>0</v>
          </cell>
          <cell r="G39">
            <v>0</v>
          </cell>
          <cell r="H39">
            <v>0</v>
          </cell>
          <cell r="I39">
            <v>0</v>
          </cell>
          <cell r="J39">
            <v>0</v>
          </cell>
          <cell r="K39">
            <v>0</v>
          </cell>
        </row>
        <row r="40">
          <cell r="A40" t="str">
            <v>5.1.2</v>
          </cell>
          <cell r="B40" t="str">
            <v>3.1.1</v>
          </cell>
          <cell r="C40" t="str">
            <v>Acción 1 Rediseño de medios de divulgación</v>
          </cell>
          <cell r="D40" t="str">
            <v>01-11</v>
          </cell>
          <cell r="E40" t="str">
            <v>12-11</v>
          </cell>
          <cell r="F40" t="str">
            <v>DECANO</v>
          </cell>
          <cell r="G40" t="str">
            <v>DIR DEPTO</v>
          </cell>
          <cell r="H40">
            <v>0</v>
          </cell>
          <cell r="I40" t="str">
            <v>REVISION MEDIOS ACTUALES</v>
          </cell>
          <cell r="J40" t="str">
            <v># MEDIOS REDISEÑADOS</v>
          </cell>
          <cell r="K40" t="str">
            <v>3 MEDIOS AL AÑO</v>
          </cell>
        </row>
        <row r="41">
          <cell r="A41" t="str">
            <v>5.1.2</v>
          </cell>
          <cell r="B41" t="str">
            <v>3.1.2</v>
          </cell>
          <cell r="C41" t="str">
            <v>Acción 2 Publicación de programas y reformas curriculares</v>
          </cell>
          <cell r="D41" t="str">
            <v>01-11</v>
          </cell>
          <cell r="E41" t="str">
            <v>12-11</v>
          </cell>
          <cell r="F41" t="str">
            <v>DECANO</v>
          </cell>
          <cell r="G41" t="str">
            <v>DIR DEPTO</v>
          </cell>
          <cell r="H41">
            <v>0</v>
          </cell>
          <cell r="I41" t="str">
            <v>CURRICULOS ACTUALES</v>
          </cell>
          <cell r="J41" t="str">
            <v># CURRICULOS REDISEÑADOS</v>
          </cell>
          <cell r="K41" t="str">
            <v>2 CURRICULOS AL AÑO</v>
          </cell>
        </row>
        <row r="42">
          <cell r="A42" t="str">
            <v>5.1.2</v>
          </cell>
          <cell r="B42" t="str">
            <v>3.1.3</v>
          </cell>
          <cell r="C42" t="str">
            <v>Acción 3 Rediseño de boletín informativo</v>
          </cell>
          <cell r="D42" t="str">
            <v>01-11</v>
          </cell>
          <cell r="E42" t="str">
            <v>12-11</v>
          </cell>
          <cell r="F42" t="str">
            <v>DECANO</v>
          </cell>
          <cell r="G42" t="str">
            <v>DIR DEPTO</v>
          </cell>
          <cell r="H42">
            <v>0</v>
          </cell>
          <cell r="I42" t="str">
            <v>REVISION BOLETIN ACTUAL</v>
          </cell>
          <cell r="J42" t="str">
            <v>BOLETIN REDISEÑADO</v>
          </cell>
          <cell r="K42" t="str">
            <v>BOLETIN REDISEÑADO</v>
          </cell>
        </row>
        <row r="43">
          <cell r="A43" t="str">
            <v>5.1.2</v>
          </cell>
          <cell r="B43" t="str">
            <v>3.1.4</v>
          </cell>
          <cell r="C43" t="str">
            <v>Acción 4 Publicación en medios electrónicos</v>
          </cell>
          <cell r="D43" t="str">
            <v>01-11</v>
          </cell>
          <cell r="E43" t="str">
            <v>12-13</v>
          </cell>
          <cell r="F43" t="str">
            <v>DECANO</v>
          </cell>
          <cell r="G43" t="str">
            <v>DIR DEPTO</v>
          </cell>
          <cell r="H43">
            <v>0</v>
          </cell>
          <cell r="I43" t="str">
            <v>MEDIOS ELECTRONICOS ACTUALES</v>
          </cell>
          <cell r="J43" t="str">
            <v># MEDIOS ELECTRONICOS</v>
          </cell>
          <cell r="K43" t="str">
            <v>2 MEDIOS ELEC AL AÑO</v>
          </cell>
        </row>
        <row r="44">
          <cell r="A44" t="str">
            <v>5.1.1</v>
          </cell>
          <cell r="B44" t="str">
            <v>3.1.5</v>
          </cell>
          <cell r="C44" t="str">
            <v>Acción 5 Rediseño estrategias de divulgación de las actividades de la Facultad en medios</v>
          </cell>
          <cell r="D44" t="str">
            <v>01-11</v>
          </cell>
          <cell r="E44" t="str">
            <v>12-13</v>
          </cell>
          <cell r="F44" t="str">
            <v>DECANO</v>
          </cell>
          <cell r="G44" t="str">
            <v>DIR DEPTO</v>
          </cell>
          <cell r="H44">
            <v>0</v>
          </cell>
          <cell r="I44" t="str">
            <v>ANALISIS ESTRATEGIA ACTUAL</v>
          </cell>
          <cell r="J44" t="str">
            <v># DOCUMENTOS</v>
          </cell>
          <cell r="K44" t="str">
            <v>1 DOCUMENTO AL AÑO</v>
          </cell>
        </row>
        <row r="45">
          <cell r="A45" t="str">
            <v>4.1</v>
          </cell>
          <cell r="B45">
            <v>3.2</v>
          </cell>
          <cell r="C45" t="str">
            <v>Subobjetivo 2 Consolidar relaciones con egresados</v>
          </cell>
          <cell r="D45">
            <v>0</v>
          </cell>
          <cell r="E45">
            <v>0</v>
          </cell>
          <cell r="F45">
            <v>0</v>
          </cell>
          <cell r="G45">
            <v>0</v>
          </cell>
          <cell r="H45">
            <v>0</v>
          </cell>
          <cell r="I45">
            <v>0</v>
          </cell>
          <cell r="J45">
            <v>0</v>
          </cell>
          <cell r="K45">
            <v>0</v>
          </cell>
        </row>
        <row r="46">
          <cell r="A46" t="str">
            <v>4.1.1</v>
          </cell>
          <cell r="B46" t="str">
            <v>3.2.1</v>
          </cell>
          <cell r="C46" t="str">
            <v>Acción 1 Vincular académicamente a los egresados en programas de educación continuada y posgrados</v>
          </cell>
          <cell r="D46" t="str">
            <v>01-11</v>
          </cell>
          <cell r="E46" t="str">
            <v>12-14</v>
          </cell>
          <cell r="F46" t="str">
            <v>DECANO</v>
          </cell>
          <cell r="G46" t="str">
            <v>DIR DEPTO</v>
          </cell>
          <cell r="H46">
            <v>0</v>
          </cell>
          <cell r="I46" t="str">
            <v>INVENTARIOS VINCULACION ACTUAL</v>
          </cell>
          <cell r="J46" t="str">
            <v># EGRESADOS VINCULADOS</v>
          </cell>
          <cell r="K46" t="str">
            <v>20% DE AUMENTO DE EGRESADOS EN EDUC CONT</v>
          </cell>
        </row>
        <row r="47">
          <cell r="A47" t="str">
            <v>Eliminada</v>
          </cell>
          <cell r="B47" t="str">
            <v>3.2.2</v>
          </cell>
          <cell r="C47" t="str">
            <v>Acción 2 Ofrecer al egresado información que le permita hacer un seguimiento de sus programas</v>
          </cell>
          <cell r="D47" t="str">
            <v>01-12</v>
          </cell>
          <cell r="E47" t="str">
            <v>12-12</v>
          </cell>
          <cell r="F47" t="str">
            <v>DECANO</v>
          </cell>
          <cell r="G47" t="str">
            <v>DIR DEPTO</v>
          </cell>
          <cell r="H47">
            <v>0</v>
          </cell>
          <cell r="I47" t="str">
            <v>MEDIOS ACTUALES COMUNICACIÓN</v>
          </cell>
          <cell r="J47" t="str">
            <v># BOLETINES AL AÑO</v>
          </cell>
          <cell r="K47" t="str">
            <v>2 BOLETINES POR AÑO</v>
          </cell>
        </row>
        <row r="48">
          <cell r="A48" t="str">
            <v>4.1.2</v>
          </cell>
          <cell r="B48" t="str">
            <v>3.2.3</v>
          </cell>
          <cell r="C48" t="str">
            <v>Acción 3 Boletín semestral para egresados</v>
          </cell>
          <cell r="D48" t="str">
            <v>01-12</v>
          </cell>
          <cell r="E48" t="str">
            <v>12-12</v>
          </cell>
          <cell r="F48" t="str">
            <v>DECANO</v>
          </cell>
          <cell r="G48" t="str">
            <v>DIR DEPTO</v>
          </cell>
          <cell r="H48">
            <v>0</v>
          </cell>
          <cell r="I48" t="str">
            <v>MEDIOS ACTUALES COMUNICACIÓN</v>
          </cell>
          <cell r="J48" t="str">
            <v># BOLETINES AL AÑO</v>
          </cell>
          <cell r="K48" t="str">
            <v>2 BOLETINES POR AÑO</v>
          </cell>
        </row>
        <row r="49">
          <cell r="A49" t="str">
            <v>Eliminada</v>
          </cell>
          <cell r="B49">
            <v>4</v>
          </cell>
          <cell r="C49" t="str">
            <v>Objetivo 4 Impulsar la internacionalización de la Facultad</v>
          </cell>
          <cell r="D49">
            <v>0</v>
          </cell>
          <cell r="E49">
            <v>0</v>
          </cell>
          <cell r="F49">
            <v>0</v>
          </cell>
          <cell r="G49">
            <v>0</v>
          </cell>
          <cell r="H49">
            <v>0</v>
          </cell>
          <cell r="I49">
            <v>0</v>
          </cell>
          <cell r="J49">
            <v>0</v>
          </cell>
          <cell r="K49">
            <v>0</v>
          </cell>
        </row>
        <row r="50">
          <cell r="A50" t="str">
            <v>3.5</v>
          </cell>
          <cell r="B50">
            <v>4.0999999999999996</v>
          </cell>
          <cell r="C50" t="str">
            <v>Subobjetivo 1 Dar a conocer las actividades académicas de la Facultad en  medios académicos internaciones de calidad</v>
          </cell>
          <cell r="D50">
            <v>0</v>
          </cell>
          <cell r="E50">
            <v>0</v>
          </cell>
          <cell r="F50">
            <v>0</v>
          </cell>
          <cell r="G50">
            <v>0</v>
          </cell>
          <cell r="H50">
            <v>0</v>
          </cell>
          <cell r="I50">
            <v>0</v>
          </cell>
          <cell r="J50">
            <v>0</v>
          </cell>
          <cell r="K50">
            <v>0</v>
          </cell>
        </row>
        <row r="51">
          <cell r="A51" t="str">
            <v>3.3.6</v>
          </cell>
          <cell r="B51" t="str">
            <v>4.1.1</v>
          </cell>
          <cell r="C51" t="str">
            <v xml:space="preserve">Acción 1 Indexación de revistas en ISI </v>
          </cell>
          <cell r="D51" t="str">
            <v>01-12</v>
          </cell>
          <cell r="E51" t="str">
            <v>12-12</v>
          </cell>
          <cell r="F51" t="str">
            <v>DECANO</v>
          </cell>
          <cell r="G51" t="str">
            <v>DIR DEPTO</v>
          </cell>
          <cell r="H51">
            <v>0</v>
          </cell>
          <cell r="I51" t="str">
            <v>REVISION REQUISITOS ISI</v>
          </cell>
          <cell r="J51" t="str">
            <v># REVISTAS INDIZADAS ISI</v>
          </cell>
          <cell r="K51" t="str">
            <v>LAS DOS REVISTAS QUE FALTA</v>
          </cell>
        </row>
        <row r="52">
          <cell r="A52" t="str">
            <v>3.5.1</v>
          </cell>
          <cell r="B52" t="str">
            <v>4.1.2</v>
          </cell>
          <cell r="C52" t="str">
            <v>Acción 2 Publicaciones en lenguas extranjeras especialmente inglés</v>
          </cell>
          <cell r="D52" t="str">
            <v>01-12</v>
          </cell>
          <cell r="E52" t="str">
            <v>12-12</v>
          </cell>
          <cell r="F52" t="str">
            <v>DECANO</v>
          </cell>
          <cell r="G52" t="str">
            <v>DIR DEPTO</v>
          </cell>
          <cell r="H52">
            <v>0</v>
          </cell>
          <cell r="I52" t="str">
            <v>REVISION REQUISITOS ISI</v>
          </cell>
          <cell r="J52" t="str">
            <v># REVISTAS INDIZADAS ISI</v>
          </cell>
          <cell r="K52" t="str">
            <v>LAS DOS REVISTAS QUE FALTA</v>
          </cell>
        </row>
        <row r="53">
          <cell r="A53" t="str">
            <v>3.3.6</v>
          </cell>
          <cell r="B53" t="str">
            <v>4.1.3</v>
          </cell>
          <cell r="C53" t="str">
            <v>Acción 3 Promoción de la publicación en revistas extranjeras de calidad</v>
          </cell>
          <cell r="D53" t="str">
            <v>01-11</v>
          </cell>
          <cell r="E53" t="str">
            <v>12-15</v>
          </cell>
          <cell r="F53" t="str">
            <v>DECANO</v>
          </cell>
          <cell r="G53" t="str">
            <v>DIR DEPTO</v>
          </cell>
          <cell r="H53">
            <v>0</v>
          </cell>
          <cell r="I53" t="str">
            <v>LISTA REVISTA PUBLICACION</v>
          </cell>
          <cell r="J53" t="str">
            <v># REVISTAS DONDE SE PUBLICA</v>
          </cell>
          <cell r="K53" t="str">
            <v>AUMENTO 100% DE LAS REVISTAS</v>
          </cell>
        </row>
        <row r="54">
          <cell r="A54" t="str">
            <v>3.1</v>
          </cell>
          <cell r="B54" t="str">
            <v>4.1.4</v>
          </cell>
          <cell r="C54" t="str">
            <v>Acción 4 Fomentar la consecución de recursos extranjeros para la investigación</v>
          </cell>
          <cell r="D54" t="str">
            <v>01-11</v>
          </cell>
          <cell r="E54" t="str">
            <v>12-15</v>
          </cell>
          <cell r="F54" t="str">
            <v>DECANO</v>
          </cell>
          <cell r="G54" t="str">
            <v>DIR DEPTO</v>
          </cell>
          <cell r="H54">
            <v>0</v>
          </cell>
          <cell r="I54" t="str">
            <v>REVISION FUENTES ACTUALES</v>
          </cell>
          <cell r="J54" t="str">
            <v># FUENTES DISPONIBLES</v>
          </cell>
          <cell r="K54" t="str">
            <v>AUMENTO DE 50% DE LAS FUENTES DISPONIBLES</v>
          </cell>
        </row>
        <row r="55">
          <cell r="A55" t="str">
            <v>2.1 / 3.6</v>
          </cell>
          <cell r="B55">
            <v>4.2</v>
          </cell>
          <cell r="C55" t="str">
            <v>Subobjetivo 2 Atraer estudiantes internacionales de calidad y ofrecer a los estudiantes, especialmente de posgrado espacios internacionales para el desarrollo de su investigación</v>
          </cell>
          <cell r="D55">
            <v>0</v>
          </cell>
          <cell r="E55">
            <v>0</v>
          </cell>
          <cell r="F55">
            <v>0</v>
          </cell>
          <cell r="G55">
            <v>0</v>
          </cell>
          <cell r="H55">
            <v>0</v>
          </cell>
          <cell r="I55">
            <v>0</v>
          </cell>
          <cell r="J55">
            <v>0</v>
          </cell>
          <cell r="K55">
            <v>0</v>
          </cell>
        </row>
        <row r="56">
          <cell r="A56" t="str">
            <v>3.6.1</v>
          </cell>
          <cell r="B56" t="str">
            <v>4.2.1</v>
          </cell>
          <cell r="C56" t="str">
            <v>Acción 1 Establecer convenios efectivos</v>
          </cell>
          <cell r="D56" t="str">
            <v>01-11</v>
          </cell>
          <cell r="E56" t="str">
            <v>12-12</v>
          </cell>
          <cell r="F56" t="str">
            <v>DECANO</v>
          </cell>
          <cell r="G56" t="str">
            <v>DIR DEPTO</v>
          </cell>
          <cell r="H56">
            <v>0</v>
          </cell>
          <cell r="I56" t="str">
            <v>INVENTARIO CONVENIOS ACTUALES</v>
          </cell>
          <cell r="J56" t="str">
            <v>BENEFICIOS CONVENIOS</v>
          </cell>
          <cell r="K56" t="str">
            <v>AUMENTO 50% DE LOS BENEFICIOS CONVENIOS</v>
          </cell>
        </row>
        <row r="57">
          <cell r="A57" t="str">
            <v>3.6.1</v>
          </cell>
          <cell r="B57" t="str">
            <v>4.2.2</v>
          </cell>
          <cell r="C57" t="str">
            <v>Acción 2 Estrechar vínculos a través de la investigación conjunta con instituciones extranjeras de calidad</v>
          </cell>
          <cell r="D57" t="str">
            <v>01-11</v>
          </cell>
          <cell r="E57" t="str">
            <v>12-15</v>
          </cell>
          <cell r="F57" t="str">
            <v>DECANO</v>
          </cell>
          <cell r="G57" t="str">
            <v>DIR DEPTO</v>
          </cell>
          <cell r="H57">
            <v>0</v>
          </cell>
          <cell r="I57" t="str">
            <v>INVENTARIO INVESTIGACION CONJUNTA</v>
          </cell>
          <cell r="J57" t="str">
            <v># INVESTIGACIONES COJUNTAS</v>
          </cell>
          <cell r="K57" t="str">
            <v>2 INVESTIGACIONES AL AÑO</v>
          </cell>
        </row>
        <row r="58">
          <cell r="A58" t="str">
            <v>1.2.2</v>
          </cell>
          <cell r="B58">
            <v>4.3</v>
          </cell>
          <cell r="C58" t="str">
            <v>Subobjetivo 3 Introducir en los currículos de pregrado y posgrado componentes de formación de carácter universal</v>
          </cell>
          <cell r="D58">
            <v>0</v>
          </cell>
          <cell r="E58">
            <v>0</v>
          </cell>
          <cell r="F58">
            <v>0</v>
          </cell>
          <cell r="G58">
            <v>0</v>
          </cell>
          <cell r="H58">
            <v>0</v>
          </cell>
          <cell r="I58">
            <v>0</v>
          </cell>
          <cell r="J58">
            <v>0</v>
          </cell>
          <cell r="K58">
            <v>0</v>
          </cell>
        </row>
        <row r="59">
          <cell r="A59" t="str">
            <v>1.2.2</v>
          </cell>
          <cell r="B59" t="str">
            <v>4.3.1</v>
          </cell>
          <cell r="C59" t="str">
            <v>Acción 1 Reevaluación de los contenidos para fomentar aproximaciones comparativas de los problemas estudiados</v>
          </cell>
          <cell r="D59" t="str">
            <v>01-11</v>
          </cell>
          <cell r="E59" t="str">
            <v>15-12</v>
          </cell>
          <cell r="F59" t="str">
            <v>DECANO</v>
          </cell>
          <cell r="G59" t="str">
            <v>DIR DEPTO</v>
          </cell>
          <cell r="H59">
            <v>0</v>
          </cell>
          <cell r="I59" t="str">
            <v>CONTENIDOS PROGRAMAS</v>
          </cell>
          <cell r="J59" t="str">
            <v># CONTENIDOS REFORMADOS</v>
          </cell>
          <cell r="K59" t="str">
            <v>2 CONTENIDOS REFORMADOS AL AÑO</v>
          </cell>
        </row>
        <row r="60">
          <cell r="A60" t="str">
            <v>3.5</v>
          </cell>
          <cell r="B60">
            <v>4.4000000000000004</v>
          </cell>
          <cell r="C60" t="str">
            <v>Subobjetivo 4 Garantizar acceso a publicaciones de la Facultad en los centros y universidades extranjeros de calidad</v>
          </cell>
          <cell r="D60">
            <v>0</v>
          </cell>
          <cell r="E60">
            <v>0</v>
          </cell>
          <cell r="F60">
            <v>0</v>
          </cell>
          <cell r="G60">
            <v>0</v>
          </cell>
          <cell r="H60">
            <v>0</v>
          </cell>
          <cell r="I60">
            <v>0</v>
          </cell>
          <cell r="J60">
            <v>0</v>
          </cell>
          <cell r="K60">
            <v>0</v>
          </cell>
        </row>
        <row r="61">
          <cell r="A61" t="str">
            <v>3.5.2</v>
          </cell>
          <cell r="B61" t="str">
            <v>4.4.1</v>
          </cell>
          <cell r="C61" t="str">
            <v>Acción 1 Establecer una política de canjes ágil</v>
          </cell>
          <cell r="D61" t="str">
            <v>01-11</v>
          </cell>
          <cell r="E61" t="str">
            <v>12-12</v>
          </cell>
          <cell r="F61" t="str">
            <v>DECANO</v>
          </cell>
          <cell r="G61" t="str">
            <v>DIR DEPTO</v>
          </cell>
          <cell r="H61">
            <v>0</v>
          </cell>
          <cell r="I61" t="str">
            <v>REVISION POLITICA CANJES</v>
          </cell>
          <cell r="J61" t="str">
            <v>DOCUMENTO POLITICA CANJES</v>
          </cell>
          <cell r="K61" t="str">
            <v>1 DOCUMENTO AL AÑO</v>
          </cell>
        </row>
        <row r="62">
          <cell r="A62" t="str">
            <v>3.5.3</v>
          </cell>
          <cell r="B62" t="str">
            <v>4.4.2</v>
          </cell>
          <cell r="C62" t="str">
            <v>Acción 2 Optimizar los envíos físicos de libros y revistas</v>
          </cell>
          <cell r="D62" t="str">
            <v>01-11</v>
          </cell>
          <cell r="E62" t="str">
            <v>12-12</v>
          </cell>
          <cell r="F62" t="str">
            <v>DECANO</v>
          </cell>
          <cell r="G62" t="str">
            <v>DIR DEPTO</v>
          </cell>
          <cell r="H62">
            <v>0</v>
          </cell>
          <cell r="I62" t="str">
            <v>INVENTARIO ENVIOS FISICOS</v>
          </cell>
          <cell r="J62" t="str">
            <v># ENVIOS EFECTIVOS</v>
          </cell>
          <cell r="K62" t="str">
            <v>AUMENTO 30% EN ENVIOS EFECTIVOS</v>
          </cell>
        </row>
        <row r="63">
          <cell r="A63" t="str">
            <v>1.3</v>
          </cell>
          <cell r="B63">
            <v>4.5</v>
          </cell>
          <cell r="C63" t="str">
            <v>Subobjetivo 5 Escuela de Verano</v>
          </cell>
          <cell r="D63">
            <v>0</v>
          </cell>
          <cell r="E63">
            <v>0</v>
          </cell>
          <cell r="F63">
            <v>0</v>
          </cell>
          <cell r="G63">
            <v>0</v>
          </cell>
          <cell r="H63">
            <v>0</v>
          </cell>
          <cell r="I63">
            <v>0</v>
          </cell>
          <cell r="J63">
            <v>0</v>
          </cell>
          <cell r="K63">
            <v>0</v>
          </cell>
        </row>
        <row r="64">
          <cell r="A64" t="str">
            <v>1.3.1</v>
          </cell>
          <cell r="B64" t="str">
            <v>4.5.1</v>
          </cell>
          <cell r="C64" t="str">
            <v>Acción 1 Organizar la escuela de verano de las diferentes unidades de la Facultad</v>
          </cell>
          <cell r="D64" t="str">
            <v>01-11</v>
          </cell>
          <cell r="E64" t="str">
            <v>15-12</v>
          </cell>
          <cell r="F64" t="str">
            <v>DECANO</v>
          </cell>
          <cell r="G64" t="str">
            <v>DIR DEPTO</v>
          </cell>
          <cell r="H64">
            <v>0</v>
          </cell>
          <cell r="I64" t="str">
            <v>ESTADO ACTUAL ESCUELA VERANO</v>
          </cell>
          <cell r="J64" t="str">
            <v># CURSOS POR AÑO</v>
          </cell>
          <cell r="K64" t="str">
            <v>6 CURSOS AL AÑO</v>
          </cell>
        </row>
      </sheetData>
      <sheetData sheetId="2"/>
      <sheetData sheetId="3">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v>1</v>
          </cell>
          <cell r="B5">
            <v>1</v>
          </cell>
          <cell r="C5" t="str">
            <v>Objetivo 1 ASEGURAR LA CALIDAD DE LOS PROGRAMAS ACADÉMICOS PROMOVIENDO FLEXIBILIDAD, INTERDEPENDENCIA Y PERTINENCIA</v>
          </cell>
          <cell r="D5">
            <v>0</v>
          </cell>
          <cell r="E5">
            <v>0</v>
          </cell>
          <cell r="F5">
            <v>0</v>
          </cell>
          <cell r="G5">
            <v>0</v>
          </cell>
          <cell r="H5" t="e">
            <v>#REF!</v>
          </cell>
          <cell r="I5">
            <v>0</v>
          </cell>
          <cell r="J5">
            <v>0</v>
          </cell>
          <cell r="K5">
            <v>0</v>
          </cell>
        </row>
        <row r="6">
          <cell r="A6" t="str">
            <v>1.1.</v>
          </cell>
          <cell r="B6" t="str">
            <v>1.1</v>
          </cell>
          <cell r="C6" t="str">
            <v>Subobjetivo 1 Fortalecer los currículos de los programas activos y creación de nuevos</v>
          </cell>
          <cell r="D6">
            <v>0</v>
          </cell>
          <cell r="E6">
            <v>0</v>
          </cell>
          <cell r="F6">
            <v>0</v>
          </cell>
          <cell r="G6">
            <v>0</v>
          </cell>
          <cell r="H6" t="e">
            <v>#REF!</v>
          </cell>
          <cell r="I6">
            <v>0</v>
          </cell>
          <cell r="J6">
            <v>0</v>
          </cell>
          <cell r="K6">
            <v>0</v>
          </cell>
        </row>
        <row r="7">
          <cell r="A7" t="str">
            <v>1.1.1</v>
          </cell>
          <cell r="B7" t="str">
            <v>1.1.1</v>
          </cell>
          <cell r="C7" t="str">
            <v>Acción 1 Actualizar los currículos especialmente en el área teórica metodológica. (contratación de nuevos profesores, reuniones por líneas de investigación, revisión de bibliografía, actualización en metodologías en ciencias sociales</v>
          </cell>
          <cell r="D7" t="str">
            <v>01-11</v>
          </cell>
          <cell r="E7" t="str">
            <v>12-12</v>
          </cell>
          <cell r="F7" t="str">
            <v>DIR DEPTO</v>
          </cell>
          <cell r="G7" t="str">
            <v>DIR POSGRADO</v>
          </cell>
          <cell r="H7" t="e">
            <v>#REF!</v>
          </cell>
          <cell r="I7" t="str">
            <v>REVISION CURRICULO METODOLOGIA</v>
          </cell>
          <cell r="J7" t="str">
            <v>CURRICULO MODIFICADO METODOLOGIA</v>
          </cell>
          <cell r="K7" t="str">
            <v>CURRICULO MODIFICADO</v>
          </cell>
        </row>
        <row r="8">
          <cell r="A8" t="str">
            <v>1.1.2</v>
          </cell>
          <cell r="B8" t="str">
            <v>1.1.2</v>
          </cell>
          <cell r="C8" t="str">
            <v>Acción 2 Incentivar los vínculos académicos con los otros programas académicos de la Facultad (cursos conjuntos)</v>
          </cell>
          <cell r="D8" t="str">
            <v>01-11</v>
          </cell>
          <cell r="E8" t="str">
            <v>01-15</v>
          </cell>
          <cell r="F8" t="str">
            <v>DIR DEPTO</v>
          </cell>
          <cell r="G8" t="str">
            <v>DIR POSGRADO</v>
          </cell>
          <cell r="H8" t="e">
            <v>#REF!</v>
          </cell>
          <cell r="I8" t="str">
            <v>REVISION DE POSIBLES CURSOS CONJUNTOS</v>
          </cell>
          <cell r="J8" t="str">
            <v># CURSOS CONJUNTOS</v>
          </cell>
          <cell r="K8" t="str">
            <v>1 CURSO CONJUNTO AL AÑO</v>
          </cell>
        </row>
        <row r="9">
          <cell r="A9" t="str">
            <v>1.2</v>
          </cell>
          <cell r="B9" t="str">
            <v>1.1.3</v>
          </cell>
          <cell r="C9" t="str">
            <v>Acción 3 Implementar una maestría profesional en historia</v>
          </cell>
          <cell r="D9" t="str">
            <v>01-12</v>
          </cell>
          <cell r="E9" t="str">
            <v>12-12</v>
          </cell>
          <cell r="F9" t="str">
            <v>DIR DEPTO</v>
          </cell>
          <cell r="G9" t="str">
            <v>DIR POSGRADO</v>
          </cell>
          <cell r="H9" t="e">
            <v>#REF!</v>
          </cell>
          <cell r="I9" t="str">
            <v>REVISION CAMBIO CURRICULO</v>
          </cell>
          <cell r="J9" t="str">
            <v>NUEVO PROGRAMA</v>
          </cell>
          <cell r="K9" t="str">
            <v>APROBACION MAESTRIA PROFESIONALIZANTE</v>
          </cell>
        </row>
        <row r="10">
          <cell r="A10" t="str">
            <v>1.2</v>
          </cell>
          <cell r="B10" t="str">
            <v>1.1.4</v>
          </cell>
          <cell r="C10" t="str">
            <v>Acción 4 Proponer un programa de Maestría en Historia del Arte (en colaboración de la Facultad de Artes).</v>
          </cell>
          <cell r="D10">
            <v>0</v>
          </cell>
          <cell r="E10">
            <v>0</v>
          </cell>
          <cell r="F10">
            <v>0</v>
          </cell>
          <cell r="G10">
            <v>0</v>
          </cell>
          <cell r="H10" t="e">
            <v>#REF!</v>
          </cell>
          <cell r="I10">
            <v>0</v>
          </cell>
          <cell r="J10">
            <v>0</v>
          </cell>
          <cell r="K10">
            <v>0</v>
          </cell>
        </row>
        <row r="11">
          <cell r="A11" t="str">
            <v>5.1</v>
          </cell>
          <cell r="B11" t="str">
            <v>1.1.5</v>
          </cell>
          <cell r="C11" t="str">
            <v>Acción 5 Acreditación nacional en los programas que estén habilitados para presentarse</v>
          </cell>
          <cell r="D11" t="str">
            <v>01-11</v>
          </cell>
          <cell r="E11" t="str">
            <v>12-15</v>
          </cell>
          <cell r="F11" t="str">
            <v>DIR DEPTO</v>
          </cell>
          <cell r="G11" t="str">
            <v>DIR POSGRADO</v>
          </cell>
          <cell r="H11" t="e">
            <v>#REF!</v>
          </cell>
          <cell r="I11" t="str">
            <v>REVISION LISTA CHEQUEO</v>
          </cell>
          <cell r="J11" t="str">
            <v>PROCESO EVALUACION</v>
          </cell>
          <cell r="K11" t="str">
            <v>ACREDITACION DE LOS RPOGRAMAS</v>
          </cell>
        </row>
        <row r="12">
          <cell r="A12" t="str">
            <v>2.1</v>
          </cell>
          <cell r="B12" t="str">
            <v>1.1.6</v>
          </cell>
          <cell r="C12" t="str">
            <v>Acción 6 Fortalecer participación estudiantil</v>
          </cell>
          <cell r="D12" t="str">
            <v>06-11</v>
          </cell>
          <cell r="E12" t="str">
            <v>07-12</v>
          </cell>
          <cell r="F12" t="str">
            <v>DIR DEPTO</v>
          </cell>
          <cell r="G12" t="str">
            <v>DIR POSGRADO</v>
          </cell>
          <cell r="H12" t="e">
            <v>#REF!</v>
          </cell>
          <cell r="I12" t="str">
            <v>REVISION PARTICIPACION ACTUAL</v>
          </cell>
          <cell r="J12" t="str">
            <v>ELECCION DE REPRESENTANTES ESTUDIANTILES</v>
          </cell>
          <cell r="K12" t="str">
            <v>PARTICIPACION ACTIVA REPRESENTANTES</v>
          </cell>
        </row>
        <row r="13">
          <cell r="A13">
            <v>1</v>
          </cell>
          <cell r="B13">
            <v>2</v>
          </cell>
          <cell r="C13" t="str">
            <v>Objetivo 2 ASEGURAR LA PERTINENCIA DE LOS PROGRAMAS ACADÉMICOS</v>
          </cell>
          <cell r="D13">
            <v>0</v>
          </cell>
          <cell r="E13">
            <v>0</v>
          </cell>
          <cell r="F13">
            <v>0</v>
          </cell>
          <cell r="G13">
            <v>0</v>
          </cell>
          <cell r="H13" t="e">
            <v>#REF!</v>
          </cell>
          <cell r="I13">
            <v>0</v>
          </cell>
          <cell r="J13">
            <v>0</v>
          </cell>
          <cell r="K13">
            <v>0</v>
          </cell>
        </row>
        <row r="14">
          <cell r="A14" t="str">
            <v>3.2</v>
          </cell>
          <cell r="B14">
            <v>2.1</v>
          </cell>
          <cell r="C14" t="str">
            <v>Subobjetivo 1 Promover la vinculación entre la docencia y la investigación</v>
          </cell>
          <cell r="D14">
            <v>0</v>
          </cell>
          <cell r="E14">
            <v>0</v>
          </cell>
          <cell r="F14">
            <v>0</v>
          </cell>
          <cell r="G14">
            <v>0</v>
          </cell>
          <cell r="H14" t="e">
            <v>#REF!</v>
          </cell>
          <cell r="I14">
            <v>0</v>
          </cell>
          <cell r="J14">
            <v>0</v>
          </cell>
          <cell r="K14">
            <v>0</v>
          </cell>
        </row>
        <row r="15">
          <cell r="A15" t="str">
            <v>4.1.1</v>
          </cell>
          <cell r="B15" t="str">
            <v>2.1.1</v>
          </cell>
          <cell r="C15" t="str">
            <v>Acción 1 Buscar apoyo en los egresados para prácticas y otras actividades que puedan servir de apoyo a los estudiantes</v>
          </cell>
          <cell r="D15" t="str">
            <v>01-11</v>
          </cell>
          <cell r="E15" t="str">
            <v>12-15</v>
          </cell>
          <cell r="F15" t="str">
            <v>DIR DEPTO</v>
          </cell>
          <cell r="G15" t="str">
            <v>COOR DEPTO</v>
          </cell>
          <cell r="H15" t="e">
            <v>#REF!</v>
          </cell>
          <cell r="I15" t="str">
            <v>REVISION DE ACUERDOS ACTUALES</v>
          </cell>
          <cell r="J15" t="str">
            <v># NUEVOS ACUERDOS</v>
          </cell>
          <cell r="K15" t="str">
            <v>4 ACUERDOS POR AÑO</v>
          </cell>
        </row>
        <row r="16">
          <cell r="A16" t="str">
            <v>3.2.5</v>
          </cell>
          <cell r="B16" t="str">
            <v>2.1.2</v>
          </cell>
          <cell r="C16" t="str">
            <v xml:space="preserve">Acción 2 Incluir los avances investigativos en la docencia </v>
          </cell>
          <cell r="D16" t="str">
            <v>01-12</v>
          </cell>
          <cell r="E16" t="str">
            <v>12-15</v>
          </cell>
          <cell r="F16" t="str">
            <v>DIR DEPTO</v>
          </cell>
          <cell r="G16" t="str">
            <v>DIR POSGRADO</v>
          </cell>
          <cell r="H16" t="e">
            <v>#REF!</v>
          </cell>
          <cell r="I16" t="str">
            <v>RELACION DE INVESTIGACION</v>
          </cell>
          <cell r="J16" t="str">
            <v># ARTICULOS PARA CLASES</v>
          </cell>
          <cell r="K16" t="str">
            <v>2 ARTICULOS POR AÑO COMO REFERENCIA EN CLASES</v>
          </cell>
        </row>
        <row r="17">
          <cell r="A17" t="str">
            <v>3.2.1</v>
          </cell>
          <cell r="B17" t="str">
            <v>2.1.3</v>
          </cell>
          <cell r="C17" t="str">
            <v>Acción 3 Desarrollo y consolidación de actividades de los estudiantes de posgrado</v>
          </cell>
          <cell r="D17" t="str">
            <v>01-11</v>
          </cell>
          <cell r="E17" t="str">
            <v>12-15</v>
          </cell>
          <cell r="F17" t="str">
            <v>DIR DEPTO</v>
          </cell>
          <cell r="G17" t="str">
            <v>DIR POSGRADO</v>
          </cell>
          <cell r="H17" t="e">
            <v>#REF!</v>
          </cell>
          <cell r="I17" t="str">
            <v>REVISION ACTIVIDADES</v>
          </cell>
          <cell r="J17" t="str">
            <v># ACTIVIDADES ESTUDIANTES POSGRADO</v>
          </cell>
          <cell r="K17" t="str">
            <v>2 ACTIVIDADES POR AÑO</v>
          </cell>
        </row>
        <row r="18">
          <cell r="A18" t="str">
            <v>3.2.4</v>
          </cell>
          <cell r="B18" t="str">
            <v>2.1.4</v>
          </cell>
          <cell r="C18" t="str">
            <v xml:space="preserve">Acción 4 Diversificar los acuerdos de pasantía </v>
          </cell>
          <cell r="D18" t="str">
            <v>01-11</v>
          </cell>
          <cell r="E18" t="str">
            <v>12-15</v>
          </cell>
          <cell r="F18" t="str">
            <v>DIR DEPTO</v>
          </cell>
          <cell r="G18" t="str">
            <v>DIR POSGRADO</v>
          </cell>
          <cell r="H18" t="e">
            <v>#REF!</v>
          </cell>
          <cell r="I18" t="str">
            <v>REVISION DE ACUERDOS ACTUALES</v>
          </cell>
          <cell r="J18" t="str">
            <v># NUEVOS ACUERDOS</v>
          </cell>
          <cell r="K18" t="str">
            <v>2 ACUERDOS POR AÑO</v>
          </cell>
        </row>
        <row r="19">
          <cell r="A19">
            <v>3</v>
          </cell>
          <cell r="B19">
            <v>3</v>
          </cell>
          <cell r="C19" t="str">
            <v>Objetivo 3 GARANTIZAR Y FOMENTAR EL DESARROLLO DE LA INVESTIGACIÓN Y SU DIVULGACIÓN EN REVISTAS INDEXADAS, LIBROS Y DEMÁS MEDIOS APROPIADOS TANTO A NIVEL NACIONAL COMO INTERNACIONAL</v>
          </cell>
          <cell r="D19">
            <v>0</v>
          </cell>
          <cell r="E19">
            <v>0</v>
          </cell>
          <cell r="F19">
            <v>0</v>
          </cell>
          <cell r="G19">
            <v>0</v>
          </cell>
          <cell r="H19" t="e">
            <v>#REF!</v>
          </cell>
          <cell r="I19">
            <v>0</v>
          </cell>
          <cell r="J19">
            <v>0</v>
          </cell>
          <cell r="K19">
            <v>0</v>
          </cell>
        </row>
        <row r="20">
          <cell r="A20" t="str">
            <v>3.2</v>
          </cell>
          <cell r="B20">
            <v>3.1</v>
          </cell>
          <cell r="C20" t="str">
            <v>Subobjetivo 1 Consolidar la investigación</v>
          </cell>
          <cell r="D20">
            <v>0</v>
          </cell>
          <cell r="E20">
            <v>0</v>
          </cell>
          <cell r="F20">
            <v>0</v>
          </cell>
          <cell r="G20">
            <v>0</v>
          </cell>
          <cell r="H20" t="e">
            <v>#REF!</v>
          </cell>
          <cell r="I20">
            <v>0</v>
          </cell>
          <cell r="J20">
            <v>0</v>
          </cell>
          <cell r="K20">
            <v>0</v>
          </cell>
        </row>
        <row r="21">
          <cell r="A21" t="str">
            <v>3.1.1</v>
          </cell>
          <cell r="B21" t="str">
            <v>3.1.1</v>
          </cell>
          <cell r="C21" t="str">
            <v>Acción 1 Establecer  políticas y planes para identificar recursos e incentivos investigativos.</v>
          </cell>
          <cell r="D21" t="str">
            <v>01-12</v>
          </cell>
          <cell r="E21" t="str">
            <v>12-12</v>
          </cell>
          <cell r="F21" t="str">
            <v>DIR DEPTO</v>
          </cell>
          <cell r="G21" t="str">
            <v>DIR POSGRADO</v>
          </cell>
          <cell r="H21" t="e">
            <v>#REF!</v>
          </cell>
          <cell r="I21" t="str">
            <v>REVISION POLITICA ACTUAL</v>
          </cell>
          <cell r="J21" t="str">
            <v># DOCUMENTOS</v>
          </cell>
          <cell r="K21" t="str">
            <v>1 DOCUMENTO AL AÑO</v>
          </cell>
        </row>
        <row r="22">
          <cell r="A22" t="str">
            <v>3.1.4</v>
          </cell>
          <cell r="B22" t="str">
            <v>3.1.2</v>
          </cell>
          <cell r="C22" t="str">
            <v>Acción 2 Incentivos y descargas para la investigación</v>
          </cell>
          <cell r="D22" t="str">
            <v>01-11</v>
          </cell>
          <cell r="E22" t="str">
            <v>12-15</v>
          </cell>
          <cell r="F22" t="str">
            <v>DIR DEPTO</v>
          </cell>
          <cell r="G22" t="str">
            <v>DIR POSGRADO</v>
          </cell>
          <cell r="H22" t="e">
            <v>#REF!</v>
          </cell>
          <cell r="I22" t="str">
            <v>REVISION POLITICA ACTUAL</v>
          </cell>
          <cell r="J22" t="str">
            <v>NUEVA POLITICA</v>
          </cell>
          <cell r="K22" t="str">
            <v>1 DOCUMENTO CON LA NUEVA POLITICA</v>
          </cell>
        </row>
        <row r="23">
          <cell r="A23" t="str">
            <v>3.2.1</v>
          </cell>
          <cell r="B23" t="str">
            <v>3.1.3</v>
          </cell>
          <cell r="C23" t="str">
            <v>Acción 3 Potenciar la participación de estudiantes y egresados en las tareas investigativas</v>
          </cell>
          <cell r="D23" t="str">
            <v>01-12</v>
          </cell>
          <cell r="E23" t="str">
            <v>01-15</v>
          </cell>
          <cell r="F23" t="str">
            <v>DIR DEPTO</v>
          </cell>
          <cell r="G23" t="str">
            <v>DIR POSGRADO</v>
          </cell>
          <cell r="H23" t="e">
            <v>#REF!</v>
          </cell>
          <cell r="I23" t="str">
            <v>REVISION PARTICIPACION ACTUAL</v>
          </cell>
          <cell r="J23" t="str">
            <v># ESTUDIANTES EN PROYECTOS</v>
          </cell>
          <cell r="K23" t="str">
            <v>2 ESTUDAINTES NUEVOS EN PROYECTOS POR SEMESTRE</v>
          </cell>
        </row>
        <row r="24">
          <cell r="A24" t="str">
            <v>3.2.2</v>
          </cell>
          <cell r="B24" t="str">
            <v>3.1.4</v>
          </cell>
          <cell r="C24" t="str">
            <v>Acción 4 Promover la investigación interdisciplinaria</v>
          </cell>
          <cell r="D24" t="str">
            <v>01-12</v>
          </cell>
          <cell r="E24" t="str">
            <v>01-15</v>
          </cell>
          <cell r="F24" t="str">
            <v>DIR DEPTO</v>
          </cell>
          <cell r="G24" t="str">
            <v>DIR POSGRADO</v>
          </cell>
          <cell r="H24" t="e">
            <v>#REF!</v>
          </cell>
          <cell r="I24" t="str">
            <v>INVENTARIO PROYECTOS INTERDISCIPLIN</v>
          </cell>
          <cell r="J24" t="str">
            <v># PROYECTOS INTERDISCIPLIN</v>
          </cell>
          <cell r="K24" t="str">
            <v>1 PROYECTO INTERDISCIPLIN AL AÑO</v>
          </cell>
        </row>
        <row r="25">
          <cell r="A25" t="str">
            <v>3.2.3</v>
          </cell>
          <cell r="B25" t="str">
            <v>3.1.5</v>
          </cell>
          <cell r="C25" t="str">
            <v>Acción 5 Promover los grupos de investigación a los estándares más altos de acuerdo con la clasificación de Colciencias</v>
          </cell>
          <cell r="D25" t="str">
            <v>01-12</v>
          </cell>
          <cell r="E25" t="str">
            <v>01-15</v>
          </cell>
          <cell r="F25" t="str">
            <v>DIR DEPTO</v>
          </cell>
          <cell r="G25" t="str">
            <v>DIR POSGRADO</v>
          </cell>
          <cell r="H25" t="e">
            <v>#REF!</v>
          </cell>
          <cell r="I25" t="str">
            <v>REVISION CONFORMACION ACTUAL GRUPOS</v>
          </cell>
          <cell r="J25" t="str">
            <v># GRUPOS EN A2 Y A1</v>
          </cell>
          <cell r="K25" t="str">
            <v>2 GRUPOS EN A1 Y 2 EN A2</v>
          </cell>
        </row>
        <row r="26">
          <cell r="A26" t="str">
            <v>3.1.2</v>
          </cell>
          <cell r="B26" t="str">
            <v>3.1.6</v>
          </cell>
          <cell r="C26" t="str">
            <v>Acción 6 Creación de base de datos de convocatorias de financiación de investigación histórica</v>
          </cell>
          <cell r="D26" t="str">
            <v>01-12</v>
          </cell>
          <cell r="E26" t="str">
            <v>01-15</v>
          </cell>
          <cell r="F26" t="str">
            <v>DIR DEPTO</v>
          </cell>
          <cell r="G26" t="str">
            <v>DIR POSGRADO</v>
          </cell>
          <cell r="H26" t="e">
            <v>#REF!</v>
          </cell>
          <cell r="I26" t="str">
            <v>REQUERIMIENTOS INFORMACION</v>
          </cell>
          <cell r="J26" t="str">
            <v># REPORTES</v>
          </cell>
          <cell r="K26" t="str">
            <v>1 REPORTE AL AÑO</v>
          </cell>
        </row>
      </sheetData>
      <sheetData sheetId="4"/>
      <sheetData sheetId="5">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v>1</v>
          </cell>
          <cell r="B5">
            <v>1</v>
          </cell>
          <cell r="C5" t="str">
            <v>Objetivo 1: CONSOLIDAR EL PROGRAMA DE PREGRADO</v>
          </cell>
          <cell r="D5">
            <v>0</v>
          </cell>
          <cell r="E5">
            <v>0</v>
          </cell>
          <cell r="F5">
            <v>0</v>
          </cell>
          <cell r="G5">
            <v>0</v>
          </cell>
          <cell r="H5" t="e">
            <v>#REF!</v>
          </cell>
          <cell r="I5">
            <v>0</v>
          </cell>
          <cell r="J5">
            <v>0</v>
          </cell>
          <cell r="K5">
            <v>0</v>
          </cell>
        </row>
        <row r="6">
          <cell r="A6" t="str">
            <v>1.1</v>
          </cell>
          <cell r="B6" t="str">
            <v>1.1</v>
          </cell>
          <cell r="C6" t="str">
            <v>Subobjetivo 1: Formular  un proyecto educativo del Departamento</v>
          </cell>
          <cell r="D6" t="str">
            <v>01-11</v>
          </cell>
          <cell r="E6" t="str">
            <v>12-11</v>
          </cell>
          <cell r="F6" t="str">
            <v>COMITÉ CURRICULAR</v>
          </cell>
          <cell r="G6" t="str">
            <v>DIR DEPTO</v>
          </cell>
          <cell r="H6" t="e">
            <v>#REF!</v>
          </cell>
          <cell r="I6">
            <v>0</v>
          </cell>
          <cell r="J6">
            <v>0</v>
          </cell>
          <cell r="K6">
            <v>0</v>
          </cell>
        </row>
        <row r="7">
          <cell r="A7" t="str">
            <v>1.1.1</v>
          </cell>
          <cell r="B7" t="str">
            <v>1.1.1</v>
          </cell>
          <cell r="C7" t="str">
            <v>Acción 1: Definir concepción de la psicología que subyace a la estructura curricular y al proceso de formación de pregrado ofrecidos por el Departamento</v>
          </cell>
          <cell r="D7" t="str">
            <v>01-11</v>
          </cell>
          <cell r="E7" t="str">
            <v>06-11</v>
          </cell>
          <cell r="F7" t="str">
            <v>COMITÉ CURRICULAR</v>
          </cell>
          <cell r="G7" t="str">
            <v>DIR DEPTO</v>
          </cell>
          <cell r="H7" t="e">
            <v>#REF!</v>
          </cell>
          <cell r="I7" t="str">
            <v>REVISION CONCEPTO</v>
          </cell>
          <cell r="J7" t="str">
            <v>CONCEPT</v>
          </cell>
          <cell r="K7" t="str">
            <v>DOCUMENTO</v>
          </cell>
        </row>
        <row r="8">
          <cell r="A8" t="str">
            <v>1.1.2</v>
          </cell>
          <cell r="B8" t="str">
            <v>1.1.2</v>
          </cell>
          <cell r="C8" t="str">
            <v>Acción 2: Definir competencias básicas de los egresados de acuerdo con lineamientos de la universidad y de la profesión y disciplina en Colombia.</v>
          </cell>
          <cell r="D8" t="str">
            <v>01-11</v>
          </cell>
          <cell r="E8" t="str">
            <v>06-11</v>
          </cell>
          <cell r="F8" t="str">
            <v>COMITÉ CURRICULAR</v>
          </cell>
          <cell r="G8" t="str">
            <v>DIR DEPTO</v>
          </cell>
          <cell r="H8" t="e">
            <v>#REF!</v>
          </cell>
          <cell r="I8" t="str">
            <v>REVISION LISTA COMPETENCIAS</v>
          </cell>
          <cell r="J8" t="str">
            <v>LISTA COMPET</v>
          </cell>
          <cell r="K8" t="str">
            <v>DOCUMENTO</v>
          </cell>
        </row>
        <row r="9">
          <cell r="A9" t="str">
            <v>1.1.2</v>
          </cell>
          <cell r="B9" t="str">
            <v>1.1.3</v>
          </cell>
          <cell r="C9" t="str">
            <v>Acción 3: Definir espacios de formación en los que se desarrollaran las competencias básicas de los egresados del programa</v>
          </cell>
          <cell r="D9" t="str">
            <v>07-11</v>
          </cell>
          <cell r="E9" t="str">
            <v>12-11</v>
          </cell>
          <cell r="F9" t="str">
            <v>COMITÉ CURRICULAR</v>
          </cell>
          <cell r="G9" t="str">
            <v>DIR DEPTO</v>
          </cell>
          <cell r="H9" t="e">
            <v>#REF!</v>
          </cell>
          <cell r="I9" t="str">
            <v>REVISION ESPACIOS FORMACION</v>
          </cell>
          <cell r="J9" t="str">
            <v>LISTA ESPACIO FORMAC</v>
          </cell>
          <cell r="K9" t="str">
            <v>DOCUMENTO</v>
          </cell>
        </row>
        <row r="10">
          <cell r="A10" t="str">
            <v>1.2.1</v>
          </cell>
          <cell r="B10" t="str">
            <v>1.1.4</v>
          </cell>
          <cell r="C10" t="str">
            <v xml:space="preserve">Acción 4: Identificar, en el marco de un respeto a la diversidad, modalidades de enseñanza y aprendizaje que, de manera privilegiada promuevan el logro de los objetivos de formación del programa, establecidos en el PEI.
</v>
          </cell>
          <cell r="D10" t="str">
            <v>01-12</v>
          </cell>
          <cell r="E10" t="str">
            <v>12-12</v>
          </cell>
          <cell r="F10" t="str">
            <v>COMITÉ CURRICULAR</v>
          </cell>
          <cell r="G10" t="str">
            <v>DIR DEPTO</v>
          </cell>
          <cell r="H10" t="e">
            <v>#REF!</v>
          </cell>
          <cell r="I10" t="str">
            <v>REVISION MODALIDADES ENSEÑANZA</v>
          </cell>
          <cell r="J10" t="str">
            <v>LISTA MOD ENSEÑA</v>
          </cell>
          <cell r="K10" t="str">
            <v>DOCUMENTO</v>
          </cell>
        </row>
        <row r="11">
          <cell r="A11" t="str">
            <v>1.3.3</v>
          </cell>
          <cell r="B11" t="str">
            <v>1.1.5</v>
          </cell>
          <cell r="C11" t="str">
            <v xml:space="preserve">Acción 5: Implementar un sistema de benchmarking con el fin de establecer  las características distintivas del programa de pregrado. </v>
          </cell>
          <cell r="D11" t="str">
            <v>01-11</v>
          </cell>
          <cell r="E11" t="str">
            <v>12-11</v>
          </cell>
          <cell r="F11" t="str">
            <v>COMITÉ CURRICULAR</v>
          </cell>
          <cell r="G11" t="str">
            <v>DIR DEPTO</v>
          </cell>
          <cell r="H11" t="e">
            <v>#REF!</v>
          </cell>
          <cell r="I11" t="str">
            <v>REVISION LISTA UNIVERSIDADES</v>
          </cell>
          <cell r="J11" t="str">
            <v>LISTA UNIVER A ANALIZ</v>
          </cell>
          <cell r="K11" t="str">
            <v>DOCUMENTO</v>
          </cell>
        </row>
        <row r="12">
          <cell r="A12" t="str">
            <v>1.2</v>
          </cell>
          <cell r="B12" t="str">
            <v>1.2</v>
          </cell>
          <cell r="C12" t="str">
            <v>Subobjetivo 2: Desarrollar estrategias que permitan obtener oportunamente información sobre actividades de docencia, evaluar su calidad y sugerir acciones de mejoramiento.</v>
          </cell>
          <cell r="D12" t="str">
            <v>01-11</v>
          </cell>
          <cell r="E12" t="str">
            <v>12-11</v>
          </cell>
          <cell r="F12" t="str">
            <v>COMITÉ DOCENTE</v>
          </cell>
          <cell r="G12" t="str">
            <v>DIR DEPTO</v>
          </cell>
          <cell r="H12" t="e">
            <v>#REF!</v>
          </cell>
          <cell r="I12">
            <v>0</v>
          </cell>
          <cell r="J12">
            <v>0</v>
          </cell>
          <cell r="K12">
            <v>0</v>
          </cell>
        </row>
        <row r="13">
          <cell r="A13" t="str">
            <v>1.2.1</v>
          </cell>
          <cell r="B13" t="str">
            <v>1.2.1</v>
          </cell>
          <cell r="C13" t="str">
            <v>Acción 1: Crear y mantener espacios, entre los profesores, para compartir y reflexionar regularmente sobre buenas prácticas y dificultades en el ejercicio de la enseñanza en áreas temáticamente afines</v>
          </cell>
          <cell r="D13" t="str">
            <v>01-11</v>
          </cell>
          <cell r="E13" t="str">
            <v>06-11</v>
          </cell>
          <cell r="F13" t="str">
            <v>COMITÉ DOCENTE</v>
          </cell>
          <cell r="G13" t="str">
            <v>DIR DEPTO</v>
          </cell>
          <cell r="H13" t="e">
            <v>#REF!</v>
          </cell>
          <cell r="I13" t="str">
            <v>VERIFICACION ESPACIO</v>
          </cell>
          <cell r="J13" t="str">
            <v># REUNIONES</v>
          </cell>
          <cell r="K13" t="str">
            <v>2 REUNIONES AÑO</v>
          </cell>
        </row>
        <row r="14">
          <cell r="A14" t="str">
            <v>1.2.2</v>
          </cell>
          <cell r="B14" t="str">
            <v>1.2.2</v>
          </cell>
          <cell r="C14" t="str">
            <v xml:space="preserve">Acción 2: Garantizar la sistematización periódica de indicadores de prácticas docentes (e.g., sistemas de evaluación, tipo y cantidad de lecturas, tipos de actividades en clase).  </v>
          </cell>
          <cell r="D14" t="str">
            <v>01-11</v>
          </cell>
          <cell r="E14" t="str">
            <v>12-11</v>
          </cell>
          <cell r="F14" t="str">
            <v>COMITÉ DOCENTE</v>
          </cell>
          <cell r="G14" t="str">
            <v>DIR DEPTO</v>
          </cell>
          <cell r="H14" t="e">
            <v>#REF!</v>
          </cell>
          <cell r="I14" t="str">
            <v>VERIFICACION SISTEMA</v>
          </cell>
          <cell r="J14" t="str">
            <v># REPORTES</v>
          </cell>
          <cell r="K14" t="str">
            <v>2 REPORTES AÑO</v>
          </cell>
        </row>
        <row r="15">
          <cell r="A15" t="str">
            <v>1.2.3</v>
          </cell>
          <cell r="B15" t="str">
            <v>1.2.3</v>
          </cell>
          <cell r="C15" t="str">
            <v>Acción 3: Crear estrategias para la evaluación de docencia en contextos de supervisión de práctica</v>
          </cell>
          <cell r="D15" t="str">
            <v>01-11</v>
          </cell>
          <cell r="E15" t="str">
            <v>06-11</v>
          </cell>
          <cell r="F15" t="str">
            <v>COMITÉ DOCENTE</v>
          </cell>
          <cell r="G15" t="str">
            <v>DIR DEPTO</v>
          </cell>
          <cell r="H15" t="e">
            <v>#REF!</v>
          </cell>
          <cell r="I15" t="str">
            <v>VERIFICACION SISTEMA</v>
          </cell>
          <cell r="J15" t="str">
            <v># REPORTES</v>
          </cell>
          <cell r="K15" t="str">
            <v>2 REPORTES AÑO</v>
          </cell>
        </row>
        <row r="16">
          <cell r="A16" t="str">
            <v>1.3</v>
          </cell>
          <cell r="B16">
            <v>1.3</v>
          </cell>
          <cell r="C16" t="str">
            <v>Subobjetivo 3: Desarrollar mecanismos de evaluación permanentes de la adecuación de la estructura curricular a los objetivos de formación del programa</v>
          </cell>
          <cell r="D16">
            <v>0</v>
          </cell>
          <cell r="E16">
            <v>0</v>
          </cell>
          <cell r="F16">
            <v>0</v>
          </cell>
          <cell r="G16">
            <v>0</v>
          </cell>
          <cell r="H16" t="e">
            <v>#REF!</v>
          </cell>
          <cell r="I16">
            <v>0</v>
          </cell>
          <cell r="J16">
            <v>0</v>
          </cell>
          <cell r="K16">
            <v>0</v>
          </cell>
        </row>
        <row r="17">
          <cell r="A17" t="str">
            <v>1.3.1</v>
          </cell>
          <cell r="B17" t="str">
            <v>1.3.1</v>
          </cell>
          <cell r="C17" t="str">
            <v>Acción 1: Evaluar la percepción de los estudiantes y de los profesores en relación con su formación en áreas  y competencias específicas.</v>
          </cell>
          <cell r="D17" t="str">
            <v>01-14</v>
          </cell>
          <cell r="E17" t="str">
            <v>06-14</v>
          </cell>
          <cell r="F17" t="str">
            <v>COMITÉ CURRICULAR</v>
          </cell>
          <cell r="G17" t="str">
            <v>DIR DEPTO</v>
          </cell>
          <cell r="H17" t="e">
            <v>#REF!</v>
          </cell>
          <cell r="I17" t="str">
            <v>VERIFICAR EVALUACIÓN</v>
          </cell>
          <cell r="J17" t="str">
            <v># EVALUAC.</v>
          </cell>
          <cell r="K17" t="str">
            <v>1 EVALUACIÓN CADA 5 AÑOS</v>
          </cell>
        </row>
        <row r="18">
          <cell r="A18" t="str">
            <v>1.3.2</v>
          </cell>
          <cell r="B18" t="str">
            <v>1.3.2</v>
          </cell>
          <cell r="C18" t="str">
            <v>Acción 2: Adoptar mecanismos de evaluación externa que permitan comparar el desempeño de nuestros estudiantes (e.g. Major Field Test, GRE subject y ECAES).</v>
          </cell>
          <cell r="D18" t="str">
            <v>01-11</v>
          </cell>
          <cell r="E18" t="str">
            <v>06-11</v>
          </cell>
          <cell r="F18" t="str">
            <v>COMITÉ CURRICULAR</v>
          </cell>
          <cell r="G18" t="str">
            <v>DIR DEPTO</v>
          </cell>
          <cell r="H18" t="e">
            <v>#REF!</v>
          </cell>
          <cell r="I18" t="str">
            <v>REVISION LISTA EVAL EXTERNA</v>
          </cell>
          <cell r="J18" t="str">
            <v># MECANISMO EVALUACION</v>
          </cell>
          <cell r="K18" t="str">
            <v>MIN 3 MECANISMO EVALUACION</v>
          </cell>
        </row>
        <row r="19">
          <cell r="A19">
            <v>6</v>
          </cell>
          <cell r="B19">
            <v>1.4</v>
          </cell>
          <cell r="C19" t="str">
            <v xml:space="preserve">Subobjetivo 2: Fortalecer los vínculos con los egresados. </v>
          </cell>
          <cell r="D19">
            <v>0</v>
          </cell>
          <cell r="E19">
            <v>0</v>
          </cell>
          <cell r="F19">
            <v>0</v>
          </cell>
          <cell r="G19">
            <v>0</v>
          </cell>
          <cell r="H19" t="e">
            <v>#REF!</v>
          </cell>
          <cell r="I19">
            <v>0</v>
          </cell>
          <cell r="J19">
            <v>0</v>
          </cell>
          <cell r="K19">
            <v>0</v>
          </cell>
        </row>
        <row r="20">
          <cell r="A20" t="str">
            <v>6.1.1</v>
          </cell>
          <cell r="B20" t="str">
            <v>1.4.1</v>
          </cell>
          <cell r="C20" t="str">
            <v>Acción 1: Realizar una encuesta a los egresados del Departamento, que sondee sus condiciones y logros laborales y profesionales, necesidades de formación, experiencias de formación posgraduales.</v>
          </cell>
          <cell r="D20" t="str">
            <v>06-13</v>
          </cell>
          <cell r="E20" t="str">
            <v>12-15</v>
          </cell>
          <cell r="F20" t="str">
            <v>COMITÉ CURRICULAR</v>
          </cell>
          <cell r="G20" t="str">
            <v>DIR DEPTO</v>
          </cell>
          <cell r="H20" t="e">
            <v>#REF!</v>
          </cell>
          <cell r="I20" t="str">
            <v>REVISION ENCUENTAS</v>
          </cell>
          <cell r="J20" t="str">
            <v># PROCESO ENCUESTAS</v>
          </cell>
          <cell r="K20" t="str">
            <v>2 ENCUESTAS EN 3 AÑOS</v>
          </cell>
        </row>
        <row r="21">
          <cell r="A21" t="str">
            <v>6.2.1</v>
          </cell>
          <cell r="B21" t="str">
            <v>1.4.2</v>
          </cell>
          <cell r="C21" t="str">
            <v>Acción 2: Revisar y ajustar los propósitos y el formato del Boletín de Egresados del Departamento</v>
          </cell>
          <cell r="D21" t="str">
            <v>04-11</v>
          </cell>
          <cell r="E21" t="str">
            <v>09-11</v>
          </cell>
          <cell r="F21" t="str">
            <v>COMITÉ EDITORIAL DEPTO</v>
          </cell>
          <cell r="G21" t="str">
            <v>DIR DEPTO</v>
          </cell>
          <cell r="H21" t="e">
            <v>#REF!</v>
          </cell>
          <cell r="I21" t="str">
            <v>BOLETIN CON REFORMAS</v>
          </cell>
          <cell r="J21" t="str">
            <v># BOLETINES EDITADOS</v>
          </cell>
          <cell r="K21" t="str">
            <v>1 BOLETIN AL AÑO</v>
          </cell>
        </row>
        <row r="22">
          <cell r="A22" t="str">
            <v>6.1.2</v>
          </cell>
          <cell r="B22" t="str">
            <v>1.4.3</v>
          </cell>
          <cell r="C22" t="str">
            <v>Acción 3: Fortalecer las relaciones con la Dirección de Desarrollo con el fin de diseñar estrategias conjuntas para afianzar las relaciones del departamento con sus egresados  y actualizar las bases de datos</v>
          </cell>
          <cell r="D22" t="str">
            <v>03-11</v>
          </cell>
          <cell r="E22" t="str">
            <v>08-11</v>
          </cell>
          <cell r="F22" t="str">
            <v>DIR DEPTO</v>
          </cell>
          <cell r="G22" t="str">
            <v>COOR DEPTO</v>
          </cell>
          <cell r="H22" t="e">
            <v>#REF!</v>
          </cell>
          <cell r="I22" t="str">
            <v>REVISION DE ACTIVIDADES CON DIR DESA</v>
          </cell>
          <cell r="J22" t="str">
            <v># EVENTOS CONJUNTOS</v>
          </cell>
          <cell r="K22" t="str">
            <v>1 ENVENTO AL AÑO</v>
          </cell>
        </row>
        <row r="23">
          <cell r="A23" t="str">
            <v>6.2.2</v>
          </cell>
          <cell r="B23" t="str">
            <v>1.4.4</v>
          </cell>
          <cell r="C23" t="str">
            <v>Acción 4: Establecer una relación de mercadeo directo con los egresados en relación con nuestros productos investigativos.</v>
          </cell>
          <cell r="D23" t="str">
            <v>07-11</v>
          </cell>
          <cell r="E23" t="str">
            <v>12-11</v>
          </cell>
          <cell r="F23" t="str">
            <v>COMITÉ RELACION ENTORNO</v>
          </cell>
          <cell r="G23" t="str">
            <v>DIR DEPTO</v>
          </cell>
          <cell r="H23" t="e">
            <v>#REF!</v>
          </cell>
          <cell r="I23">
            <v>0</v>
          </cell>
          <cell r="J23" t="str">
            <v># DOCUMENTO</v>
          </cell>
          <cell r="K23" t="str">
            <v>MIN 1 DOC AL AÑO</v>
          </cell>
        </row>
        <row r="24">
          <cell r="A24" t="str">
            <v>6.1.3</v>
          </cell>
          <cell r="B24" t="str">
            <v>1.4.5</v>
          </cell>
          <cell r="C24" t="str">
            <v>Acción 5: Crear y mantener espacios para la socialización de experiencias profesionales en ámbitos académicos.</v>
          </cell>
          <cell r="D24" t="str">
            <v>07-11</v>
          </cell>
          <cell r="E24" t="str">
            <v>12-11</v>
          </cell>
          <cell r="F24" t="str">
            <v>COMITÉ RELACION ENTORNO</v>
          </cell>
          <cell r="G24" t="str">
            <v>DIR DEPTO</v>
          </cell>
          <cell r="H24" t="e">
            <v>#REF!</v>
          </cell>
          <cell r="I24" t="str">
            <v>REVISON ESPACIO</v>
          </cell>
          <cell r="J24" t="str">
            <v># REUNIONES EGRESADOS</v>
          </cell>
          <cell r="K24" t="str">
            <v>MIN 1 REUNION AÑO</v>
          </cell>
        </row>
        <row r="25">
          <cell r="A25">
            <v>2</v>
          </cell>
          <cell r="B25">
            <v>2</v>
          </cell>
          <cell r="C25" t="str">
            <v xml:space="preserve">Objetivo 2: GARANTIZAR EL RECONOCIMIENTO  DE LOS PROGRAMAS DE POSGRADO, A TRAVÉS DE LA EXCELENCIA EN LA FORMACIÓN DE PROFESIONALES EN LA PSICOLOGÍA CLÍNICA Y DE LA SALUD. </v>
          </cell>
          <cell r="D25">
            <v>0</v>
          </cell>
          <cell r="E25">
            <v>0</v>
          </cell>
          <cell r="F25">
            <v>0</v>
          </cell>
          <cell r="G25">
            <v>0</v>
          </cell>
          <cell r="H25" t="e">
            <v>#REF!</v>
          </cell>
          <cell r="I25">
            <v>0</v>
          </cell>
          <cell r="J25">
            <v>0</v>
          </cell>
          <cell r="K25">
            <v>0</v>
          </cell>
        </row>
        <row r="26">
          <cell r="A26" t="str">
            <v>3.1</v>
          </cell>
          <cell r="B26">
            <v>2.1</v>
          </cell>
          <cell r="C26" t="str">
            <v>Subobjetivo 1: Consolidar un equipo docente de altas cualificaciones que permita satisfacer las diversas necesidades del programa</v>
          </cell>
          <cell r="D26">
            <v>0</v>
          </cell>
          <cell r="E26">
            <v>0</v>
          </cell>
          <cell r="F26">
            <v>0</v>
          </cell>
          <cell r="G26">
            <v>0</v>
          </cell>
          <cell r="H26" t="e">
            <v>#REF!</v>
          </cell>
          <cell r="I26">
            <v>0</v>
          </cell>
          <cell r="J26">
            <v>0</v>
          </cell>
          <cell r="K26">
            <v>0</v>
          </cell>
        </row>
        <row r="27">
          <cell r="A27" t="str">
            <v>3.1.1</v>
          </cell>
          <cell r="B27" t="str">
            <v>2.1.1</v>
          </cell>
          <cell r="C27" t="str">
            <v xml:space="preserve">Acción 1: Definir para cada uno de los profesores vinculados al programa un portafolio docente a nivel de maestría, que permita establecer una planeación académica a mediano plazo. </v>
          </cell>
          <cell r="D27" t="str">
            <v>01-11</v>
          </cell>
          <cell r="E27" t="str">
            <v>01-06</v>
          </cell>
          <cell r="F27" t="str">
            <v>DIR POSGRADOS</v>
          </cell>
          <cell r="G27" t="str">
            <v>COOR POSGRADOS</v>
          </cell>
          <cell r="H27" t="e">
            <v>#REF!</v>
          </cell>
          <cell r="I27" t="str">
            <v>REVISON PORTAFOLIO</v>
          </cell>
          <cell r="J27" t="str">
            <v># DOCUMENTOS</v>
          </cell>
          <cell r="K27" t="str">
            <v>1 DOCUMENTO AL SEMESTRE</v>
          </cell>
        </row>
        <row r="28">
          <cell r="A28" t="str">
            <v>3.2.4</v>
          </cell>
          <cell r="B28" t="str">
            <v>2.1.2</v>
          </cell>
          <cell r="C28" t="str">
            <v xml:space="preserve">Acción 2: Establecer un pool de profesores ocasionales e invitados, adecuadamente referenciados, que apoyen actividades de formación en el programa, a nivel de cátedra y supervisión.  </v>
          </cell>
          <cell r="D28" t="str">
            <v>01-11</v>
          </cell>
          <cell r="E28" t="str">
            <v>12-11</v>
          </cell>
          <cell r="F28" t="str">
            <v>DIR POSGRADOS</v>
          </cell>
          <cell r="G28" t="str">
            <v>COOR POSGRADOS</v>
          </cell>
          <cell r="H28" t="e">
            <v>#REF!</v>
          </cell>
          <cell r="I28" t="str">
            <v>REVISION LISTA PROFESORES</v>
          </cell>
          <cell r="J28" t="str">
            <v># DOCUMENTOS</v>
          </cell>
          <cell r="K28" t="str">
            <v>1 DOCUMENTO AL SEMESTRE</v>
          </cell>
        </row>
        <row r="29">
          <cell r="A29" t="str">
            <v>3.1.2</v>
          </cell>
          <cell r="B29" t="str">
            <v>2.1.3</v>
          </cell>
          <cell r="C29" t="str">
            <v>Acción 3: Diseñar y desarrollar estrategias tendientes a consolidar el involucramiento y la participación de todos y cada uno de los profesores del área clínica en la conducción y evolución del programa</v>
          </cell>
          <cell r="D29" t="str">
            <v>01-11</v>
          </cell>
          <cell r="E29" t="str">
            <v>12-11</v>
          </cell>
          <cell r="F29" t="str">
            <v>DIR CLINICA</v>
          </cell>
          <cell r="G29" t="str">
            <v>COOR POSGRADOS</v>
          </cell>
          <cell r="H29" t="e">
            <v>#REF!</v>
          </cell>
          <cell r="I29" t="str">
            <v>REVISION DOCUMENTO</v>
          </cell>
          <cell r="J29" t="str">
            <v># DOCUMENTOS</v>
          </cell>
          <cell r="K29" t="str">
            <v>1 DOCUMENTO AL AÑO</v>
          </cell>
        </row>
        <row r="30">
          <cell r="A30" t="str">
            <v>3.1.3</v>
          </cell>
          <cell r="B30" t="str">
            <v>2.1.4</v>
          </cell>
          <cell r="C30" t="str">
            <v>Acción 4: Definir perfiles profesorales, en el contexto de próximas convocatorias docentes, que puedan contribuir tanto al programa en psicología clínica como a los demás programas ofrecidos por el Departamento</v>
          </cell>
          <cell r="D30" t="str">
            <v>01-11</v>
          </cell>
          <cell r="E30" t="str">
            <v>12-11</v>
          </cell>
          <cell r="F30" t="str">
            <v>DIR POSGRADOS</v>
          </cell>
          <cell r="G30" t="str">
            <v>COOR POSGRADOS</v>
          </cell>
          <cell r="H30" t="e">
            <v>#REF!</v>
          </cell>
          <cell r="I30" t="str">
            <v>REVISION DOCUMENTO</v>
          </cell>
          <cell r="J30" t="str">
            <v># DOCUMENTOS</v>
          </cell>
          <cell r="K30" t="str">
            <v>1 DOCUMENTO AL AÑO</v>
          </cell>
        </row>
        <row r="31">
          <cell r="A31" t="str">
            <v>3.2.1</v>
          </cell>
          <cell r="B31" t="str">
            <v>2.1.5</v>
          </cell>
          <cell r="C31" t="str">
            <v>Acción 5: Establecer un programa, debidamente financiable y realizable, para la participación de profesores visitantes, en diversas modalidades de docencia (desde seminarios breves hasta semestres de visita profesoral)</v>
          </cell>
          <cell r="D31" t="str">
            <v>06-11</v>
          </cell>
          <cell r="E31" t="str">
            <v>12-11</v>
          </cell>
          <cell r="F31" t="str">
            <v>DIR POSGRADOS</v>
          </cell>
          <cell r="G31" t="str">
            <v>COOR POSGRADOS</v>
          </cell>
          <cell r="H31" t="e">
            <v>#REF!</v>
          </cell>
          <cell r="I31" t="str">
            <v>REVISION DOCUMENTO</v>
          </cell>
          <cell r="J31" t="str">
            <v># DOCUMENTOS</v>
          </cell>
          <cell r="K31" t="str">
            <v>1 DOCUMENTO AL AÑO</v>
          </cell>
        </row>
        <row r="32">
          <cell r="A32" t="str">
            <v>7.1</v>
          </cell>
          <cell r="B32">
            <v>2.2000000000000002</v>
          </cell>
          <cell r="C32" t="str">
            <v>Subobjetivo 2: Establecer estrategias evaluables y permanentes de promoción del programa, que visibilicen al programa frente a la competencia</v>
          </cell>
          <cell r="D32">
            <v>0</v>
          </cell>
          <cell r="E32">
            <v>0</v>
          </cell>
          <cell r="F32">
            <v>0</v>
          </cell>
          <cell r="G32">
            <v>0</v>
          </cell>
          <cell r="H32">
            <v>0</v>
          </cell>
          <cell r="I32">
            <v>0</v>
          </cell>
          <cell r="J32">
            <v>0</v>
          </cell>
          <cell r="K32">
            <v>0</v>
          </cell>
        </row>
        <row r="33">
          <cell r="A33" t="str">
            <v>7.1.1</v>
          </cell>
          <cell r="B33" t="str">
            <v>2.2.1</v>
          </cell>
          <cell r="C33" t="str">
            <v>Acción 1: Llevar a cabo un trabajo de referenciación con otros programas de postgrado de la universidad y de otras instituciones en relación con estrategias de promoción de oferta académica</v>
          </cell>
          <cell r="D33" t="str">
            <v>01-11</v>
          </cell>
          <cell r="E33" t="str">
            <v>06-11</v>
          </cell>
          <cell r="F33" t="str">
            <v>DIR POSGRADOS</v>
          </cell>
          <cell r="G33" t="str">
            <v>COOR POSGRADOS</v>
          </cell>
          <cell r="H33">
            <v>0</v>
          </cell>
          <cell r="I33" t="str">
            <v>REVISION DOCUMENTO</v>
          </cell>
          <cell r="J33" t="str">
            <v># DOCUMENTOS</v>
          </cell>
          <cell r="K33" t="str">
            <v>1 DOCUMENTO AL AÑO</v>
          </cell>
        </row>
        <row r="34">
          <cell r="A34" t="str">
            <v>7.1.2</v>
          </cell>
          <cell r="B34" t="str">
            <v>2.2.2</v>
          </cell>
          <cell r="C34" t="str">
            <v>Acción 2: Coordinar con la Oficina de Scoutting y Promoción mecanismos de evaluación de las estrategias actuales de promoción</v>
          </cell>
          <cell r="D34" t="str">
            <v>06-11</v>
          </cell>
          <cell r="E34" t="str">
            <v>08-11</v>
          </cell>
          <cell r="F34" t="str">
            <v>DIR POSGRADOS</v>
          </cell>
          <cell r="G34" t="str">
            <v>COOR POSGRADOS</v>
          </cell>
          <cell r="H34">
            <v>0</v>
          </cell>
          <cell r="I34" t="str">
            <v>REVISION DOCUMENTO</v>
          </cell>
          <cell r="J34" t="str">
            <v># DOCUMENTOS</v>
          </cell>
          <cell r="K34" t="str">
            <v>1 DOCUMENTO AL AÑO</v>
          </cell>
        </row>
        <row r="35">
          <cell r="A35" t="str">
            <v>7.1.4</v>
          </cell>
          <cell r="B35" t="str">
            <v>2.2.3</v>
          </cell>
          <cell r="C35" t="str">
            <v>Acción 3: Consolidar y mantener las bases de datos de interesados en los programas del Departamento</v>
          </cell>
          <cell r="D35" t="str">
            <v>06-11</v>
          </cell>
          <cell r="E35" t="str">
            <v>09-11</v>
          </cell>
          <cell r="F35" t="str">
            <v>DIR POSGRADOS</v>
          </cell>
          <cell r="G35" t="str">
            <v>COOR POSGRADOS</v>
          </cell>
          <cell r="H35">
            <v>0</v>
          </cell>
          <cell r="I35" t="str">
            <v>REVISION BASE DE DATOS</v>
          </cell>
          <cell r="J35" t="str">
            <v># REPORTES BD</v>
          </cell>
          <cell r="K35" t="str">
            <v>2 REPORTES AL AÑO</v>
          </cell>
        </row>
        <row r="36">
          <cell r="A36" t="str">
            <v>7.1.3</v>
          </cell>
          <cell r="B36" t="str">
            <v>2.2.4</v>
          </cell>
          <cell r="C36" t="str">
            <v>Acción 4: Diseñar e implementar una estrategia para la promoción de los programas de postgrado en el programa de pregrado en psicología de la universidad</v>
          </cell>
          <cell r="D36" t="str">
            <v>04-11</v>
          </cell>
          <cell r="E36" t="str">
            <v>10-11</v>
          </cell>
          <cell r="F36" t="str">
            <v>DIR POSGRADOS</v>
          </cell>
          <cell r="G36" t="str">
            <v>COOR POSGRADOS</v>
          </cell>
          <cell r="H36">
            <v>0</v>
          </cell>
          <cell r="I36" t="str">
            <v>REVISION DOCUMENTO</v>
          </cell>
          <cell r="J36" t="str">
            <v># DOCUMENTOS</v>
          </cell>
          <cell r="K36" t="str">
            <v>1 DOCUMENTO AL AÑO</v>
          </cell>
        </row>
        <row r="37">
          <cell r="A37" t="str">
            <v>Eliminada</v>
          </cell>
          <cell r="B37" t="str">
            <v>2.2.5</v>
          </cell>
          <cell r="C37" t="str">
            <v>Acción 5: Mantener imágenes corporativas que sean distintivas de los programas de postgrado del Departamento, en el contexto de las políticas de comunicación de la universidad</v>
          </cell>
          <cell r="D37" t="str">
            <v>01-12</v>
          </cell>
          <cell r="E37" t="str">
            <v>06-12</v>
          </cell>
          <cell r="F37" t="str">
            <v>DIR POSGRADOS</v>
          </cell>
          <cell r="G37" t="str">
            <v>COOR POSGRADOS</v>
          </cell>
          <cell r="H37">
            <v>0</v>
          </cell>
          <cell r="I37" t="str">
            <v>REVISION DOCUMENTO</v>
          </cell>
          <cell r="J37" t="str">
            <v># DOCUMENTOS</v>
          </cell>
          <cell r="K37" t="str">
            <v>1 DOCUMENTO AL AÑO</v>
          </cell>
        </row>
        <row r="38">
          <cell r="A38" t="str">
            <v>7.1.5</v>
          </cell>
          <cell r="B38" t="str">
            <v>2.2.6</v>
          </cell>
          <cell r="C38" t="str">
            <v>Acción 6: Coordinar con la Oficina de Comunicaciones y la Decanatura políticas para la publicación en prensa y en otros medios de difusión de información sobre los programas del Departamento</v>
          </cell>
          <cell r="D38" t="str">
            <v>01-12</v>
          </cell>
          <cell r="E38" t="str">
            <v>06-12</v>
          </cell>
          <cell r="F38" t="str">
            <v>DIR POSGRADOS</v>
          </cell>
          <cell r="G38" t="str">
            <v>COOR POSGRADOS</v>
          </cell>
          <cell r="H38">
            <v>0</v>
          </cell>
          <cell r="I38" t="str">
            <v>REVISION DOCUMENTO</v>
          </cell>
          <cell r="J38" t="str">
            <v># DOCUMENTOS</v>
          </cell>
          <cell r="K38" t="str">
            <v>1 DOCUMENTO AL AÑO</v>
          </cell>
        </row>
        <row r="39">
          <cell r="A39" t="str">
            <v>7.1.3</v>
          </cell>
          <cell r="B39" t="str">
            <v>2.2.7</v>
          </cell>
          <cell r="C39" t="str">
            <v>Acción 7: Publicar periódicamente un boletín electrónico del Departamento que ofrezca información actualizada sobre desarrollos y programas del Departamento</v>
          </cell>
          <cell r="D39" t="str">
            <v>01-12</v>
          </cell>
          <cell r="E39" t="str">
            <v>06-12</v>
          </cell>
          <cell r="F39" t="str">
            <v>DIR POSGRADOS</v>
          </cell>
          <cell r="G39" t="str">
            <v>COOR POSGRADOS</v>
          </cell>
          <cell r="H39">
            <v>0</v>
          </cell>
          <cell r="I39" t="str">
            <v>REVISION BOLETIN ELECTRONICO</v>
          </cell>
          <cell r="J39" t="str">
            <v># BOLETINES</v>
          </cell>
          <cell r="K39" t="str">
            <v>1 BOLETIN AL AÑO</v>
          </cell>
        </row>
        <row r="40">
          <cell r="A40" t="str">
            <v>4.1</v>
          </cell>
          <cell r="B40">
            <v>2.2999999999999998</v>
          </cell>
          <cell r="C40" t="str">
            <v xml:space="preserve">Subobjetivo 3: Establecer mecanismos para la atracción y retención de los mejores estudiantes </v>
          </cell>
          <cell r="D40">
            <v>0</v>
          </cell>
          <cell r="E40">
            <v>0</v>
          </cell>
          <cell r="F40">
            <v>0</v>
          </cell>
          <cell r="G40">
            <v>0</v>
          </cell>
          <cell r="H40" t="e">
            <v>#REF!</v>
          </cell>
          <cell r="I40">
            <v>0</v>
          </cell>
          <cell r="J40">
            <v>0</v>
          </cell>
          <cell r="K40">
            <v>0</v>
          </cell>
        </row>
        <row r="41">
          <cell r="A41" t="str">
            <v>4.1.1</v>
          </cell>
          <cell r="B41" t="str">
            <v>2.3.1</v>
          </cell>
          <cell r="C41" t="str">
            <v>Acción 1: Acordar con la Decanatura un sistema de becas o asistencias graduadas diseñado para estudiantes de la Maestría en Psicología Clínica y de la Salud, según rendimiento académico y necesidades económicas, y de acuerdo con posibilidades financieras del Departamento y el programa</v>
          </cell>
          <cell r="D41" t="str">
            <v>08-11</v>
          </cell>
          <cell r="E41" t="str">
            <v>12-12</v>
          </cell>
          <cell r="F41" t="str">
            <v>DIR POSGRADOS</v>
          </cell>
          <cell r="G41" t="str">
            <v>COOR POSGRADOS</v>
          </cell>
          <cell r="H41" t="e">
            <v>#REF!</v>
          </cell>
          <cell r="I41" t="str">
            <v>REVISION SISTEMA BECAS</v>
          </cell>
          <cell r="J41" t="str">
            <v># BECAS</v>
          </cell>
          <cell r="K41" t="str">
            <v>2 BECAS AL AÑO</v>
          </cell>
        </row>
        <row r="42">
          <cell r="A42" t="str">
            <v>4.1.2</v>
          </cell>
          <cell r="B42" t="str">
            <v>2.3.2</v>
          </cell>
          <cell r="C42" t="str">
            <v>Acción 2: Coordinar con la Decanatura estrategias para ofrecer a candidatos excepcionales del país incentivos para su vinculación como estudiantes al programa</v>
          </cell>
          <cell r="D42" t="str">
            <v>08-11</v>
          </cell>
          <cell r="E42" t="str">
            <v>12-12</v>
          </cell>
          <cell r="F42" t="str">
            <v>DIR POSGRADOS</v>
          </cell>
          <cell r="G42" t="str">
            <v>COOR POSGRADOS</v>
          </cell>
          <cell r="H42" t="e">
            <v>#REF!</v>
          </cell>
          <cell r="I42" t="str">
            <v>REVISION POLITICA ADMISION</v>
          </cell>
          <cell r="J42" t="str">
            <v># ESTUDIANTES</v>
          </cell>
          <cell r="K42" t="str">
            <v>2 ESTUDIANTES AL AÑO</v>
          </cell>
        </row>
        <row r="43">
          <cell r="A43" t="str">
            <v>4.1.3</v>
          </cell>
          <cell r="B43" t="str">
            <v>2.3.3</v>
          </cell>
          <cell r="C43" t="str">
            <v>Acción 3: Ofrecer a los mejores estudiantes oportunidades de formación adicionales a las previstas en el programa</v>
          </cell>
          <cell r="D43" t="str">
            <v>08-11</v>
          </cell>
          <cell r="E43" t="str">
            <v>12-12</v>
          </cell>
          <cell r="F43" t="str">
            <v>DIR POSGRADOS</v>
          </cell>
          <cell r="G43" t="str">
            <v>COOR POSGRADOS</v>
          </cell>
          <cell r="H43" t="e">
            <v>#REF!</v>
          </cell>
          <cell r="I43" t="str">
            <v>REVISION DOCUMENTO</v>
          </cell>
          <cell r="J43" t="str">
            <v># DOCUMENTOS</v>
          </cell>
          <cell r="K43" t="str">
            <v>1 DOCUMENTO AL AÑO</v>
          </cell>
        </row>
        <row r="44">
          <cell r="A44">
            <v>0</v>
          </cell>
          <cell r="B44">
            <v>2.4</v>
          </cell>
          <cell r="C44" t="str">
            <v xml:space="preserve">Subobjetivo 4: Fortalecer la actividad investigativa del programa, asociada a grupos de investigación y trabajos de estudiantes </v>
          </cell>
          <cell r="D44">
            <v>0</v>
          </cell>
          <cell r="E44">
            <v>0</v>
          </cell>
          <cell r="F44">
            <v>0</v>
          </cell>
          <cell r="G44">
            <v>0</v>
          </cell>
          <cell r="H44">
            <v>0</v>
          </cell>
          <cell r="I44">
            <v>0</v>
          </cell>
          <cell r="J44">
            <v>0</v>
          </cell>
          <cell r="K44">
            <v>0</v>
          </cell>
        </row>
        <row r="45">
          <cell r="A45" t="str">
            <v>5.1.1</v>
          </cell>
          <cell r="B45" t="str">
            <v>2.4.1</v>
          </cell>
          <cell r="C45" t="str">
            <v>Acción 1: Establecer un fondo semilla para el apoyo a proyectos estudiantiles de postgrado en el área clínica</v>
          </cell>
          <cell r="D45" t="str">
            <v>01-12</v>
          </cell>
          <cell r="E45" t="str">
            <v>06-12</v>
          </cell>
          <cell r="F45" t="str">
            <v>DIR POSGRADOS</v>
          </cell>
          <cell r="G45" t="str">
            <v>COOR POSGRADOS</v>
          </cell>
          <cell r="H45" t="e">
            <v>#REF!</v>
          </cell>
          <cell r="I45" t="str">
            <v>REVISION DOCUMENTO</v>
          </cell>
          <cell r="J45" t="str">
            <v># DOCUMENTOS</v>
          </cell>
          <cell r="K45" t="str">
            <v>1 DOCUMENTO AL AÑO</v>
          </cell>
        </row>
        <row r="46">
          <cell r="A46" t="str">
            <v>5.2.4</v>
          </cell>
          <cell r="B46" t="str">
            <v>2.4.2</v>
          </cell>
          <cell r="C46" t="str">
            <v>Acción 2: Definir estándares mínimos de producción investigativa y difusión académica, aplicables a profesores participantes en grupos de investigación en el área clínica</v>
          </cell>
          <cell r="D46" t="str">
            <v>01-12</v>
          </cell>
          <cell r="E46" t="str">
            <v>06-12</v>
          </cell>
          <cell r="F46" t="str">
            <v>DIR POSGRADOS</v>
          </cell>
          <cell r="G46" t="str">
            <v>COOR POSGRADOS</v>
          </cell>
          <cell r="H46" t="e">
            <v>#REF!</v>
          </cell>
          <cell r="I46" t="str">
            <v>REVISION DOCUMENTO</v>
          </cell>
          <cell r="J46" t="str">
            <v># DOCUMENTOS</v>
          </cell>
          <cell r="K46" t="str">
            <v>1 DOCUMENTO AL AÑO</v>
          </cell>
        </row>
        <row r="47">
          <cell r="A47" t="str">
            <v>5.1.1</v>
          </cell>
          <cell r="B47" t="str">
            <v>2.4.3</v>
          </cell>
          <cell r="C47" t="str">
            <v>Acción 3: Apoyar el establecimiento de semilleros de investigación con estudiantes de pregrado</v>
          </cell>
          <cell r="D47" t="str">
            <v>01-12</v>
          </cell>
          <cell r="E47" t="str">
            <v>06-12</v>
          </cell>
          <cell r="F47" t="str">
            <v>DIR DEPTO</v>
          </cell>
          <cell r="G47" t="str">
            <v>COOR DEPTO</v>
          </cell>
          <cell r="H47" t="e">
            <v>#REF!</v>
          </cell>
          <cell r="I47" t="str">
            <v>REVISION DOCUMENTO</v>
          </cell>
          <cell r="J47" t="str">
            <v># DOCUMENTOS</v>
          </cell>
          <cell r="K47" t="str">
            <v>1 DOCUMENTO AL AÑO</v>
          </cell>
        </row>
        <row r="48">
          <cell r="A48" t="str">
            <v>2.1</v>
          </cell>
          <cell r="B48">
            <v>2.5</v>
          </cell>
          <cell r="C48" t="str">
            <v>Subobjetivo 5: Garantizar infraestructura y convenios adecuados para el desarrollo de prácticas clínicas supervisadas</v>
          </cell>
          <cell r="D48">
            <v>0</v>
          </cell>
          <cell r="E48">
            <v>0</v>
          </cell>
          <cell r="F48">
            <v>0</v>
          </cell>
          <cell r="G48">
            <v>0</v>
          </cell>
          <cell r="H48" t="e">
            <v>#REF!</v>
          </cell>
          <cell r="I48">
            <v>0</v>
          </cell>
          <cell r="J48">
            <v>0</v>
          </cell>
          <cell r="K48">
            <v>0</v>
          </cell>
        </row>
        <row r="49">
          <cell r="A49" t="str">
            <v>2.1.1</v>
          </cell>
          <cell r="B49" t="str">
            <v>2.5.1</v>
          </cell>
          <cell r="C49" t="str">
            <v>Acción 1: Coordinar con la Vicerrectoría Académica y la Facultad de Medicina esfuerzos para el establecimiento de espacios adecuados y procedimientos del caso para la realización de prácticas clínicas supervisadas en la Casa Espinosa</v>
          </cell>
          <cell r="D49" t="str">
            <v>01-12</v>
          </cell>
          <cell r="E49" t="str">
            <v>06-12</v>
          </cell>
          <cell r="F49" t="str">
            <v>DIR POSGRADOS</v>
          </cell>
          <cell r="G49" t="str">
            <v>COOR POSGRADOS</v>
          </cell>
          <cell r="H49" t="e">
            <v>#REF!</v>
          </cell>
          <cell r="I49" t="str">
            <v>REVISION DOCUMENTO</v>
          </cell>
          <cell r="J49" t="str">
            <v># DOCUMENTOS</v>
          </cell>
          <cell r="K49" t="str">
            <v>1 DOCUMENTO AL AÑO</v>
          </cell>
        </row>
        <row r="50">
          <cell r="A50" t="str">
            <v>2.1.1</v>
          </cell>
          <cell r="B50" t="str">
            <v>2.5.2</v>
          </cell>
          <cell r="C50" t="str">
            <v>Acción 2: Establecer convenios con instituciones prestadoras de salud para la realización de prácticas clínicas supervisadas con miras a complementar la capacidad instalada de la Casa Espinosa</v>
          </cell>
          <cell r="D50" t="str">
            <v>01-12</v>
          </cell>
          <cell r="E50" t="str">
            <v>06-12</v>
          </cell>
          <cell r="F50" t="str">
            <v>DIR POSGRADOS</v>
          </cell>
          <cell r="G50" t="str">
            <v>COOR POSGRADOS</v>
          </cell>
          <cell r="H50" t="e">
            <v>#REF!</v>
          </cell>
          <cell r="I50" t="str">
            <v>REVISION DOCUMENTO</v>
          </cell>
          <cell r="J50" t="str">
            <v># DOCUMENTOS</v>
          </cell>
          <cell r="K50" t="str">
            <v>1 DOCUMENTO AL AÑO</v>
          </cell>
        </row>
        <row r="51">
          <cell r="A51" t="str">
            <v>2.1.2</v>
          </cell>
          <cell r="B51" t="str">
            <v>2.5.3</v>
          </cell>
          <cell r="C51" t="str">
            <v>Acción 3: Dotar al programa de Maestría en Psicología Clínica y de la Salud de los equipos tecnológicos necesarios para la realización de diversas modalidades de supervisión clínica</v>
          </cell>
          <cell r="D51" t="str">
            <v>01-12</v>
          </cell>
          <cell r="E51" t="str">
            <v>06-12</v>
          </cell>
          <cell r="F51" t="str">
            <v>DIR POSGRADOS</v>
          </cell>
          <cell r="G51" t="str">
            <v>COOR POSGRADOS</v>
          </cell>
          <cell r="H51" t="e">
            <v>#REF!</v>
          </cell>
          <cell r="I51" t="str">
            <v>REVISION DOCUMENTO</v>
          </cell>
          <cell r="J51" t="str">
            <v># DOCUMENTOS</v>
          </cell>
          <cell r="K51" t="str">
            <v>1 DOCUMENTO AL AÑO</v>
          </cell>
        </row>
        <row r="52">
          <cell r="A52" t="str">
            <v>2.2</v>
          </cell>
          <cell r="B52">
            <v>2.6</v>
          </cell>
          <cell r="C52" t="str">
            <v>Subobjetivo 6: Establecer un modelo de supervisión que sea factible financieramente y de alta calidad académica</v>
          </cell>
          <cell r="D52">
            <v>0</v>
          </cell>
          <cell r="E52">
            <v>0</v>
          </cell>
          <cell r="F52">
            <v>0</v>
          </cell>
          <cell r="G52">
            <v>0</v>
          </cell>
          <cell r="H52" t="e">
            <v>#REF!</v>
          </cell>
          <cell r="I52">
            <v>0</v>
          </cell>
          <cell r="J52">
            <v>0</v>
          </cell>
          <cell r="K52">
            <v>0</v>
          </cell>
        </row>
        <row r="53">
          <cell r="A53" t="str">
            <v>2.2.1</v>
          </cell>
          <cell r="B53" t="str">
            <v>2.6.1</v>
          </cell>
          <cell r="C53" t="str">
            <v>Acción 1: Elaborar colegiadamente y socializar entre docentes y supervisores protocolos de supervisión aplicables al programa de Maestría en Psicología Clínica y de la Salud, de conformidad con las posibilidades presupuestales del Departamento</v>
          </cell>
          <cell r="D53" t="str">
            <v>01-12</v>
          </cell>
          <cell r="E53" t="str">
            <v>06-12</v>
          </cell>
          <cell r="F53" t="str">
            <v>DIR POSGRADOS</v>
          </cell>
          <cell r="G53" t="str">
            <v>COOR POSGRADOS</v>
          </cell>
          <cell r="H53" t="e">
            <v>#REF!</v>
          </cell>
          <cell r="I53" t="str">
            <v>REVISION DOCUMENTO</v>
          </cell>
          <cell r="J53" t="str">
            <v># DOCUMENTOS</v>
          </cell>
          <cell r="K53" t="str">
            <v>1 DOCUMENTO AL AÑO</v>
          </cell>
        </row>
        <row r="54">
          <cell r="A54" t="str">
            <v>3.2.4</v>
          </cell>
          <cell r="B54" t="str">
            <v>2.6.2</v>
          </cell>
          <cell r="C54" t="str">
            <v>Acción 2: Establecer un pool de profesores ocasionales e invitados, adecuadamente referenciados, que apoyen actividades de formación en el programa, a nivel de cátedra y supervisión</v>
          </cell>
          <cell r="D54" t="str">
            <v>01-12</v>
          </cell>
          <cell r="E54" t="str">
            <v>06-12</v>
          </cell>
          <cell r="F54" t="str">
            <v>DIR POSGRADOS</v>
          </cell>
          <cell r="G54" t="str">
            <v>COOR POSGRADOS</v>
          </cell>
          <cell r="H54" t="e">
            <v>#REF!</v>
          </cell>
          <cell r="I54" t="str">
            <v>REVISION DOCUMENTO</v>
          </cell>
          <cell r="J54" t="str">
            <v># DOCUMENTOS</v>
          </cell>
          <cell r="K54" t="str">
            <v>1 DOCUMENTO AL AÑO</v>
          </cell>
        </row>
        <row r="55">
          <cell r="A55" t="str">
            <v>2.2.2</v>
          </cell>
          <cell r="B55" t="str">
            <v>2.6.3</v>
          </cell>
          <cell r="C55" t="str">
            <v>Acción 3: Implementar un sistema de benchmarking con el fin de establecer  las características distintivas y compartidas del modelo de supervisión desarrollado</v>
          </cell>
          <cell r="D55" t="str">
            <v>01-12</v>
          </cell>
          <cell r="E55" t="str">
            <v>06-12</v>
          </cell>
          <cell r="F55" t="str">
            <v>DIR POSGRADOS</v>
          </cell>
          <cell r="G55" t="str">
            <v>COOR POSGRADOS</v>
          </cell>
          <cell r="H55" t="e">
            <v>#REF!</v>
          </cell>
          <cell r="I55" t="str">
            <v>REVISION DOCUMENTO</v>
          </cell>
          <cell r="J55" t="str">
            <v># DOCUMENTOS</v>
          </cell>
          <cell r="K55" t="str">
            <v>1 DOCUMENTO AL AÑO</v>
          </cell>
        </row>
        <row r="56">
          <cell r="A56" t="str">
            <v>2.2</v>
          </cell>
          <cell r="B56">
            <v>2.7</v>
          </cell>
          <cell r="C56" t="str">
            <v xml:space="preserve">Subobjetivo 7: Establecer mecanismos permanentes de autoevaluación de la calidad del programa </v>
          </cell>
          <cell r="D56">
            <v>0</v>
          </cell>
          <cell r="E56">
            <v>0</v>
          </cell>
          <cell r="F56">
            <v>0</v>
          </cell>
          <cell r="G56">
            <v>0</v>
          </cell>
          <cell r="H56" t="e">
            <v>#REF!</v>
          </cell>
          <cell r="I56">
            <v>0</v>
          </cell>
          <cell r="J56">
            <v>0</v>
          </cell>
          <cell r="K56">
            <v>0</v>
          </cell>
        </row>
        <row r="57">
          <cell r="A57" t="str">
            <v>2.2.3</v>
          </cell>
          <cell r="B57" t="str">
            <v>2.7.1</v>
          </cell>
          <cell r="C57" t="str">
            <v>Acción 1: Con base en los factores, las características y los indicadores inicialmente propuestos por el CNA para acreditación de  postgrados y en otros insumos de autoevaluación, perfeccionar el sistema de información académica (de estudiantes y profesores) del Departamento</v>
          </cell>
          <cell r="D57" t="str">
            <v>07-12</v>
          </cell>
          <cell r="E57" t="str">
            <v>12-12</v>
          </cell>
          <cell r="F57" t="str">
            <v>DIR POSGRADOS</v>
          </cell>
          <cell r="G57" t="str">
            <v>COOR POSGRADOS</v>
          </cell>
          <cell r="H57" t="e">
            <v>#REF!</v>
          </cell>
          <cell r="I57" t="str">
            <v>REVISION BASE DE DATOS</v>
          </cell>
          <cell r="J57" t="str">
            <v># REPORTES BD</v>
          </cell>
          <cell r="K57" t="str">
            <v>2 REPORTES AL AÑO</v>
          </cell>
        </row>
        <row r="58">
          <cell r="A58" t="str">
            <v>2.2.4</v>
          </cell>
          <cell r="B58" t="str">
            <v>2.7.2</v>
          </cell>
          <cell r="C58" t="str">
            <v>Acción 2: Diseñar estrategias para el seguimiento de la calidad en la docencia a partir de formatos de evaluación de cursos más elaborados</v>
          </cell>
          <cell r="D58" t="str">
            <v>07-12</v>
          </cell>
          <cell r="E58" t="str">
            <v>12-12</v>
          </cell>
          <cell r="F58" t="str">
            <v>DIR POSGRADOS</v>
          </cell>
          <cell r="G58" t="str">
            <v>COOR POSGRADOS</v>
          </cell>
          <cell r="H58" t="e">
            <v>#REF!</v>
          </cell>
          <cell r="I58" t="str">
            <v>REVISION DOCUMENTO</v>
          </cell>
          <cell r="J58" t="str">
            <v># DOCUMENTOS</v>
          </cell>
          <cell r="K58" t="str">
            <v>1 DOCUMENTO AL AÑO</v>
          </cell>
        </row>
        <row r="59">
          <cell r="A59" t="str">
            <v>2.2.5</v>
          </cell>
          <cell r="B59" t="str">
            <v>2.7.3</v>
          </cell>
          <cell r="C59" t="str">
            <v>Acción 3: Implementar periódicamente estrategias de obtención de información cualitativa (e.g., grupos focales) para evaluar satisfacción estudiantil.</v>
          </cell>
          <cell r="D59" t="str">
            <v>07-12</v>
          </cell>
          <cell r="E59" t="str">
            <v>12-12</v>
          </cell>
          <cell r="F59" t="str">
            <v>DIR POSGRADOS</v>
          </cell>
          <cell r="G59" t="str">
            <v>COOR POSGRADOS</v>
          </cell>
          <cell r="H59" t="e">
            <v>#REF!</v>
          </cell>
          <cell r="I59" t="str">
            <v>REVISION DOCUMENTO</v>
          </cell>
          <cell r="J59" t="str">
            <v># DOCUMENTOS</v>
          </cell>
          <cell r="K59" t="str">
            <v>1 DOCUMENTO AL AÑO</v>
          </cell>
        </row>
        <row r="60">
          <cell r="A60" t="str">
            <v>2.2.2</v>
          </cell>
          <cell r="B60" t="str">
            <v>2.7.4</v>
          </cell>
          <cell r="C60" t="str">
            <v>Acción 4: Implementar un sistema de benchmarking con el fin de establecer  las características distintivas de los programas y cursos de postgrado</v>
          </cell>
          <cell r="D60" t="str">
            <v>07-12</v>
          </cell>
          <cell r="E60" t="str">
            <v>12-12</v>
          </cell>
          <cell r="F60" t="str">
            <v>DIR POSGRADOS</v>
          </cell>
          <cell r="G60" t="str">
            <v>COOR POSGRADOS</v>
          </cell>
          <cell r="H60" t="e">
            <v>#REF!</v>
          </cell>
          <cell r="I60" t="str">
            <v>REVISION DOCUMENTO</v>
          </cell>
          <cell r="J60" t="str">
            <v># DOCUMENTOS</v>
          </cell>
          <cell r="K60" t="str">
            <v>1 DOCUMENTO AL AÑO</v>
          </cell>
        </row>
        <row r="61">
          <cell r="A61">
            <v>0</v>
          </cell>
          <cell r="B61">
            <v>3</v>
          </cell>
          <cell r="C61" t="str">
            <v>Objetivo 3: GARANTIZAR EL RECONOCIMIENTO  DE LOS PROGRAMAS DE POSGRADO, A TRAVÉS DE LA EXCELENCIA EN LA FORMACIÓN DE INVESTIGADORES</v>
          </cell>
          <cell r="D61">
            <v>0</v>
          </cell>
          <cell r="E61">
            <v>0</v>
          </cell>
          <cell r="F61">
            <v>0</v>
          </cell>
          <cell r="G61">
            <v>0</v>
          </cell>
          <cell r="H61" t="e">
            <v>#REF!</v>
          </cell>
          <cell r="I61">
            <v>0</v>
          </cell>
          <cell r="J61">
            <v>0</v>
          </cell>
          <cell r="K61">
            <v>0</v>
          </cell>
        </row>
        <row r="62">
          <cell r="A62" t="str">
            <v>Eliminado</v>
          </cell>
          <cell r="B62">
            <v>3.1</v>
          </cell>
          <cell r="C62" t="str">
            <v>Subobjetivo 1: Proveer a los estudiantes doctorales y a los grupos de investigación la infraestructura necesaria  para actividades de investigación</v>
          </cell>
          <cell r="D62">
            <v>0</v>
          </cell>
          <cell r="E62">
            <v>0</v>
          </cell>
          <cell r="F62">
            <v>0</v>
          </cell>
          <cell r="G62">
            <v>0</v>
          </cell>
          <cell r="H62" t="e">
            <v>#REF!</v>
          </cell>
          <cell r="I62">
            <v>0</v>
          </cell>
          <cell r="J62">
            <v>0</v>
          </cell>
          <cell r="K62">
            <v>0</v>
          </cell>
        </row>
        <row r="63">
          <cell r="A63">
            <v>0</v>
          </cell>
          <cell r="B63" t="str">
            <v>3.1.1</v>
          </cell>
          <cell r="C63" t="str">
            <v>Acción 1: Coordinar con la Decanatura la ampliación y dotación adicional del Laboratorio de Psicología, en lo referente a infraestructura física, tecnológica y psicométrica</v>
          </cell>
          <cell r="D63" t="str">
            <v>01-13</v>
          </cell>
          <cell r="E63" t="str">
            <v>06-13</v>
          </cell>
          <cell r="F63" t="str">
            <v>DIR DEPTO</v>
          </cell>
          <cell r="G63" t="str">
            <v>COOR POSGRADOS</v>
          </cell>
          <cell r="H63" t="e">
            <v>#REF!</v>
          </cell>
          <cell r="I63" t="str">
            <v>REVISION PLAN INVERSION</v>
          </cell>
          <cell r="J63" t="str">
            <v>PLAN INVERSION</v>
          </cell>
          <cell r="K63" t="str">
            <v>EJECUTAR INVERSION</v>
          </cell>
        </row>
        <row r="64">
          <cell r="A64">
            <v>0</v>
          </cell>
          <cell r="B64" t="str">
            <v>3.1.2</v>
          </cell>
          <cell r="C64" t="str">
            <v>Acción 2: Gestionar ante la Decanatura la dotación de estaciones de trabajo adicionales para asistentes graduados y asistentes de docencia.</v>
          </cell>
          <cell r="D64" t="str">
            <v>01-13</v>
          </cell>
          <cell r="E64" t="str">
            <v>06-13</v>
          </cell>
          <cell r="F64" t="str">
            <v>DIR DEPTO</v>
          </cell>
          <cell r="G64" t="str">
            <v>COOR POSGRADOS</v>
          </cell>
          <cell r="H64" t="e">
            <v>#REF!</v>
          </cell>
          <cell r="I64" t="str">
            <v>REVISION PLAN ESTACIONES</v>
          </cell>
          <cell r="J64" t="str">
            <v># ESTACIONES ADICIONALES</v>
          </cell>
          <cell r="K64" t="str">
            <v>5 ESTACIONES ADICIONALES</v>
          </cell>
        </row>
        <row r="65">
          <cell r="A65">
            <v>0</v>
          </cell>
          <cell r="B65" t="str">
            <v>3.1.3</v>
          </cell>
          <cell r="C65" t="str">
            <v>Acción 3: Diseñar un sistema de evaluación y monitoreo constante de la adecuación de los recursos psicométricos y de software del Laboratorio de Psicología</v>
          </cell>
          <cell r="D65" t="str">
            <v>01-13</v>
          </cell>
          <cell r="E65" t="str">
            <v>06-13</v>
          </cell>
          <cell r="F65" t="str">
            <v>DIR POSGRADOS</v>
          </cell>
          <cell r="G65" t="str">
            <v>COOR POSGRADOS</v>
          </cell>
          <cell r="H65" t="e">
            <v>#REF!</v>
          </cell>
          <cell r="I65" t="str">
            <v>REVISION SISTEMA EVALUACION</v>
          </cell>
          <cell r="J65" t="str">
            <v># DOCUMENTOS</v>
          </cell>
          <cell r="K65" t="str">
            <v>1 DOCUMENTO AL AÑO</v>
          </cell>
        </row>
        <row r="66">
          <cell r="A66">
            <v>0</v>
          </cell>
          <cell r="B66" t="str">
            <v>3.1.4</v>
          </cell>
          <cell r="C66" t="str">
            <v>Acción 4: Adelantar, en coordinación con la Oficina de Planta Física, la remodelación del Laboratorio de Neurociencias, para efectos de apoyo a actividades investigativas actuales</v>
          </cell>
          <cell r="D66" t="str">
            <v>08-10</v>
          </cell>
          <cell r="E66" t="str">
            <v>12-10</v>
          </cell>
          <cell r="F66" t="str">
            <v>DIR POSGRADOS</v>
          </cell>
          <cell r="G66" t="str">
            <v>COOR POSGRADOS</v>
          </cell>
          <cell r="H66" t="e">
            <v>#REF!</v>
          </cell>
          <cell r="I66" t="str">
            <v>REVISION PLANOS</v>
          </cell>
          <cell r="J66" t="str">
            <v>DISTRIBUCION PLANTA FISICA</v>
          </cell>
          <cell r="K66" t="str">
            <v>1 LAB NEUROCIENCIAS</v>
          </cell>
        </row>
        <row r="67">
          <cell r="A67">
            <v>0</v>
          </cell>
          <cell r="B67" t="str">
            <v>3.1.5</v>
          </cell>
          <cell r="C67" t="str">
            <v>Acción 5: Gestionar ante la Decanatura y la Oficina de Gestión Humana, la vinculación de un auxiliar para el Laboratorio de Neurociencias</v>
          </cell>
          <cell r="D67" t="str">
            <v>01-13</v>
          </cell>
          <cell r="E67" t="str">
            <v>06-13</v>
          </cell>
          <cell r="F67" t="str">
            <v>DIR POSGRADOS</v>
          </cell>
          <cell r="G67" t="str">
            <v>COOR POSGRADOS</v>
          </cell>
          <cell r="H67" t="e">
            <v>#REF!</v>
          </cell>
          <cell r="I67" t="str">
            <v>PERFIL CARGO</v>
          </cell>
          <cell r="J67" t="str">
            <v>PERSONAL CONTRATADO</v>
          </cell>
          <cell r="K67" t="str">
            <v>1 AUXILIAR</v>
          </cell>
        </row>
        <row r="68">
          <cell r="A68" t="str">
            <v>2.2</v>
          </cell>
          <cell r="B68">
            <v>3.2</v>
          </cell>
          <cell r="C68" t="str">
            <v xml:space="preserve">Subobjetivo 2: Establecer mecanismos permanentes de autoevaluación de la calidad del programa </v>
          </cell>
          <cell r="D68">
            <v>0</v>
          </cell>
          <cell r="E68">
            <v>0</v>
          </cell>
          <cell r="F68">
            <v>0</v>
          </cell>
          <cell r="G68">
            <v>0</v>
          </cell>
          <cell r="H68" t="e">
            <v>#REF!</v>
          </cell>
          <cell r="I68">
            <v>0</v>
          </cell>
          <cell r="J68">
            <v>0</v>
          </cell>
          <cell r="K68">
            <v>0</v>
          </cell>
        </row>
        <row r="69">
          <cell r="A69" t="str">
            <v>2.2.3</v>
          </cell>
          <cell r="B69" t="str">
            <v>3.2.1</v>
          </cell>
          <cell r="C69" t="str">
            <v>Acción 1: Con base en los factores, las características y los indicadores inicialmente propuestos por el CNA para acreditación de  postgrados y en otros insumos de autoevaluación, perfeccionar el sistema de información académica (de estudiantes y profesores) del Departamento</v>
          </cell>
          <cell r="D69" t="str">
            <v>07-12</v>
          </cell>
          <cell r="E69" t="str">
            <v>12-12</v>
          </cell>
          <cell r="F69" t="str">
            <v>DIR POSGRADOS</v>
          </cell>
          <cell r="G69" t="str">
            <v>COOR POSGRADOS</v>
          </cell>
          <cell r="H69" t="e">
            <v>#REF!</v>
          </cell>
          <cell r="I69" t="str">
            <v>REVISION BASE DE DATOS</v>
          </cell>
          <cell r="J69" t="str">
            <v># REPORTES BD</v>
          </cell>
          <cell r="K69" t="str">
            <v>2 REPORTES AL AÑO</v>
          </cell>
        </row>
        <row r="70">
          <cell r="A70" t="str">
            <v>2.2.4</v>
          </cell>
          <cell r="B70" t="str">
            <v>3.2.2</v>
          </cell>
          <cell r="C70" t="str">
            <v>Acción 2: Diseñar estrategias para el seguimiento de la calidad en la docencia a partir de formatos de evaluación de cursos más elaborados</v>
          </cell>
          <cell r="D70" t="str">
            <v>07-12</v>
          </cell>
          <cell r="E70" t="str">
            <v>12-12</v>
          </cell>
          <cell r="F70" t="str">
            <v>DIR POSGRADOS</v>
          </cell>
          <cell r="G70" t="str">
            <v>COOR POSGRADOS</v>
          </cell>
          <cell r="H70" t="e">
            <v>#REF!</v>
          </cell>
          <cell r="I70" t="str">
            <v>REVISION DOCUMENTO</v>
          </cell>
          <cell r="J70" t="str">
            <v># DOCUMENTOS</v>
          </cell>
          <cell r="K70" t="str">
            <v>1 DOCUMENTO AL AÑO</v>
          </cell>
        </row>
        <row r="71">
          <cell r="A71" t="str">
            <v>2.2.5</v>
          </cell>
          <cell r="B71" t="str">
            <v>3.2.3</v>
          </cell>
          <cell r="C71" t="str">
            <v>Acción 3: Implementar periódicamente estrategias de obtención de información cualitativa (e.g., grupos focales) para evaluar satisfacción estudiantil.</v>
          </cell>
          <cell r="D71" t="str">
            <v>07-12</v>
          </cell>
          <cell r="E71" t="str">
            <v>12-12</v>
          </cell>
          <cell r="F71" t="str">
            <v>DIR POSGRADOS</v>
          </cell>
          <cell r="G71" t="str">
            <v>COOR POSGRADOS</v>
          </cell>
          <cell r="H71" t="e">
            <v>#REF!</v>
          </cell>
          <cell r="I71" t="str">
            <v>REVISION DOCUMENTO</v>
          </cell>
          <cell r="J71" t="str">
            <v># DOCUMENTOS</v>
          </cell>
          <cell r="K71" t="str">
            <v>1 DOCUMENTO AL AÑO</v>
          </cell>
        </row>
        <row r="72">
          <cell r="A72" t="str">
            <v>2.2.2</v>
          </cell>
          <cell r="B72" t="str">
            <v>3.2.4</v>
          </cell>
          <cell r="C72" t="str">
            <v>Acción 4: Diseñar un sistema de seguimiento y evaluación de la medida en la cual el programa es conducente al desarrollo de las competencias contenidas en los objetivos de formación.</v>
          </cell>
          <cell r="D72" t="str">
            <v>07-12</v>
          </cell>
          <cell r="E72" t="str">
            <v>12-12</v>
          </cell>
          <cell r="F72" t="str">
            <v>DIR POSGRADOS</v>
          </cell>
          <cell r="G72" t="str">
            <v>COOR POSGRADOS</v>
          </cell>
          <cell r="H72" t="e">
            <v>#REF!</v>
          </cell>
          <cell r="I72" t="str">
            <v>REVISION DOCUMENTO</v>
          </cell>
          <cell r="J72" t="str">
            <v># DOCUMENTOS</v>
          </cell>
          <cell r="K72" t="str">
            <v>1 DOCUMENTO AL AÑO</v>
          </cell>
        </row>
        <row r="73">
          <cell r="A73" t="str">
            <v>2.2.2</v>
          </cell>
          <cell r="B73" t="str">
            <v>3.2.5</v>
          </cell>
          <cell r="C73" t="str">
            <v>Acción 5: Implementar un sistema de benchmarking con el fin de establecer  las características distintivas de los programas y cursos de postgrado</v>
          </cell>
          <cell r="D73" t="str">
            <v>07-12</v>
          </cell>
          <cell r="E73" t="str">
            <v>12-12</v>
          </cell>
          <cell r="F73" t="str">
            <v>DIR POSGRADOS</v>
          </cell>
          <cell r="G73" t="str">
            <v>COOR POSGRADOS</v>
          </cell>
          <cell r="H73" t="e">
            <v>#REF!</v>
          </cell>
          <cell r="I73" t="str">
            <v>REVISION DOCUMENTO</v>
          </cell>
          <cell r="J73" t="str">
            <v># DOCUMENTOS</v>
          </cell>
          <cell r="K73" t="str">
            <v>1 DOCUMENTO AL AÑO</v>
          </cell>
        </row>
        <row r="74">
          <cell r="A74" t="str">
            <v>7.1</v>
          </cell>
          <cell r="B74">
            <v>3.3</v>
          </cell>
          <cell r="C74" t="str">
            <v>Subobjetivo 3: Establecer estrategias evaluables y permanentes de promoción del programa, que visibilicen al programa frente a la competencia</v>
          </cell>
          <cell r="D74">
            <v>0</v>
          </cell>
          <cell r="E74">
            <v>0</v>
          </cell>
          <cell r="F74">
            <v>0</v>
          </cell>
          <cell r="G74">
            <v>0</v>
          </cell>
          <cell r="H74" t="e">
            <v>#REF!</v>
          </cell>
          <cell r="I74">
            <v>0</v>
          </cell>
          <cell r="J74">
            <v>0</v>
          </cell>
          <cell r="K74">
            <v>0</v>
          </cell>
        </row>
        <row r="75">
          <cell r="A75" t="str">
            <v>7.1.1</v>
          </cell>
          <cell r="B75" t="str">
            <v>3.3.1</v>
          </cell>
          <cell r="C75" t="str">
            <v>Acción 1: Llevar a cabo un trabajo de referenciación con otros programas de postgrado de la universidad y de otras instituciones en relación con estrategias de promoción de oferta académica</v>
          </cell>
          <cell r="D75" t="str">
            <v>01-11</v>
          </cell>
          <cell r="E75" t="str">
            <v>12-11</v>
          </cell>
          <cell r="F75" t="str">
            <v>DIR POSGRADOS</v>
          </cell>
          <cell r="G75" t="str">
            <v>COOR POSGRADOS</v>
          </cell>
          <cell r="H75" t="e">
            <v>#REF!</v>
          </cell>
          <cell r="I75" t="str">
            <v>REVISION DOCUMENTO</v>
          </cell>
          <cell r="J75" t="str">
            <v># DOCUMENTOS</v>
          </cell>
          <cell r="K75" t="str">
            <v>1 DOCUMENTO AL AÑO</v>
          </cell>
        </row>
        <row r="76">
          <cell r="A76" t="str">
            <v>7.1.2</v>
          </cell>
          <cell r="B76" t="str">
            <v>3.3.2</v>
          </cell>
          <cell r="C76" t="str">
            <v>Acción 2: Coordinar con la Oficina de Scoutting y Promoción mecanismos de evaluación de las estrategias actuales de promoción</v>
          </cell>
          <cell r="D76" t="str">
            <v>01-11</v>
          </cell>
          <cell r="E76" t="str">
            <v>06-11</v>
          </cell>
          <cell r="F76" t="str">
            <v>DIR POSGRADOS</v>
          </cell>
          <cell r="G76" t="str">
            <v>COOR POSGRADOS</v>
          </cell>
          <cell r="H76" t="e">
            <v>#REF!</v>
          </cell>
          <cell r="I76" t="str">
            <v>REVISION DOCUMENTO</v>
          </cell>
          <cell r="J76" t="str">
            <v># DOCUMENTOS</v>
          </cell>
          <cell r="K76" t="str">
            <v>1 DOCUMENTO AL AÑO</v>
          </cell>
        </row>
        <row r="77">
          <cell r="A77" t="str">
            <v>7.1.4</v>
          </cell>
          <cell r="B77" t="str">
            <v>3.3.3</v>
          </cell>
          <cell r="C77" t="str">
            <v>Acción 3: Consolidar y mantener las bases de datos de interesados en los programas del Departamento</v>
          </cell>
          <cell r="D77" t="str">
            <v>06-11</v>
          </cell>
          <cell r="E77" t="str">
            <v>09-11</v>
          </cell>
          <cell r="F77" t="str">
            <v>DIR POSGRADOS</v>
          </cell>
          <cell r="G77" t="str">
            <v>COOR POSGRADOS</v>
          </cell>
          <cell r="H77" t="e">
            <v>#REF!</v>
          </cell>
          <cell r="I77" t="str">
            <v>REVISION BASE DE DATOS</v>
          </cell>
          <cell r="J77" t="str">
            <v># REPORTES BD</v>
          </cell>
          <cell r="K77" t="str">
            <v>2 REPORTES AL AÑO</v>
          </cell>
        </row>
        <row r="78">
          <cell r="A78" t="str">
            <v>7.1.3</v>
          </cell>
          <cell r="B78" t="str">
            <v>3.3.4</v>
          </cell>
          <cell r="C78" t="str">
            <v xml:space="preserve">Acción 4: Diseñar e implementar una estrategia para la promoción de los programas de postgrado en el programa de pregrado en psicología de la universidad. </v>
          </cell>
          <cell r="D78" t="str">
            <v>06-11</v>
          </cell>
          <cell r="E78" t="str">
            <v>09-11</v>
          </cell>
          <cell r="F78" t="str">
            <v>DIR POSGRADOS</v>
          </cell>
          <cell r="G78" t="str">
            <v>COOR POSGRADOS</v>
          </cell>
          <cell r="H78" t="e">
            <v>#REF!</v>
          </cell>
          <cell r="I78" t="str">
            <v>REVISION DOCUMENTO</v>
          </cell>
          <cell r="J78" t="str">
            <v># DOCUMENTOS</v>
          </cell>
          <cell r="K78" t="str">
            <v>1 DOCUMENTO AL AÑO</v>
          </cell>
        </row>
        <row r="79">
          <cell r="A79" t="str">
            <v>Eliminada</v>
          </cell>
          <cell r="B79" t="str">
            <v>3.3.5</v>
          </cell>
          <cell r="C79" t="str">
            <v>Acción 5: Mantener imágenes corporativas que sean distintivas de los programas de postgrado del Departamento, en el contexto de las políticas de comunicación de la universidad</v>
          </cell>
          <cell r="D79" t="str">
            <v>01-12</v>
          </cell>
          <cell r="E79" t="str">
            <v>06-12</v>
          </cell>
          <cell r="F79" t="str">
            <v>DIR POSGRADOS</v>
          </cell>
          <cell r="G79" t="str">
            <v>COOR POSGRADOS</v>
          </cell>
          <cell r="H79" t="e">
            <v>#REF!</v>
          </cell>
          <cell r="I79" t="str">
            <v>REVISION DOCUMENTO</v>
          </cell>
          <cell r="J79" t="str">
            <v># DOCUMENTOS</v>
          </cell>
          <cell r="K79" t="str">
            <v>1 DOCUMENTO AL AÑO</v>
          </cell>
        </row>
        <row r="80">
          <cell r="A80" t="str">
            <v>7.1.5</v>
          </cell>
          <cell r="B80" t="str">
            <v>3.3.6</v>
          </cell>
          <cell r="C80" t="str">
            <v>Acción 6: Coordinar con la Oficina de Comunicaciones y la Decanatura políticas para la publicación en prensa y en otros medios de difusión de información sobre los programas del Departamento</v>
          </cell>
          <cell r="D80" t="str">
            <v>01-12</v>
          </cell>
          <cell r="E80" t="str">
            <v>06-12</v>
          </cell>
          <cell r="F80" t="str">
            <v>DIR POSGRADOS</v>
          </cell>
          <cell r="G80" t="str">
            <v>COOR POSGRADOS</v>
          </cell>
          <cell r="H80" t="e">
            <v>#REF!</v>
          </cell>
          <cell r="I80" t="str">
            <v>REVISION DOCUMENTO</v>
          </cell>
          <cell r="J80" t="str">
            <v># DOCUMENTOS</v>
          </cell>
          <cell r="K80" t="str">
            <v>1 DOCUMENTO AL AÑO</v>
          </cell>
        </row>
        <row r="81">
          <cell r="A81" t="str">
            <v>7.1.3</v>
          </cell>
          <cell r="B81" t="str">
            <v>3.3.7</v>
          </cell>
          <cell r="C81" t="str">
            <v>Acción 7: Publicar periódicamente un boletín electrónico del Departamento que ofrezca información actualizada sobre desarrollos y programas del Departamento</v>
          </cell>
          <cell r="D81" t="str">
            <v>01-12</v>
          </cell>
          <cell r="E81" t="str">
            <v>06-12</v>
          </cell>
          <cell r="F81" t="str">
            <v>DIR POSGRADOS</v>
          </cell>
          <cell r="G81" t="str">
            <v>COOR POSGRADOS</v>
          </cell>
          <cell r="H81" t="e">
            <v>#REF!</v>
          </cell>
          <cell r="I81" t="str">
            <v>REVISION BOLETIN ELECTRONICO</v>
          </cell>
          <cell r="J81" t="str">
            <v># BOLETINES</v>
          </cell>
          <cell r="K81" t="str">
            <v>1 BOLETIN AL AÑO</v>
          </cell>
        </row>
        <row r="82">
          <cell r="A82" t="str">
            <v>5.1</v>
          </cell>
          <cell r="B82">
            <v>3.4</v>
          </cell>
          <cell r="C82" t="str">
            <v xml:space="preserve">Subobjetivo 4: Crear espacios de socialización que permitan la discusión y divulgación entre pares de productos e iniciativas académicas e investigativas </v>
          </cell>
          <cell r="D82">
            <v>0</v>
          </cell>
          <cell r="E82">
            <v>0</v>
          </cell>
          <cell r="F82">
            <v>0</v>
          </cell>
          <cell r="G82">
            <v>0</v>
          </cell>
          <cell r="H82" t="e">
            <v>#REF!</v>
          </cell>
          <cell r="I82">
            <v>0</v>
          </cell>
          <cell r="J82">
            <v>0</v>
          </cell>
          <cell r="K82">
            <v>0</v>
          </cell>
        </row>
        <row r="83">
          <cell r="A83" t="str">
            <v>5.1.2</v>
          </cell>
          <cell r="B83" t="str">
            <v>3.4.1</v>
          </cell>
          <cell r="C83" t="str">
            <v>Acción 1: Definir los propósitos formativos de espacios de socialización y divulgación académica en los diferentes niveles de desarrollo de las competencias investigativas de los estudiantes</v>
          </cell>
          <cell r="D83" t="str">
            <v>01-13</v>
          </cell>
          <cell r="E83" t="str">
            <v>06-13</v>
          </cell>
          <cell r="F83" t="str">
            <v>DIR POSGRADOS</v>
          </cell>
          <cell r="G83" t="str">
            <v>COOR POSGRADOS</v>
          </cell>
          <cell r="H83" t="e">
            <v>#REF!</v>
          </cell>
          <cell r="I83" t="str">
            <v>REVISION DOCUMENTO</v>
          </cell>
          <cell r="J83" t="str">
            <v># DOCUMENTOS</v>
          </cell>
          <cell r="K83" t="str">
            <v>1 DOCUMENTO AL AÑO</v>
          </cell>
        </row>
        <row r="84">
          <cell r="A84" t="str">
            <v>5.1.2</v>
          </cell>
          <cell r="B84" t="str">
            <v>3.4.2</v>
          </cell>
          <cell r="C84" t="str">
            <v>Acción 2: Definir los diversos formatos de actividad y periodicidad de los espacios de socialización y divulgación</v>
          </cell>
          <cell r="D84" t="str">
            <v>01-13</v>
          </cell>
          <cell r="E84" t="str">
            <v>06-13</v>
          </cell>
          <cell r="F84" t="str">
            <v>DIR POSGRADOS</v>
          </cell>
          <cell r="G84" t="str">
            <v>COOR POSGRADOS</v>
          </cell>
          <cell r="H84" t="e">
            <v>#REF!</v>
          </cell>
          <cell r="I84" t="str">
            <v>REVISION DOCUMENTO</v>
          </cell>
          <cell r="J84" t="str">
            <v># DOCUMENTOS</v>
          </cell>
          <cell r="K84" t="str">
            <v>1 DOCUMENTO AL AÑO</v>
          </cell>
        </row>
        <row r="85">
          <cell r="A85" t="str">
            <v>5.1.2</v>
          </cell>
          <cell r="B85" t="str">
            <v>3.4.3</v>
          </cell>
          <cell r="C85" t="str">
            <v>Acción 3: Establecer estrategias de divulgación oportuna y eficaz de las actividades relacionadas con los espacios de socialización</v>
          </cell>
          <cell r="D85" t="str">
            <v>01-13</v>
          </cell>
          <cell r="E85" t="str">
            <v>06-13</v>
          </cell>
          <cell r="F85" t="str">
            <v>DIR POSGRADOS</v>
          </cell>
          <cell r="G85" t="str">
            <v>COOR POSGRADOS</v>
          </cell>
          <cell r="H85" t="e">
            <v>#REF!</v>
          </cell>
          <cell r="I85" t="str">
            <v>REVISION DOCUMENTO</v>
          </cell>
          <cell r="J85" t="str">
            <v># DOCUMENTOS</v>
          </cell>
          <cell r="K85" t="str">
            <v>1 DOCUMENTO AL AÑO</v>
          </cell>
        </row>
        <row r="86">
          <cell r="A86" t="str">
            <v>5.1.3</v>
          </cell>
          <cell r="B86" t="str">
            <v>3.4.4</v>
          </cell>
          <cell r="C86" t="str">
            <v>Acción 4: Definir mecanismos de evaluación periódica de los espacios de socialización</v>
          </cell>
          <cell r="D86" t="str">
            <v>01-13</v>
          </cell>
          <cell r="E86" t="str">
            <v>06-13</v>
          </cell>
          <cell r="F86" t="str">
            <v>DIR POSGRADOS</v>
          </cell>
          <cell r="G86" t="str">
            <v>COOR POSGRADOS</v>
          </cell>
          <cell r="H86" t="e">
            <v>#REF!</v>
          </cell>
          <cell r="I86" t="str">
            <v>REVISION DOCUMENTO</v>
          </cell>
          <cell r="J86" t="str">
            <v># DOCUMENTOS</v>
          </cell>
          <cell r="K86" t="str">
            <v>1 DOCUMENTO AL AÑO</v>
          </cell>
        </row>
        <row r="87">
          <cell r="A87" t="str">
            <v>7.2</v>
          </cell>
          <cell r="B87">
            <v>3.5</v>
          </cell>
          <cell r="C87" t="str">
            <v>Subobjetivo 5: Promover la presencia en eventos y escenarios académicos nacionales e internacionales</v>
          </cell>
          <cell r="D87">
            <v>0</v>
          </cell>
          <cell r="E87">
            <v>0</v>
          </cell>
          <cell r="F87">
            <v>0</v>
          </cell>
          <cell r="G87">
            <v>0</v>
          </cell>
          <cell r="H87" t="e">
            <v>#REF!</v>
          </cell>
          <cell r="I87">
            <v>0</v>
          </cell>
          <cell r="J87">
            <v>0</v>
          </cell>
          <cell r="K87">
            <v>0</v>
          </cell>
        </row>
        <row r="88">
          <cell r="A88" t="str">
            <v>7.2.2</v>
          </cell>
          <cell r="B88" t="str">
            <v>3.5.1</v>
          </cell>
          <cell r="C88" t="str">
            <v>Acción 1: Llegar a consensos sobre las políticas y estrategias de participación en eventos académicos, de acuerdo con diversos propósitos académicos e institucionales</v>
          </cell>
          <cell r="D88" t="str">
            <v>01-11</v>
          </cell>
          <cell r="E88" t="str">
            <v>06-11</v>
          </cell>
          <cell r="F88" t="str">
            <v>DIR DEPTO</v>
          </cell>
          <cell r="G88" t="str">
            <v>COOR DEPTO</v>
          </cell>
          <cell r="H88" t="e">
            <v>#REF!</v>
          </cell>
          <cell r="I88" t="str">
            <v>REVISION DOCUMENTO</v>
          </cell>
          <cell r="J88" t="str">
            <v># DOCUMENTOS</v>
          </cell>
          <cell r="K88" t="str">
            <v>1 DOCUMENTO AL AÑO</v>
          </cell>
        </row>
        <row r="89">
          <cell r="A89" t="str">
            <v>5.1.4</v>
          </cell>
          <cell r="B89" t="str">
            <v>3.5.2</v>
          </cell>
          <cell r="C89" t="str">
            <v>Acción 2: Desarrollar un sistema que permita dar información a los grupos de investigación sobre eventos académicos relevantes en sus respectivas áreas</v>
          </cell>
          <cell r="D89" t="str">
            <v>01-11</v>
          </cell>
          <cell r="E89" t="str">
            <v>06-11</v>
          </cell>
          <cell r="F89" t="str">
            <v>DIR DEPTO</v>
          </cell>
          <cell r="G89" t="str">
            <v>COOR DEPTO</v>
          </cell>
          <cell r="H89" t="e">
            <v>#REF!</v>
          </cell>
          <cell r="I89" t="str">
            <v>REVISION DOCUMENTO</v>
          </cell>
          <cell r="J89" t="str">
            <v># DOCUMENTOS</v>
          </cell>
          <cell r="K89" t="str">
            <v>1 DOCUMENTO AL AÑO</v>
          </cell>
        </row>
        <row r="90">
          <cell r="A90" t="str">
            <v>7.2.3</v>
          </cell>
          <cell r="B90" t="str">
            <v>3.5.3</v>
          </cell>
          <cell r="C90" t="str">
            <v>Acción 3: En coordinación con la Decanatura, buscar y ofrecer incentivos y ayudas para la participación de estudiantes en eventos académicos nacionales e internacionales</v>
          </cell>
          <cell r="D90" t="str">
            <v>01-11</v>
          </cell>
          <cell r="E90" t="str">
            <v>06-11</v>
          </cell>
          <cell r="F90" t="str">
            <v>DIR DEPTO</v>
          </cell>
          <cell r="G90" t="str">
            <v>COOR DEPTO</v>
          </cell>
          <cell r="H90" t="e">
            <v>#REF!</v>
          </cell>
          <cell r="I90" t="str">
            <v>REVISION DOCUMENTO</v>
          </cell>
          <cell r="J90" t="str">
            <v># DOCUMENTOS</v>
          </cell>
          <cell r="K90" t="str">
            <v>1 DOCUMENTO AL AÑO</v>
          </cell>
        </row>
        <row r="91">
          <cell r="A91" t="str">
            <v>5.1.5</v>
          </cell>
          <cell r="B91" t="str">
            <v>3.5.4</v>
          </cell>
          <cell r="C91" t="str">
            <v>Acción 4: Establecer espacios o escenarios que permitan a estudiantes de postgrado presentar sus trabajos en ambientes pedagógicos, para efectos de simular presentaciones o participaciones en eventos académicos profesionales</v>
          </cell>
          <cell r="D91" t="str">
            <v>01-11</v>
          </cell>
          <cell r="E91" t="str">
            <v>06-11</v>
          </cell>
          <cell r="F91" t="str">
            <v>DIR DEPTO</v>
          </cell>
          <cell r="G91" t="str">
            <v>COOR DEPTO</v>
          </cell>
          <cell r="H91" t="e">
            <v>#REF!</v>
          </cell>
          <cell r="I91" t="str">
            <v>REVISION DOCUMENTO</v>
          </cell>
          <cell r="J91" t="str">
            <v># DOCUMENTOS</v>
          </cell>
          <cell r="K91" t="str">
            <v>1 DOCUMENTO AL AÑO</v>
          </cell>
        </row>
        <row r="92">
          <cell r="A92" t="str">
            <v>7.2.1</v>
          </cell>
          <cell r="B92" t="str">
            <v>3.5.5</v>
          </cell>
          <cell r="C92" t="str">
            <v>Acción 5: Aumentar la organización de eventos académicos por parte del Departamento de Psicología</v>
          </cell>
          <cell r="D92" t="str">
            <v>01-11</v>
          </cell>
          <cell r="E92" t="str">
            <v>06-11</v>
          </cell>
          <cell r="F92" t="str">
            <v>DIR DEPTO</v>
          </cell>
          <cell r="G92" t="str">
            <v>COOR DEPTO</v>
          </cell>
          <cell r="H92" t="e">
            <v>#REF!</v>
          </cell>
          <cell r="I92" t="str">
            <v>REVISION DOCUMENTO</v>
          </cell>
          <cell r="J92" t="str">
            <v># DOCUMENTOS</v>
          </cell>
          <cell r="K92" t="str">
            <v>1 DOCUMENTO AL AÑO</v>
          </cell>
        </row>
        <row r="93">
          <cell r="A93" t="str">
            <v>5.3</v>
          </cell>
          <cell r="B93">
            <v>4</v>
          </cell>
          <cell r="C93" t="str">
            <v>Objetivo 4: FORTALECER LA VISIBILIDAD DE LA PRODUCCIÓN ACADÉMICA  Y LOS NEXOS CON REDES  A NIVEL NACIONAL E INTERNACIONAL</v>
          </cell>
          <cell r="D93">
            <v>0</v>
          </cell>
          <cell r="E93">
            <v>0</v>
          </cell>
          <cell r="F93">
            <v>0</v>
          </cell>
          <cell r="G93">
            <v>0</v>
          </cell>
          <cell r="H93" t="e">
            <v>#REF!</v>
          </cell>
          <cell r="I93">
            <v>0</v>
          </cell>
          <cell r="J93">
            <v>0</v>
          </cell>
          <cell r="K93">
            <v>0</v>
          </cell>
        </row>
        <row r="94">
          <cell r="A94" t="str">
            <v>Eliminado</v>
          </cell>
          <cell r="B94">
            <v>4.0999999999999996</v>
          </cell>
          <cell r="C94" t="str">
            <v>Subobjetivo 3: Proveer a los estudiantes doctorales y a los grupos de investigación la infraestructura necesaria  para actividades de investigación</v>
          </cell>
          <cell r="D94">
            <v>0</v>
          </cell>
          <cell r="E94">
            <v>0</v>
          </cell>
          <cell r="F94" t="str">
            <v>YA CONSIDERADO</v>
          </cell>
          <cell r="G94">
            <v>0</v>
          </cell>
          <cell r="H94">
            <v>0</v>
          </cell>
          <cell r="I94">
            <v>0</v>
          </cell>
          <cell r="J94">
            <v>0</v>
          </cell>
          <cell r="K94">
            <v>0</v>
          </cell>
        </row>
        <row r="95">
          <cell r="A95">
            <v>0</v>
          </cell>
          <cell r="B95" t="str">
            <v>4.1.1</v>
          </cell>
          <cell r="C95" t="str">
            <v>Acción 1: Coordinar con la Decanatura la ampliación y dotación adicional del Laboratorio de Psicología, en lo referente a infraestructura física, tecnológica y psicométrica</v>
          </cell>
          <cell r="D95">
            <v>0</v>
          </cell>
          <cell r="E95">
            <v>0</v>
          </cell>
          <cell r="F95">
            <v>0</v>
          </cell>
          <cell r="G95">
            <v>0</v>
          </cell>
          <cell r="H95">
            <v>0</v>
          </cell>
          <cell r="I95">
            <v>0</v>
          </cell>
          <cell r="J95">
            <v>0</v>
          </cell>
          <cell r="K95">
            <v>0</v>
          </cell>
        </row>
        <row r="96">
          <cell r="A96">
            <v>0</v>
          </cell>
          <cell r="B96" t="str">
            <v>4.1.2</v>
          </cell>
          <cell r="C96" t="str">
            <v>Acción 2: Gestionar ante la Decanatura y la Oficina de Gestión Humana, la vinculación de un auxiliar para el Laboratorio de Neurociencias</v>
          </cell>
          <cell r="D96">
            <v>0</v>
          </cell>
          <cell r="E96">
            <v>0</v>
          </cell>
          <cell r="F96">
            <v>0</v>
          </cell>
          <cell r="G96">
            <v>0</v>
          </cell>
          <cell r="H96">
            <v>0</v>
          </cell>
          <cell r="I96">
            <v>0</v>
          </cell>
          <cell r="J96">
            <v>0</v>
          </cell>
          <cell r="K96">
            <v>0</v>
          </cell>
        </row>
        <row r="97">
          <cell r="A97">
            <v>0</v>
          </cell>
          <cell r="B97" t="str">
            <v>4.1.3</v>
          </cell>
          <cell r="C97" t="str">
            <v>Acción 3: Adelantar, en coordinación con la Oficina de Planta Física, la remodelación del Laboratorio de Neurociencias, para efectos de apoyo a actividades investigativas actuale</v>
          </cell>
          <cell r="D97">
            <v>0</v>
          </cell>
          <cell r="E97">
            <v>0</v>
          </cell>
          <cell r="F97">
            <v>0</v>
          </cell>
          <cell r="G97">
            <v>0</v>
          </cell>
          <cell r="H97">
            <v>0</v>
          </cell>
          <cell r="I97">
            <v>0</v>
          </cell>
          <cell r="J97">
            <v>0</v>
          </cell>
          <cell r="K97">
            <v>0</v>
          </cell>
        </row>
        <row r="98">
          <cell r="A98">
            <v>0</v>
          </cell>
          <cell r="B98" t="str">
            <v>4.1.4</v>
          </cell>
          <cell r="C98" t="str">
            <v>Acción 4: Gestionar ante la Decanatura la dotación de puestos de trabajo adicionales para asistentes graduados y asistentes de docencia</v>
          </cell>
          <cell r="D98">
            <v>0</v>
          </cell>
          <cell r="E98">
            <v>0</v>
          </cell>
          <cell r="F98">
            <v>0</v>
          </cell>
          <cell r="G98">
            <v>0</v>
          </cell>
          <cell r="H98">
            <v>0</v>
          </cell>
          <cell r="I98">
            <v>0</v>
          </cell>
          <cell r="J98">
            <v>0</v>
          </cell>
          <cell r="K98">
            <v>0</v>
          </cell>
        </row>
        <row r="99">
          <cell r="A99">
            <v>0</v>
          </cell>
          <cell r="B99" t="str">
            <v>4.1.5</v>
          </cell>
          <cell r="C99" t="str">
            <v>Acción 5: Diseñar un sistema de evaluación y monitoreo constante de la adecuación de los recursos psicométricos y de software del Laboratorio de Psicología</v>
          </cell>
          <cell r="D99">
            <v>0</v>
          </cell>
          <cell r="E99">
            <v>0</v>
          </cell>
          <cell r="F99">
            <v>0</v>
          </cell>
          <cell r="G99">
            <v>0</v>
          </cell>
          <cell r="H99">
            <v>0</v>
          </cell>
          <cell r="I99">
            <v>0</v>
          </cell>
          <cell r="J99">
            <v>0</v>
          </cell>
          <cell r="K99">
            <v>0</v>
          </cell>
        </row>
        <row r="100">
          <cell r="A100" t="str">
            <v>5.2</v>
          </cell>
          <cell r="B100">
            <v>4.2</v>
          </cell>
          <cell r="C100" t="str">
            <v>Subobjetivo 2: Incrementar los productos de investigación</v>
          </cell>
          <cell r="D100">
            <v>0</v>
          </cell>
          <cell r="E100">
            <v>0</v>
          </cell>
          <cell r="F100">
            <v>0</v>
          </cell>
          <cell r="G100">
            <v>0</v>
          </cell>
          <cell r="H100">
            <v>0</v>
          </cell>
          <cell r="I100">
            <v>0</v>
          </cell>
          <cell r="J100">
            <v>0</v>
          </cell>
          <cell r="K100">
            <v>0</v>
          </cell>
        </row>
        <row r="101">
          <cell r="A101" t="str">
            <v>5.2.1</v>
          </cell>
          <cell r="B101" t="str">
            <v>4.2.1</v>
          </cell>
          <cell r="C101" t="str">
            <v>Acción 1: Discutir referentes relevantes de productividad académica a nivel local, nacional e internacional</v>
          </cell>
          <cell r="D101" t="str">
            <v>01-11</v>
          </cell>
          <cell r="E101" t="str">
            <v>06-11</v>
          </cell>
          <cell r="F101" t="str">
            <v>DIR DEPTO</v>
          </cell>
          <cell r="G101" t="str">
            <v>COOR DEPTO</v>
          </cell>
          <cell r="H101" t="e">
            <v>#REF!</v>
          </cell>
          <cell r="I101" t="str">
            <v>REVISION DOCUMENTO</v>
          </cell>
          <cell r="J101" t="str">
            <v># DOCUMENTOS</v>
          </cell>
          <cell r="K101" t="str">
            <v>1 DOCUMENTO AL AÑO</v>
          </cell>
        </row>
        <row r="102">
          <cell r="A102" t="str">
            <v>5.2.1</v>
          </cell>
          <cell r="B102" t="str">
            <v>4.2.2</v>
          </cell>
          <cell r="C102" t="str">
            <v>Acción 2: Definir tipos de productos de actividades investigativas consistentes con los diferentes grupos de investigación</v>
          </cell>
          <cell r="D102" t="str">
            <v>01-11</v>
          </cell>
          <cell r="E102" t="str">
            <v>06-11</v>
          </cell>
          <cell r="F102" t="str">
            <v>DIR DEPTO</v>
          </cell>
          <cell r="G102" t="str">
            <v>COOR DEPTO</v>
          </cell>
          <cell r="H102" t="e">
            <v>#REF!</v>
          </cell>
          <cell r="I102" t="str">
            <v>REVISION DOCUMENTO</v>
          </cell>
          <cell r="J102" t="str">
            <v># DOCUMENTOS</v>
          </cell>
          <cell r="K102" t="str">
            <v>1 DOCUMENTO AL AÑO</v>
          </cell>
        </row>
        <row r="103">
          <cell r="A103" t="str">
            <v>5.2.1</v>
          </cell>
          <cell r="B103" t="str">
            <v>4.2.3</v>
          </cell>
          <cell r="C103" t="str">
            <v>Acción 3: Establecer estándares mínimos de desempeño en investigación</v>
          </cell>
          <cell r="D103" t="str">
            <v>01-11</v>
          </cell>
          <cell r="E103" t="str">
            <v>06-11</v>
          </cell>
          <cell r="F103" t="str">
            <v>DIR DEPTO</v>
          </cell>
          <cell r="G103" t="str">
            <v>COOR DEPTO</v>
          </cell>
          <cell r="H103" t="e">
            <v>#REF!</v>
          </cell>
          <cell r="I103" t="str">
            <v>REVISION DOCUMENTO</v>
          </cell>
          <cell r="J103" t="str">
            <v># DOCUMENTOS</v>
          </cell>
          <cell r="K103" t="str">
            <v>1 DOCUMENTO AL AÑO</v>
          </cell>
        </row>
        <row r="104">
          <cell r="A104" t="str">
            <v>5.2.1</v>
          </cell>
          <cell r="B104" t="str">
            <v>4.2.4</v>
          </cell>
          <cell r="C104" t="str">
            <v>Acción 4: Establecer un sistema de seguimiento de la producción académica de los grupos y profesores del Departamento</v>
          </cell>
          <cell r="D104" t="str">
            <v>01-11</v>
          </cell>
          <cell r="E104" t="str">
            <v>06-11</v>
          </cell>
          <cell r="F104" t="str">
            <v>DIR DEPTO</v>
          </cell>
          <cell r="G104" t="str">
            <v>COOR DEPTO</v>
          </cell>
          <cell r="H104" t="e">
            <v>#REF!</v>
          </cell>
          <cell r="I104" t="str">
            <v>REVISION BASE DE DATOS</v>
          </cell>
          <cell r="J104" t="str">
            <v># DOCUMENTOS</v>
          </cell>
          <cell r="K104" t="str">
            <v>1 DOCUMENTO AL AÑO</v>
          </cell>
        </row>
        <row r="105">
          <cell r="A105" t="str">
            <v>5.2.3</v>
          </cell>
          <cell r="B105" t="str">
            <v>4.2.5</v>
          </cell>
          <cell r="C105" t="str">
            <v>Acción 5: Establecer políticas de apoyo a traducciones de artículos escritos por profesores o estudiantes doctorales del Departamento</v>
          </cell>
          <cell r="D105" t="str">
            <v>01-11</v>
          </cell>
          <cell r="E105" t="str">
            <v>06-11</v>
          </cell>
          <cell r="F105" t="str">
            <v>DIR DEPTO</v>
          </cell>
          <cell r="G105" t="str">
            <v>COOR DEPTO</v>
          </cell>
          <cell r="H105" t="e">
            <v>#REF!</v>
          </cell>
          <cell r="I105" t="str">
            <v>REVISION DOCUMENTO</v>
          </cell>
          <cell r="J105" t="str">
            <v># REPORTES BD</v>
          </cell>
          <cell r="K105" t="str">
            <v>1 REPORTE AL AÑO</v>
          </cell>
        </row>
        <row r="106">
          <cell r="A106" t="str">
            <v>5.2.3</v>
          </cell>
          <cell r="B106" t="str">
            <v>4.2.6</v>
          </cell>
          <cell r="C106" t="str">
            <v>Acción 5: Establecer políticas y procedimientos para apoyo a labores de edición y corrección de estilo de artículos escritos por profesores o estudiantes doctorales del Departamento</v>
          </cell>
          <cell r="D106" t="str">
            <v>01-11</v>
          </cell>
          <cell r="E106" t="str">
            <v>06-11</v>
          </cell>
          <cell r="F106" t="str">
            <v>DIR DEPTO</v>
          </cell>
          <cell r="G106" t="str">
            <v>COOR DEPTO</v>
          </cell>
          <cell r="H106" t="e">
            <v>#REF!</v>
          </cell>
          <cell r="I106" t="str">
            <v>REVISION DOCUMENTO</v>
          </cell>
          <cell r="J106" t="str">
            <v># DOCUMENTOS</v>
          </cell>
          <cell r="K106" t="str">
            <v>1 DOCUMENTO AL AÑO</v>
          </cell>
        </row>
        <row r="107">
          <cell r="A107" t="str">
            <v>5.2.4</v>
          </cell>
          <cell r="B107" t="str">
            <v>4.2.7</v>
          </cell>
          <cell r="C107" t="str">
            <v>Acción 5: En coordinación con la Decanatura, definir incentivos económicos o políticas de asignación académica que faciliten la publicación en revistas indexadas internacionales</v>
          </cell>
          <cell r="D107" t="str">
            <v>01-11</v>
          </cell>
          <cell r="E107" t="str">
            <v>06-11</v>
          </cell>
          <cell r="F107" t="str">
            <v>DIR DEPTO</v>
          </cell>
          <cell r="G107" t="str">
            <v>COOR DEPTO</v>
          </cell>
          <cell r="H107" t="e">
            <v>#REF!</v>
          </cell>
          <cell r="I107" t="str">
            <v>REVISION DOCUMENTO</v>
          </cell>
          <cell r="J107" t="str">
            <v># DOCUMENTOS</v>
          </cell>
          <cell r="K107" t="str">
            <v>1 DOCUMENTO AL AÑO</v>
          </cell>
        </row>
        <row r="108">
          <cell r="A108" t="str">
            <v>5.3</v>
          </cell>
          <cell r="B108">
            <v>4.3</v>
          </cell>
          <cell r="C108" t="str">
            <v xml:space="preserve">Subobjetivo 3: Asegurar la difusión de la producción académica del Departamento en sectores estratégicos </v>
          </cell>
          <cell r="D108">
            <v>0</v>
          </cell>
          <cell r="E108">
            <v>0</v>
          </cell>
          <cell r="F108">
            <v>0</v>
          </cell>
          <cell r="G108">
            <v>0</v>
          </cell>
          <cell r="H108">
            <v>0</v>
          </cell>
          <cell r="I108">
            <v>0</v>
          </cell>
          <cell r="J108">
            <v>0</v>
          </cell>
          <cell r="K108">
            <v>0</v>
          </cell>
        </row>
        <row r="109">
          <cell r="A109" t="str">
            <v>5.3.2</v>
          </cell>
          <cell r="B109" t="str">
            <v>4.3.1</v>
          </cell>
          <cell r="C109" t="str">
            <v>Acción 1: Construir una base de datos con stakeholders o audiencias de interés para cada uno de los grupos de investigación</v>
          </cell>
          <cell r="D109" t="str">
            <v>06-12</v>
          </cell>
          <cell r="E109" t="str">
            <v>12-12</v>
          </cell>
          <cell r="F109" t="str">
            <v>DIR POSGRADOS</v>
          </cell>
          <cell r="G109" t="str">
            <v>COOR POSGRADOS</v>
          </cell>
          <cell r="H109" t="e">
            <v>#REF!</v>
          </cell>
          <cell r="I109" t="str">
            <v>REVISION DOCUMENTO</v>
          </cell>
          <cell r="J109" t="str">
            <v># DOCUMENTOS</v>
          </cell>
          <cell r="K109" t="str">
            <v>1 DOCUMENTO AL AÑO</v>
          </cell>
        </row>
        <row r="110">
          <cell r="A110" t="str">
            <v>5.3.1</v>
          </cell>
          <cell r="B110" t="str">
            <v>4.3.2</v>
          </cell>
          <cell r="C110" t="str">
            <v>Acción 2: Distribuir un boletín electrónico del Departamento que contenga información sobre desarrollos y avances de los grupos de investigación o del Departamento como unidad académica</v>
          </cell>
          <cell r="D110" t="str">
            <v>06-12</v>
          </cell>
          <cell r="E110" t="str">
            <v>12-12</v>
          </cell>
          <cell r="F110" t="str">
            <v>DIR POSGRADOS</v>
          </cell>
          <cell r="G110" t="str">
            <v>COOR POSGRADOS</v>
          </cell>
          <cell r="H110" t="e">
            <v>#REF!</v>
          </cell>
          <cell r="I110" t="str">
            <v>REVISION DOCUMENTO</v>
          </cell>
          <cell r="J110" t="str">
            <v># DOCUMENTOS</v>
          </cell>
          <cell r="K110" t="str">
            <v>1 DOCUMENTO AL AÑO</v>
          </cell>
        </row>
        <row r="111">
          <cell r="A111" t="str">
            <v>5.3.2</v>
          </cell>
          <cell r="B111" t="str">
            <v>4.3.3</v>
          </cell>
          <cell r="C111" t="str">
            <v>Acción 3: Llevar a cabo reuniones programadas y periódicas con audiencias de interés, con el propósito de sondear intereses y socializar desarrollos</v>
          </cell>
          <cell r="D111" t="str">
            <v>06-12</v>
          </cell>
          <cell r="E111" t="str">
            <v>12-12</v>
          </cell>
          <cell r="F111" t="str">
            <v>DIR POSGRADOS</v>
          </cell>
          <cell r="G111" t="str">
            <v>COOR POSGRADOS</v>
          </cell>
          <cell r="H111" t="e">
            <v>#REF!</v>
          </cell>
          <cell r="I111" t="str">
            <v>REVISION DOCUMENTO</v>
          </cell>
          <cell r="J111" t="str">
            <v># DOCUMENTOS</v>
          </cell>
          <cell r="K111" t="str">
            <v>1 DOCUMENTO AL AÑO</v>
          </cell>
        </row>
        <row r="112">
          <cell r="A112" t="str">
            <v>3.2</v>
          </cell>
          <cell r="B112">
            <v>4.4000000000000004</v>
          </cell>
          <cell r="C112" t="str">
            <v>Subobjetivo 4: Incrementar la movilidad de profesores en diversas modalidades de intercambio</v>
          </cell>
          <cell r="D112">
            <v>0</v>
          </cell>
          <cell r="E112">
            <v>0</v>
          </cell>
          <cell r="F112">
            <v>0</v>
          </cell>
          <cell r="G112">
            <v>0</v>
          </cell>
          <cell r="H112">
            <v>0</v>
          </cell>
          <cell r="I112">
            <v>0</v>
          </cell>
          <cell r="J112">
            <v>0</v>
          </cell>
          <cell r="K112">
            <v>0</v>
          </cell>
        </row>
        <row r="113">
          <cell r="A113" t="str">
            <v>3.2.1</v>
          </cell>
          <cell r="B113" t="str">
            <v>4.4.1</v>
          </cell>
          <cell r="C113" t="str">
            <v>Acción 1: Definir diversas modalidades de movilidad de profesores de Uniandes hacia el exterior, y de movilidad de profesores del exterior hacia Uniandes</v>
          </cell>
          <cell r="D113" t="str">
            <v>01-11</v>
          </cell>
          <cell r="E113" t="str">
            <v>06-11</v>
          </cell>
          <cell r="F113" t="str">
            <v>DIR DEPTO</v>
          </cell>
          <cell r="G113" t="str">
            <v>COOR DEPTO</v>
          </cell>
          <cell r="H113" t="e">
            <v>#REF!</v>
          </cell>
          <cell r="I113" t="str">
            <v>REVISION DOCUMENTO</v>
          </cell>
          <cell r="J113" t="str">
            <v># PROFESORES EN MOVILIDAD</v>
          </cell>
          <cell r="K113" t="str">
            <v>4 PROFESORES AL AÑO</v>
          </cell>
        </row>
        <row r="114">
          <cell r="A114" t="str">
            <v>3.2.2</v>
          </cell>
          <cell r="B114" t="str">
            <v>4.4.2</v>
          </cell>
          <cell r="C114" t="str">
            <v>Acción 2: Establecer políticas de apoyo financiero</v>
          </cell>
          <cell r="D114" t="str">
            <v>01-11</v>
          </cell>
          <cell r="E114" t="str">
            <v>06-11</v>
          </cell>
          <cell r="F114" t="str">
            <v>DIR DEPTO</v>
          </cell>
          <cell r="G114" t="str">
            <v>COOR DEPTO</v>
          </cell>
          <cell r="H114" t="e">
            <v>#REF!</v>
          </cell>
          <cell r="I114" t="str">
            <v>REVISION DOCUMENTO</v>
          </cell>
          <cell r="J114" t="str">
            <v># DOCUMENTOS</v>
          </cell>
          <cell r="K114" t="str">
            <v>1 DOCUMENTO AL AÑO</v>
          </cell>
        </row>
        <row r="115">
          <cell r="A115" t="str">
            <v>3.2.3</v>
          </cell>
          <cell r="B115" t="str">
            <v>4.4.3</v>
          </cell>
          <cell r="C115" t="str">
            <v>Acción 3: Hacer uso de convenios existentes y promover el establecimiento de nuevos</v>
          </cell>
          <cell r="D115" t="str">
            <v>01-11</v>
          </cell>
          <cell r="E115" t="str">
            <v>06-11</v>
          </cell>
          <cell r="F115" t="str">
            <v>DIR DEPTO</v>
          </cell>
          <cell r="G115" t="str">
            <v>COOR DEPTO</v>
          </cell>
          <cell r="H115" t="e">
            <v>#REF!</v>
          </cell>
          <cell r="I115" t="str">
            <v>REVISION DOCUMENTO</v>
          </cell>
          <cell r="J115" t="str">
            <v># DOCUMENTOS</v>
          </cell>
          <cell r="K115" t="str">
            <v>1 DOCUMENTO AL AÑO</v>
          </cell>
        </row>
      </sheetData>
      <sheetData sheetId="6"/>
      <sheetData sheetId="7">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t="str">
            <v>1 / 1.2</v>
          </cell>
          <cell r="B5">
            <v>1</v>
          </cell>
          <cell r="C5" t="str">
            <v>Objetivo 1 • FORTALECER Y CONSOLIDAR ACADÉMICAMENTE LOS PROGRAMAS DEL DEPARTAMENTO Y FAVORECER EL TRABAJO INTERDISCIPLINARIO ENTRE LAS ÁREAS</v>
          </cell>
          <cell r="D5">
            <v>0</v>
          </cell>
          <cell r="E5">
            <v>0</v>
          </cell>
          <cell r="F5">
            <v>0</v>
          </cell>
          <cell r="G5">
            <v>0</v>
          </cell>
          <cell r="H5" t="e">
            <v>#REF!</v>
          </cell>
          <cell r="I5">
            <v>0</v>
          </cell>
          <cell r="J5">
            <v>0</v>
          </cell>
          <cell r="K5">
            <v>0</v>
          </cell>
        </row>
        <row r="6">
          <cell r="A6" t="str">
            <v>1.1. / 1.2.1</v>
          </cell>
          <cell r="B6" t="str">
            <v>1.1</v>
          </cell>
          <cell r="C6" t="str">
            <v>Subobjetivo 1 • REVISAR Y EVALUAR LOS PROGRAMAS DEL DEPARTAMENTO EN LAS DIFERENTES ÁREAS. ESTABLECER EL INTERCAMBIO ACADÉMICO ENTRE LOS/LAS PROFESORES/AS DE LAS ÁREAS EN EL CONTEXTO DE LA  CONCEPCIÓN DEL LENGUAJE QUE  ORIENTA AL DEPARTAMENTO</v>
          </cell>
          <cell r="D6">
            <v>0</v>
          </cell>
          <cell r="E6">
            <v>0</v>
          </cell>
          <cell r="F6">
            <v>0</v>
          </cell>
          <cell r="G6">
            <v>0</v>
          </cell>
          <cell r="H6" t="e">
            <v>#REF!</v>
          </cell>
          <cell r="I6">
            <v>0</v>
          </cell>
          <cell r="J6">
            <v>0</v>
          </cell>
          <cell r="K6">
            <v>0</v>
          </cell>
        </row>
        <row r="7">
          <cell r="A7" t="str">
            <v>1.1.1</v>
          </cell>
          <cell r="B7" t="str">
            <v>1.1.1</v>
          </cell>
          <cell r="C7" t="str">
            <v>Acción 1 Análisis y evaluación de las perspectivas epistemológicas sobre el lenguaje en las distintas áreas. Habrá un profesor o profesora coordinador en cada una de las dos grandes áreas –Estudios Culturales y área de lenguas</v>
          </cell>
          <cell r="D7" t="str">
            <v>01-11</v>
          </cell>
          <cell r="E7" t="str">
            <v>12-11</v>
          </cell>
          <cell r="F7" t="str">
            <v>DIR DEPTO</v>
          </cell>
          <cell r="G7" t="str">
            <v>DIR POSGRADO</v>
          </cell>
          <cell r="H7" t="e">
            <v>#REF!</v>
          </cell>
          <cell r="I7" t="str">
            <v>REVISION CONCEPTO</v>
          </cell>
          <cell r="J7" t="str">
            <v># DOCUMENTO</v>
          </cell>
          <cell r="K7" t="str">
            <v>1 DOCUMENTO AL AÑO</v>
          </cell>
        </row>
        <row r="8">
          <cell r="A8" t="str">
            <v>1.2.2</v>
          </cell>
          <cell r="B8" t="str">
            <v>1.1.2</v>
          </cell>
          <cell r="C8" t="str">
            <v>Acción 2 • Realizar presentaciones de las distintas áreas para mantener el intercambio académico entre los /las profesores/as y favorecer el proceso de integración y el trabajo interdisciplinario, así como permitir la evaluación de los programas en el contexto de la visión del lenguaje que orienta al Departamento</v>
          </cell>
          <cell r="D8" t="str">
            <v>01-12</v>
          </cell>
          <cell r="E8" t="str">
            <v>12-12</v>
          </cell>
          <cell r="F8" t="str">
            <v>DIR DEPTO</v>
          </cell>
          <cell r="G8" t="str">
            <v>DIR POSGRADO</v>
          </cell>
          <cell r="H8" t="e">
            <v>#REF!</v>
          </cell>
          <cell r="I8" t="str">
            <v>PRESENTACION AREAS</v>
          </cell>
          <cell r="J8" t="str">
            <v># PRESENTAC</v>
          </cell>
          <cell r="K8" t="str">
            <v>4 PRESENTACIO AL AÑO</v>
          </cell>
        </row>
        <row r="9">
          <cell r="A9" t="str">
            <v>1.2.3</v>
          </cell>
          <cell r="B9" t="str">
            <v>1.1.3</v>
          </cell>
          <cell r="C9" t="str">
            <v xml:space="preserve">Acción 3 • Realización de seminarios inter-áreas: </v>
          </cell>
          <cell r="D9" t="str">
            <v>01-13</v>
          </cell>
          <cell r="E9" t="str">
            <v>12-13</v>
          </cell>
          <cell r="F9" t="str">
            <v>DIR DEPTO</v>
          </cell>
          <cell r="G9" t="str">
            <v>DIR POSGRADO</v>
          </cell>
          <cell r="H9" t="e">
            <v>#REF!</v>
          </cell>
          <cell r="I9" t="str">
            <v>PROGRAMACION SEMINARIOS</v>
          </cell>
          <cell r="J9" t="str">
            <v># SEMINARIOS</v>
          </cell>
          <cell r="K9" t="str">
            <v>2 SEMINARIOS AL AÑO</v>
          </cell>
        </row>
        <row r="10">
          <cell r="A10" t="str">
            <v>2.1.1</v>
          </cell>
          <cell r="B10">
            <v>1.2</v>
          </cell>
          <cell r="C10" t="str">
            <v>Subobjetivo 2 Establecer  el nivel de doctorado para todos los profesores en el área de lenguas</v>
          </cell>
          <cell r="D10">
            <v>0</v>
          </cell>
          <cell r="E10">
            <v>0</v>
          </cell>
          <cell r="F10">
            <v>0</v>
          </cell>
          <cell r="G10">
            <v>0</v>
          </cell>
          <cell r="H10" t="e">
            <v>#REF!</v>
          </cell>
          <cell r="I10">
            <v>0</v>
          </cell>
          <cell r="J10">
            <v>0</v>
          </cell>
          <cell r="K10">
            <v>0</v>
          </cell>
        </row>
        <row r="11">
          <cell r="A11" t="str">
            <v>1.3</v>
          </cell>
          <cell r="B11" t="str">
            <v>1.2.1</v>
          </cell>
          <cell r="C11" t="str">
            <v xml:space="preserve">Acción 1 • Crear la Maestría en Pedagogía de Lenguas extranjeras </v>
          </cell>
          <cell r="D11" t="str">
            <v>01-11</v>
          </cell>
          <cell r="E11" t="str">
            <v>12-12</v>
          </cell>
          <cell r="F11" t="str">
            <v>DIR DEPTO</v>
          </cell>
          <cell r="G11" t="str">
            <v>DIR POSGRADO</v>
          </cell>
          <cell r="H11" t="e">
            <v>#REF!</v>
          </cell>
          <cell r="I11" t="str">
            <v>PROPUESTA MAESTRIA</v>
          </cell>
          <cell r="J11" t="str">
            <v>MAESTRIA APROBADA</v>
          </cell>
          <cell r="K11" t="str">
            <v>MAESTRIA APROBADA</v>
          </cell>
        </row>
        <row r="12">
          <cell r="A12" t="str">
            <v>1.4.3</v>
          </cell>
          <cell r="B12" t="str">
            <v>1.2.2</v>
          </cell>
          <cell r="C12" t="str">
            <v xml:space="preserve">Acción 2 • Redefinir el programa de  pedagogía  de lenguas extranjeras a partir de la interculturalidad y de la traducción de culturas.  </v>
          </cell>
          <cell r="D12" t="str">
            <v>01-11</v>
          </cell>
          <cell r="E12" t="str">
            <v>12-12</v>
          </cell>
          <cell r="F12" t="str">
            <v>DIR DEPTO</v>
          </cell>
          <cell r="G12" t="str">
            <v>DIR POSGRADO</v>
          </cell>
          <cell r="H12" t="e">
            <v>#REF!</v>
          </cell>
          <cell r="I12">
            <v>0</v>
          </cell>
          <cell r="J12">
            <v>0</v>
          </cell>
          <cell r="K12">
            <v>0</v>
          </cell>
        </row>
        <row r="13">
          <cell r="A13" t="str">
            <v>1.4.1</v>
          </cell>
          <cell r="B13" t="str">
            <v>1.2.3</v>
          </cell>
          <cell r="C13" t="str">
            <v>Acción 3 • Crear el área de español como opción de la concentración en pedagogía. Pedagogía de la lectura y la escritura en español</v>
          </cell>
          <cell r="D13" t="str">
            <v>01-11</v>
          </cell>
          <cell r="E13" t="str">
            <v>12-12</v>
          </cell>
          <cell r="F13" t="str">
            <v>DIR DEPTO</v>
          </cell>
          <cell r="G13" t="str">
            <v>DIR POSGRADO</v>
          </cell>
          <cell r="H13" t="e">
            <v>#REF!</v>
          </cell>
          <cell r="I13" t="str">
            <v>PROPUESTA OPCION</v>
          </cell>
          <cell r="J13" t="str">
            <v>PROPUESTA OPCION</v>
          </cell>
          <cell r="K13" t="str">
            <v>PROPUESTA OPCION</v>
          </cell>
        </row>
        <row r="14">
          <cell r="A14" t="str">
            <v>1.4.2</v>
          </cell>
          <cell r="B14" t="str">
            <v>1.2.4</v>
          </cell>
          <cell r="C14" t="str">
            <v>Acción 4 • Crear y desarrollar el área  de estudios sobre el lenguaje con los profesores que regresan del doctorado</v>
          </cell>
          <cell r="D14" t="str">
            <v>01-11</v>
          </cell>
          <cell r="E14" t="str">
            <v>12-12</v>
          </cell>
          <cell r="F14" t="str">
            <v>DIR DEPTO</v>
          </cell>
          <cell r="G14" t="str">
            <v>DIR POSGRADO</v>
          </cell>
          <cell r="H14" t="e">
            <v>#REF!</v>
          </cell>
          <cell r="I14" t="str">
            <v>PROPUESTA AREA</v>
          </cell>
          <cell r="J14" t="str">
            <v>PROPUESTA AREA</v>
          </cell>
          <cell r="K14" t="str">
            <v>PROPUESTA AREA</v>
          </cell>
        </row>
        <row r="15">
          <cell r="A15">
            <v>3</v>
          </cell>
          <cell r="B15">
            <v>2</v>
          </cell>
          <cell r="C15" t="str">
            <v>Objetivo 2 • FAVORECER LA INVESTIGACIÓN  CONJUNTA Y ESPECÍFICA EN LAS DISTINTAS ÁREAS, Y LAS PUBLICACIONES</v>
          </cell>
          <cell r="D15">
            <v>0</v>
          </cell>
          <cell r="E15">
            <v>0</v>
          </cell>
          <cell r="F15">
            <v>0</v>
          </cell>
          <cell r="G15">
            <v>0</v>
          </cell>
          <cell r="H15" t="e">
            <v>#REF!</v>
          </cell>
          <cell r="I15">
            <v>0</v>
          </cell>
          <cell r="J15">
            <v>0</v>
          </cell>
          <cell r="K15">
            <v>0</v>
          </cell>
        </row>
        <row r="16">
          <cell r="A16" t="str">
            <v>3.1</v>
          </cell>
          <cell r="B16">
            <v>2.1</v>
          </cell>
          <cell r="C16" t="str">
            <v>Subobjetivo 1 CREAR UNA CULTURA Y UNAS POLÍTICAS DE INVESTIGACIÓN QUE INCLUYA A LOS/LAS PROFESORAS DE LAS ÁREAS DE LENGUAS</v>
          </cell>
          <cell r="D16">
            <v>0</v>
          </cell>
          <cell r="E16">
            <v>0</v>
          </cell>
          <cell r="F16">
            <v>0</v>
          </cell>
          <cell r="G16">
            <v>0</v>
          </cell>
          <cell r="H16" t="e">
            <v>#REF!</v>
          </cell>
          <cell r="I16">
            <v>0</v>
          </cell>
          <cell r="J16">
            <v>0</v>
          </cell>
          <cell r="K16">
            <v>0</v>
          </cell>
        </row>
        <row r="17">
          <cell r="A17" t="str">
            <v>3.1.1</v>
          </cell>
          <cell r="B17" t="str">
            <v>2.1.1</v>
          </cell>
          <cell r="C17" t="str">
            <v>Acción 1 • Crear grupos de investigación en el área de estudios sobre el lenguaje y en el área de pedagogía de lenguas extranjeras y buscar su homologación por parte de Colciencias en  la máxima categoría posible</v>
          </cell>
          <cell r="D17" t="str">
            <v>01-12</v>
          </cell>
          <cell r="E17" t="str">
            <v>12-13</v>
          </cell>
          <cell r="F17" t="str">
            <v>DIR DEPTO</v>
          </cell>
          <cell r="G17" t="str">
            <v>DIR POSGRADO</v>
          </cell>
          <cell r="H17" t="e">
            <v>#REF!</v>
          </cell>
          <cell r="I17" t="str">
            <v>INVENTARIO AREA</v>
          </cell>
          <cell r="J17" t="str">
            <v># GRUPOS</v>
          </cell>
          <cell r="K17" t="str">
            <v>2 GRUPOS CREADOS</v>
          </cell>
        </row>
        <row r="18">
          <cell r="A18" t="str">
            <v>2.1.2</v>
          </cell>
          <cell r="B18" t="str">
            <v>2.1.2</v>
          </cell>
          <cell r="C18" t="str">
            <v>Acción 2 • Aumentar la planta profesoral y ajustar la carga académica al promedio de la Facultad</v>
          </cell>
          <cell r="D18" t="str">
            <v>01-12</v>
          </cell>
          <cell r="E18" t="str">
            <v>12-13</v>
          </cell>
          <cell r="F18" t="str">
            <v>DIR DEPTO</v>
          </cell>
          <cell r="G18" t="str">
            <v>DIR POSGRADO</v>
          </cell>
          <cell r="H18" t="e">
            <v>#REF!</v>
          </cell>
          <cell r="I18" t="str">
            <v>ANALISIS # PROFESORES</v>
          </cell>
          <cell r="J18" t="str">
            <v># PROFESORES</v>
          </cell>
          <cell r="K18">
            <v>0</v>
          </cell>
        </row>
        <row r="19">
          <cell r="A19" t="str">
            <v>3.1.2</v>
          </cell>
          <cell r="B19" t="str">
            <v>2.1.3</v>
          </cell>
          <cell r="C19" t="str">
            <v>Acción 3 • Integrar a los profesores de cátedra en los proyectos de investigación</v>
          </cell>
          <cell r="D19" t="str">
            <v>01-12</v>
          </cell>
          <cell r="E19" t="str">
            <v>12-13</v>
          </cell>
          <cell r="F19" t="str">
            <v>DIR DEPTO</v>
          </cell>
          <cell r="G19" t="str">
            <v>DIR POSGRADO</v>
          </cell>
          <cell r="H19" t="e">
            <v>#REF!</v>
          </cell>
          <cell r="I19" t="str">
            <v>ANALISIS PROFES CAT EN INVESTIGACION</v>
          </cell>
          <cell r="J19" t="str">
            <v># PROFES CAT EN INVESTIGACION</v>
          </cell>
          <cell r="K19" t="str">
            <v>20% DE LOS PROFESORES DE CAT EN INV</v>
          </cell>
        </row>
        <row r="20">
          <cell r="A20" t="str">
            <v>3.1.3</v>
          </cell>
          <cell r="B20" t="str">
            <v>2.1.4</v>
          </cell>
          <cell r="C20" t="str">
            <v>Acción 4 • Fomentar los grupos de investigación con estudiantes de maestría</v>
          </cell>
          <cell r="D20" t="str">
            <v>01-12</v>
          </cell>
          <cell r="E20" t="str">
            <v>12-13</v>
          </cell>
          <cell r="F20" t="str">
            <v>DIR DEPTO</v>
          </cell>
          <cell r="G20" t="str">
            <v>DIR POSGRADO</v>
          </cell>
          <cell r="H20" t="e">
            <v>#REF!</v>
          </cell>
          <cell r="I20" t="str">
            <v>INVENTARIO # ESTUDIANTES EN GURPOS</v>
          </cell>
          <cell r="J20" t="str">
            <v># ESTUDIANTES EN GRUPOS</v>
          </cell>
          <cell r="K20" t="str">
            <v>AUMENTO DE 50% DE ESTUDIANTES EN GRUPOS</v>
          </cell>
        </row>
        <row r="21">
          <cell r="A21" t="str">
            <v>3.2</v>
          </cell>
          <cell r="B21">
            <v>2.2000000000000002</v>
          </cell>
          <cell r="C21" t="str">
            <v>Subobjetivo 2 • AUMENTAR EL NÚMERO DE PUBLICACIONES DEL DEPARTAMENTO</v>
          </cell>
          <cell r="D21">
            <v>0</v>
          </cell>
          <cell r="E21">
            <v>0</v>
          </cell>
          <cell r="F21">
            <v>0</v>
          </cell>
          <cell r="G21">
            <v>0</v>
          </cell>
          <cell r="H21" t="e">
            <v>#REF!</v>
          </cell>
          <cell r="I21">
            <v>0</v>
          </cell>
          <cell r="J21">
            <v>0</v>
          </cell>
          <cell r="K21">
            <v>0</v>
          </cell>
        </row>
        <row r="22">
          <cell r="A22" t="str">
            <v>3.2.1</v>
          </cell>
          <cell r="B22" t="str">
            <v>2.2.1</v>
          </cell>
          <cell r="C22" t="str">
            <v>Acción 1 Dar descargas a los profesores y profesoras para dedicar tiempo  a la preparación de artículos y libros en las distintas áreas</v>
          </cell>
          <cell r="D22" t="str">
            <v>01-11</v>
          </cell>
          <cell r="E22" t="str">
            <v>12-15</v>
          </cell>
          <cell r="F22" t="str">
            <v>DIR DEPTO</v>
          </cell>
          <cell r="G22" t="str">
            <v>DIR POSGRADO</v>
          </cell>
          <cell r="H22" t="e">
            <v>#REF!</v>
          </cell>
          <cell r="I22" t="str">
            <v>INVENTARIO DESCARGAS</v>
          </cell>
          <cell r="J22" t="str">
            <v># DESCARGAS</v>
          </cell>
          <cell r="K22" t="str">
            <v>AUMENTO DE 40% EN LAS DESCARGAS</v>
          </cell>
        </row>
        <row r="23">
          <cell r="A23" t="str">
            <v>3.2.2</v>
          </cell>
          <cell r="B23" t="str">
            <v>2.2.2</v>
          </cell>
          <cell r="C23" t="str">
            <v>Acción 2 • Establecer políticas de calidad: pertinencia académica con relación a la orientación de los programas del Departamento; evaluación positiva por parte de un par externo y un par interno; aceptación para publicación en revista o editorial reconocidas</v>
          </cell>
          <cell r="D23" t="str">
            <v>01-11</v>
          </cell>
          <cell r="E23" t="str">
            <v>12-15</v>
          </cell>
          <cell r="F23" t="str">
            <v>DIR DEPTO</v>
          </cell>
          <cell r="G23" t="str">
            <v>DIR POSGRADO</v>
          </cell>
          <cell r="H23" t="e">
            <v>#REF!</v>
          </cell>
          <cell r="I23" t="str">
            <v>ANALISIS POLITICAS</v>
          </cell>
          <cell r="J23" t="str">
            <v>DOCUMENTO POLITICAS</v>
          </cell>
          <cell r="K23" t="str">
            <v>DOCUMENTO POLITICAS</v>
          </cell>
        </row>
        <row r="24">
          <cell r="A24" t="str">
            <v>3.2.3</v>
          </cell>
          <cell r="B24" t="str">
            <v>2.2.3</v>
          </cell>
          <cell r="C24" t="str">
            <v>Acción 3 • Crear base de datos con los nombres de evaluadores internos y externos y con los nombres de revistas y editoriales nacionales e internacionales que puedan interesarse en los artículos y libros producidos en el Departamento</v>
          </cell>
          <cell r="D24" t="str">
            <v>01-11</v>
          </cell>
          <cell r="E24" t="str">
            <v>12-11</v>
          </cell>
          <cell r="F24" t="str">
            <v>DIR DEPTO</v>
          </cell>
          <cell r="G24" t="str">
            <v>DIR POSGRADO</v>
          </cell>
          <cell r="H24" t="e">
            <v>#REF!</v>
          </cell>
          <cell r="I24" t="str">
            <v>DISEÑO BASE DE DATOS</v>
          </cell>
          <cell r="J24" t="str">
            <v># REPORTES</v>
          </cell>
          <cell r="K24" t="str">
            <v>2 REPORTES AL AÑO</v>
          </cell>
        </row>
        <row r="25">
          <cell r="A25" t="str">
            <v>3.2.4</v>
          </cell>
          <cell r="B25" t="str">
            <v>2.2.4</v>
          </cell>
          <cell r="C25" t="str">
            <v>Acción 4 • Fortalecer la revista Errantio de los estudiantes: mejorar la calidad y darle mayor difusión</v>
          </cell>
          <cell r="D25" t="str">
            <v>01-11</v>
          </cell>
          <cell r="E25" t="str">
            <v>12-11</v>
          </cell>
          <cell r="F25" t="str">
            <v>DIR DEPTO</v>
          </cell>
          <cell r="G25" t="str">
            <v>DIR POSGRADO</v>
          </cell>
          <cell r="H25" t="e">
            <v>#REF!</v>
          </cell>
          <cell r="I25" t="str">
            <v>ANALISIS ESTRUCTURA ACTUAL</v>
          </cell>
          <cell r="J25" t="str">
            <v>NUEVA ESTRUCTURA</v>
          </cell>
          <cell r="K25" t="str">
            <v>NUEVA ESTRUCTURA</v>
          </cell>
        </row>
        <row r="26">
          <cell r="A26" t="str">
            <v>Obj: 4  / 5</v>
          </cell>
          <cell r="B26">
            <v>3</v>
          </cell>
          <cell r="C26" t="str">
            <v>Objetivo 3 • Buscar la proyección nacional e internacional del departamento y la proyección de sus egresados en el mundo laboral</v>
          </cell>
          <cell r="D26">
            <v>0</v>
          </cell>
          <cell r="E26">
            <v>0</v>
          </cell>
          <cell r="F26">
            <v>0</v>
          </cell>
          <cell r="G26">
            <v>0</v>
          </cell>
          <cell r="H26" t="e">
            <v>#REF!</v>
          </cell>
          <cell r="I26">
            <v>0</v>
          </cell>
          <cell r="J26">
            <v>0</v>
          </cell>
          <cell r="K26">
            <v>0</v>
          </cell>
        </row>
        <row r="27">
          <cell r="A27" t="str">
            <v>5.1 / 5.2</v>
          </cell>
          <cell r="B27">
            <v>3.1</v>
          </cell>
          <cell r="C27" t="str">
            <v>Subobjetivo 1 • Fomentar la participación en congresos y establecer lazos académicos con redes institucionales nacionales e internacionales</v>
          </cell>
          <cell r="D27">
            <v>0</v>
          </cell>
          <cell r="E27">
            <v>0</v>
          </cell>
          <cell r="F27">
            <v>0</v>
          </cell>
          <cell r="G27">
            <v>0</v>
          </cell>
          <cell r="H27" t="e">
            <v>#REF!</v>
          </cell>
          <cell r="I27">
            <v>0</v>
          </cell>
          <cell r="J27">
            <v>0</v>
          </cell>
          <cell r="K27">
            <v>0</v>
          </cell>
        </row>
        <row r="28">
          <cell r="A28" t="str">
            <v>5.2.1</v>
          </cell>
          <cell r="B28" t="str">
            <v>3.1.1</v>
          </cell>
          <cell r="C28" t="str">
            <v>Acción 1 Establecer mayor intercambio académico e investigativo con los demás Departamentos de la Facultad y con otras Facultades de la Universidad</v>
          </cell>
          <cell r="D28" t="str">
            <v>01-11</v>
          </cell>
          <cell r="E28" t="str">
            <v>12-15</v>
          </cell>
          <cell r="F28" t="str">
            <v>DIR DEPTO</v>
          </cell>
          <cell r="G28" t="str">
            <v>DIR POSGRADO</v>
          </cell>
          <cell r="H28" t="e">
            <v>#REF!</v>
          </cell>
          <cell r="I28" t="str">
            <v>ANALISIS INTERCAMBIO</v>
          </cell>
          <cell r="J28" t="str">
            <v># INTERCAMBIOS ACADEMICOS</v>
          </cell>
          <cell r="K28" t="str">
            <v>AUMENTO DE 50% EN EL NUMERO DE INTERCAMBIOS</v>
          </cell>
        </row>
        <row r="29">
          <cell r="A29" t="str">
            <v>5.2.2</v>
          </cell>
          <cell r="B29" t="str">
            <v>3.1.2</v>
          </cell>
          <cell r="C29" t="str">
            <v>Acción 2 • Invitar a profesores de la Facultad a dictar cursos en la maestría</v>
          </cell>
          <cell r="D29" t="str">
            <v>01-11</v>
          </cell>
          <cell r="E29" t="str">
            <v>12-15</v>
          </cell>
          <cell r="F29" t="str">
            <v>DIR DEPTO</v>
          </cell>
          <cell r="G29" t="str">
            <v>DIR POSGRADO</v>
          </cell>
          <cell r="H29" t="e">
            <v>#REF!</v>
          </cell>
          <cell r="I29" t="str">
            <v>ANALISIS PARTICIPACION ACTUAL</v>
          </cell>
          <cell r="J29" t="str">
            <v># PROFESORES INVITADOS</v>
          </cell>
          <cell r="K29" t="str">
            <v>AUMENTO DE 50% EN PROFESORES INVITADOS</v>
          </cell>
        </row>
        <row r="30">
          <cell r="A30" t="str">
            <v>5.1.1</v>
          </cell>
          <cell r="B30" t="str">
            <v>3.1.3</v>
          </cell>
          <cell r="C30" t="str">
            <v>Acción 3 • Realizar y asistir con mayor frecuencia a congresos nacionales e internacionales</v>
          </cell>
          <cell r="D30" t="str">
            <v>01-11</v>
          </cell>
          <cell r="E30" t="str">
            <v>12-15</v>
          </cell>
          <cell r="F30" t="str">
            <v>DIR DEPTO</v>
          </cell>
          <cell r="G30" t="str">
            <v>DIR POSGRADO</v>
          </cell>
          <cell r="H30" t="e">
            <v>#REF!</v>
          </cell>
          <cell r="I30" t="str">
            <v>PARTICIPACION CONGRESOS</v>
          </cell>
          <cell r="J30" t="str">
            <v># ASISTENCIAS A CONGRESOS</v>
          </cell>
          <cell r="K30" t="str">
            <v>AUMENTO DE 40% EN ASISTENCIAS</v>
          </cell>
        </row>
        <row r="31">
          <cell r="A31" t="str">
            <v>5.1.2</v>
          </cell>
          <cell r="B31" t="str">
            <v>3.1.4</v>
          </cell>
          <cell r="C31" t="str">
            <v>Acción 4 • Invitar a profesores de la Facultad y de la Universidad a participar en Congresos del Departamento. 2010 y siguientes, al menos una vez al año</v>
          </cell>
          <cell r="D31">
            <v>0</v>
          </cell>
          <cell r="E31">
            <v>0</v>
          </cell>
          <cell r="F31">
            <v>0</v>
          </cell>
          <cell r="G31">
            <v>0</v>
          </cell>
          <cell r="H31" t="e">
            <v>#REF!</v>
          </cell>
          <cell r="I31">
            <v>0</v>
          </cell>
          <cell r="J31">
            <v>0</v>
          </cell>
          <cell r="K31">
            <v>0</v>
          </cell>
        </row>
        <row r="32">
          <cell r="A32" t="str">
            <v>5.2.3</v>
          </cell>
          <cell r="B32" t="str">
            <v>3.1.5</v>
          </cell>
          <cell r="C32" t="str">
            <v>Acción 5 • Divulgar ampliamente los resultados de investigación en foros nacionales e internacionales</v>
          </cell>
          <cell r="D32" t="str">
            <v>01-11</v>
          </cell>
          <cell r="E32" t="str">
            <v>12-15</v>
          </cell>
          <cell r="F32" t="str">
            <v>DIR DEPTO</v>
          </cell>
          <cell r="G32" t="str">
            <v>DIR POSGRADO</v>
          </cell>
          <cell r="H32" t="e">
            <v>#REF!</v>
          </cell>
          <cell r="I32" t="str">
            <v>INVENTARIO DIFUSION</v>
          </cell>
          <cell r="J32" t="str">
            <v># PUBLICACIONES</v>
          </cell>
          <cell r="K32" t="str">
            <v>AUMENTO DE 50% EN PUBLICACIONES</v>
          </cell>
        </row>
        <row r="33">
          <cell r="A33" t="str">
            <v>5.2.4</v>
          </cell>
          <cell r="B33" t="str">
            <v>3.1.6</v>
          </cell>
          <cell r="C33" t="str">
            <v>Acción 6 • Consolidar los programas de intercambio de profesores y de estudiantes con instituciones extranjeras</v>
          </cell>
          <cell r="D33" t="str">
            <v>01-11</v>
          </cell>
          <cell r="E33" t="str">
            <v>12-15</v>
          </cell>
          <cell r="F33" t="str">
            <v>DIR DEPTO</v>
          </cell>
          <cell r="G33" t="str">
            <v>DIR POSGRADO</v>
          </cell>
          <cell r="H33" t="e">
            <v>#REF!</v>
          </cell>
          <cell r="I33" t="str">
            <v>INVENTARIO INTERCAMBIOS</v>
          </cell>
          <cell r="J33" t="str">
            <v># INTERCAMBIOS ACADEMICOS</v>
          </cell>
          <cell r="K33" t="str">
            <v>AUMENTO DE 30% EN INTERCAMBIOS</v>
          </cell>
        </row>
        <row r="34">
          <cell r="A34" t="str">
            <v>4.1</v>
          </cell>
          <cell r="B34">
            <v>3.2</v>
          </cell>
          <cell r="C34" t="str">
            <v>Subobjetivo 2 • CREAR MECANISMOS PAR DAR A CONOCER EN EL MUNDO LABORAL EL CAMPO DE ACCIÓN PROFESIONAL DE LA CARRERA DE LENGUAJES Y ESTUDIOS SOCIOCULTURALES</v>
          </cell>
          <cell r="D34">
            <v>0</v>
          </cell>
          <cell r="E34">
            <v>0</v>
          </cell>
          <cell r="F34">
            <v>0</v>
          </cell>
          <cell r="G34">
            <v>0</v>
          </cell>
          <cell r="H34" t="e">
            <v>#REF!</v>
          </cell>
          <cell r="I34">
            <v>0</v>
          </cell>
          <cell r="J34">
            <v>0</v>
          </cell>
          <cell r="K34">
            <v>0</v>
          </cell>
        </row>
        <row r="35">
          <cell r="A35" t="str">
            <v>4.1.1</v>
          </cell>
          <cell r="B35" t="str">
            <v>3.2.1</v>
          </cell>
          <cell r="C35" t="str">
            <v>Acción 1 • Incluir la práctica laboral como una opción de grado y buscar establecer convenios con instituciones públicas y privadas para la realización de la práctica en el campo de los Estudios Socioculturales:  ONG, fundaciones sociales, instituciones estatales, etc.</v>
          </cell>
          <cell r="D35" t="str">
            <v>01-12</v>
          </cell>
          <cell r="E35" t="str">
            <v>12-12</v>
          </cell>
          <cell r="F35" t="str">
            <v>DIR DEPTO</v>
          </cell>
          <cell r="G35" t="str">
            <v>DIR POSGRADO</v>
          </cell>
          <cell r="H35" t="e">
            <v>#REF!</v>
          </cell>
          <cell r="I35" t="str">
            <v>INVENTARIO PRACTICAS</v>
          </cell>
          <cell r="J35" t="str">
            <v># CONVENIOS</v>
          </cell>
          <cell r="K35" t="str">
            <v>AUMENTO DE 50% EN CONVENIOS</v>
          </cell>
        </row>
        <row r="36">
          <cell r="A36" t="str">
            <v>4.1.2 / 4.2.1</v>
          </cell>
          <cell r="B36" t="str">
            <v>3.2.2</v>
          </cell>
          <cell r="C36" t="str">
            <v>Acción 2 • Crear una red de comunicación a través de internet entre el Departamento, los estudiantes de pregrado y  los egresados para la difusión del programa y sus posibilidades profesionales. Convocar a los egresados a participar activamente en los eventos del Departamento y aportar propuestas académicas e investigativas  a partir de su experiencia profesional</v>
          </cell>
          <cell r="D36" t="str">
            <v>01-12</v>
          </cell>
          <cell r="E36" t="str">
            <v>12-12</v>
          </cell>
          <cell r="F36" t="str">
            <v>DIR DEPTO</v>
          </cell>
          <cell r="G36" t="str">
            <v>DIR POSGRADO</v>
          </cell>
          <cell r="H36" t="e">
            <v>#REF!</v>
          </cell>
          <cell r="I36" t="str">
            <v>ANALISIS CONTACTOS ACTUALES</v>
          </cell>
          <cell r="J36" t="str">
            <v># CONTACTOS</v>
          </cell>
          <cell r="K36" t="str">
            <v>AUMENTO DE 60% EN CONTACTOS</v>
          </cell>
        </row>
        <row r="37">
          <cell r="A37" t="str">
            <v>4.1.3</v>
          </cell>
          <cell r="B37" t="str">
            <v>3.2.3</v>
          </cell>
          <cell r="C37" t="str">
            <v>Acción 3 • Trabajar con el CTP para desarrollar mecanismos que permitan dar a conocer en los grupos de interés el campo de acción laboral de la carrera de Lenguajes y Estudios Socioculturales</v>
          </cell>
          <cell r="D37" t="str">
            <v>01-12</v>
          </cell>
          <cell r="E37" t="str">
            <v>12-12</v>
          </cell>
          <cell r="F37" t="str">
            <v>DIR DEPTO</v>
          </cell>
          <cell r="G37" t="str">
            <v>DIR POSGRADO</v>
          </cell>
          <cell r="H37" t="e">
            <v>#REF!</v>
          </cell>
          <cell r="I37" t="str">
            <v>MECANISMOS ACTUALES</v>
          </cell>
          <cell r="J37" t="str">
            <v># EVENTOS INFORMATIVOS</v>
          </cell>
          <cell r="K37" t="str">
            <v>4 EVENTOS AL AÑO</v>
          </cell>
        </row>
      </sheetData>
      <sheetData sheetId="8"/>
      <sheetData sheetId="9"/>
      <sheetData sheetId="10"/>
      <sheetData sheetId="11">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t="str">
            <v>Obj: 3 y 1</v>
          </cell>
          <cell r="B5">
            <v>1</v>
          </cell>
          <cell r="C5" t="str">
            <v>Objetivo 1. CONSOLIDAR EL DEPARTAMENTO DE CIENCIA POLÍTICA DE LA UNIVERSIDAD DE LOS ANDES COMO UNA INSTITUCIÓN LÍDER EN LA DISCIPLINA EN COLOMBIA Y LATINOAMÉRICA POR MEDIO DE SUS PROGRAMAS DE PRE Y POSTGRADO Y POR MEDIO DE LA INVESTIGACIÓN DE EXCELENCIA</v>
          </cell>
          <cell r="D5">
            <v>0</v>
          </cell>
          <cell r="E5">
            <v>0</v>
          </cell>
          <cell r="F5">
            <v>0</v>
          </cell>
          <cell r="G5">
            <v>0</v>
          </cell>
          <cell r="H5" t="e">
            <v>#REF!</v>
          </cell>
          <cell r="I5">
            <v>0</v>
          </cell>
          <cell r="J5">
            <v>0</v>
          </cell>
          <cell r="K5">
            <v>0</v>
          </cell>
        </row>
        <row r="6">
          <cell r="A6" t="str">
            <v>3.1</v>
          </cell>
          <cell r="B6" t="str">
            <v>1.1</v>
          </cell>
          <cell r="C6" t="str">
            <v>Subobjetivo 1 Fortalecer los grupos de investigación para que sean funcionales para—y reflejo de— la cooperación, el intercambio y la construcción conjunta de conocimiento en tres temas estratégicos (Instituciones políticas; conflicto armado y construcción de paz; y estudios globales).</v>
          </cell>
          <cell r="D6">
            <v>0</v>
          </cell>
          <cell r="E6">
            <v>0</v>
          </cell>
          <cell r="F6">
            <v>0</v>
          </cell>
          <cell r="G6">
            <v>0</v>
          </cell>
          <cell r="H6" t="e">
            <v>#REF!</v>
          </cell>
          <cell r="I6">
            <v>0</v>
          </cell>
          <cell r="J6">
            <v>0</v>
          </cell>
          <cell r="K6">
            <v>0</v>
          </cell>
        </row>
        <row r="7">
          <cell r="A7" t="str">
            <v>3.1.2</v>
          </cell>
          <cell r="B7" t="str">
            <v>1.1.1</v>
          </cell>
          <cell r="C7" t="str">
            <v xml:space="preserve">Acción 1 Estructurar los grupos de investigación en torno a los tres temas estratégicos. </v>
          </cell>
          <cell r="D7" t="str">
            <v>01-11</v>
          </cell>
          <cell r="E7" t="str">
            <v>06-11</v>
          </cell>
          <cell r="F7" t="str">
            <v>DIR DEPTO</v>
          </cell>
          <cell r="G7" t="str">
            <v>DIR POSGRADOS</v>
          </cell>
          <cell r="H7" t="e">
            <v>#REF!</v>
          </cell>
          <cell r="I7" t="str">
            <v>REVISION TEMAS ESTRATEGICOS</v>
          </cell>
          <cell r="J7" t="str">
            <v># GRUPOS EN TEMAS ESTRATEGICOS</v>
          </cell>
          <cell r="K7" t="str">
            <v>TODOS LOS GRUPOS EN TEMAS</v>
          </cell>
        </row>
        <row r="8">
          <cell r="A8" t="str">
            <v>Eliminada</v>
          </cell>
          <cell r="B8" t="str">
            <v>1.1.2</v>
          </cell>
          <cell r="C8" t="str">
            <v>Acción 2 Contratar profesores adicionales en las áreas estratégicas pero sub-equipadas (Relaciones Internacionales y Teoría)</v>
          </cell>
          <cell r="D8" t="str">
            <v>01-13</v>
          </cell>
          <cell r="E8" t="str">
            <v>06-13</v>
          </cell>
          <cell r="F8" t="str">
            <v>DIR DEPTO</v>
          </cell>
          <cell r="G8" t="str">
            <v>DIR POSGRADOS</v>
          </cell>
          <cell r="H8" t="e">
            <v>#REF!</v>
          </cell>
          <cell r="I8" t="str">
            <v>CONVOCATORIA PROFES</v>
          </cell>
          <cell r="J8" t="str">
            <v># PROFES NUEVOS</v>
          </cell>
          <cell r="K8" t="str">
            <v>1 PROFESOR NUEVO</v>
          </cell>
        </row>
        <row r="9">
          <cell r="A9" t="str">
            <v>2.3.3</v>
          </cell>
          <cell r="B9" t="str">
            <v>1.1.3</v>
          </cell>
          <cell r="C9" t="str">
            <v>Acción 3 Gestionar vinculaciones parciales con profesores visitantes financiados por entidades internacionales (como la Unión Europea—cátedra Jean Monnet—la Comisión Fulbright y el IFEA)</v>
          </cell>
          <cell r="D9" t="str">
            <v>06-11</v>
          </cell>
          <cell r="E9" t="str">
            <v>06-13</v>
          </cell>
          <cell r="F9" t="str">
            <v>DIR DEPTO</v>
          </cell>
          <cell r="G9" t="str">
            <v>COOR PREGRADO</v>
          </cell>
          <cell r="H9" t="e">
            <v>#REF!</v>
          </cell>
          <cell r="I9" t="str">
            <v>REVISION CONVENIOS</v>
          </cell>
          <cell r="J9" t="str">
            <v># PROFES VISITANTES</v>
          </cell>
          <cell r="K9" t="str">
            <v>2 PROFESORES VISITANTES</v>
          </cell>
        </row>
        <row r="10">
          <cell r="A10" t="str">
            <v>1.1</v>
          </cell>
          <cell r="B10" t="str">
            <v>1.2</v>
          </cell>
          <cell r="C10" t="str">
            <v>Subobjetivo 2 Fortalecer las tres áreas temáticas estratégicas en su currículo</v>
          </cell>
          <cell r="D10">
            <v>0</v>
          </cell>
          <cell r="E10">
            <v>0</v>
          </cell>
          <cell r="F10">
            <v>0</v>
          </cell>
          <cell r="G10">
            <v>0</v>
          </cell>
          <cell r="H10" t="e">
            <v>#REF!</v>
          </cell>
          <cell r="I10">
            <v>0</v>
          </cell>
          <cell r="J10">
            <v>0</v>
          </cell>
          <cell r="K10">
            <v>0</v>
          </cell>
        </row>
        <row r="11">
          <cell r="A11" t="str">
            <v>Eliminada</v>
          </cell>
          <cell r="B11" t="str">
            <v>1.2.1</v>
          </cell>
          <cell r="C11" t="str">
            <v>Acción 1 Ofrecer dos cursos electivos de los temas estratégicos cada semestre en el pregrado</v>
          </cell>
          <cell r="D11" t="str">
            <v>01-11</v>
          </cell>
          <cell r="E11" t="str">
            <v>12-15</v>
          </cell>
          <cell r="F11" t="str">
            <v>DIR DEPTO</v>
          </cell>
          <cell r="G11" t="str">
            <v>COOR PREGRADO</v>
          </cell>
          <cell r="H11" t="e">
            <v>#REF!</v>
          </cell>
          <cell r="I11" t="str">
            <v>OFERTA CURSOS</v>
          </cell>
          <cell r="J11" t="str">
            <v># CURSOS OFERTADOS</v>
          </cell>
          <cell r="K11" t="str">
            <v>1 POR SEMESTRE</v>
          </cell>
        </row>
        <row r="12">
          <cell r="A12" t="str">
            <v>1.1.1</v>
          </cell>
          <cell r="B12" t="str">
            <v>1.2.2</v>
          </cell>
          <cell r="C12" t="str">
            <v>Acción 2 Ofrecer regularmente cursos electivos nuevos en los temas estratégicos.</v>
          </cell>
          <cell r="D12" t="str">
            <v>01-11</v>
          </cell>
          <cell r="E12" t="str">
            <v>12-15</v>
          </cell>
          <cell r="F12" t="str">
            <v>DIR DEPTO</v>
          </cell>
          <cell r="G12" t="str">
            <v>COOR PREGRADO</v>
          </cell>
          <cell r="H12" t="e">
            <v>#REF!</v>
          </cell>
          <cell r="I12" t="str">
            <v>OFERTA CURSOS</v>
          </cell>
          <cell r="J12" t="str">
            <v># CURSOS OFERTADOS</v>
          </cell>
          <cell r="K12" t="str">
            <v>1 POR SEMESTRE</v>
          </cell>
        </row>
        <row r="13">
          <cell r="A13" t="str">
            <v>2.1.2</v>
          </cell>
          <cell r="B13" t="str">
            <v>1.2.3</v>
          </cell>
          <cell r="C13" t="str">
            <v>Acción 3 Contratar profesores adicionales en las áreas estratégicas pero sub-equipadas (principalmente Relaciones Internacionales y Teoría) para cumplir con las exigencias de pregrado y postgrado (Maestría y un doctorado).</v>
          </cell>
          <cell r="D13" t="str">
            <v>01-12</v>
          </cell>
          <cell r="E13" t="str">
            <v>06-14</v>
          </cell>
          <cell r="F13" t="str">
            <v>DIR DEPTO</v>
          </cell>
          <cell r="G13" t="str">
            <v>COOR PREGRADO</v>
          </cell>
          <cell r="H13" t="e">
            <v>#REF!</v>
          </cell>
          <cell r="I13" t="str">
            <v>CONVOCATORIA PROFES</v>
          </cell>
          <cell r="J13" t="str">
            <v># PROFES NUEVOS</v>
          </cell>
          <cell r="K13" t="str">
            <v>1 PROFESOR NUEVO</v>
          </cell>
        </row>
        <row r="14">
          <cell r="A14" t="str">
            <v>Eliminada</v>
          </cell>
          <cell r="B14" t="str">
            <v>1.2.4</v>
          </cell>
          <cell r="C14" t="str">
            <v>Acción 4.  Conformar un grupo de discusión inter-institucional sobre pedagogía de teoría y métodos para que sirva de referente en la conformación de la oferta docente del departamento.</v>
          </cell>
          <cell r="D14" t="str">
            <v>06-11</v>
          </cell>
          <cell r="E14" t="str">
            <v>12-13</v>
          </cell>
          <cell r="F14" t="str">
            <v>DIR DEPTO</v>
          </cell>
          <cell r="G14" t="str">
            <v>DIR POSGRADOS</v>
          </cell>
          <cell r="H14" t="e">
            <v>#REF!</v>
          </cell>
          <cell r="I14">
            <v>0</v>
          </cell>
          <cell r="J14">
            <v>0</v>
          </cell>
          <cell r="K14">
            <v>0</v>
          </cell>
        </row>
        <row r="15">
          <cell r="A15" t="str">
            <v>3.2</v>
          </cell>
          <cell r="B15">
            <v>1.3</v>
          </cell>
          <cell r="C15" t="str">
            <v>Subobjetivo 3 Promover la investigación por parte de todos sus profesores para que aporten insumos calificados y empíricamente sustentados</v>
          </cell>
          <cell r="D15">
            <v>0</v>
          </cell>
          <cell r="E15">
            <v>0</v>
          </cell>
          <cell r="F15">
            <v>0</v>
          </cell>
          <cell r="G15">
            <v>0</v>
          </cell>
          <cell r="H15" t="e">
            <v>#REF!</v>
          </cell>
          <cell r="I15">
            <v>0</v>
          </cell>
          <cell r="J15">
            <v>0</v>
          </cell>
          <cell r="K15">
            <v>0</v>
          </cell>
        </row>
        <row r="16">
          <cell r="A16" t="str">
            <v>1.3.1</v>
          </cell>
          <cell r="B16" t="str">
            <v>1.3.1</v>
          </cell>
          <cell r="C16" t="str">
            <v>Acción 1 Diseminar oportunidades de financiación dentro y fuera de la universidad</v>
          </cell>
          <cell r="D16" t="str">
            <v>01-11</v>
          </cell>
          <cell r="E16" t="str">
            <v>12-15</v>
          </cell>
          <cell r="F16" t="str">
            <v>DIR DEPTO</v>
          </cell>
          <cell r="G16" t="str">
            <v>DIR POSGRADOS</v>
          </cell>
          <cell r="H16" t="e">
            <v>#REF!</v>
          </cell>
          <cell r="I16" t="str">
            <v>REVISION REPORTE FINANCIACION</v>
          </cell>
          <cell r="J16" t="str">
            <v># REPORTES</v>
          </cell>
          <cell r="K16" t="str">
            <v>1 AL MES</v>
          </cell>
        </row>
        <row r="17">
          <cell r="A17" t="str">
            <v>Eliminada</v>
          </cell>
          <cell r="B17" t="str">
            <v>1.3.2</v>
          </cell>
          <cell r="C17" t="str">
            <v xml:space="preserve">Acción 2 Inscripción ante el CESO de por lo menos un proyecto de investigación al tiempo por parte de cada profesor. </v>
          </cell>
          <cell r="D17" t="str">
            <v>01-11</v>
          </cell>
          <cell r="E17" t="str">
            <v>12-15</v>
          </cell>
          <cell r="F17" t="str">
            <v>DIR DEPTO</v>
          </cell>
          <cell r="G17" t="str">
            <v>DIR POSGRADOS</v>
          </cell>
          <cell r="H17" t="e">
            <v>#REF!</v>
          </cell>
          <cell r="I17" t="str">
            <v>REVISION REPORTE PROYECTOS</v>
          </cell>
          <cell r="J17" t="str">
            <v># REPORTES</v>
          </cell>
          <cell r="K17" t="str">
            <v>1 AL AÑO POR PROFESORS</v>
          </cell>
        </row>
        <row r="18">
          <cell r="A18" t="str">
            <v>Eliminada</v>
          </cell>
          <cell r="B18" t="str">
            <v>1.3.3</v>
          </cell>
          <cell r="C18" t="str">
            <v>Acción 3 Construir el espacio físico y proveer los equipos adecuados para que profesores y estudiantes de Maestría y doctorado desempeñen sus tareas docentes e investigativas cómoda y funcionalmente</v>
          </cell>
          <cell r="D18" t="str">
            <v>01-11</v>
          </cell>
          <cell r="E18" t="str">
            <v>06-13</v>
          </cell>
          <cell r="F18" t="str">
            <v>DECANO</v>
          </cell>
          <cell r="G18" t="str">
            <v>DIR DEPTO</v>
          </cell>
          <cell r="H18" t="e">
            <v>#REF!</v>
          </cell>
          <cell r="I18" t="str">
            <v>REVISION PLANOS EDIFICIO G Y GB</v>
          </cell>
          <cell r="J18" t="str">
            <v>REQUERIMIENTOS PLANTA FISICA</v>
          </cell>
          <cell r="K18" t="str">
            <v>ESPACIOS ADECUADOS NUEVO EDIFICIO</v>
          </cell>
        </row>
        <row r="19">
          <cell r="A19" t="str">
            <v>3.3.1</v>
          </cell>
          <cell r="B19" t="str">
            <v>1.3.4</v>
          </cell>
          <cell r="C19" t="str">
            <v>Acción 4 Mantener contacto recurrente y activo con otras facultades y departamentos de la universidad para promover el diálogo interdisciplinario y la construcción interactiva de conocimiento</v>
          </cell>
          <cell r="D19" t="str">
            <v>01-11</v>
          </cell>
          <cell r="E19" t="str">
            <v>12-15</v>
          </cell>
          <cell r="F19" t="str">
            <v>DIR DEPTO</v>
          </cell>
          <cell r="G19" t="str">
            <v>DIR POSGRADOS</v>
          </cell>
          <cell r="H19" t="e">
            <v>#REF!</v>
          </cell>
          <cell r="I19" t="str">
            <v>REPORTE INICIATIVAS CONJUNTAS</v>
          </cell>
          <cell r="J19" t="str">
            <v># INICIATIVAS CONJUNTAS</v>
          </cell>
          <cell r="K19" t="str">
            <v>1 INICIATIVA AL AÑO POR PROFESOR</v>
          </cell>
        </row>
        <row r="20">
          <cell r="A20" t="str">
            <v>3.4</v>
          </cell>
          <cell r="B20">
            <v>1.4</v>
          </cell>
          <cell r="C20" t="str">
            <v>Subobjetivo 4 Aumentar el volumen y la calidad de publicaciones orientadas hacia la revisión por pares nacionales e internacionales</v>
          </cell>
          <cell r="D20">
            <v>0</v>
          </cell>
          <cell r="E20">
            <v>0</v>
          </cell>
          <cell r="F20">
            <v>0</v>
          </cell>
          <cell r="G20">
            <v>0</v>
          </cell>
          <cell r="H20" t="e">
            <v>#REF!</v>
          </cell>
          <cell r="I20">
            <v>0</v>
          </cell>
          <cell r="J20">
            <v>0</v>
          </cell>
          <cell r="K20">
            <v>0</v>
          </cell>
        </row>
        <row r="21">
          <cell r="A21" t="str">
            <v>3.4.5</v>
          </cell>
          <cell r="B21" t="str">
            <v>1.4.1</v>
          </cell>
          <cell r="C21" t="str">
            <v>Acción 1 Identificar y promover estímulos  (como el monto de las bonificaciones anuales y un incremento de los salarios) para la productividad de los profesores adscritos al Departamento de Ciencia Política</v>
          </cell>
          <cell r="D21" t="str">
            <v>01-11</v>
          </cell>
          <cell r="E21" t="str">
            <v>06-11</v>
          </cell>
          <cell r="F21" t="str">
            <v>DIR DEPTO</v>
          </cell>
          <cell r="G21" t="str">
            <v>DIR POSGRADOS</v>
          </cell>
          <cell r="H21" t="e">
            <v>#REF!</v>
          </cell>
          <cell r="I21" t="str">
            <v>REVISION POLITICA ESTIMULOS</v>
          </cell>
          <cell r="J21" t="str">
            <v>POLITICA ESTIMULOS</v>
          </cell>
          <cell r="K21" t="str">
            <v>POLITICA DE ESTIMULOS REVISADA</v>
          </cell>
        </row>
        <row r="22">
          <cell r="A22" t="str">
            <v>3.4.1</v>
          </cell>
          <cell r="B22" t="str">
            <v>1.4.2</v>
          </cell>
          <cell r="C22" t="str">
            <v>Acción 2  Fortalecer el cargo de coordinación de publicaciones para brindar apoyo a profesores del Departamento de Ciencia Política en la gestión de sus publicaciones ante el CESO, brindar asesoría estratégica en la identificación de canales de divulgación de su producción, en el diseño de publicaciones y en la divulgación del conocimiento producido en el departamento</v>
          </cell>
          <cell r="D22" t="str">
            <v>01-12</v>
          </cell>
          <cell r="E22" t="str">
            <v>12-12</v>
          </cell>
          <cell r="F22" t="str">
            <v>DIR DEPTO</v>
          </cell>
          <cell r="G22" t="str">
            <v>DIR POSGRADOS</v>
          </cell>
          <cell r="H22" t="e">
            <v>#REF!</v>
          </cell>
          <cell r="I22" t="str">
            <v>REVISION DESCRIPCION DE CARGO</v>
          </cell>
          <cell r="J22" t="str">
            <v>DEFINICIOPN FUNCIONES NUEVO CARGO</v>
          </cell>
          <cell r="K22" t="str">
            <v>CARGO CON DEFINICION DE NUEVAS FUNCIONES</v>
          </cell>
        </row>
        <row r="23">
          <cell r="A23" t="str">
            <v>3.4.2</v>
          </cell>
          <cell r="B23" t="str">
            <v>1.4.3</v>
          </cell>
          <cell r="C23" t="str">
            <v>Acción 3  Fortalecer la revista Colombia Internacional (regularidad, cumplimiento con requisitos SCIELO y COLCIENCIAS) para subir a categoría A1</v>
          </cell>
          <cell r="D23" t="str">
            <v>01-11</v>
          </cell>
          <cell r="E23" t="str">
            <v>12-13</v>
          </cell>
          <cell r="F23" t="str">
            <v>DIR DEPTO</v>
          </cell>
          <cell r="G23" t="str">
            <v>DIR REVISTA</v>
          </cell>
          <cell r="H23" t="e">
            <v>#REF!</v>
          </cell>
          <cell r="I23" t="str">
            <v>REVISION PARAMETROS CLASIFICACION COLCIENCIAS</v>
          </cell>
          <cell r="J23" t="str">
            <v>CUMPLIMIENTO PARAMETROS COLCIENCIAS A1</v>
          </cell>
          <cell r="K23" t="str">
            <v>CLASIFICACION EN A1</v>
          </cell>
        </row>
        <row r="24">
          <cell r="A24" t="str">
            <v>3.4.3</v>
          </cell>
          <cell r="B24" t="str">
            <v>1.4.4</v>
          </cell>
          <cell r="C24" t="str">
            <v>Acción 4 Promover una serie de publicaciones académico-coyunturales, editadas por profesores del Departamento de Ciencia Política, que cumplan los siguientes criterios: una publicación anual, el interés en el tema trasciende las fronteras nacionales, en la publicación participan expertos temáticos de otros países, y la publicación es precedida por una conferencia en la Universidad de los Andes</v>
          </cell>
          <cell r="D24" t="str">
            <v>01-12</v>
          </cell>
          <cell r="E24" t="str">
            <v>12-15</v>
          </cell>
          <cell r="F24" t="str">
            <v>DIR DEPTO</v>
          </cell>
          <cell r="G24" t="str">
            <v>DIR REVISTA</v>
          </cell>
          <cell r="H24" t="e">
            <v>#REF!</v>
          </cell>
          <cell r="I24" t="str">
            <v>REVISION PARAMETROS CLASIFICACION COLCIENCIAS</v>
          </cell>
          <cell r="J24" t="str">
            <v>LISTA DE PUBLICACIONES COYUNTURALES</v>
          </cell>
          <cell r="K24" t="str">
            <v>1 PUBLICACION AL AÑO</v>
          </cell>
        </row>
        <row r="25">
          <cell r="A25" t="str">
            <v>3.4.4</v>
          </cell>
          <cell r="B25" t="str">
            <v>1.4.5</v>
          </cell>
          <cell r="C25" t="str">
            <v>Acción  5 Identificar formas creativas para lanzar y diseminar las publicaciones a los públicos relevantes. Divulgar y distribuir estratégicamente sus publicaciones, de forma impresa y digital</v>
          </cell>
          <cell r="D25" t="str">
            <v>01-13</v>
          </cell>
          <cell r="E25" t="str">
            <v>12-15</v>
          </cell>
          <cell r="F25" t="str">
            <v>DIR DEPTO</v>
          </cell>
          <cell r="G25" t="str">
            <v>DIR REVISTA</v>
          </cell>
          <cell r="H25" t="e">
            <v>#REF!</v>
          </cell>
          <cell r="I25" t="str">
            <v>REVISION LISTA PUBLICO RECEPTOR</v>
          </cell>
          <cell r="J25" t="str">
            <v>ENVIOS A PUBLICOS SELECCIONADOS</v>
          </cell>
          <cell r="K25" t="str">
            <v>2 ENVIOS AL AÑO</v>
          </cell>
        </row>
        <row r="26">
          <cell r="A26" t="str">
            <v>4.1</v>
          </cell>
          <cell r="B26">
            <v>1.5</v>
          </cell>
          <cell r="C26" t="str">
            <v>Subobjetivo 5 Organizar eventos académicos y divulgativos organizados o co-auspiciados por el Departamento de Ciencia Política de la Universidad de los Andes</v>
          </cell>
          <cell r="D26">
            <v>0</v>
          </cell>
          <cell r="E26">
            <v>0</v>
          </cell>
          <cell r="F26">
            <v>0</v>
          </cell>
          <cell r="G26">
            <v>0</v>
          </cell>
          <cell r="H26" t="e">
            <v>#REF!</v>
          </cell>
          <cell r="I26">
            <v>0</v>
          </cell>
          <cell r="J26">
            <v>0</v>
          </cell>
          <cell r="K26">
            <v>0</v>
          </cell>
        </row>
        <row r="27">
          <cell r="A27" t="str">
            <v>4.1.1</v>
          </cell>
          <cell r="B27" t="str">
            <v>1.5.1</v>
          </cell>
          <cell r="C27" t="str">
            <v>Acción 1 Cultivar relaciones con entidades nacionales e internacionales (cooperación internacional, medios de comunicación, entidades estatales) que compartan intereses para realizar conjuntamente eventos y conferencias</v>
          </cell>
          <cell r="D27" t="str">
            <v>01-12</v>
          </cell>
          <cell r="E27" t="str">
            <v>12-15</v>
          </cell>
          <cell r="F27" t="str">
            <v>DIR DEPTO</v>
          </cell>
          <cell r="G27" t="str">
            <v>DIR POSGRADOS</v>
          </cell>
          <cell r="H27" t="e">
            <v>#REF!</v>
          </cell>
          <cell r="I27" t="str">
            <v>REVISION LISTA ENTIDADES</v>
          </cell>
          <cell r="J27" t="str">
            <v>CONTACTO CON ENTIDADES</v>
          </cell>
          <cell r="K27" t="str">
            <v>4 EVENTOS AL AÑO  CON ENTIDADES</v>
          </cell>
        </row>
        <row r="28">
          <cell r="A28" t="str">
            <v>Eliminada</v>
          </cell>
          <cell r="B28" t="str">
            <v>1.5.2</v>
          </cell>
          <cell r="C28" t="str">
            <v>Acción 2  Componer y trabajar sobre una lista anual de temas y eventos posibles</v>
          </cell>
          <cell r="D28" t="str">
            <v>01-12</v>
          </cell>
          <cell r="E28" t="str">
            <v>12-15</v>
          </cell>
          <cell r="F28" t="str">
            <v>DIR DEPTO</v>
          </cell>
          <cell r="G28" t="str">
            <v>DIR POSGRADOS</v>
          </cell>
          <cell r="H28" t="e">
            <v>#REF!</v>
          </cell>
          <cell r="I28" t="str">
            <v>REVISION LISTA TEMAS Y EVENTOS</v>
          </cell>
          <cell r="J28" t="str">
            <v>EVENTOS SOBRE LOS TEMAS IDENTIFICADOS</v>
          </cell>
          <cell r="K28" t="str">
            <v>4 EVENTOS AL AÑO  CON ENTIDADES</v>
          </cell>
        </row>
        <row r="29">
          <cell r="A29" t="str">
            <v>4.1.2</v>
          </cell>
          <cell r="B29" t="str">
            <v>1.5.3</v>
          </cell>
          <cell r="C29" t="str">
            <v>Acción 3  Anunciar y publicitar los eventos con suficiente anterioridad para facilitar la participación de visitantes de otras partes del país</v>
          </cell>
          <cell r="D29" t="str">
            <v>01-11</v>
          </cell>
          <cell r="E29" t="str">
            <v>12-15</v>
          </cell>
          <cell r="F29" t="str">
            <v>DIR DEPTO</v>
          </cell>
          <cell r="G29" t="str">
            <v>DIR POSGRADOS</v>
          </cell>
          <cell r="H29" t="e">
            <v>#REF!</v>
          </cell>
          <cell r="I29" t="str">
            <v>REVISION LISTA DE EVENTOS A PUBLICITAR</v>
          </cell>
          <cell r="J29" t="str">
            <v>EVENTO PUBLICITADO CON ANTICIPACION</v>
          </cell>
          <cell r="K29" t="str">
            <v>4 EVENTOS AL AÑO  PUBLICIATDOS</v>
          </cell>
        </row>
        <row r="30">
          <cell r="A30" t="str">
            <v>2.3</v>
          </cell>
          <cell r="B30">
            <v>1.6</v>
          </cell>
          <cell r="C30" t="str">
            <v>Subobjetivo 6 Aumentar la participación en congresos nacionales e internacionales por parte de investigadores del Departamento de Ciencia Política de la Universidad de los Andes</v>
          </cell>
          <cell r="D30">
            <v>0</v>
          </cell>
          <cell r="E30">
            <v>0</v>
          </cell>
          <cell r="F30">
            <v>0</v>
          </cell>
          <cell r="G30">
            <v>0</v>
          </cell>
          <cell r="H30" t="e">
            <v>#REF!</v>
          </cell>
          <cell r="I30">
            <v>0</v>
          </cell>
          <cell r="J30">
            <v>0</v>
          </cell>
          <cell r="K30">
            <v>0</v>
          </cell>
        </row>
        <row r="31">
          <cell r="A31" t="str">
            <v>2.3.1 / 2.3.2</v>
          </cell>
          <cell r="B31" t="str">
            <v>1.6.1</v>
          </cell>
          <cell r="C31" t="str">
            <v>Acción 1 Promover la participación de sus profesores en congresos nacionales e internacionales para que presenten avances de investigación o investigaciones terminadas por medio del apoyo financiero de los viajes, por medio de la divulgación de las oportunidades de presentación y por medio del ajuste y la posibilidad de re-programar las clases para que los profesores puedan asistir a los eventos durante el semestre sin sacrificar el cumplimiento con sus estudiantes</v>
          </cell>
          <cell r="D31" t="str">
            <v>01-11</v>
          </cell>
          <cell r="E31" t="str">
            <v>12-15</v>
          </cell>
          <cell r="F31" t="str">
            <v>DIR DEPTO</v>
          </cell>
          <cell r="G31" t="str">
            <v>DIR POSGRADOS</v>
          </cell>
          <cell r="H31" t="e">
            <v>#REF!</v>
          </cell>
          <cell r="I31" t="str">
            <v>REVISION LISTA CONGRESOS</v>
          </cell>
          <cell r="J31" t="str">
            <v># CONGRESOS POR PROFESOR</v>
          </cell>
          <cell r="K31" t="str">
            <v>1 CONGRESO POR PROFESOR AL AÑO</v>
          </cell>
        </row>
        <row r="32">
          <cell r="A32">
            <v>0</v>
          </cell>
          <cell r="B32">
            <v>1.7</v>
          </cell>
          <cell r="C32" t="str">
            <v>Subobjetivo 7</v>
          </cell>
          <cell r="D32">
            <v>0</v>
          </cell>
          <cell r="E32">
            <v>0</v>
          </cell>
          <cell r="F32">
            <v>0</v>
          </cell>
          <cell r="G32">
            <v>0</v>
          </cell>
          <cell r="H32" t="e">
            <v>#REF!</v>
          </cell>
          <cell r="I32">
            <v>0</v>
          </cell>
          <cell r="J32">
            <v>0</v>
          </cell>
          <cell r="K32">
            <v>0</v>
          </cell>
        </row>
        <row r="33">
          <cell r="A33" t="str">
            <v>4.1.3</v>
          </cell>
          <cell r="B33" t="str">
            <v>1.7.1</v>
          </cell>
          <cell r="C33" t="str">
            <v>Acción 1 Mantener una base de datos actualizada y categorizada/especializada que identifique públicos estratégicos (en la academia, el sector público y privado) para hacerles llegar sus publicaciones y para divulgar la realización de eventos</v>
          </cell>
          <cell r="D33" t="str">
            <v>06-11</v>
          </cell>
          <cell r="E33" t="str">
            <v>12-15</v>
          </cell>
          <cell r="F33" t="str">
            <v>DIR DEPTO</v>
          </cell>
          <cell r="G33" t="str">
            <v>DIR POSGRADOS</v>
          </cell>
          <cell r="H33" t="e">
            <v>#REF!</v>
          </cell>
          <cell r="I33" t="str">
            <v>REVISION REPORTES BD</v>
          </cell>
          <cell r="J33" t="str">
            <v># REPORTES SOBRE PUBLICOS ESTRATEGICOS</v>
          </cell>
          <cell r="K33" t="str">
            <v>2 REPORTES AL AÑO</v>
          </cell>
        </row>
        <row r="34">
          <cell r="A34" t="str">
            <v>4.1.3</v>
          </cell>
          <cell r="B34" t="str">
            <v>1.7.2</v>
          </cell>
          <cell r="C34" t="str">
            <v>Acción 2  Enviar un boletín semanal (De Política) a estudiantes, egresados y otros (“amigos” del departamento) para eventos y publicaciones de interés para la comunidad de politólogos</v>
          </cell>
          <cell r="D34" t="str">
            <v>06-11</v>
          </cell>
          <cell r="E34" t="str">
            <v>12-15</v>
          </cell>
          <cell r="F34" t="str">
            <v>DIR DEPTO</v>
          </cell>
          <cell r="G34" t="str">
            <v>DIR POSGRADOS</v>
          </cell>
          <cell r="H34" t="e">
            <v>#REF!</v>
          </cell>
          <cell r="I34" t="str">
            <v>REVISION BOLETIN</v>
          </cell>
          <cell r="J34" t="str">
            <v># BOLETINES INFORMATIVOS</v>
          </cell>
          <cell r="K34" t="str">
            <v>30 BOLETINES AL AÑO</v>
          </cell>
        </row>
        <row r="35">
          <cell r="A35" t="str">
            <v>4.1.3</v>
          </cell>
          <cell r="B35" t="str">
            <v>1.7.3</v>
          </cell>
          <cell r="C35" t="str">
            <v>Acción 3  Convertir la página del Departamento de Ciencia Política en una herramienta permanentemente actualizada en la que pueden consultarse publicaciones del departamento y eventos de lanzamiento, así como otras noticias de interés para estudiantes, docentes, egresados y otros grupos de interés</v>
          </cell>
          <cell r="D35" t="str">
            <v>01-11</v>
          </cell>
          <cell r="E35" t="str">
            <v>12-11</v>
          </cell>
          <cell r="F35" t="str">
            <v>DIR DEPTO</v>
          </cell>
          <cell r="G35" t="str">
            <v>DIR POSGRADOS</v>
          </cell>
          <cell r="H35" t="e">
            <v>#REF!</v>
          </cell>
          <cell r="I35" t="str">
            <v>REVISION CONTENIDOS PAGINA</v>
          </cell>
          <cell r="J35" t="str">
            <v>DISEÑO PAGINA CON ALTOS ESTANDARES</v>
          </cell>
          <cell r="K35" t="str">
            <v>PAGINACOMPLETAMENTE REDISEÑADA</v>
          </cell>
        </row>
        <row r="36">
          <cell r="A36" t="str">
            <v>Obj: 1 / 2</v>
          </cell>
          <cell r="B36">
            <v>2</v>
          </cell>
          <cell r="C36" t="str">
            <v>Objetivo 2 FORMAR PROFESIONALES DE EXCELENTE CALIDAD, ELEVADO RIGOR ANALÍTICO E IMPECABLE DOMINIO DE LOS PRINCIPALES CONCEPTOS DE LA CIENCIA POLÍTICA A TRAVÉS DE SU DOCENCIA COMPETENTE Y SU PEDAGOGÍA DE EXCELENCIA</v>
          </cell>
          <cell r="D36">
            <v>0</v>
          </cell>
          <cell r="E36">
            <v>0</v>
          </cell>
          <cell r="F36">
            <v>0</v>
          </cell>
          <cell r="G36">
            <v>0</v>
          </cell>
          <cell r="H36" t="e">
            <v>#REF!</v>
          </cell>
          <cell r="I36">
            <v>0</v>
          </cell>
          <cell r="J36">
            <v>0</v>
          </cell>
          <cell r="K36">
            <v>0</v>
          </cell>
        </row>
        <row r="37">
          <cell r="A37" t="str">
            <v>1.2</v>
          </cell>
          <cell r="B37">
            <v>2.1</v>
          </cell>
          <cell r="C37" t="str">
            <v>Subobjetivo 1 Afianzar la capacidad analítica y el manejo de los conceptos y herramientas esenciales de la disciplina de la Ciencia Política en los estudiantes de pregrado y postgrado</v>
          </cell>
          <cell r="D37">
            <v>0</v>
          </cell>
          <cell r="E37">
            <v>0</v>
          </cell>
          <cell r="F37">
            <v>0</v>
          </cell>
          <cell r="G37">
            <v>0</v>
          </cell>
          <cell r="H37" t="e">
            <v>#REF!</v>
          </cell>
          <cell r="I37">
            <v>0</v>
          </cell>
          <cell r="J37">
            <v>0</v>
          </cell>
          <cell r="K37">
            <v>0</v>
          </cell>
        </row>
        <row r="38">
          <cell r="A38" t="str">
            <v>1.2.1</v>
          </cell>
          <cell r="B38" t="str">
            <v>2.1.1</v>
          </cell>
          <cell r="C38" t="str">
            <v>Acción 1 Revisar anualmente los contenidos de los programas de los cursos para asegurarse de que se cubren desde los clásicos hasta los autores de frontera en los diferentes temas cubiertos en los cursos</v>
          </cell>
          <cell r="D38" t="str">
            <v>01-11</v>
          </cell>
          <cell r="E38" t="str">
            <v>12-15</v>
          </cell>
          <cell r="F38" t="str">
            <v>DIR DEPTO</v>
          </cell>
          <cell r="G38" t="str">
            <v>COOR DEPTO</v>
          </cell>
          <cell r="H38" t="e">
            <v>#REF!</v>
          </cell>
          <cell r="I38" t="str">
            <v>CONTENIDOS DE CURSOS</v>
          </cell>
          <cell r="J38" t="str">
            <v># CONTENIDOS DE CURSOS REVISADOS</v>
          </cell>
          <cell r="K38" t="str">
            <v>5 CURSOS REVISADOS AL SEMESTRE</v>
          </cell>
        </row>
        <row r="39">
          <cell r="A39" t="str">
            <v>1.2.2</v>
          </cell>
          <cell r="B39" t="str">
            <v>2.1.2</v>
          </cell>
          <cell r="C39" t="str">
            <v>Acción 2 Dentro del respeto por la liberalidad y flexibilidad del programa académico de la Universidad de los Andes, promover la inscripción de los cursos de Ciencia Política entre los estudiantes del departamento para optimizar la formación disciplinaria</v>
          </cell>
          <cell r="D39" t="str">
            <v>01-11</v>
          </cell>
          <cell r="E39" t="str">
            <v>12-15</v>
          </cell>
          <cell r="F39" t="str">
            <v>DIR DEPTO</v>
          </cell>
          <cell r="G39" t="str">
            <v>COOR DEPTO</v>
          </cell>
          <cell r="H39" t="e">
            <v>#REF!</v>
          </cell>
          <cell r="I39" t="str">
            <v>REVISAR SISTEMA DE PROMOCION DE CURSOS</v>
          </cell>
          <cell r="J39" t="str">
            <v># ESTUDIANTES INSCRITOS EN LOS CURSOS</v>
          </cell>
          <cell r="K39" t="str">
            <v>AUMENTO DEL 30% EN LA INSCRIPCION DE CURSOS</v>
          </cell>
        </row>
        <row r="40">
          <cell r="A40" t="str">
            <v>Eliminada</v>
          </cell>
          <cell r="B40" t="str">
            <v>2.1.3</v>
          </cell>
          <cell r="C40" t="str">
            <v>Acción 3 Conformar un grupo de discusión inter-institucional sobre pedagogía de teoría y métodos</v>
          </cell>
          <cell r="D40" t="str">
            <v>06-12</v>
          </cell>
          <cell r="E40" t="str">
            <v>12-12</v>
          </cell>
          <cell r="F40" t="str">
            <v>DIR DEPTO</v>
          </cell>
          <cell r="G40" t="str">
            <v>COOR DEPTO</v>
          </cell>
          <cell r="H40" t="e">
            <v>#REF!</v>
          </cell>
          <cell r="I40" t="str">
            <v>REVISION DE LA PEDAGOGIA EN TEORIA Y METODOS</v>
          </cell>
          <cell r="J40" t="str">
            <v># REUNIONES DE DISCUSION</v>
          </cell>
          <cell r="K40" t="str">
            <v>2 REUNIONES AL AÑO</v>
          </cell>
        </row>
        <row r="41">
          <cell r="A41" t="str">
            <v>1.2.3</v>
          </cell>
          <cell r="B41" t="str">
            <v>2.1.4</v>
          </cell>
          <cell r="C41" t="str">
            <v>Acción 4 Propiciar una sólida formación metodológica de los estudiantes del postgrado</v>
          </cell>
          <cell r="D41" t="str">
            <v>06-11</v>
          </cell>
          <cell r="E41" t="str">
            <v>12-15</v>
          </cell>
          <cell r="F41" t="str">
            <v>DIR DEPTO</v>
          </cell>
          <cell r="G41" t="str">
            <v>DIR POSGRADOS</v>
          </cell>
          <cell r="H41" t="e">
            <v>#REF!</v>
          </cell>
          <cell r="I41" t="str">
            <v>REVISION CURRICULO</v>
          </cell>
          <cell r="J41" t="str">
            <v># NUEVOS PROGRAMAS</v>
          </cell>
          <cell r="K41" t="str">
            <v>2 REPORTES AL AÑO</v>
          </cell>
        </row>
        <row r="42">
          <cell r="A42" t="str">
            <v>2.2</v>
          </cell>
          <cell r="B42">
            <v>2.2000000000000002</v>
          </cell>
          <cell r="C42" t="str">
            <v>Subobjetivo 2 Perfeccionar la capacidad pedagógica de los profesores del Departamento de Ciencia Política para transmitir a los estudiantes su conocimiento acumulado y generar procesos de aprendizaje autónomo y colectivo</v>
          </cell>
          <cell r="D42">
            <v>0</v>
          </cell>
          <cell r="E42">
            <v>0</v>
          </cell>
          <cell r="F42">
            <v>0</v>
          </cell>
          <cell r="G42">
            <v>0</v>
          </cell>
          <cell r="H42" t="e">
            <v>#REF!</v>
          </cell>
          <cell r="I42">
            <v>0</v>
          </cell>
          <cell r="J42">
            <v>0</v>
          </cell>
          <cell r="K42">
            <v>0</v>
          </cell>
        </row>
        <row r="43">
          <cell r="A43" t="str">
            <v>2.2.1</v>
          </cell>
          <cell r="B43" t="str">
            <v>2.2.1</v>
          </cell>
          <cell r="C43" t="str">
            <v>Acción 1 Proveer espacios seguros para intercambiar buenas y malas prácticas en la docencia y en la evaluación, sobre el supuesto de que el Departamento valora la diversidad de las estrategias pedagógicas y procura la generación de aprendizaje colectivo sobre su eficacia</v>
          </cell>
          <cell r="D43" t="str">
            <v>01-12</v>
          </cell>
          <cell r="E43" t="str">
            <v>12-15</v>
          </cell>
          <cell r="F43" t="str">
            <v>DIR DEPTO</v>
          </cell>
          <cell r="G43" t="str">
            <v>COOR DEPTO</v>
          </cell>
          <cell r="H43" t="e">
            <v>#REF!</v>
          </cell>
          <cell r="I43" t="str">
            <v>REVISION AGENDA REUNIONES</v>
          </cell>
          <cell r="J43" t="str">
            <v># REUNIONES DE PRACTICAS DOCENTES</v>
          </cell>
          <cell r="K43" t="str">
            <v>2 REUNIONES AL AÑO</v>
          </cell>
        </row>
        <row r="44">
          <cell r="A44" t="str">
            <v>2.2.2</v>
          </cell>
          <cell r="B44" t="str">
            <v>2.2.2</v>
          </cell>
          <cell r="C44" t="str">
            <v>Acción 2 Identificar un sistema de tutorías para profesores jóvenes en la organización de sus cursos y sus sistemas de evaluación</v>
          </cell>
          <cell r="D44" t="str">
            <v>01-12</v>
          </cell>
          <cell r="E44" t="str">
            <v>06-12</v>
          </cell>
          <cell r="F44" t="str">
            <v>DIR DEPTO</v>
          </cell>
          <cell r="G44" t="str">
            <v>COOR DEPTO</v>
          </cell>
          <cell r="H44" t="e">
            <v>#REF!</v>
          </cell>
          <cell r="I44" t="str">
            <v>REVISAR SISTEMA DE TUTORIAS CON EL CIFE</v>
          </cell>
          <cell r="J44" t="str">
            <v>UN SISTEMA DE TUTORIA PARA PROFESORES JOVENES</v>
          </cell>
          <cell r="K44" t="str">
            <v>1 CURSO AL AÑO</v>
          </cell>
        </row>
        <row r="45">
          <cell r="A45" t="str">
            <v>Eliminada</v>
          </cell>
          <cell r="B45" t="str">
            <v>2.2.3</v>
          </cell>
          <cell r="C45" t="str">
            <v>Acción 3 Conformar un grupo de discusión inter-institucional sobre pedagogía de teoría y métodos para que sirva de referente en la conformación de la oferta docente del departamento</v>
          </cell>
          <cell r="D45" t="str">
            <v>01-12</v>
          </cell>
          <cell r="E45" t="str">
            <v>06-12</v>
          </cell>
          <cell r="F45" t="str">
            <v>DIR DEPTO</v>
          </cell>
          <cell r="G45" t="str">
            <v>DIR POSGRADOS</v>
          </cell>
          <cell r="H45" t="e">
            <v>#REF!</v>
          </cell>
          <cell r="I45" t="str">
            <v>REVISAR OTROS SISTEMAS DE PEDAGOGIA</v>
          </cell>
          <cell r="J45" t="str">
            <v>CONCRETAR UN SISTEMA DE PEDAGOGIA EN TEORIA Y METODOS</v>
          </cell>
          <cell r="K45" t="str">
            <v>TENER AL MENOS UN SISTEMA DEFINIDO</v>
          </cell>
        </row>
        <row r="46">
          <cell r="A46" t="str">
            <v>Eliminada</v>
          </cell>
          <cell r="B46" t="str">
            <v>2.2.4</v>
          </cell>
          <cell r="C46" t="str">
            <v>Acción 4 Estimular la docencia con la oportunidad de expresar reconocimiento por parte de graduandos</v>
          </cell>
          <cell r="D46" t="str">
            <v>01-12</v>
          </cell>
          <cell r="E46" t="str">
            <v>06-12</v>
          </cell>
          <cell r="F46" t="str">
            <v>DIR DEPTO</v>
          </cell>
          <cell r="G46" t="str">
            <v>DIR POSGRADOS</v>
          </cell>
          <cell r="H46" t="e">
            <v>#REF!</v>
          </cell>
          <cell r="I46" t="str">
            <v>REVISION DE ESTIMULOS ACTUALES</v>
          </cell>
          <cell r="J46" t="str">
            <v>DOCUMENTO DE ESTIMULOS</v>
          </cell>
          <cell r="K46" t="str">
            <v>TENER AL MENOS UN SISTEMA DEFINIDO</v>
          </cell>
        </row>
        <row r="47">
          <cell r="A47" t="str">
            <v>1.3</v>
          </cell>
          <cell r="B47">
            <v>2.2999999999999998</v>
          </cell>
          <cell r="C47" t="str">
            <v>Subobjetivo 3 Sobre la construcción de comunidad académica. Promover la construcción de espacios de comunicación con los estudiantes</v>
          </cell>
          <cell r="D47">
            <v>0</v>
          </cell>
          <cell r="E47">
            <v>0</v>
          </cell>
          <cell r="F47">
            <v>0</v>
          </cell>
          <cell r="G47">
            <v>0</v>
          </cell>
          <cell r="H47" t="e">
            <v>#REF!</v>
          </cell>
          <cell r="I47">
            <v>0</v>
          </cell>
          <cell r="J47">
            <v>0</v>
          </cell>
          <cell r="K47">
            <v>0</v>
          </cell>
        </row>
        <row r="48">
          <cell r="A48" t="str">
            <v>1.3.1</v>
          </cell>
          <cell r="B48" t="str">
            <v>2.3.1</v>
          </cell>
          <cell r="C48" t="str">
            <v xml:space="preserve">Acción 1 Vincular los estudiantes a redes académicas y profesionales relevantes para su disciplina </v>
          </cell>
          <cell r="D48" t="str">
            <v>01-12</v>
          </cell>
          <cell r="E48" t="str">
            <v>06-12</v>
          </cell>
          <cell r="F48" t="str">
            <v>DIR DEPTO</v>
          </cell>
          <cell r="G48" t="str">
            <v>DIR POSGRADOS</v>
          </cell>
          <cell r="H48" t="e">
            <v>#REF!</v>
          </cell>
          <cell r="I48" t="str">
            <v>REVISION DE REDES</v>
          </cell>
          <cell r="J48" t="str">
            <v># DE ESTUDIANTES VINCULADOS A REDES</v>
          </cell>
          <cell r="K48" t="str">
            <v>5% DE LOS ESTUDIANTES VINCULADOS</v>
          </cell>
        </row>
        <row r="49">
          <cell r="A49" t="str">
            <v>1.3.2</v>
          </cell>
          <cell r="B49" t="str">
            <v>2.3.2</v>
          </cell>
          <cell r="C49" t="str">
            <v>Acción 2 Crear un rincón para estudiantes en la página del departamento que incluya un espacio para el periódico estudiantil, la representación estudiantil y trabajos sobresalientes de estudiantes</v>
          </cell>
          <cell r="D49" t="str">
            <v>01-11</v>
          </cell>
          <cell r="E49" t="str">
            <v>06-11</v>
          </cell>
          <cell r="F49" t="str">
            <v>DIR DEPTO</v>
          </cell>
          <cell r="G49" t="str">
            <v>COOR PREGRADO</v>
          </cell>
          <cell r="H49" t="e">
            <v>#REF!</v>
          </cell>
          <cell r="I49" t="str">
            <v>REVISAR EL DISEÑO DE LA PAGINA</v>
          </cell>
          <cell r="J49" t="str">
            <v>SECCION CREADA</v>
          </cell>
          <cell r="K49" t="str">
            <v>CREAR LA SECCION</v>
          </cell>
        </row>
        <row r="50">
          <cell r="A50" t="str">
            <v>1.3.3</v>
          </cell>
          <cell r="B50" t="str">
            <v>2.3.3</v>
          </cell>
          <cell r="C50" t="str">
            <v>Acción 3 Realización anual de la encuesta de satisfacción a estudiantes</v>
          </cell>
          <cell r="D50" t="str">
            <v>01-11</v>
          </cell>
          <cell r="E50" t="str">
            <v>12-15</v>
          </cell>
          <cell r="F50" t="str">
            <v>DIR DEPTO</v>
          </cell>
          <cell r="G50" t="str">
            <v>DIR POSGRADOS</v>
          </cell>
          <cell r="H50" t="e">
            <v>#REF!</v>
          </cell>
          <cell r="I50" t="str">
            <v>REVISION ENCUENTA</v>
          </cell>
          <cell r="J50" t="str">
            <v>ENCUESTA DE SATISFACCION</v>
          </cell>
          <cell r="K50" t="str">
            <v>1 PROCESO DE ENCUESTA AL AÑO</v>
          </cell>
        </row>
        <row r="51">
          <cell r="A51">
            <v>4</v>
          </cell>
          <cell r="B51">
            <v>3</v>
          </cell>
          <cell r="C51" t="str">
            <v>Objetivo 3 CONTRIBUIR Al MEJORAMIENTO DEL DEBATE ACADÉMICO Y POLÍTICO, NACIONAL E INTERNACIONAL, Y A LA FORMULACIÓN DE POLÍTICAS PÚBLICAS DEL PAÍS</v>
          </cell>
          <cell r="D51">
            <v>0</v>
          </cell>
          <cell r="E51">
            <v>0</v>
          </cell>
          <cell r="F51">
            <v>0</v>
          </cell>
          <cell r="G51">
            <v>0</v>
          </cell>
          <cell r="H51" t="e">
            <v>#REF!</v>
          </cell>
          <cell r="I51">
            <v>0</v>
          </cell>
          <cell r="J51">
            <v>0</v>
          </cell>
          <cell r="K51">
            <v>0</v>
          </cell>
        </row>
        <row r="52">
          <cell r="A52" t="str">
            <v>4.2</v>
          </cell>
          <cell r="B52">
            <v>3.1</v>
          </cell>
          <cell r="C52" t="str">
            <v>Subobjetivo 1 Liderar el afianzamiento de redes nacionales e internacionales con académicos y entidades nacionales e internacionales</v>
          </cell>
          <cell r="D52">
            <v>0</v>
          </cell>
          <cell r="E52">
            <v>0</v>
          </cell>
          <cell r="F52">
            <v>0</v>
          </cell>
          <cell r="G52">
            <v>0</v>
          </cell>
          <cell r="H52" t="e">
            <v>#REF!</v>
          </cell>
          <cell r="I52">
            <v>0</v>
          </cell>
          <cell r="J52">
            <v>0</v>
          </cell>
          <cell r="K52">
            <v>0</v>
          </cell>
        </row>
        <row r="53">
          <cell r="A53" t="str">
            <v>4.2.1</v>
          </cell>
          <cell r="B53" t="str">
            <v>3.1.1</v>
          </cell>
          <cell r="C53" t="str">
            <v>Acción 1 Formar parte activa de redes profesionales nacionales (como la Asociación Colombiana de Ciencia Política) e internacionales (American Political Science Association, International Studies Association, ECPR, etc.)</v>
          </cell>
          <cell r="D53" t="str">
            <v>06-11</v>
          </cell>
          <cell r="E53" t="str">
            <v>12-11</v>
          </cell>
          <cell r="F53" t="str">
            <v>DIR DEPTO</v>
          </cell>
          <cell r="G53" t="str">
            <v>DIR POSGRADOS</v>
          </cell>
          <cell r="H53" t="e">
            <v>#REF!</v>
          </cell>
          <cell r="I53" t="str">
            <v>REVISAR CONDICIONES DE INSCRIPCION A LAS REDES</v>
          </cell>
          <cell r="J53" t="str">
            <v>INSCRIPCION A REDES</v>
          </cell>
          <cell r="K53" t="str">
            <v>INSCRIPCION A LA RED NACIONAL E INTERNACIONAL</v>
          </cell>
        </row>
        <row r="54">
          <cell r="A54" t="str">
            <v>4.1.4</v>
          </cell>
          <cell r="B54" t="str">
            <v>3.1.2</v>
          </cell>
          <cell r="C54" t="str">
            <v>Acción 2 Promover la participación de estudiantes e investigadores de otras universidades en los eventos organizados por el departamento por medio de la circulación temprana de información y la emisión de certificados</v>
          </cell>
          <cell r="D54" t="str">
            <v>06-11</v>
          </cell>
          <cell r="E54" t="str">
            <v>12-11</v>
          </cell>
          <cell r="F54" t="str">
            <v>DIR DEPTO</v>
          </cell>
          <cell r="G54" t="str">
            <v>DIR POSGRADOS</v>
          </cell>
          <cell r="H54" t="e">
            <v>#REF!</v>
          </cell>
          <cell r="I54" t="str">
            <v>REVISION PARTICIPACION ACTUAL</v>
          </cell>
          <cell r="J54" t="str">
            <v># ESTUDIANTES QUE PARTICIPAN EN EVENTOS</v>
          </cell>
          <cell r="K54" t="str">
            <v>5% DE LOS ESTUDIANTES PARTICIPANDO EN EVENTOS</v>
          </cell>
        </row>
        <row r="55">
          <cell r="A55" t="str">
            <v>4.2</v>
          </cell>
          <cell r="B55">
            <v>3.2</v>
          </cell>
          <cell r="C55" t="str">
            <v>Subobjetivo 2 Mantener una comunicación regular con líderes académicos y con líderes del sector público o privado, nacional o internacional, para intercambiar ideas y facilitar la transmisión del conocimiento académico a los procesos de toma de decisiones</v>
          </cell>
          <cell r="D55">
            <v>0</v>
          </cell>
          <cell r="E55">
            <v>0</v>
          </cell>
          <cell r="F55">
            <v>0</v>
          </cell>
          <cell r="G55">
            <v>0</v>
          </cell>
          <cell r="H55" t="e">
            <v>#REF!</v>
          </cell>
          <cell r="I55">
            <v>0</v>
          </cell>
          <cell r="J55">
            <v>0</v>
          </cell>
          <cell r="K55">
            <v>0</v>
          </cell>
        </row>
        <row r="56">
          <cell r="A56" t="str">
            <v>4.2.2</v>
          </cell>
          <cell r="B56" t="str">
            <v>3.2.1</v>
          </cell>
          <cell r="C56" t="str">
            <v>Acción 1 Invitar a líderes académicos y del sector público o privado, nacional o internacional, a espacios cerrados y confidenciales para conversar sobre avances o temas de actualidad (“Viernes de política”)</v>
          </cell>
          <cell r="D56" t="str">
            <v>01-12</v>
          </cell>
          <cell r="E56" t="str">
            <v>12-15</v>
          </cell>
          <cell r="F56" t="str">
            <v>DIR DEPTO</v>
          </cell>
          <cell r="G56" t="str">
            <v>DIR POSGRADOS</v>
          </cell>
          <cell r="H56" t="e">
            <v>#REF!</v>
          </cell>
          <cell r="I56" t="str">
            <v>REVISION DE ESPACIOS ACTUALES</v>
          </cell>
          <cell r="J56" t="str">
            <v># DE REUNIONES</v>
          </cell>
          <cell r="K56" t="str">
            <v>4 REUNIONES AL AÑO</v>
          </cell>
        </row>
        <row r="57">
          <cell r="A57" t="str">
            <v>Eliminada</v>
          </cell>
          <cell r="B57" t="str">
            <v>3.2.2</v>
          </cell>
          <cell r="C57" t="str">
            <v>Acción 2 Envío de boletín semanal del depto (De Política) a listas actualizadas semestralmente de interesados en el medio externo</v>
          </cell>
          <cell r="D57" t="str">
            <v>01-12</v>
          </cell>
          <cell r="E57" t="str">
            <v>12-15</v>
          </cell>
          <cell r="F57" t="str">
            <v>DIR DEPTO</v>
          </cell>
          <cell r="G57" t="str">
            <v>DIR POSGRADOS</v>
          </cell>
          <cell r="H57" t="e">
            <v>#REF!</v>
          </cell>
          <cell r="I57" t="str">
            <v>REVISION DE LISTAS DE INTERSADOS</v>
          </cell>
          <cell r="J57" t="str">
            <v># RECEPTORES</v>
          </cell>
          <cell r="K57" t="str">
            <v>100 RECEPTORES AL AÑO</v>
          </cell>
        </row>
        <row r="58">
          <cell r="A58" t="str">
            <v>4.2.3</v>
          </cell>
          <cell r="B58" t="str">
            <v>3.2.3</v>
          </cell>
          <cell r="C58" t="str">
            <v>Acción 3 Envío de publicaciones de forma segmentada a públicos relevantes</v>
          </cell>
          <cell r="D58" t="str">
            <v>01-12</v>
          </cell>
          <cell r="E58" t="str">
            <v>12-15</v>
          </cell>
          <cell r="F58" t="str">
            <v>DIR DEPTO</v>
          </cell>
          <cell r="G58" t="str">
            <v>DIR POSGRADOS</v>
          </cell>
          <cell r="H58" t="e">
            <v>#REF!</v>
          </cell>
          <cell r="I58" t="str">
            <v>REVISION DE LISTAS DE PUBLICO RELEVANTE</v>
          </cell>
          <cell r="J58" t="str">
            <v># RECEPTORES</v>
          </cell>
          <cell r="K58" t="str">
            <v>200 RECEPTORES AL AÑO</v>
          </cell>
        </row>
      </sheetData>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_repetidas Deca"/>
      <sheetName val="Revisión Decanatura"/>
      <sheetName val="Acc_repetidas Hist"/>
      <sheetName val="Revisión Historia"/>
      <sheetName val="Acc_repetidas Psicol"/>
      <sheetName val="Revisión Psicología"/>
      <sheetName val="Acc_Repetidas Leng"/>
      <sheetName val="Revisión Lenguajes"/>
      <sheetName val="Acc_Repetidas Antropo"/>
      <sheetName val="Revisión Antropología"/>
      <sheetName val="Acc_Repetidas CPol"/>
      <sheetName val="Revisión Ciencia Política"/>
      <sheetName val="Acc_Repet Filos"/>
      <sheetName val="Revisión Filosofía"/>
    </sheetNames>
    <sheetDataSet>
      <sheetData sheetId="0"/>
      <sheetData sheetId="1">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v>1</v>
          </cell>
          <cell r="B5">
            <v>1</v>
          </cell>
          <cell r="C5" t="str">
            <v>Objetivo 1 Consolidar la Facultad como líder en Colombia y la región por medio de sus programas de pregrado y posgrado</v>
          </cell>
          <cell r="D5">
            <v>0</v>
          </cell>
          <cell r="E5">
            <v>0</v>
          </cell>
          <cell r="F5">
            <v>0</v>
          </cell>
          <cell r="G5">
            <v>0</v>
          </cell>
          <cell r="H5">
            <v>0</v>
          </cell>
          <cell r="I5">
            <v>0</v>
          </cell>
          <cell r="J5">
            <v>0</v>
          </cell>
          <cell r="K5">
            <v>0</v>
          </cell>
        </row>
        <row r="6">
          <cell r="A6" t="str">
            <v>1.1</v>
          </cell>
          <cell r="B6" t="str">
            <v>1.1</v>
          </cell>
          <cell r="C6" t="str">
            <v>Subobjetivo 1 Consolidar la Facultad como lugar de referencia en formación de pregrado</v>
          </cell>
          <cell r="D6">
            <v>0</v>
          </cell>
          <cell r="E6">
            <v>0</v>
          </cell>
          <cell r="F6">
            <v>0</v>
          </cell>
          <cell r="G6">
            <v>0</v>
          </cell>
          <cell r="H6">
            <v>0</v>
          </cell>
          <cell r="I6">
            <v>0</v>
          </cell>
          <cell r="J6">
            <v>0</v>
          </cell>
          <cell r="K6">
            <v>0</v>
          </cell>
        </row>
        <row r="7">
          <cell r="A7" t="str">
            <v>1.1.1</v>
          </cell>
          <cell r="B7" t="str">
            <v>1.1.1</v>
          </cell>
          <cell r="C7" t="str">
            <v>Acción 1 Seguimiento a la calidad docente</v>
          </cell>
          <cell r="D7" t="str">
            <v>01-11</v>
          </cell>
          <cell r="E7" t="str">
            <v>12-15</v>
          </cell>
          <cell r="F7" t="str">
            <v>DECANO</v>
          </cell>
          <cell r="G7" t="str">
            <v>DIR DEPTO</v>
          </cell>
          <cell r="H7">
            <v>0</v>
          </cell>
          <cell r="I7" t="str">
            <v>REVISION SISTEMA ACTUAL</v>
          </cell>
          <cell r="J7" t="str">
            <v>AUMENTO # EVALUCIONES POSITIVAS</v>
          </cell>
          <cell r="K7" t="str">
            <v>AUMENTO EN EL PROMEDIO DE LAS EVALUACIONES</v>
          </cell>
        </row>
        <row r="8">
          <cell r="A8" t="str">
            <v>1.1.2</v>
          </cell>
          <cell r="B8" t="str">
            <v>1.1.2</v>
          </cell>
          <cell r="C8" t="str">
            <v>Acción 2 Estrategias de mejoramiento de la pedagogía</v>
          </cell>
          <cell r="D8" t="str">
            <v>01-11</v>
          </cell>
          <cell r="E8" t="str">
            <v>12-15</v>
          </cell>
          <cell r="F8" t="str">
            <v>DECANO</v>
          </cell>
          <cell r="G8" t="str">
            <v>DIR DEPTO</v>
          </cell>
          <cell r="H8">
            <v>0</v>
          </cell>
          <cell r="I8" t="str">
            <v>REVISION SISTEMA ACTUAL</v>
          </cell>
          <cell r="J8" t="str">
            <v>AUMENTO # EVALUCIONES POSITIVAS</v>
          </cell>
          <cell r="K8" t="str">
            <v>AUMENTO EN EL PROMEDIO DE LAS EVALUACIONES</v>
          </cell>
        </row>
        <row r="9">
          <cell r="A9" t="str">
            <v>1.2.1</v>
          </cell>
          <cell r="B9" t="str">
            <v>1.1.3</v>
          </cell>
          <cell r="C9" t="str">
            <v>Acción 3 Seguimiento estructura curricular de acuerdo con el PDI</v>
          </cell>
          <cell r="D9" t="str">
            <v>01-11</v>
          </cell>
          <cell r="E9" t="str">
            <v>12-15</v>
          </cell>
          <cell r="F9" t="str">
            <v>DECANO</v>
          </cell>
          <cell r="G9" t="str">
            <v>DIR DEPTO</v>
          </cell>
          <cell r="H9">
            <v>0</v>
          </cell>
          <cell r="I9" t="str">
            <v>REVISION CURRICULO ACTUAL</v>
          </cell>
          <cell r="J9" t="str">
            <v>NUEVOS CURRICULOS</v>
          </cell>
          <cell r="K9" t="str">
            <v>REVISION DE LOS CURRICULOS DE PREGRADO</v>
          </cell>
        </row>
        <row r="10">
          <cell r="A10" t="str">
            <v>2.1.1</v>
          </cell>
          <cell r="B10" t="str">
            <v>1.1.4</v>
          </cell>
          <cell r="C10" t="str">
            <v>Acción 3 Promoción y reclutamiento de los mejores estudiantes</v>
          </cell>
          <cell r="D10" t="str">
            <v>01-11</v>
          </cell>
          <cell r="E10" t="str">
            <v>12-15</v>
          </cell>
          <cell r="F10" t="str">
            <v>DECANO</v>
          </cell>
          <cell r="G10" t="str">
            <v>DIR DEPTO</v>
          </cell>
          <cell r="H10">
            <v>0</v>
          </cell>
          <cell r="I10" t="str">
            <v>REVISION SISTEMA RECLUTAMIENTO</v>
          </cell>
          <cell r="J10" t="str">
            <v># ESTUDIANTES RECLUTADOS</v>
          </cell>
          <cell r="K10" t="str">
            <v>AUMENTO EN EL NUMERO DE INSCRITOS</v>
          </cell>
        </row>
        <row r="11">
          <cell r="A11">
            <v>1</v>
          </cell>
          <cell r="B11">
            <v>1.2</v>
          </cell>
          <cell r="C11" t="str">
            <v>Subobjetivo 2 Consolidar la Facultad como lugar de referencia en formación de posgrado</v>
          </cell>
          <cell r="D11">
            <v>0</v>
          </cell>
          <cell r="E11">
            <v>0</v>
          </cell>
          <cell r="F11">
            <v>0</v>
          </cell>
          <cell r="G11">
            <v>0</v>
          </cell>
          <cell r="H11">
            <v>0</v>
          </cell>
          <cell r="I11">
            <v>0</v>
          </cell>
          <cell r="J11">
            <v>0</v>
          </cell>
          <cell r="K11">
            <v>0</v>
          </cell>
        </row>
        <row r="12">
          <cell r="A12" t="str">
            <v>2.1.1</v>
          </cell>
          <cell r="B12" t="str">
            <v>1.2.1</v>
          </cell>
          <cell r="C12" t="str">
            <v>Acción 1 Garantizar el acceso de los mejores estudiantes</v>
          </cell>
          <cell r="D12" t="str">
            <v>01-11</v>
          </cell>
          <cell r="E12" t="str">
            <v>12-15</v>
          </cell>
          <cell r="F12" t="str">
            <v>DECANO</v>
          </cell>
          <cell r="G12" t="str">
            <v>DIR DEPTO</v>
          </cell>
          <cell r="H12">
            <v>0</v>
          </cell>
          <cell r="I12" t="str">
            <v>REVISION SISTEMA RECLUTAMIENTO</v>
          </cell>
          <cell r="J12" t="str">
            <v># ESTUDIANTES RECLUTADOS</v>
          </cell>
          <cell r="K12" t="str">
            <v>AUMENTO EN EL NUMERO DE INSCRITOS</v>
          </cell>
        </row>
        <row r="13">
          <cell r="A13" t="str">
            <v>3.2.3</v>
          </cell>
          <cell r="B13" t="str">
            <v>1.2.2</v>
          </cell>
          <cell r="C13" t="str">
            <v>Acción 2 Involucrar a los estudiantes de posgrado en las líneas y grupos de investigación de la Facultad</v>
          </cell>
          <cell r="D13" t="str">
            <v>01-12</v>
          </cell>
          <cell r="E13" t="str">
            <v>12-15</v>
          </cell>
          <cell r="F13" t="str">
            <v>DECANO</v>
          </cell>
          <cell r="G13" t="str">
            <v>DIR DEPTO</v>
          </cell>
          <cell r="H13">
            <v>0</v>
          </cell>
          <cell r="I13" t="str">
            <v>REVISION PARTICIPACION ACTUAL</v>
          </cell>
          <cell r="J13" t="str">
            <v># ESTUDIANTES EN GRUPOS DE INVESTIGACION</v>
          </cell>
          <cell r="K13" t="str">
            <v>AUMENTO DE 20% EN EL NUMERO DE ESTUDIANTES EN GRUPOS DE INV</v>
          </cell>
        </row>
        <row r="14">
          <cell r="A14" t="str">
            <v>2.1.2</v>
          </cell>
          <cell r="B14" t="str">
            <v>1.2.3</v>
          </cell>
          <cell r="C14" t="str">
            <v>Acción 3 Establecer sistemas de apoyo sostenibles para los estudiantes de posgrado</v>
          </cell>
          <cell r="D14" t="str">
            <v>01-12</v>
          </cell>
          <cell r="E14" t="str">
            <v>12-15</v>
          </cell>
          <cell r="F14" t="str">
            <v>DECANO</v>
          </cell>
          <cell r="G14" t="str">
            <v>DIR DEPTO</v>
          </cell>
          <cell r="H14">
            <v>0</v>
          </cell>
          <cell r="I14" t="str">
            <v>REVISION SISTEMA DE APOYO ACTUAL</v>
          </cell>
          <cell r="J14" t="str">
            <v>SISTEMA DE APOYO SOSTENIBLE</v>
          </cell>
          <cell r="K14" t="str">
            <v>GESTIONAR 500M DE DONACIONES</v>
          </cell>
        </row>
        <row r="15">
          <cell r="A15" t="str">
            <v>3.6.2</v>
          </cell>
          <cell r="B15" t="str">
            <v>1.2.4</v>
          </cell>
          <cell r="C15" t="str">
            <v>Acción 4 Establecer intercambio de estudiantes que van o vienen en pasantías que convierten a uniandes en punto de referencia</v>
          </cell>
          <cell r="D15" t="str">
            <v>01-12</v>
          </cell>
          <cell r="E15" t="str">
            <v>12-15</v>
          </cell>
          <cell r="F15" t="str">
            <v>DECANO</v>
          </cell>
          <cell r="G15" t="str">
            <v>DIR DEPTO</v>
          </cell>
          <cell r="H15">
            <v>0</v>
          </cell>
          <cell r="I15" t="str">
            <v>REVISION PASANTIAS ACTUALES</v>
          </cell>
          <cell r="J15" t="str">
            <v># ESTUDIANTES EN PASANTÍA</v>
          </cell>
          <cell r="K15" t="str">
            <v>100% DE LOS ESTUDIANTES EN PASANTIA</v>
          </cell>
        </row>
        <row r="16">
          <cell r="A16" t="str">
            <v>3.6.1</v>
          </cell>
          <cell r="B16" t="str">
            <v>1.2.5</v>
          </cell>
          <cell r="C16" t="str">
            <v>Acción 5 Cotutorías y proyectos de investigación conjunta con centros y/o universidades extranjeras de calidad</v>
          </cell>
          <cell r="D16" t="str">
            <v>01-12</v>
          </cell>
          <cell r="E16" t="str">
            <v>12-15</v>
          </cell>
          <cell r="F16" t="str">
            <v>DECANO</v>
          </cell>
          <cell r="G16" t="str">
            <v>DIR DEPTO</v>
          </cell>
          <cell r="H16">
            <v>0</v>
          </cell>
          <cell r="I16" t="str">
            <v>REVISION PROYECTOS CONJUNTOS</v>
          </cell>
          <cell r="J16" t="str">
            <v># PROYECTOS CONJUNTOS</v>
          </cell>
          <cell r="K16" t="str">
            <v>3 PROYECTOS CONJUNTOS POR AÑO</v>
          </cell>
        </row>
        <row r="17">
          <cell r="A17" t="str">
            <v>3.2</v>
          </cell>
          <cell r="B17">
            <v>1.3</v>
          </cell>
          <cell r="C17" t="str">
            <v>Subobjetivo 3 Articular la relación posgrados-Investigación</v>
          </cell>
          <cell r="D17">
            <v>0</v>
          </cell>
          <cell r="E17">
            <v>0</v>
          </cell>
          <cell r="F17">
            <v>0</v>
          </cell>
          <cell r="G17">
            <v>0</v>
          </cell>
          <cell r="H17">
            <v>0</v>
          </cell>
          <cell r="I17">
            <v>0</v>
          </cell>
          <cell r="J17">
            <v>0</v>
          </cell>
          <cell r="K17">
            <v>0</v>
          </cell>
        </row>
        <row r="18">
          <cell r="A18" t="str">
            <v>3.2.1</v>
          </cell>
          <cell r="B18" t="str">
            <v>1.3.1</v>
          </cell>
          <cell r="C18" t="str">
            <v>Acción 1 Estructurar los grupos de investigación (Colciencias) en torno a las actividades de posgrado</v>
          </cell>
          <cell r="D18" t="str">
            <v>01-12</v>
          </cell>
          <cell r="E18" t="str">
            <v>12-15</v>
          </cell>
          <cell r="F18" t="str">
            <v>DECANO</v>
          </cell>
          <cell r="G18" t="str">
            <v>DIR DEPTO</v>
          </cell>
          <cell r="H18">
            <v>0</v>
          </cell>
          <cell r="I18" t="str">
            <v>REVISION LINEAS INV GRUPOS</v>
          </cell>
          <cell r="J18" t="str">
            <v># DE LINEAS ARTICULADAS CON EL POSGRADO</v>
          </cell>
          <cell r="K18" t="str">
            <v>4 LINEAS ARTICULADAS CON EL POSGRADO AL AÑO</v>
          </cell>
        </row>
        <row r="19">
          <cell r="A19" t="str">
            <v>3.2.2</v>
          </cell>
          <cell r="B19" t="str">
            <v>1.3.2</v>
          </cell>
          <cell r="C19" t="str">
            <v>Acción 2 Articular necesidades docentes con necesidades de investigación</v>
          </cell>
          <cell r="D19" t="str">
            <v>01-12</v>
          </cell>
          <cell r="E19" t="str">
            <v>12-15</v>
          </cell>
          <cell r="F19" t="str">
            <v>DECANO</v>
          </cell>
          <cell r="G19" t="str">
            <v>DIR DEPTO</v>
          </cell>
          <cell r="H19">
            <v>0</v>
          </cell>
          <cell r="I19" t="str">
            <v>REVISION RELACION ACTUAL NECESIDADES DOC-INV</v>
          </cell>
          <cell r="J19" t="str">
            <v>DOCUMENTO FACULTAD</v>
          </cell>
          <cell r="K19" t="str">
            <v>1 DOCUMENTO AL AÑO</v>
          </cell>
        </row>
        <row r="20">
          <cell r="A20" t="str">
            <v>3.1.1</v>
          </cell>
          <cell r="B20" t="str">
            <v>1.3.3</v>
          </cell>
          <cell r="C20" t="str">
            <v>Acción 3 Estimular la financiación de estudiantes de posgrado en proyectos de investigación</v>
          </cell>
          <cell r="D20" t="str">
            <v>01-12</v>
          </cell>
          <cell r="E20" t="str">
            <v>12-15</v>
          </cell>
          <cell r="F20" t="str">
            <v>DECANO</v>
          </cell>
          <cell r="G20" t="str">
            <v>DIR DEPTO</v>
          </cell>
          <cell r="H20">
            <v>0</v>
          </cell>
          <cell r="I20" t="str">
            <v>SISTEMA ACTUAL DE PRESUPUESTO PROYECTOS</v>
          </cell>
          <cell r="J20" t="str">
            <v>DOCUMENTO FACULTAD</v>
          </cell>
          <cell r="K20" t="str">
            <v>1 DOCUMENTO AL AÑO</v>
          </cell>
        </row>
        <row r="21">
          <cell r="A21">
            <v>3</v>
          </cell>
          <cell r="B21">
            <v>2</v>
          </cell>
          <cell r="C21" t="str">
            <v>Objetivo 2 Consolidar la Facultad como líder en Colombia en actividades de Investigación y divulgación de la misma</v>
          </cell>
          <cell r="D21">
            <v>0</v>
          </cell>
          <cell r="E21">
            <v>0</v>
          </cell>
          <cell r="F21">
            <v>0</v>
          </cell>
          <cell r="G21">
            <v>0</v>
          </cell>
          <cell r="H21">
            <v>0</v>
          </cell>
          <cell r="I21">
            <v>0</v>
          </cell>
          <cell r="J21">
            <v>0</v>
          </cell>
          <cell r="K21">
            <v>0</v>
          </cell>
        </row>
        <row r="22">
          <cell r="A22" t="str">
            <v>3.3</v>
          </cell>
          <cell r="B22">
            <v>2.1</v>
          </cell>
          <cell r="C22" t="str">
            <v>Subobjetivo 1 Incrementar la cantidad y calidad de investigaciones</v>
          </cell>
          <cell r="D22">
            <v>0</v>
          </cell>
          <cell r="E22">
            <v>0</v>
          </cell>
          <cell r="F22">
            <v>0</v>
          </cell>
          <cell r="G22">
            <v>0</v>
          </cell>
          <cell r="H22">
            <v>0</v>
          </cell>
          <cell r="I22">
            <v>0</v>
          </cell>
          <cell r="J22">
            <v>0</v>
          </cell>
          <cell r="K22">
            <v>0</v>
          </cell>
        </row>
        <row r="23">
          <cell r="A23" t="str">
            <v>3.3.1</v>
          </cell>
          <cell r="B23" t="str">
            <v>2.1.1</v>
          </cell>
          <cell r="C23" t="str">
            <v>Acción 1 Consolidar mecanismos de evaluación de pares</v>
          </cell>
          <cell r="D23" t="str">
            <v>01-12</v>
          </cell>
          <cell r="E23" t="str">
            <v>12-15</v>
          </cell>
          <cell r="F23" t="str">
            <v>DECANO</v>
          </cell>
          <cell r="G23" t="str">
            <v>DIR DEPTO</v>
          </cell>
          <cell r="H23">
            <v>0</v>
          </cell>
          <cell r="I23" t="str">
            <v>REVISION SISTEMA EVALUACION</v>
          </cell>
          <cell r="J23" t="str">
            <v># PROYECTOS EVALUADOS CON PARES</v>
          </cell>
          <cell r="K23" t="str">
            <v>AUMENTO DE 30% DE PROYECTOS EVALUADOS CON PARES</v>
          </cell>
        </row>
        <row r="24">
          <cell r="A24" t="str">
            <v>3.4.5</v>
          </cell>
          <cell r="B24" t="str">
            <v>2.1.2</v>
          </cell>
          <cell r="C24" t="str">
            <v>Acción 2 Consolidación comité editorial</v>
          </cell>
          <cell r="D24" t="str">
            <v>01-11</v>
          </cell>
          <cell r="E24" t="str">
            <v>12-11</v>
          </cell>
          <cell r="F24" t="str">
            <v>DECANO</v>
          </cell>
          <cell r="G24" t="str">
            <v>DIR CESO</v>
          </cell>
          <cell r="H24">
            <v>0</v>
          </cell>
          <cell r="I24" t="str">
            <v>REVISION COMITÉ ACTUAL</v>
          </cell>
          <cell r="J24" t="str">
            <v>CONFIGURACION COMITÉ DE ACUERDO CON ESTANDAR</v>
          </cell>
          <cell r="K24" t="str">
            <v>CONFIGURACION COMITÉ DE ACUERDO CON ESTANDAR</v>
          </cell>
        </row>
        <row r="25">
          <cell r="A25" t="str">
            <v>3.1.2</v>
          </cell>
          <cell r="B25" t="str">
            <v>2.1.3</v>
          </cell>
          <cell r="C25" t="str">
            <v>Acción 3 Incrementar apoyo financiero de proyectos</v>
          </cell>
          <cell r="D25" t="str">
            <v>01-11</v>
          </cell>
          <cell r="E25" t="str">
            <v>12-11</v>
          </cell>
          <cell r="F25" t="str">
            <v>DECANO</v>
          </cell>
          <cell r="G25" t="str">
            <v>DIR CESO</v>
          </cell>
          <cell r="H25">
            <v>0</v>
          </cell>
          <cell r="I25" t="str">
            <v>REVISION APOYO FINANCIERO ACTUAL</v>
          </cell>
          <cell r="J25" t="str">
            <v># PROYECTOS FINANCIADOS</v>
          </cell>
          <cell r="K25" t="str">
            <v>AUMENTO DE 30% EN PROYECTOS FINANCIADOS</v>
          </cell>
        </row>
        <row r="26">
          <cell r="A26" t="str">
            <v>3.3.2</v>
          </cell>
          <cell r="B26" t="str">
            <v>2.1.4</v>
          </cell>
          <cell r="C26" t="str">
            <v>Acción 4 apoyar la elaboración y presentación de proyectos</v>
          </cell>
          <cell r="D26" t="str">
            <v>01-11</v>
          </cell>
          <cell r="E26" t="str">
            <v>12-11</v>
          </cell>
          <cell r="F26" t="str">
            <v>DECANO</v>
          </cell>
          <cell r="G26" t="str">
            <v>DIR CESO</v>
          </cell>
          <cell r="H26">
            <v>0</v>
          </cell>
          <cell r="I26" t="str">
            <v>REVISION SISTEMA APOYO ACTUAL</v>
          </cell>
          <cell r="J26" t="str">
            <v># DE PROYECTOS APOYADOS</v>
          </cell>
          <cell r="K26" t="str">
            <v>AUMENTO DE 30% EN PROYECTOS FINANCIADOS</v>
          </cell>
        </row>
        <row r="27">
          <cell r="A27" t="str">
            <v>3.3.3</v>
          </cell>
          <cell r="B27" t="str">
            <v>2.1.5</v>
          </cell>
          <cell r="C27" t="str">
            <v>Acción 5 Establecer sistema de indicadores de investigación útil para la planeación estratégica</v>
          </cell>
          <cell r="D27" t="str">
            <v>01-11</v>
          </cell>
          <cell r="E27" t="str">
            <v>12-11</v>
          </cell>
          <cell r="F27" t="str">
            <v>DECANO</v>
          </cell>
          <cell r="G27" t="str">
            <v>DIR CESO</v>
          </cell>
          <cell r="H27">
            <v>0</v>
          </cell>
          <cell r="I27" t="str">
            <v>REVISION SISTEMA INDICADORES ACTUAL</v>
          </cell>
          <cell r="J27" t="str">
            <v>DOCUMENTO</v>
          </cell>
          <cell r="K27" t="str">
            <v>1 DOCUMENTO AL AÑO</v>
          </cell>
        </row>
        <row r="28">
          <cell r="A28" t="str">
            <v>3.3.5</v>
          </cell>
          <cell r="B28" t="str">
            <v>2.1.6</v>
          </cell>
          <cell r="C28" t="str">
            <v>Acción 6 Fortalecimiento de Biblioteca y bases de datos</v>
          </cell>
          <cell r="D28" t="str">
            <v>01-11</v>
          </cell>
          <cell r="E28" t="str">
            <v>12-13</v>
          </cell>
          <cell r="F28" t="str">
            <v>DECANO</v>
          </cell>
          <cell r="G28" t="str">
            <v>DIR CESO</v>
          </cell>
          <cell r="H28">
            <v>0</v>
          </cell>
          <cell r="I28" t="str">
            <v>REVISION LIBROS Y BD</v>
          </cell>
          <cell r="J28" t="str">
            <v># LIBROS COMPRADOS</v>
          </cell>
          <cell r="K28" t="str">
            <v>AUMENTO DEL 20% EN LIBROS COMPRADOS</v>
          </cell>
        </row>
        <row r="29">
          <cell r="A29" t="str">
            <v>3.4</v>
          </cell>
          <cell r="B29">
            <v>2.2000000000000002</v>
          </cell>
          <cell r="C29" t="str">
            <v>Subobjetivo 2 Garantizar la visibilidad e impacto de las actividades de investigación de la Facultad</v>
          </cell>
          <cell r="D29">
            <v>0</v>
          </cell>
          <cell r="E29">
            <v>0</v>
          </cell>
          <cell r="F29">
            <v>0</v>
          </cell>
          <cell r="G29">
            <v>0</v>
          </cell>
          <cell r="H29">
            <v>0</v>
          </cell>
          <cell r="I29">
            <v>0</v>
          </cell>
          <cell r="J29">
            <v>0</v>
          </cell>
          <cell r="K29">
            <v>0</v>
          </cell>
        </row>
        <row r="30">
          <cell r="A30" t="str">
            <v>3.4.1</v>
          </cell>
          <cell r="B30" t="str">
            <v>2.2.1</v>
          </cell>
          <cell r="C30" t="str">
            <v>Acción 1 Rediseño estrategias de divulgación</v>
          </cell>
          <cell r="D30" t="str">
            <v>01-11</v>
          </cell>
          <cell r="E30" t="str">
            <v>12-11</v>
          </cell>
          <cell r="F30" t="str">
            <v>DECANO</v>
          </cell>
          <cell r="G30" t="str">
            <v>DIR DEPTO</v>
          </cell>
          <cell r="H30">
            <v>0</v>
          </cell>
          <cell r="I30" t="str">
            <v>REVISION ESTRATEGIAS ACTUALES DIVULGACION</v>
          </cell>
          <cell r="J30" t="str">
            <v>DOCUMENTO ESTRATEGIAS</v>
          </cell>
          <cell r="K30" t="str">
            <v>1 DOCUMENTO AL AÑO</v>
          </cell>
        </row>
        <row r="31">
          <cell r="A31" t="str">
            <v>3.3.4</v>
          </cell>
          <cell r="B31" t="str">
            <v>2.2.2</v>
          </cell>
          <cell r="C31" t="str">
            <v>Acción 2 Publicación de resultados de investigación con criterios de calidad</v>
          </cell>
          <cell r="D31" t="str">
            <v>01-11</v>
          </cell>
          <cell r="E31" t="str">
            <v>12-11</v>
          </cell>
          <cell r="F31" t="str">
            <v>DECANO</v>
          </cell>
          <cell r="G31" t="str">
            <v>DIR DEPTO</v>
          </cell>
          <cell r="H31">
            <v>0</v>
          </cell>
          <cell r="I31" t="str">
            <v>REVISION PUBLICACIONES ACTUALES</v>
          </cell>
          <cell r="J31" t="str">
            <v># PUBLICACIONES CALIDAD</v>
          </cell>
          <cell r="K31" t="str">
            <v>AUMENTO DEL 20% EN PUBLICACIONES DE CALIDAD</v>
          </cell>
        </row>
        <row r="32">
          <cell r="A32" t="str">
            <v>3.4.1</v>
          </cell>
          <cell r="B32" t="str">
            <v>2.2.3</v>
          </cell>
          <cell r="C32" t="str">
            <v>Acción 3 Rediseño de colecciones</v>
          </cell>
          <cell r="D32" t="str">
            <v>01-11</v>
          </cell>
          <cell r="E32" t="str">
            <v>12-11</v>
          </cell>
          <cell r="F32" t="str">
            <v>DECANO</v>
          </cell>
          <cell r="G32" t="str">
            <v>DIR DEPTO</v>
          </cell>
          <cell r="H32">
            <v>0</v>
          </cell>
          <cell r="I32" t="str">
            <v>REVISION COLECCIONES</v>
          </cell>
          <cell r="J32" t="str">
            <v># COLECCIONES LANZADAS</v>
          </cell>
          <cell r="K32" t="str">
            <v>2 COLECCIONES POR AÑO</v>
          </cell>
        </row>
        <row r="33">
          <cell r="A33" t="str">
            <v>3.3.6</v>
          </cell>
          <cell r="B33" t="str">
            <v>2.2.4</v>
          </cell>
          <cell r="C33" t="str">
            <v>Acción 4 Mayor presencia en revistas de primer nivel</v>
          </cell>
          <cell r="D33" t="str">
            <v>01-11</v>
          </cell>
          <cell r="E33" t="str">
            <v>12-15</v>
          </cell>
          <cell r="F33" t="str">
            <v>DECANO</v>
          </cell>
          <cell r="G33" t="str">
            <v>DIR DEPTO</v>
          </cell>
          <cell r="H33">
            <v>0</v>
          </cell>
          <cell r="I33" t="str">
            <v>INVENTARIO DE PUBLICACION</v>
          </cell>
          <cell r="J33" t="str">
            <v># DE REVISTAS DE PRIMER NIVEL</v>
          </cell>
          <cell r="K33" t="str">
            <v>6 REVISTAS DE PRIMER NIVEL AL AÑO</v>
          </cell>
        </row>
        <row r="34">
          <cell r="A34" t="str">
            <v>3.4.2</v>
          </cell>
          <cell r="B34" t="str">
            <v>2.2.5</v>
          </cell>
          <cell r="C34" t="str">
            <v>Acción 5 Inclusión en Bases de Datos electrónicas</v>
          </cell>
          <cell r="D34" t="str">
            <v>01-11</v>
          </cell>
          <cell r="E34" t="str">
            <v>12-15</v>
          </cell>
          <cell r="F34" t="str">
            <v>DECANO</v>
          </cell>
          <cell r="G34" t="str">
            <v>DIR DEPTO</v>
          </cell>
          <cell r="H34">
            <v>0</v>
          </cell>
          <cell r="I34" t="str">
            <v>INVENTARIO DE BD ELECTRONICAS</v>
          </cell>
          <cell r="J34" t="str">
            <v># DE BASE DE DATOS ELECTRONICAS</v>
          </cell>
          <cell r="K34" t="str">
            <v>4 BD AL AÑO</v>
          </cell>
        </row>
        <row r="35">
          <cell r="A35" t="str">
            <v>3.4</v>
          </cell>
          <cell r="B35">
            <v>2.2999999999999998</v>
          </cell>
          <cell r="C35" t="str">
            <v>Subobjetivo 3 Impulsar la divulgación de actividades de investigación a grupos de interés específicos</v>
          </cell>
          <cell r="D35">
            <v>0</v>
          </cell>
          <cell r="E35">
            <v>0</v>
          </cell>
          <cell r="F35">
            <v>0</v>
          </cell>
          <cell r="G35">
            <v>0</v>
          </cell>
          <cell r="H35">
            <v>0</v>
          </cell>
          <cell r="I35">
            <v>0</v>
          </cell>
          <cell r="J35">
            <v>0</v>
          </cell>
          <cell r="K35">
            <v>0</v>
          </cell>
        </row>
        <row r="36">
          <cell r="A36" t="str">
            <v>3.4.3</v>
          </cell>
          <cell r="B36" t="str">
            <v>2.3.1</v>
          </cell>
          <cell r="C36" t="str">
            <v>Acción 1 Establecer mecanismos de comunicación con medios especializados según el grupo</v>
          </cell>
          <cell r="D36" t="str">
            <v>01-11</v>
          </cell>
          <cell r="E36" t="str">
            <v>12-15</v>
          </cell>
          <cell r="F36" t="str">
            <v>DECANO</v>
          </cell>
          <cell r="G36" t="str">
            <v>DIR DEPTO</v>
          </cell>
          <cell r="H36">
            <v>0</v>
          </cell>
          <cell r="I36" t="str">
            <v>INVENTARIO GRUPOS</v>
          </cell>
          <cell r="J36" t="str">
            <v># DE GRUPOS ESPECIFICOS</v>
          </cell>
          <cell r="K36" t="str">
            <v>10 GRUPOS AL AÑO</v>
          </cell>
        </row>
        <row r="37">
          <cell r="A37" t="str">
            <v>3.4.4</v>
          </cell>
          <cell r="B37" t="str">
            <v>2.3.2</v>
          </cell>
          <cell r="C37" t="str">
            <v>Acción 2 Identificar espacios académicos donde se promueve el conocimiento de los trabajos que adelanta la Facultad</v>
          </cell>
          <cell r="D37" t="str">
            <v>01-11</v>
          </cell>
          <cell r="E37" t="str">
            <v>12-15</v>
          </cell>
          <cell r="F37" t="str">
            <v>DECANO</v>
          </cell>
          <cell r="G37" t="str">
            <v>DIR DEPTO</v>
          </cell>
          <cell r="H37">
            <v>0</v>
          </cell>
          <cell r="I37" t="str">
            <v>INVENTARIO DE ESPACIOS ACADEM</v>
          </cell>
          <cell r="J37" t="str">
            <v># ESPACIOS ACADEMICOS</v>
          </cell>
          <cell r="K37" t="str">
            <v>6 ESPACIOS ACADEMICOS</v>
          </cell>
        </row>
        <row r="38">
          <cell r="A38">
            <v>5</v>
          </cell>
          <cell r="B38">
            <v>3</v>
          </cell>
          <cell r="C38" t="str">
            <v>Objetivo 3 Contribuir al debate académico en las ciencias sociales a través de proyectos, publicaciones e impacto en políticas públicas y a través de sus egresados</v>
          </cell>
          <cell r="D38">
            <v>0</v>
          </cell>
          <cell r="E38">
            <v>0</v>
          </cell>
          <cell r="F38">
            <v>0</v>
          </cell>
          <cell r="G38">
            <v>0</v>
          </cell>
          <cell r="H38">
            <v>0</v>
          </cell>
          <cell r="I38">
            <v>0</v>
          </cell>
          <cell r="J38">
            <v>0</v>
          </cell>
          <cell r="K38">
            <v>0</v>
          </cell>
        </row>
        <row r="39">
          <cell r="A39" t="str">
            <v>5.1</v>
          </cell>
          <cell r="B39">
            <v>3.1</v>
          </cell>
          <cell r="C39" t="str">
            <v>Subobjetivo 1 Garantizar la visibilidad e impacto de las actividades académicas de la Facultad</v>
          </cell>
          <cell r="D39">
            <v>0</v>
          </cell>
          <cell r="E39">
            <v>0</v>
          </cell>
          <cell r="F39">
            <v>0</v>
          </cell>
          <cell r="G39">
            <v>0</v>
          </cell>
          <cell r="H39">
            <v>0</v>
          </cell>
          <cell r="I39">
            <v>0</v>
          </cell>
          <cell r="J39">
            <v>0</v>
          </cell>
          <cell r="K39">
            <v>0</v>
          </cell>
        </row>
        <row r="40">
          <cell r="A40" t="str">
            <v>5.1.2</v>
          </cell>
          <cell r="B40" t="str">
            <v>3.1.1</v>
          </cell>
          <cell r="C40" t="str">
            <v>Acción 1 Rediseño de medios de divulgación</v>
          </cell>
          <cell r="D40" t="str">
            <v>01-11</v>
          </cell>
          <cell r="E40" t="str">
            <v>12-11</v>
          </cell>
          <cell r="F40" t="str">
            <v>DECANO</v>
          </cell>
          <cell r="G40" t="str">
            <v>DIR DEPTO</v>
          </cell>
          <cell r="H40">
            <v>0</v>
          </cell>
          <cell r="I40" t="str">
            <v>REVISION MEDIOS ACTUALES</v>
          </cell>
          <cell r="J40" t="str">
            <v># MEDIOS REDISEÑADOS</v>
          </cell>
          <cell r="K40" t="str">
            <v>3 MEDIOS AL AÑO</v>
          </cell>
        </row>
        <row r="41">
          <cell r="A41" t="str">
            <v>5.1.2</v>
          </cell>
          <cell r="B41" t="str">
            <v>3.1.2</v>
          </cell>
          <cell r="C41" t="str">
            <v>Acción 2 Publicación de programas y reformas curriculares</v>
          </cell>
          <cell r="D41" t="str">
            <v>01-11</v>
          </cell>
          <cell r="E41" t="str">
            <v>12-11</v>
          </cell>
          <cell r="F41" t="str">
            <v>DECANO</v>
          </cell>
          <cell r="G41" t="str">
            <v>DIR DEPTO</v>
          </cell>
          <cell r="H41">
            <v>0</v>
          </cell>
          <cell r="I41" t="str">
            <v>CURRICULOS ACTUALES</v>
          </cell>
          <cell r="J41" t="str">
            <v># CURRICULOS REDISEÑADOS</v>
          </cell>
          <cell r="K41" t="str">
            <v>2 CURRICULOS AL AÑO</v>
          </cell>
        </row>
        <row r="42">
          <cell r="A42" t="str">
            <v>5.1.2</v>
          </cell>
          <cell r="B42" t="str">
            <v>3.1.3</v>
          </cell>
          <cell r="C42" t="str">
            <v>Acción 3 Rediseño de boletín informativo</v>
          </cell>
          <cell r="D42" t="str">
            <v>01-11</v>
          </cell>
          <cell r="E42" t="str">
            <v>12-11</v>
          </cell>
          <cell r="F42" t="str">
            <v>DECANO</v>
          </cell>
          <cell r="G42" t="str">
            <v>DIR DEPTO</v>
          </cell>
          <cell r="H42">
            <v>0</v>
          </cell>
          <cell r="I42" t="str">
            <v>REVISION BOLETIN ACTUAL</v>
          </cell>
          <cell r="J42" t="str">
            <v>BOLETIN REDISEÑADO</v>
          </cell>
          <cell r="K42" t="str">
            <v>BOLETIN REDISEÑADO</v>
          </cell>
        </row>
        <row r="43">
          <cell r="A43" t="str">
            <v>5.1.2</v>
          </cell>
          <cell r="B43" t="str">
            <v>3.1.4</v>
          </cell>
          <cell r="C43" t="str">
            <v>Acción 4 Publicación en medios electrónicos</v>
          </cell>
          <cell r="D43" t="str">
            <v>01-11</v>
          </cell>
          <cell r="E43" t="str">
            <v>12-13</v>
          </cell>
          <cell r="F43" t="str">
            <v>DECANO</v>
          </cell>
          <cell r="G43" t="str">
            <v>DIR DEPTO</v>
          </cell>
          <cell r="H43">
            <v>0</v>
          </cell>
          <cell r="I43" t="str">
            <v>MEDIOS ELECTRONICOS ACTUALES</v>
          </cell>
          <cell r="J43" t="str">
            <v># MEDIOS ELECTRONICOS</v>
          </cell>
          <cell r="K43" t="str">
            <v>2 MEDIOS ELEC AL AÑO</v>
          </cell>
        </row>
        <row r="44">
          <cell r="A44" t="str">
            <v>5.1.1</v>
          </cell>
          <cell r="B44" t="str">
            <v>3.1.5</v>
          </cell>
          <cell r="C44" t="str">
            <v>Acción 5 Rediseño estrategias de divulgación de las actividades de la Facultad en medios</v>
          </cell>
          <cell r="D44" t="str">
            <v>01-11</v>
          </cell>
          <cell r="E44" t="str">
            <v>12-13</v>
          </cell>
          <cell r="F44" t="str">
            <v>DECANO</v>
          </cell>
          <cell r="G44" t="str">
            <v>DIR DEPTO</v>
          </cell>
          <cell r="H44">
            <v>0</v>
          </cell>
          <cell r="I44" t="str">
            <v>ANALISIS ESTRATEGIA ACTUAL</v>
          </cell>
          <cell r="J44" t="str">
            <v># DOCUMENTOS</v>
          </cell>
          <cell r="K44" t="str">
            <v>1 DOCUMENTO AL AÑO</v>
          </cell>
        </row>
        <row r="45">
          <cell r="A45" t="str">
            <v>4.1</v>
          </cell>
          <cell r="B45">
            <v>3.2</v>
          </cell>
          <cell r="C45" t="str">
            <v>Subobjetivo 2 Consolidar relaciones con egresados</v>
          </cell>
          <cell r="D45">
            <v>0</v>
          </cell>
          <cell r="E45">
            <v>0</v>
          </cell>
          <cell r="F45">
            <v>0</v>
          </cell>
          <cell r="G45">
            <v>0</v>
          </cell>
          <cell r="H45">
            <v>0</v>
          </cell>
          <cell r="I45">
            <v>0</v>
          </cell>
          <cell r="J45">
            <v>0</v>
          </cell>
          <cell r="K45">
            <v>0</v>
          </cell>
        </row>
        <row r="46">
          <cell r="A46" t="str">
            <v>4.1.1</v>
          </cell>
          <cell r="B46" t="str">
            <v>3.2.1</v>
          </cell>
          <cell r="C46" t="str">
            <v>Acción 1 Vincular académicamente a los egresados en programas de educación continuada y posgrados</v>
          </cell>
          <cell r="D46" t="str">
            <v>01-11</v>
          </cell>
          <cell r="E46" t="str">
            <v>12-14</v>
          </cell>
          <cell r="F46" t="str">
            <v>DECANO</v>
          </cell>
          <cell r="G46" t="str">
            <v>DIR DEPTO</v>
          </cell>
          <cell r="H46">
            <v>0</v>
          </cell>
          <cell r="I46" t="str">
            <v>INVENTARIOS VINCULACION ACTUAL</v>
          </cell>
          <cell r="J46" t="str">
            <v># EGRESADOS VINCULADOS</v>
          </cell>
          <cell r="K46" t="str">
            <v>20% DE AUMENTO DE EGRESADOS EN EDUC CONT</v>
          </cell>
        </row>
        <row r="47">
          <cell r="A47" t="str">
            <v>Eliminada</v>
          </cell>
          <cell r="B47" t="str">
            <v>3.2.2</v>
          </cell>
          <cell r="C47" t="str">
            <v>Acción 2 Ofrecer al egresado información que le permita hacer un seguimiento de sus programas</v>
          </cell>
          <cell r="D47" t="str">
            <v>01-12</v>
          </cell>
          <cell r="E47" t="str">
            <v>12-12</v>
          </cell>
          <cell r="F47" t="str">
            <v>DECANO</v>
          </cell>
          <cell r="G47" t="str">
            <v>DIR DEPTO</v>
          </cell>
          <cell r="H47">
            <v>0</v>
          </cell>
          <cell r="I47" t="str">
            <v>MEDIOS ACTUALES COMUNICACIÓN</v>
          </cell>
          <cell r="J47" t="str">
            <v># BOLETINES AL AÑO</v>
          </cell>
          <cell r="K47" t="str">
            <v>2 BOLETINES POR AÑO</v>
          </cell>
        </row>
        <row r="48">
          <cell r="A48" t="str">
            <v>4.1.2</v>
          </cell>
          <cell r="B48" t="str">
            <v>3.2.3</v>
          </cell>
          <cell r="C48" t="str">
            <v>Acción 3 Boletín semestral para egresados</v>
          </cell>
          <cell r="D48" t="str">
            <v>01-12</v>
          </cell>
          <cell r="E48" t="str">
            <v>12-12</v>
          </cell>
          <cell r="F48" t="str">
            <v>DECANO</v>
          </cell>
          <cell r="G48" t="str">
            <v>DIR DEPTO</v>
          </cell>
          <cell r="H48">
            <v>0</v>
          </cell>
          <cell r="I48" t="str">
            <v>MEDIOS ACTUALES COMUNICACIÓN</v>
          </cell>
          <cell r="J48" t="str">
            <v># BOLETINES AL AÑO</v>
          </cell>
          <cell r="K48" t="str">
            <v>2 BOLETINES POR AÑO</v>
          </cell>
        </row>
        <row r="49">
          <cell r="A49" t="str">
            <v>Eliminada</v>
          </cell>
          <cell r="B49">
            <v>4</v>
          </cell>
          <cell r="C49" t="str">
            <v>Objetivo 4 Impulsar la internacionalización de la Facultad</v>
          </cell>
          <cell r="D49">
            <v>0</v>
          </cell>
          <cell r="E49">
            <v>0</v>
          </cell>
          <cell r="F49">
            <v>0</v>
          </cell>
          <cell r="G49">
            <v>0</v>
          </cell>
          <cell r="H49">
            <v>0</v>
          </cell>
          <cell r="I49">
            <v>0</v>
          </cell>
          <cell r="J49">
            <v>0</v>
          </cell>
          <cell r="K49">
            <v>0</v>
          </cell>
        </row>
        <row r="50">
          <cell r="A50" t="str">
            <v>3.5</v>
          </cell>
          <cell r="B50">
            <v>4.0999999999999996</v>
          </cell>
          <cell r="C50" t="str">
            <v>Subobjetivo 1 Dar a conocer las actividades académicas de la Facultad en  medios académicos internaciones de calidad</v>
          </cell>
          <cell r="D50">
            <v>0</v>
          </cell>
          <cell r="E50">
            <v>0</v>
          </cell>
          <cell r="F50">
            <v>0</v>
          </cell>
          <cell r="G50">
            <v>0</v>
          </cell>
          <cell r="H50">
            <v>0</v>
          </cell>
          <cell r="I50">
            <v>0</v>
          </cell>
          <cell r="J50">
            <v>0</v>
          </cell>
          <cell r="K50">
            <v>0</v>
          </cell>
        </row>
        <row r="51">
          <cell r="A51" t="str">
            <v>3.3.6</v>
          </cell>
          <cell r="B51" t="str">
            <v>4.1.1</v>
          </cell>
          <cell r="C51" t="str">
            <v xml:space="preserve">Acción 1 Indexación de revistas en ISI </v>
          </cell>
          <cell r="D51" t="str">
            <v>01-12</v>
          </cell>
          <cell r="E51" t="str">
            <v>12-12</v>
          </cell>
          <cell r="F51" t="str">
            <v>DECANO</v>
          </cell>
          <cell r="G51" t="str">
            <v>DIR DEPTO</v>
          </cell>
          <cell r="H51">
            <v>0</v>
          </cell>
          <cell r="I51" t="str">
            <v>REVISION REQUISITOS ISI</v>
          </cell>
          <cell r="J51" t="str">
            <v># REVISTAS INDIZADAS ISI</v>
          </cell>
          <cell r="K51" t="str">
            <v>LAS DOS REVISTAS QUE FALTA</v>
          </cell>
        </row>
        <row r="52">
          <cell r="A52" t="str">
            <v>3.5.1</v>
          </cell>
          <cell r="B52" t="str">
            <v>4.1.2</v>
          </cell>
          <cell r="C52" t="str">
            <v>Acción 2 Publicaciones en lenguas extranjeras especialmente inglés</v>
          </cell>
          <cell r="D52" t="str">
            <v>01-12</v>
          </cell>
          <cell r="E52" t="str">
            <v>12-12</v>
          </cell>
          <cell r="F52" t="str">
            <v>DECANO</v>
          </cell>
          <cell r="G52" t="str">
            <v>DIR DEPTO</v>
          </cell>
          <cell r="H52">
            <v>0</v>
          </cell>
          <cell r="I52" t="str">
            <v>REVISION REQUISITOS ISI</v>
          </cell>
          <cell r="J52" t="str">
            <v># REVISTAS INDIZADAS ISI</v>
          </cell>
          <cell r="K52" t="str">
            <v>LAS DOS REVISTAS QUE FALTA</v>
          </cell>
        </row>
        <row r="53">
          <cell r="A53" t="str">
            <v>3.3.6</v>
          </cell>
          <cell r="B53" t="str">
            <v>4.1.3</v>
          </cell>
          <cell r="C53" t="str">
            <v>Acción 3 Promoción de la publicación en revistas extranjeras de calidad</v>
          </cell>
          <cell r="D53" t="str">
            <v>01-11</v>
          </cell>
          <cell r="E53" t="str">
            <v>12-15</v>
          </cell>
          <cell r="F53" t="str">
            <v>DECANO</v>
          </cell>
          <cell r="G53" t="str">
            <v>DIR DEPTO</v>
          </cell>
          <cell r="H53">
            <v>0</v>
          </cell>
          <cell r="I53" t="str">
            <v>LISTA REVISTA PUBLICACION</v>
          </cell>
          <cell r="J53" t="str">
            <v># REVISTAS DONDE SE PUBLICA</v>
          </cell>
          <cell r="K53" t="str">
            <v>AUMENTO 100% DE LAS REVISTAS</v>
          </cell>
        </row>
        <row r="54">
          <cell r="A54" t="str">
            <v>3.1</v>
          </cell>
          <cell r="B54" t="str">
            <v>4.1.4</v>
          </cell>
          <cell r="C54" t="str">
            <v>Acción 4 Fomentar la consecución de recursos extranjeros para la investigación</v>
          </cell>
          <cell r="D54" t="str">
            <v>01-11</v>
          </cell>
          <cell r="E54" t="str">
            <v>12-15</v>
          </cell>
          <cell r="F54" t="str">
            <v>DECANO</v>
          </cell>
          <cell r="G54" t="str">
            <v>DIR DEPTO</v>
          </cell>
          <cell r="H54">
            <v>0</v>
          </cell>
          <cell r="I54" t="str">
            <v>REVISION FUENTES ACTUALES</v>
          </cell>
          <cell r="J54" t="str">
            <v># FUENTES DISPONIBLES</v>
          </cell>
          <cell r="K54" t="str">
            <v>AUMENTO DE 50% DE LAS FUENTES DISPONIBLES</v>
          </cell>
        </row>
        <row r="55">
          <cell r="A55" t="str">
            <v>2.1 / 3.6</v>
          </cell>
          <cell r="B55">
            <v>4.2</v>
          </cell>
          <cell r="C55" t="str">
            <v>Subobjetivo 2 Atraer estudiantes internacionales de calidad y ofrecer a los estudiantes, especialmente de posgrado espacios internacionales para el desarrollo de su investigación</v>
          </cell>
          <cell r="D55">
            <v>0</v>
          </cell>
          <cell r="E55">
            <v>0</v>
          </cell>
          <cell r="F55">
            <v>0</v>
          </cell>
          <cell r="G55">
            <v>0</v>
          </cell>
          <cell r="H55">
            <v>0</v>
          </cell>
          <cell r="I55">
            <v>0</v>
          </cell>
          <cell r="J55">
            <v>0</v>
          </cell>
          <cell r="K55">
            <v>0</v>
          </cell>
        </row>
        <row r="56">
          <cell r="A56" t="str">
            <v>3.6.1</v>
          </cell>
          <cell r="B56" t="str">
            <v>4.2.1</v>
          </cell>
          <cell r="C56" t="str">
            <v>Acción 1 Establecer convenios efectivos</v>
          </cell>
          <cell r="D56" t="str">
            <v>01-11</v>
          </cell>
          <cell r="E56" t="str">
            <v>12-12</v>
          </cell>
          <cell r="F56" t="str">
            <v>DECANO</v>
          </cell>
          <cell r="G56" t="str">
            <v>DIR DEPTO</v>
          </cell>
          <cell r="H56">
            <v>0</v>
          </cell>
          <cell r="I56" t="str">
            <v>INVENTARIO CONVENIOS ACTUALES</v>
          </cell>
          <cell r="J56" t="str">
            <v>BENEFICIOS CONVENIOS</v>
          </cell>
          <cell r="K56" t="str">
            <v>AUMENTO 50% DE LOS BENEFICIOS CONVENIOS</v>
          </cell>
        </row>
        <row r="57">
          <cell r="A57" t="str">
            <v>3.6.1</v>
          </cell>
          <cell r="B57" t="str">
            <v>4.2.2</v>
          </cell>
          <cell r="C57" t="str">
            <v>Acción 2 Estrechar vínculos a través de la investigación conjunta con instituciones extranjeras de calidad</v>
          </cell>
          <cell r="D57" t="str">
            <v>01-11</v>
          </cell>
          <cell r="E57" t="str">
            <v>12-15</v>
          </cell>
          <cell r="F57" t="str">
            <v>DECANO</v>
          </cell>
          <cell r="G57" t="str">
            <v>DIR DEPTO</v>
          </cell>
          <cell r="H57">
            <v>0</v>
          </cell>
          <cell r="I57" t="str">
            <v>INVENTARIO INVESTIGACION CONJUNTA</v>
          </cell>
          <cell r="J57" t="str">
            <v># INVESTIGACIONES COJUNTAS</v>
          </cell>
          <cell r="K57" t="str">
            <v>2 INVESTIGACIONES AL AÑO</v>
          </cell>
        </row>
        <row r="58">
          <cell r="A58" t="str">
            <v>1.2.2</v>
          </cell>
          <cell r="B58">
            <v>4.3</v>
          </cell>
          <cell r="C58" t="str">
            <v>Subobjetivo 3 Introducir en los currículos de pregrado y posgrado componentes de formación de carácter universal</v>
          </cell>
          <cell r="D58">
            <v>0</v>
          </cell>
          <cell r="E58">
            <v>0</v>
          </cell>
          <cell r="F58">
            <v>0</v>
          </cell>
          <cell r="G58">
            <v>0</v>
          </cell>
          <cell r="H58">
            <v>0</v>
          </cell>
          <cell r="I58">
            <v>0</v>
          </cell>
          <cell r="J58">
            <v>0</v>
          </cell>
          <cell r="K58">
            <v>0</v>
          </cell>
        </row>
        <row r="59">
          <cell r="A59" t="str">
            <v>1.2.2</v>
          </cell>
          <cell r="B59" t="str">
            <v>4.3.1</v>
          </cell>
          <cell r="C59" t="str">
            <v>Acción 1 Reevaluación de los contenidos para fomentar aproximaciones comparativas de los problemas estudiados</v>
          </cell>
          <cell r="D59" t="str">
            <v>01-11</v>
          </cell>
          <cell r="E59" t="str">
            <v>15-12</v>
          </cell>
          <cell r="F59" t="str">
            <v>DECANO</v>
          </cell>
          <cell r="G59" t="str">
            <v>DIR DEPTO</v>
          </cell>
          <cell r="H59">
            <v>0</v>
          </cell>
          <cell r="I59" t="str">
            <v>CONTENIDOS PROGRAMAS</v>
          </cell>
          <cell r="J59" t="str">
            <v># CONTENIDOS REFORMADOS</v>
          </cell>
          <cell r="K59" t="str">
            <v>2 CONTENIDOS REFORMADOS AL AÑO</v>
          </cell>
        </row>
        <row r="60">
          <cell r="A60" t="str">
            <v>3.5</v>
          </cell>
          <cell r="B60">
            <v>4.4000000000000004</v>
          </cell>
          <cell r="C60" t="str">
            <v>Subobjetivo 4 Garantizar acceso a publicaciones de la Facultad en los centros y universidades extranjeros de calidad</v>
          </cell>
          <cell r="D60">
            <v>0</v>
          </cell>
          <cell r="E60">
            <v>0</v>
          </cell>
          <cell r="F60">
            <v>0</v>
          </cell>
          <cell r="G60">
            <v>0</v>
          </cell>
          <cell r="H60">
            <v>0</v>
          </cell>
          <cell r="I60">
            <v>0</v>
          </cell>
          <cell r="J60">
            <v>0</v>
          </cell>
          <cell r="K60">
            <v>0</v>
          </cell>
        </row>
        <row r="61">
          <cell r="A61" t="str">
            <v>3.5.2</v>
          </cell>
          <cell r="B61" t="str">
            <v>4.4.1</v>
          </cell>
          <cell r="C61" t="str">
            <v>Acción 1 Establecer una política de canjes ágil</v>
          </cell>
          <cell r="D61" t="str">
            <v>01-11</v>
          </cell>
          <cell r="E61" t="str">
            <v>12-12</v>
          </cell>
          <cell r="F61" t="str">
            <v>DECANO</v>
          </cell>
          <cell r="G61" t="str">
            <v>DIR DEPTO</v>
          </cell>
          <cell r="H61">
            <v>0</v>
          </cell>
          <cell r="I61" t="str">
            <v>REVISION POLITICA CANJES</v>
          </cell>
          <cell r="J61" t="str">
            <v>DOCUMENTO POLITICA CANJES</v>
          </cell>
          <cell r="K61" t="str">
            <v>1 DOCUMENTO AL AÑO</v>
          </cell>
        </row>
        <row r="62">
          <cell r="A62" t="str">
            <v>3.5.3</v>
          </cell>
          <cell r="B62" t="str">
            <v>4.4.2</v>
          </cell>
          <cell r="C62" t="str">
            <v>Acción 2 Optimizar los envíos físicos de libros y revistas</v>
          </cell>
          <cell r="D62" t="str">
            <v>01-11</v>
          </cell>
          <cell r="E62" t="str">
            <v>12-12</v>
          </cell>
          <cell r="F62" t="str">
            <v>DECANO</v>
          </cell>
          <cell r="G62" t="str">
            <v>DIR DEPTO</v>
          </cell>
          <cell r="H62">
            <v>0</v>
          </cell>
          <cell r="I62" t="str">
            <v>INVENTARIO ENVIOS FISICOS</v>
          </cell>
          <cell r="J62" t="str">
            <v># ENVIOS EFECTIVOS</v>
          </cell>
          <cell r="K62" t="str">
            <v>AUMENTO 30% EN ENVIOS EFECTIVOS</v>
          </cell>
        </row>
        <row r="63">
          <cell r="A63" t="str">
            <v>1.3</v>
          </cell>
          <cell r="B63">
            <v>4.5</v>
          </cell>
          <cell r="C63" t="str">
            <v>Subobjetivo 5 Escuela de Verano</v>
          </cell>
          <cell r="D63">
            <v>0</v>
          </cell>
          <cell r="E63">
            <v>0</v>
          </cell>
          <cell r="F63">
            <v>0</v>
          </cell>
          <cell r="G63">
            <v>0</v>
          </cell>
          <cell r="H63">
            <v>0</v>
          </cell>
          <cell r="I63">
            <v>0</v>
          </cell>
          <cell r="J63">
            <v>0</v>
          </cell>
          <cell r="K63">
            <v>0</v>
          </cell>
        </row>
        <row r="64">
          <cell r="A64" t="str">
            <v>1.3.1</v>
          </cell>
          <cell r="B64" t="str">
            <v>4.5.1</v>
          </cell>
          <cell r="C64" t="str">
            <v>Acción 1 Organizar la escuela de verano de las diferentes unidades de la Facultad</v>
          </cell>
          <cell r="D64" t="str">
            <v>01-11</v>
          </cell>
          <cell r="E64" t="str">
            <v>15-12</v>
          </cell>
          <cell r="F64" t="str">
            <v>DECANO</v>
          </cell>
          <cell r="G64" t="str">
            <v>DIR DEPTO</v>
          </cell>
          <cell r="H64">
            <v>0</v>
          </cell>
          <cell r="I64" t="str">
            <v>ESTADO ACTUAL ESCUELA VERANO</v>
          </cell>
          <cell r="J64" t="str">
            <v># CURSOS POR AÑO</v>
          </cell>
          <cell r="K64" t="str">
            <v>6 CURSOS AL AÑO</v>
          </cell>
        </row>
      </sheetData>
      <sheetData sheetId="2"/>
      <sheetData sheetId="3">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v>1</v>
          </cell>
          <cell r="B5">
            <v>1</v>
          </cell>
          <cell r="C5" t="str">
            <v>Objetivo 1 ASEGURAR LA CALIDAD DE LOS PROGRAMAS ACADÉMICOS PROMOVIENDO FLEXIBILIDAD, INTERDEPENDENCIA Y PERTINENCIA</v>
          </cell>
          <cell r="D5">
            <v>0</v>
          </cell>
          <cell r="E5">
            <v>0</v>
          </cell>
          <cell r="F5">
            <v>0</v>
          </cell>
          <cell r="G5">
            <v>0</v>
          </cell>
          <cell r="H5" t="e">
            <v>#REF!</v>
          </cell>
          <cell r="I5">
            <v>0</v>
          </cell>
          <cell r="J5">
            <v>0</v>
          </cell>
          <cell r="K5">
            <v>0</v>
          </cell>
        </row>
        <row r="6">
          <cell r="A6" t="str">
            <v>1.1.</v>
          </cell>
          <cell r="B6" t="str">
            <v>1.1</v>
          </cell>
          <cell r="C6" t="str">
            <v>Subobjetivo 1 Fortalecer los currículos de los programas activos y creación de nuevos</v>
          </cell>
          <cell r="D6">
            <v>0</v>
          </cell>
          <cell r="E6">
            <v>0</v>
          </cell>
          <cell r="F6">
            <v>0</v>
          </cell>
          <cell r="G6">
            <v>0</v>
          </cell>
          <cell r="H6" t="e">
            <v>#REF!</v>
          </cell>
          <cell r="I6">
            <v>0</v>
          </cell>
          <cell r="J6">
            <v>0</v>
          </cell>
          <cell r="K6">
            <v>0</v>
          </cell>
        </row>
        <row r="7">
          <cell r="A7" t="str">
            <v>1.1.1</v>
          </cell>
          <cell r="B7" t="str">
            <v>1.1.1</v>
          </cell>
          <cell r="C7" t="str">
            <v>Acción 1 Actualizar los currículos especialmente en el área teórica metodológica. (contratación de nuevos profesores, reuniones por líneas de investigación, revisión de bibliografía, actualización en metodologías en ciencias sociales</v>
          </cell>
          <cell r="D7" t="str">
            <v>01-11</v>
          </cell>
          <cell r="E7" t="str">
            <v>12-12</v>
          </cell>
          <cell r="F7" t="str">
            <v>DIR DEPTO</v>
          </cell>
          <cell r="G7" t="str">
            <v>DIR POSGRADO</v>
          </cell>
          <cell r="H7" t="e">
            <v>#REF!</v>
          </cell>
          <cell r="I7" t="str">
            <v>REVISION CURRICULO METODOLOGIA</v>
          </cell>
          <cell r="J7" t="str">
            <v>CURRICULO MODIFICADO METODOLOGIA</v>
          </cell>
          <cell r="K7" t="str">
            <v>CURRICULO MODIFICADO</v>
          </cell>
        </row>
        <row r="8">
          <cell r="A8" t="str">
            <v>1.1.2</v>
          </cell>
          <cell r="B8" t="str">
            <v>1.1.2</v>
          </cell>
          <cell r="C8" t="str">
            <v>Acción 2 Incentivar los vínculos académicos con los otros programas académicos de la Facultad (cursos conjuntos)</v>
          </cell>
          <cell r="D8" t="str">
            <v>01-11</v>
          </cell>
          <cell r="E8" t="str">
            <v>01-15</v>
          </cell>
          <cell r="F8" t="str">
            <v>DIR DEPTO</v>
          </cell>
          <cell r="G8" t="str">
            <v>DIR POSGRADO</v>
          </cell>
          <cell r="H8" t="e">
            <v>#REF!</v>
          </cell>
          <cell r="I8" t="str">
            <v>REVISION DE POSIBLES CURSOS CONJUNTOS</v>
          </cell>
          <cell r="J8" t="str">
            <v># CURSOS CONJUNTOS</v>
          </cell>
          <cell r="K8" t="str">
            <v>1 CURSO CONJUNTO AL AÑO</v>
          </cell>
        </row>
        <row r="9">
          <cell r="A9" t="str">
            <v>1.2</v>
          </cell>
          <cell r="B9" t="str">
            <v>1.1.3</v>
          </cell>
          <cell r="C9" t="str">
            <v>Acción 3 Implementar una maestría profesional en historia</v>
          </cell>
          <cell r="D9" t="str">
            <v>01-12</v>
          </cell>
          <cell r="E9" t="str">
            <v>12-12</v>
          </cell>
          <cell r="F9" t="str">
            <v>DIR DEPTO</v>
          </cell>
          <cell r="G9" t="str">
            <v>DIR POSGRADO</v>
          </cell>
          <cell r="H9" t="e">
            <v>#REF!</v>
          </cell>
          <cell r="I9" t="str">
            <v>REVISION CAMBIO CURRICULO</v>
          </cell>
          <cell r="J9" t="str">
            <v>NUEVO PROGRAMA</v>
          </cell>
          <cell r="K9" t="str">
            <v>APROBACION MAESTRIA PROFESIONALIZANTE</v>
          </cell>
        </row>
        <row r="10">
          <cell r="A10" t="str">
            <v>1.2</v>
          </cell>
          <cell r="B10" t="str">
            <v>1.1.4</v>
          </cell>
          <cell r="C10" t="str">
            <v>Acción 4 Proponer un programa de Maestría en Historia del Arte (en colaboración de la Facultad de Artes).</v>
          </cell>
          <cell r="D10">
            <v>0</v>
          </cell>
          <cell r="E10">
            <v>0</v>
          </cell>
          <cell r="F10">
            <v>0</v>
          </cell>
          <cell r="G10">
            <v>0</v>
          </cell>
          <cell r="H10" t="e">
            <v>#REF!</v>
          </cell>
          <cell r="I10">
            <v>0</v>
          </cell>
          <cell r="J10">
            <v>0</v>
          </cell>
          <cell r="K10">
            <v>0</v>
          </cell>
        </row>
        <row r="11">
          <cell r="A11" t="str">
            <v>5.1</v>
          </cell>
          <cell r="B11" t="str">
            <v>1.1.5</v>
          </cell>
          <cell r="C11" t="str">
            <v>Acción 5 Acreditación nacional en los programas que estén habilitados para presentarse</v>
          </cell>
          <cell r="D11" t="str">
            <v>01-11</v>
          </cell>
          <cell r="E11" t="str">
            <v>12-15</v>
          </cell>
          <cell r="F11" t="str">
            <v>DIR DEPTO</v>
          </cell>
          <cell r="G11" t="str">
            <v>DIR POSGRADO</v>
          </cell>
          <cell r="H11" t="e">
            <v>#REF!</v>
          </cell>
          <cell r="I11" t="str">
            <v>REVISION LISTA CHEQUEO</v>
          </cell>
          <cell r="J11" t="str">
            <v>PROCESO EVALUACION</v>
          </cell>
          <cell r="K11" t="str">
            <v>ACREDITACION DE LOS RPOGRAMAS</v>
          </cell>
        </row>
        <row r="12">
          <cell r="A12" t="str">
            <v>2.1</v>
          </cell>
          <cell r="B12" t="str">
            <v>1.1.6</v>
          </cell>
          <cell r="C12" t="str">
            <v>Acción 6 Fortalecer participación estudiantil</v>
          </cell>
          <cell r="D12" t="str">
            <v>06-11</v>
          </cell>
          <cell r="E12" t="str">
            <v>07-12</v>
          </cell>
          <cell r="F12" t="str">
            <v>DIR DEPTO</v>
          </cell>
          <cell r="G12" t="str">
            <v>DIR POSGRADO</v>
          </cell>
          <cell r="H12" t="e">
            <v>#REF!</v>
          </cell>
          <cell r="I12" t="str">
            <v>REVISION PARTICIPACION ACTUAL</v>
          </cell>
          <cell r="J12" t="str">
            <v>ELECCION DE REPRESENTANTES ESTUDIANTILES</v>
          </cell>
          <cell r="K12" t="str">
            <v>PARTICIPACION ACTIVA REPRESENTANTES</v>
          </cell>
        </row>
        <row r="13">
          <cell r="A13">
            <v>1</v>
          </cell>
          <cell r="B13">
            <v>2</v>
          </cell>
          <cell r="C13" t="str">
            <v>Objetivo 2 ASEGURAR LA PERTINENCIA DE LOS PROGRAMAS ACADÉMICOS</v>
          </cell>
          <cell r="D13">
            <v>0</v>
          </cell>
          <cell r="E13">
            <v>0</v>
          </cell>
          <cell r="F13">
            <v>0</v>
          </cell>
          <cell r="G13">
            <v>0</v>
          </cell>
          <cell r="H13" t="e">
            <v>#REF!</v>
          </cell>
          <cell r="I13">
            <v>0</v>
          </cell>
          <cell r="J13">
            <v>0</v>
          </cell>
          <cell r="K13">
            <v>0</v>
          </cell>
        </row>
        <row r="14">
          <cell r="A14" t="str">
            <v>3.2</v>
          </cell>
          <cell r="B14">
            <v>2.1</v>
          </cell>
          <cell r="C14" t="str">
            <v>Subobjetivo 1 Promover la vinculación entre la docencia y la investigación</v>
          </cell>
          <cell r="D14">
            <v>0</v>
          </cell>
          <cell r="E14">
            <v>0</v>
          </cell>
          <cell r="F14">
            <v>0</v>
          </cell>
          <cell r="G14">
            <v>0</v>
          </cell>
          <cell r="H14" t="e">
            <v>#REF!</v>
          </cell>
          <cell r="I14">
            <v>0</v>
          </cell>
          <cell r="J14">
            <v>0</v>
          </cell>
          <cell r="K14">
            <v>0</v>
          </cell>
        </row>
        <row r="15">
          <cell r="A15" t="str">
            <v>4.1.1</v>
          </cell>
          <cell r="B15" t="str">
            <v>2.1.1</v>
          </cell>
          <cell r="C15" t="str">
            <v>Acción 1 Buscar apoyo en los egresados para prácticas y otras actividades que puedan servir de apoyo a los estudiantes</v>
          </cell>
          <cell r="D15" t="str">
            <v>01-11</v>
          </cell>
          <cell r="E15" t="str">
            <v>12-15</v>
          </cell>
          <cell r="F15" t="str">
            <v>DIR DEPTO</v>
          </cell>
          <cell r="G15" t="str">
            <v>COOR DEPTO</v>
          </cell>
          <cell r="H15" t="e">
            <v>#REF!</v>
          </cell>
          <cell r="I15" t="str">
            <v>REVISION DE ACUERDOS ACTUALES</v>
          </cell>
          <cell r="J15" t="str">
            <v># NUEVOS ACUERDOS</v>
          </cell>
          <cell r="K15" t="str">
            <v>4 ACUERDOS POR AÑO</v>
          </cell>
        </row>
        <row r="16">
          <cell r="A16" t="str">
            <v>3.2.5</v>
          </cell>
          <cell r="B16" t="str">
            <v>2.1.2</v>
          </cell>
          <cell r="C16" t="str">
            <v xml:space="preserve">Acción 2 Incluir los avances investigativos en la docencia </v>
          </cell>
          <cell r="D16" t="str">
            <v>01-12</v>
          </cell>
          <cell r="E16" t="str">
            <v>12-15</v>
          </cell>
          <cell r="F16" t="str">
            <v>DIR DEPTO</v>
          </cell>
          <cell r="G16" t="str">
            <v>DIR POSGRADO</v>
          </cell>
          <cell r="H16" t="e">
            <v>#REF!</v>
          </cell>
          <cell r="I16" t="str">
            <v>RELACION DE INVESTIGACION</v>
          </cell>
          <cell r="J16" t="str">
            <v># ARTICULOS PARA CLASES</v>
          </cell>
          <cell r="K16" t="str">
            <v>2 ARTICULOS POR AÑO COMO REFERENCIA EN CLASES</v>
          </cell>
        </row>
        <row r="17">
          <cell r="A17" t="str">
            <v>3.2.1</v>
          </cell>
          <cell r="B17" t="str">
            <v>2.1.3</v>
          </cell>
          <cell r="C17" t="str">
            <v>Acción 3 Desarrollo y consolidación de actividades de los estudiantes de posgrado</v>
          </cell>
          <cell r="D17" t="str">
            <v>01-11</v>
          </cell>
          <cell r="E17" t="str">
            <v>12-15</v>
          </cell>
          <cell r="F17" t="str">
            <v>DIR DEPTO</v>
          </cell>
          <cell r="G17" t="str">
            <v>DIR POSGRADO</v>
          </cell>
          <cell r="H17" t="e">
            <v>#REF!</v>
          </cell>
          <cell r="I17" t="str">
            <v>REVISION ACTIVIDADES</v>
          </cell>
          <cell r="J17" t="str">
            <v># ACTIVIDADES ESTUDIANTES POSGRADO</v>
          </cell>
          <cell r="K17" t="str">
            <v>2 ACTIVIDADES POR AÑO</v>
          </cell>
        </row>
        <row r="18">
          <cell r="A18" t="str">
            <v>3.2.4</v>
          </cell>
          <cell r="B18" t="str">
            <v>2.1.4</v>
          </cell>
          <cell r="C18" t="str">
            <v xml:space="preserve">Acción 4 Diversificar los acuerdos de pasantía </v>
          </cell>
          <cell r="D18" t="str">
            <v>01-11</v>
          </cell>
          <cell r="E18" t="str">
            <v>12-15</v>
          </cell>
          <cell r="F18" t="str">
            <v>DIR DEPTO</v>
          </cell>
          <cell r="G18" t="str">
            <v>DIR POSGRADO</v>
          </cell>
          <cell r="H18" t="e">
            <v>#REF!</v>
          </cell>
          <cell r="I18" t="str">
            <v>REVISION DE ACUERDOS ACTUALES</v>
          </cell>
          <cell r="J18" t="str">
            <v># NUEVOS ACUERDOS</v>
          </cell>
          <cell r="K18" t="str">
            <v>2 ACUERDOS POR AÑO</v>
          </cell>
        </row>
        <row r="19">
          <cell r="A19">
            <v>3</v>
          </cell>
          <cell r="B19">
            <v>3</v>
          </cell>
          <cell r="C19" t="str">
            <v>Objetivo 3 GARANTIZAR Y FOMENTAR EL DESARROLLO DE LA INVESTIGACIÓN Y SU DIVULGACIÓN EN REVISTAS INDEXADAS, LIBROS Y DEMÁS MEDIOS APROPIADOS TANTO A NIVEL NACIONAL COMO INTERNACIONAL</v>
          </cell>
          <cell r="D19">
            <v>0</v>
          </cell>
          <cell r="E19">
            <v>0</v>
          </cell>
          <cell r="F19">
            <v>0</v>
          </cell>
          <cell r="G19">
            <v>0</v>
          </cell>
          <cell r="H19" t="e">
            <v>#REF!</v>
          </cell>
          <cell r="I19">
            <v>0</v>
          </cell>
          <cell r="J19">
            <v>0</v>
          </cell>
          <cell r="K19">
            <v>0</v>
          </cell>
        </row>
        <row r="20">
          <cell r="A20" t="str">
            <v>3.2</v>
          </cell>
          <cell r="B20">
            <v>3.1</v>
          </cell>
          <cell r="C20" t="str">
            <v>Subobjetivo 1 Consolidar la investigación</v>
          </cell>
          <cell r="D20">
            <v>0</v>
          </cell>
          <cell r="E20">
            <v>0</v>
          </cell>
          <cell r="F20">
            <v>0</v>
          </cell>
          <cell r="G20">
            <v>0</v>
          </cell>
          <cell r="H20" t="e">
            <v>#REF!</v>
          </cell>
          <cell r="I20">
            <v>0</v>
          </cell>
          <cell r="J20">
            <v>0</v>
          </cell>
          <cell r="K20">
            <v>0</v>
          </cell>
        </row>
        <row r="21">
          <cell r="A21" t="str">
            <v>3.1.1</v>
          </cell>
          <cell r="B21" t="str">
            <v>3.1.1</v>
          </cell>
          <cell r="C21" t="str">
            <v>Acción 1 Establecer  políticas y planes para identificar recursos e incentivos investigativos.</v>
          </cell>
          <cell r="D21" t="str">
            <v>01-12</v>
          </cell>
          <cell r="E21" t="str">
            <v>12-12</v>
          </cell>
          <cell r="F21" t="str">
            <v>DIR DEPTO</v>
          </cell>
          <cell r="G21" t="str">
            <v>DIR POSGRADO</v>
          </cell>
          <cell r="H21" t="e">
            <v>#REF!</v>
          </cell>
          <cell r="I21" t="str">
            <v>REVISION POLITICA ACTUAL</v>
          </cell>
          <cell r="J21" t="str">
            <v># DOCUMENTOS</v>
          </cell>
          <cell r="K21" t="str">
            <v>1 DOCUMENTO AL AÑO</v>
          </cell>
        </row>
        <row r="22">
          <cell r="A22" t="str">
            <v>3.1.4</v>
          </cell>
          <cell r="B22" t="str">
            <v>3.1.2</v>
          </cell>
          <cell r="C22" t="str">
            <v>Acción 2 Incentivos y descargas para la investigación</v>
          </cell>
          <cell r="D22" t="str">
            <v>01-11</v>
          </cell>
          <cell r="E22" t="str">
            <v>12-15</v>
          </cell>
          <cell r="F22" t="str">
            <v>DIR DEPTO</v>
          </cell>
          <cell r="G22" t="str">
            <v>DIR POSGRADO</v>
          </cell>
          <cell r="H22" t="e">
            <v>#REF!</v>
          </cell>
          <cell r="I22" t="str">
            <v>REVISION POLITICA ACTUAL</v>
          </cell>
          <cell r="J22" t="str">
            <v>NUEVA POLITICA</v>
          </cell>
          <cell r="K22" t="str">
            <v>1 DOCUMENTO CON LA NUEVA POLITICA</v>
          </cell>
        </row>
        <row r="23">
          <cell r="A23" t="str">
            <v>3.2.1</v>
          </cell>
          <cell r="B23" t="str">
            <v>3.1.3</v>
          </cell>
          <cell r="C23" t="str">
            <v>Acción 3 Potenciar la participación de estudiantes y egresados en las tareas investigativas</v>
          </cell>
          <cell r="D23" t="str">
            <v>01-12</v>
          </cell>
          <cell r="E23" t="str">
            <v>01-15</v>
          </cell>
          <cell r="F23" t="str">
            <v>DIR DEPTO</v>
          </cell>
          <cell r="G23" t="str">
            <v>DIR POSGRADO</v>
          </cell>
          <cell r="H23" t="e">
            <v>#REF!</v>
          </cell>
          <cell r="I23" t="str">
            <v>REVISION PARTICIPACION ACTUAL</v>
          </cell>
          <cell r="J23" t="str">
            <v># ESTUDIANTES EN PROYECTOS</v>
          </cell>
          <cell r="K23" t="str">
            <v>2 ESTUDAINTES NUEVOS EN PROYECTOS POR SEMESTRE</v>
          </cell>
        </row>
        <row r="24">
          <cell r="A24" t="str">
            <v>3.2.2</v>
          </cell>
          <cell r="B24" t="str">
            <v>3.1.4</v>
          </cell>
          <cell r="C24" t="str">
            <v>Acción 4 Promover la investigación interdisciplinaria</v>
          </cell>
          <cell r="D24" t="str">
            <v>01-12</v>
          </cell>
          <cell r="E24" t="str">
            <v>01-15</v>
          </cell>
          <cell r="F24" t="str">
            <v>DIR DEPTO</v>
          </cell>
          <cell r="G24" t="str">
            <v>DIR POSGRADO</v>
          </cell>
          <cell r="H24" t="e">
            <v>#REF!</v>
          </cell>
          <cell r="I24" t="str">
            <v>INVENTARIO PROYECTOS INTERDISCIPLIN</v>
          </cell>
          <cell r="J24" t="str">
            <v># PROYECTOS INTERDISCIPLIN</v>
          </cell>
          <cell r="K24" t="str">
            <v>1 PROYECTO INTERDISCIPLIN AL AÑO</v>
          </cell>
        </row>
        <row r="25">
          <cell r="A25" t="str">
            <v>3.2.3</v>
          </cell>
          <cell r="B25" t="str">
            <v>3.1.5</v>
          </cell>
          <cell r="C25" t="str">
            <v>Acción 5 Promover los grupos de investigación a los estándares más altos de acuerdo con la clasificación de Colciencias</v>
          </cell>
          <cell r="D25" t="str">
            <v>01-12</v>
          </cell>
          <cell r="E25" t="str">
            <v>01-15</v>
          </cell>
          <cell r="F25" t="str">
            <v>DIR DEPTO</v>
          </cell>
          <cell r="G25" t="str">
            <v>DIR POSGRADO</v>
          </cell>
          <cell r="H25" t="e">
            <v>#REF!</v>
          </cell>
          <cell r="I25" t="str">
            <v>REVISION CONFORMACION ACTUAL GRUPOS</v>
          </cell>
          <cell r="J25" t="str">
            <v># GRUPOS EN A2 Y A1</v>
          </cell>
          <cell r="K25" t="str">
            <v>2 GRUPOS EN A1 Y 2 EN A2</v>
          </cell>
        </row>
        <row r="26">
          <cell r="A26" t="str">
            <v>3.1.2</v>
          </cell>
          <cell r="B26" t="str">
            <v>3.1.6</v>
          </cell>
          <cell r="C26" t="str">
            <v>Acción 6 Creación de base de datos de convocatorias de financiación de investigación histórica</v>
          </cell>
          <cell r="D26" t="str">
            <v>01-12</v>
          </cell>
          <cell r="E26" t="str">
            <v>01-15</v>
          </cell>
          <cell r="F26" t="str">
            <v>DIR DEPTO</v>
          </cell>
          <cell r="G26" t="str">
            <v>DIR POSGRADO</v>
          </cell>
          <cell r="H26" t="e">
            <v>#REF!</v>
          </cell>
          <cell r="I26" t="str">
            <v>REQUERIMIENTOS INFORMACION</v>
          </cell>
          <cell r="J26" t="str">
            <v># REPORTES</v>
          </cell>
          <cell r="K26" t="str">
            <v>1 REPORTE AL AÑO</v>
          </cell>
        </row>
      </sheetData>
      <sheetData sheetId="4"/>
      <sheetData sheetId="5">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v>1</v>
          </cell>
          <cell r="B5">
            <v>1</v>
          </cell>
          <cell r="C5" t="str">
            <v>Objetivo 1: CONSOLIDAR EL PROGRAMA DE PREGRADO</v>
          </cell>
          <cell r="D5">
            <v>0</v>
          </cell>
          <cell r="E5">
            <v>0</v>
          </cell>
          <cell r="F5">
            <v>0</v>
          </cell>
          <cell r="G5">
            <v>0</v>
          </cell>
          <cell r="H5" t="e">
            <v>#REF!</v>
          </cell>
          <cell r="I5">
            <v>0</v>
          </cell>
          <cell r="J5">
            <v>0</v>
          </cell>
          <cell r="K5">
            <v>0</v>
          </cell>
        </row>
        <row r="6">
          <cell r="A6" t="str">
            <v>1.1</v>
          </cell>
          <cell r="B6" t="str">
            <v>1.1</v>
          </cell>
          <cell r="C6" t="str">
            <v>Subobjetivo 1: Formular  un proyecto educativo del Departamento</v>
          </cell>
          <cell r="D6" t="str">
            <v>01-11</v>
          </cell>
          <cell r="E6" t="str">
            <v>12-11</v>
          </cell>
          <cell r="F6" t="str">
            <v>COMITÉ CURRICULAR</v>
          </cell>
          <cell r="G6" t="str">
            <v>DIR DEPTO</v>
          </cell>
          <cell r="H6" t="e">
            <v>#REF!</v>
          </cell>
          <cell r="I6">
            <v>0</v>
          </cell>
          <cell r="J6">
            <v>0</v>
          </cell>
          <cell r="K6">
            <v>0</v>
          </cell>
        </row>
        <row r="7">
          <cell r="A7" t="str">
            <v>1.1.1</v>
          </cell>
          <cell r="B7" t="str">
            <v>1.1.1</v>
          </cell>
          <cell r="C7" t="str">
            <v>Acción 1: Definir concepción de la psicología que subyace a la estructura curricular y al proceso de formación de pregrado ofrecidos por el Departamento</v>
          </cell>
          <cell r="D7" t="str">
            <v>01-11</v>
          </cell>
          <cell r="E7" t="str">
            <v>06-11</v>
          </cell>
          <cell r="F7" t="str">
            <v>COMITÉ CURRICULAR</v>
          </cell>
          <cell r="G7" t="str">
            <v>DIR DEPTO</v>
          </cell>
          <cell r="H7" t="e">
            <v>#REF!</v>
          </cell>
          <cell r="I7" t="str">
            <v>REVISION CONCEPTO</v>
          </cell>
          <cell r="J7" t="str">
            <v>CONCEPT</v>
          </cell>
          <cell r="K7" t="str">
            <v>DOCUMENTO</v>
          </cell>
        </row>
        <row r="8">
          <cell r="A8" t="str">
            <v>1.1.2</v>
          </cell>
          <cell r="B8" t="str">
            <v>1.1.2</v>
          </cell>
          <cell r="C8" t="str">
            <v>Acción 2: Definir competencias básicas de los egresados de acuerdo con lineamientos de la universidad y de la profesión y disciplina en Colombia.</v>
          </cell>
          <cell r="D8" t="str">
            <v>01-11</v>
          </cell>
          <cell r="E8" t="str">
            <v>06-11</v>
          </cell>
          <cell r="F8" t="str">
            <v>COMITÉ CURRICULAR</v>
          </cell>
          <cell r="G8" t="str">
            <v>DIR DEPTO</v>
          </cell>
          <cell r="H8" t="e">
            <v>#REF!</v>
          </cell>
          <cell r="I8" t="str">
            <v>REVISION LISTA COMPETENCIAS</v>
          </cell>
          <cell r="J8" t="str">
            <v>LISTA COMPET</v>
          </cell>
          <cell r="K8" t="str">
            <v>DOCUMENTO</v>
          </cell>
        </row>
        <row r="9">
          <cell r="A9" t="str">
            <v>1.1.2</v>
          </cell>
          <cell r="B9" t="str">
            <v>1.1.3</v>
          </cell>
          <cell r="C9" t="str">
            <v>Acción 3: Definir espacios de formación en los que se desarrollaran las competencias básicas de los egresados del programa</v>
          </cell>
          <cell r="D9" t="str">
            <v>07-11</v>
          </cell>
          <cell r="E9" t="str">
            <v>12-11</v>
          </cell>
          <cell r="F9" t="str">
            <v>COMITÉ CURRICULAR</v>
          </cell>
          <cell r="G9" t="str">
            <v>DIR DEPTO</v>
          </cell>
          <cell r="H9" t="e">
            <v>#REF!</v>
          </cell>
          <cell r="I9" t="str">
            <v>REVISION ESPACIOS FORMACION</v>
          </cell>
          <cell r="J9" t="str">
            <v>LISTA ESPACIO FORMAC</v>
          </cell>
          <cell r="K9" t="str">
            <v>DOCUMENTO</v>
          </cell>
        </row>
        <row r="10">
          <cell r="A10" t="str">
            <v>1.2.1</v>
          </cell>
          <cell r="B10" t="str">
            <v>1.1.4</v>
          </cell>
          <cell r="C10" t="str">
            <v xml:space="preserve">Acción 4: Identificar, en el marco de un respeto a la diversidad, modalidades de enseñanza y aprendizaje que, de manera privilegiada promuevan el logro de los objetivos de formación del programa, establecidos en el PEI.
</v>
          </cell>
          <cell r="D10" t="str">
            <v>01-12</v>
          </cell>
          <cell r="E10" t="str">
            <v>12-12</v>
          </cell>
          <cell r="F10" t="str">
            <v>COMITÉ CURRICULAR</v>
          </cell>
          <cell r="G10" t="str">
            <v>DIR DEPTO</v>
          </cell>
          <cell r="H10" t="e">
            <v>#REF!</v>
          </cell>
          <cell r="I10" t="str">
            <v>REVISION MODALIDADES ENSEÑANZA</v>
          </cell>
          <cell r="J10" t="str">
            <v>LISTA MOD ENSEÑA</v>
          </cell>
          <cell r="K10" t="str">
            <v>DOCUMENTO</v>
          </cell>
        </row>
        <row r="11">
          <cell r="A11" t="str">
            <v>1.3.3</v>
          </cell>
          <cell r="B11" t="str">
            <v>1.1.5</v>
          </cell>
          <cell r="C11" t="str">
            <v xml:space="preserve">Acción 5: Implementar un sistema de benchmarking con el fin de establecer  las características distintivas del programa de pregrado. </v>
          </cell>
          <cell r="D11" t="str">
            <v>01-11</v>
          </cell>
          <cell r="E11" t="str">
            <v>12-11</v>
          </cell>
          <cell r="F11" t="str">
            <v>COMITÉ CURRICULAR</v>
          </cell>
          <cell r="G11" t="str">
            <v>DIR DEPTO</v>
          </cell>
          <cell r="H11" t="e">
            <v>#REF!</v>
          </cell>
          <cell r="I11" t="str">
            <v>REVISION LISTA UNIVERSIDADES</v>
          </cell>
          <cell r="J11" t="str">
            <v>LISTA UNIVER A ANALIZ</v>
          </cell>
          <cell r="K11" t="str">
            <v>DOCUMENTO</v>
          </cell>
        </row>
        <row r="12">
          <cell r="A12" t="str">
            <v>1.2</v>
          </cell>
          <cell r="B12" t="str">
            <v>1.2</v>
          </cell>
          <cell r="C12" t="str">
            <v>Subobjetivo 2: Desarrollar estrategias que permitan obtener oportunamente información sobre actividades de docencia, evaluar su calidad y sugerir acciones de mejoramiento.</v>
          </cell>
          <cell r="D12" t="str">
            <v>01-11</v>
          </cell>
          <cell r="E12" t="str">
            <v>12-11</v>
          </cell>
          <cell r="F12" t="str">
            <v>COMITÉ DOCENTE</v>
          </cell>
          <cell r="G12" t="str">
            <v>DIR DEPTO</v>
          </cell>
          <cell r="H12" t="e">
            <v>#REF!</v>
          </cell>
          <cell r="I12">
            <v>0</v>
          </cell>
          <cell r="J12">
            <v>0</v>
          </cell>
          <cell r="K12">
            <v>0</v>
          </cell>
        </row>
        <row r="13">
          <cell r="A13" t="str">
            <v>1.2.1</v>
          </cell>
          <cell r="B13" t="str">
            <v>1.2.1</v>
          </cell>
          <cell r="C13" t="str">
            <v>Acción 1: Crear y mantener espacios, entre los profesores, para compartir y reflexionar regularmente sobre buenas prácticas y dificultades en el ejercicio de la enseñanza en áreas temáticamente afines</v>
          </cell>
          <cell r="D13" t="str">
            <v>01-11</v>
          </cell>
          <cell r="E13" t="str">
            <v>06-11</v>
          </cell>
          <cell r="F13" t="str">
            <v>COMITÉ DOCENTE</v>
          </cell>
          <cell r="G13" t="str">
            <v>DIR DEPTO</v>
          </cell>
          <cell r="H13" t="e">
            <v>#REF!</v>
          </cell>
          <cell r="I13" t="str">
            <v>VERIFICACION ESPACIO</v>
          </cell>
          <cell r="J13" t="str">
            <v># REUNIONES</v>
          </cell>
          <cell r="K13" t="str">
            <v>2 REUNIONES AÑO</v>
          </cell>
        </row>
        <row r="14">
          <cell r="A14" t="str">
            <v>1.2.2</v>
          </cell>
          <cell r="B14" t="str">
            <v>1.2.2</v>
          </cell>
          <cell r="C14" t="str">
            <v xml:space="preserve">Acción 2: Garantizar la sistematización periódica de indicadores de prácticas docentes (e.g., sistemas de evaluación, tipo y cantidad de lecturas, tipos de actividades en clase).  </v>
          </cell>
          <cell r="D14" t="str">
            <v>01-11</v>
          </cell>
          <cell r="E14" t="str">
            <v>12-11</v>
          </cell>
          <cell r="F14" t="str">
            <v>COMITÉ DOCENTE</v>
          </cell>
          <cell r="G14" t="str">
            <v>DIR DEPTO</v>
          </cell>
          <cell r="H14" t="e">
            <v>#REF!</v>
          </cell>
          <cell r="I14" t="str">
            <v>VERIFICACION SISTEMA</v>
          </cell>
          <cell r="J14" t="str">
            <v># REPORTES</v>
          </cell>
          <cell r="K14" t="str">
            <v>2 REPORTES AÑO</v>
          </cell>
        </row>
        <row r="15">
          <cell r="A15" t="str">
            <v>1.2.3</v>
          </cell>
          <cell r="B15" t="str">
            <v>1.2.3</v>
          </cell>
          <cell r="C15" t="str">
            <v>Acción 3: Crear estrategias para la evaluación de docencia en contextos de supervisión de práctica</v>
          </cell>
          <cell r="D15" t="str">
            <v>01-11</v>
          </cell>
          <cell r="E15" t="str">
            <v>06-11</v>
          </cell>
          <cell r="F15" t="str">
            <v>COMITÉ DOCENTE</v>
          </cell>
          <cell r="G15" t="str">
            <v>DIR DEPTO</v>
          </cell>
          <cell r="H15" t="e">
            <v>#REF!</v>
          </cell>
          <cell r="I15" t="str">
            <v>VERIFICACION SISTEMA</v>
          </cell>
          <cell r="J15" t="str">
            <v># REPORTES</v>
          </cell>
          <cell r="K15" t="str">
            <v>2 REPORTES AÑO</v>
          </cell>
        </row>
        <row r="16">
          <cell r="A16" t="str">
            <v>1.3</v>
          </cell>
          <cell r="B16">
            <v>1.3</v>
          </cell>
          <cell r="C16" t="str">
            <v>Subobjetivo 3: Desarrollar mecanismos de evaluación permanentes de la adecuación de la estructura curricular a los objetivos de formación del programa</v>
          </cell>
          <cell r="D16">
            <v>0</v>
          </cell>
          <cell r="E16">
            <v>0</v>
          </cell>
          <cell r="F16">
            <v>0</v>
          </cell>
          <cell r="G16">
            <v>0</v>
          </cell>
          <cell r="H16" t="e">
            <v>#REF!</v>
          </cell>
          <cell r="I16">
            <v>0</v>
          </cell>
          <cell r="J16">
            <v>0</v>
          </cell>
          <cell r="K16">
            <v>0</v>
          </cell>
        </row>
        <row r="17">
          <cell r="A17" t="str">
            <v>1.3.1</v>
          </cell>
          <cell r="B17" t="str">
            <v>1.3.1</v>
          </cell>
          <cell r="C17" t="str">
            <v>Acción 1: Evaluar la percepción de los estudiantes y de los profesores en relación con su formación en áreas  y competencias específicas.</v>
          </cell>
          <cell r="D17" t="str">
            <v>01-14</v>
          </cell>
          <cell r="E17" t="str">
            <v>06-14</v>
          </cell>
          <cell r="F17" t="str">
            <v>COMITÉ CURRICULAR</v>
          </cell>
          <cell r="G17" t="str">
            <v>DIR DEPTO</v>
          </cell>
          <cell r="H17" t="e">
            <v>#REF!</v>
          </cell>
          <cell r="I17" t="str">
            <v>VERIFICAR EVALUACIÓN</v>
          </cell>
          <cell r="J17" t="str">
            <v># EVALUAC.</v>
          </cell>
          <cell r="K17" t="str">
            <v>1 EVALUACIÓN CADA 5 AÑOS</v>
          </cell>
        </row>
        <row r="18">
          <cell r="A18" t="str">
            <v>1.3.2</v>
          </cell>
          <cell r="B18" t="str">
            <v>1.3.2</v>
          </cell>
          <cell r="C18" t="str">
            <v>Acción 2: Adoptar mecanismos de evaluación externa que permitan comparar el desempeño de nuestros estudiantes (e.g. Major Field Test, GRE subject y ECAES).</v>
          </cell>
          <cell r="D18" t="str">
            <v>01-11</v>
          </cell>
          <cell r="E18" t="str">
            <v>06-11</v>
          </cell>
          <cell r="F18" t="str">
            <v>COMITÉ CURRICULAR</v>
          </cell>
          <cell r="G18" t="str">
            <v>DIR DEPTO</v>
          </cell>
          <cell r="H18" t="e">
            <v>#REF!</v>
          </cell>
          <cell r="I18" t="str">
            <v>REVISION LISTA EVAL EXTERNA</v>
          </cell>
          <cell r="J18" t="str">
            <v># MECANISMO EVALUACION</v>
          </cell>
          <cell r="K18" t="str">
            <v>MIN 3 MECANISMO EVALUACION</v>
          </cell>
        </row>
        <row r="19">
          <cell r="A19">
            <v>6</v>
          </cell>
          <cell r="B19">
            <v>1.4</v>
          </cell>
          <cell r="C19" t="str">
            <v xml:space="preserve">Subobjetivo 2: Fortalecer los vínculos con los egresados. </v>
          </cell>
          <cell r="D19">
            <v>0</v>
          </cell>
          <cell r="E19">
            <v>0</v>
          </cell>
          <cell r="F19">
            <v>0</v>
          </cell>
          <cell r="G19">
            <v>0</v>
          </cell>
          <cell r="H19" t="e">
            <v>#REF!</v>
          </cell>
          <cell r="I19">
            <v>0</v>
          </cell>
          <cell r="J19">
            <v>0</v>
          </cell>
          <cell r="K19">
            <v>0</v>
          </cell>
        </row>
        <row r="20">
          <cell r="A20" t="str">
            <v>6.1.1</v>
          </cell>
          <cell r="B20" t="str">
            <v>1.4.1</v>
          </cell>
          <cell r="C20" t="str">
            <v>Acción 1: Realizar una encuesta a los egresados del Departamento, que sondee sus condiciones y logros laborales y profesionales, necesidades de formación, experiencias de formación posgraduales.</v>
          </cell>
          <cell r="D20" t="str">
            <v>06-13</v>
          </cell>
          <cell r="E20" t="str">
            <v>12-15</v>
          </cell>
          <cell r="F20" t="str">
            <v>COMITÉ CURRICULAR</v>
          </cell>
          <cell r="G20" t="str">
            <v>DIR DEPTO</v>
          </cell>
          <cell r="H20" t="e">
            <v>#REF!</v>
          </cell>
          <cell r="I20" t="str">
            <v>REVISION ENCUENTAS</v>
          </cell>
          <cell r="J20" t="str">
            <v># PROCESO ENCUESTAS</v>
          </cell>
          <cell r="K20" t="str">
            <v>2 ENCUESTAS EN 3 AÑOS</v>
          </cell>
        </row>
        <row r="21">
          <cell r="A21" t="str">
            <v>6.2.1</v>
          </cell>
          <cell r="B21" t="str">
            <v>1.4.2</v>
          </cell>
          <cell r="C21" t="str">
            <v>Acción 2: Revisar y ajustar los propósitos y el formato del Boletín de Egresados del Departamento</v>
          </cell>
          <cell r="D21" t="str">
            <v>04-11</v>
          </cell>
          <cell r="E21" t="str">
            <v>09-11</v>
          </cell>
          <cell r="F21" t="str">
            <v>COMITÉ EDITORIAL DEPTO</v>
          </cell>
          <cell r="G21" t="str">
            <v>DIR DEPTO</v>
          </cell>
          <cell r="H21" t="e">
            <v>#REF!</v>
          </cell>
          <cell r="I21" t="str">
            <v>BOLETIN CON REFORMAS</v>
          </cell>
          <cell r="J21" t="str">
            <v># BOLETINES EDITADOS</v>
          </cell>
          <cell r="K21" t="str">
            <v>1 BOLETIN AL AÑO</v>
          </cell>
        </row>
        <row r="22">
          <cell r="A22" t="str">
            <v>6.1.2</v>
          </cell>
          <cell r="B22" t="str">
            <v>1.4.3</v>
          </cell>
          <cell r="C22" t="str">
            <v>Acción 3: Fortalecer las relaciones con la Dirección de Desarrollo con el fin de diseñar estrategias conjuntas para afianzar las relaciones del departamento con sus egresados  y actualizar las bases de datos</v>
          </cell>
          <cell r="D22" t="str">
            <v>03-11</v>
          </cell>
          <cell r="E22" t="str">
            <v>08-11</v>
          </cell>
          <cell r="F22" t="str">
            <v>DIR DEPTO</v>
          </cell>
          <cell r="G22" t="str">
            <v>COOR DEPTO</v>
          </cell>
          <cell r="H22" t="e">
            <v>#REF!</v>
          </cell>
          <cell r="I22" t="str">
            <v>REVISION DE ACTIVIDADES CON DIR DESA</v>
          </cell>
          <cell r="J22" t="str">
            <v># EVENTOS CONJUNTOS</v>
          </cell>
          <cell r="K22" t="str">
            <v>1 ENVENTO AL AÑO</v>
          </cell>
        </row>
        <row r="23">
          <cell r="A23" t="str">
            <v>6.2.2</v>
          </cell>
          <cell r="B23" t="str">
            <v>1.4.4</v>
          </cell>
          <cell r="C23" t="str">
            <v>Acción 4: Establecer una relación de mercadeo directo con los egresados en relación con nuestros productos investigativos.</v>
          </cell>
          <cell r="D23" t="str">
            <v>07-11</v>
          </cell>
          <cell r="E23" t="str">
            <v>12-11</v>
          </cell>
          <cell r="F23" t="str">
            <v>COMITÉ RELACION ENTORNO</v>
          </cell>
          <cell r="G23" t="str">
            <v>DIR DEPTO</v>
          </cell>
          <cell r="H23" t="e">
            <v>#REF!</v>
          </cell>
          <cell r="I23">
            <v>0</v>
          </cell>
          <cell r="J23" t="str">
            <v># DOCUMENTO</v>
          </cell>
          <cell r="K23" t="str">
            <v>MIN 1 DOC AL AÑO</v>
          </cell>
        </row>
        <row r="24">
          <cell r="A24" t="str">
            <v>6.1.3</v>
          </cell>
          <cell r="B24" t="str">
            <v>1.4.5</v>
          </cell>
          <cell r="C24" t="str">
            <v>Acción 5: Crear y mantener espacios para la socialización de experiencias profesionales en ámbitos académicos.</v>
          </cell>
          <cell r="D24" t="str">
            <v>07-11</v>
          </cell>
          <cell r="E24" t="str">
            <v>12-11</v>
          </cell>
          <cell r="F24" t="str">
            <v>COMITÉ RELACION ENTORNO</v>
          </cell>
          <cell r="G24" t="str">
            <v>DIR DEPTO</v>
          </cell>
          <cell r="H24" t="e">
            <v>#REF!</v>
          </cell>
          <cell r="I24" t="str">
            <v>REVISON ESPACIO</v>
          </cell>
          <cell r="J24" t="str">
            <v># REUNIONES EGRESADOS</v>
          </cell>
          <cell r="K24" t="str">
            <v>MIN 1 REUNION AÑO</v>
          </cell>
        </row>
        <row r="25">
          <cell r="A25">
            <v>2</v>
          </cell>
          <cell r="B25">
            <v>2</v>
          </cell>
          <cell r="C25" t="str">
            <v xml:space="preserve">Objetivo 2: GARANTIZAR EL RECONOCIMIENTO  DE LOS PROGRAMAS DE POSGRADO, A TRAVÉS DE LA EXCELENCIA EN LA FORMACIÓN DE PROFESIONALES EN LA PSICOLOGÍA CLÍNICA Y DE LA SALUD. </v>
          </cell>
          <cell r="D25">
            <v>0</v>
          </cell>
          <cell r="E25">
            <v>0</v>
          </cell>
          <cell r="F25">
            <v>0</v>
          </cell>
          <cell r="G25">
            <v>0</v>
          </cell>
          <cell r="H25" t="e">
            <v>#REF!</v>
          </cell>
          <cell r="I25">
            <v>0</v>
          </cell>
          <cell r="J25">
            <v>0</v>
          </cell>
          <cell r="K25">
            <v>0</v>
          </cell>
        </row>
        <row r="26">
          <cell r="A26" t="str">
            <v>3.1</v>
          </cell>
          <cell r="B26">
            <v>2.1</v>
          </cell>
          <cell r="C26" t="str">
            <v>Subobjetivo 1: Consolidar un equipo docente de altas cualificaciones que permita satisfacer las diversas necesidades del programa</v>
          </cell>
          <cell r="D26">
            <v>0</v>
          </cell>
          <cell r="E26">
            <v>0</v>
          </cell>
          <cell r="F26">
            <v>0</v>
          </cell>
          <cell r="G26">
            <v>0</v>
          </cell>
          <cell r="H26" t="e">
            <v>#REF!</v>
          </cell>
          <cell r="I26">
            <v>0</v>
          </cell>
          <cell r="J26">
            <v>0</v>
          </cell>
          <cell r="K26">
            <v>0</v>
          </cell>
        </row>
        <row r="27">
          <cell r="A27" t="str">
            <v>3.1.1</v>
          </cell>
          <cell r="B27" t="str">
            <v>2.1.1</v>
          </cell>
          <cell r="C27" t="str">
            <v xml:space="preserve">Acción 1: Definir para cada uno de los profesores vinculados al programa un portafolio docente a nivel de maestría, que permita establecer una planeación académica a mediano plazo. </v>
          </cell>
          <cell r="D27" t="str">
            <v>01-11</v>
          </cell>
          <cell r="E27" t="str">
            <v>01-06</v>
          </cell>
          <cell r="F27" t="str">
            <v>DIR POSGRADOS</v>
          </cell>
          <cell r="G27" t="str">
            <v>COOR POSGRADOS</v>
          </cell>
          <cell r="H27" t="e">
            <v>#REF!</v>
          </cell>
          <cell r="I27" t="str">
            <v>REVISON PORTAFOLIO</v>
          </cell>
          <cell r="J27" t="str">
            <v># DOCUMENTOS</v>
          </cell>
          <cell r="K27" t="str">
            <v>1 DOCUMENTO AL SEMESTRE</v>
          </cell>
        </row>
        <row r="28">
          <cell r="A28" t="str">
            <v>3.2.4</v>
          </cell>
          <cell r="B28" t="str">
            <v>2.1.2</v>
          </cell>
          <cell r="C28" t="str">
            <v xml:space="preserve">Acción 2: Establecer un pool de profesores ocasionales e invitados, adecuadamente referenciados, que apoyen actividades de formación en el programa, a nivel de cátedra y supervisión.  </v>
          </cell>
          <cell r="D28" t="str">
            <v>01-11</v>
          </cell>
          <cell r="E28" t="str">
            <v>12-11</v>
          </cell>
          <cell r="F28" t="str">
            <v>DIR POSGRADOS</v>
          </cell>
          <cell r="G28" t="str">
            <v>COOR POSGRADOS</v>
          </cell>
          <cell r="H28" t="e">
            <v>#REF!</v>
          </cell>
          <cell r="I28" t="str">
            <v>REVISION LISTA PROFESORES</v>
          </cell>
          <cell r="J28" t="str">
            <v># DOCUMENTOS</v>
          </cell>
          <cell r="K28" t="str">
            <v>1 DOCUMENTO AL SEMESTRE</v>
          </cell>
        </row>
        <row r="29">
          <cell r="A29" t="str">
            <v>3.1.2</v>
          </cell>
          <cell r="B29" t="str">
            <v>2.1.3</v>
          </cell>
          <cell r="C29" t="str">
            <v>Acción 3: Diseñar y desarrollar estrategias tendientes a consolidar el involucramiento y la participación de todos y cada uno de los profesores del área clínica en la conducción y evolución del programa</v>
          </cell>
          <cell r="D29" t="str">
            <v>01-11</v>
          </cell>
          <cell r="E29" t="str">
            <v>12-11</v>
          </cell>
          <cell r="F29" t="str">
            <v>DIR CLINICA</v>
          </cell>
          <cell r="G29" t="str">
            <v>COOR POSGRADOS</v>
          </cell>
          <cell r="H29" t="e">
            <v>#REF!</v>
          </cell>
          <cell r="I29" t="str">
            <v>REVISION DOCUMENTO</v>
          </cell>
          <cell r="J29" t="str">
            <v># DOCUMENTOS</v>
          </cell>
          <cell r="K29" t="str">
            <v>1 DOCUMENTO AL AÑO</v>
          </cell>
        </row>
        <row r="30">
          <cell r="A30" t="str">
            <v>3.1.3</v>
          </cell>
          <cell r="B30" t="str">
            <v>2.1.4</v>
          </cell>
          <cell r="C30" t="str">
            <v>Acción 4: Definir perfiles profesorales, en el contexto de próximas convocatorias docentes, que puedan contribuir tanto al programa en psicología clínica como a los demás programas ofrecidos por el Departamento</v>
          </cell>
          <cell r="D30" t="str">
            <v>01-11</v>
          </cell>
          <cell r="E30" t="str">
            <v>12-11</v>
          </cell>
          <cell r="F30" t="str">
            <v>DIR POSGRADOS</v>
          </cell>
          <cell r="G30" t="str">
            <v>COOR POSGRADOS</v>
          </cell>
          <cell r="H30" t="e">
            <v>#REF!</v>
          </cell>
          <cell r="I30" t="str">
            <v>REVISION DOCUMENTO</v>
          </cell>
          <cell r="J30" t="str">
            <v># DOCUMENTOS</v>
          </cell>
          <cell r="K30" t="str">
            <v>1 DOCUMENTO AL AÑO</v>
          </cell>
        </row>
        <row r="31">
          <cell r="A31" t="str">
            <v>3.2.1</v>
          </cell>
          <cell r="B31" t="str">
            <v>2.1.5</v>
          </cell>
          <cell r="C31" t="str">
            <v>Acción 5: Establecer un programa, debidamente financiable y realizable, para la participación de profesores visitantes, en diversas modalidades de docencia (desde seminarios breves hasta semestres de visita profesoral)</v>
          </cell>
          <cell r="D31" t="str">
            <v>06-11</v>
          </cell>
          <cell r="E31" t="str">
            <v>12-11</v>
          </cell>
          <cell r="F31" t="str">
            <v>DIR POSGRADOS</v>
          </cell>
          <cell r="G31" t="str">
            <v>COOR POSGRADOS</v>
          </cell>
          <cell r="H31" t="e">
            <v>#REF!</v>
          </cell>
          <cell r="I31" t="str">
            <v>REVISION DOCUMENTO</v>
          </cell>
          <cell r="J31" t="str">
            <v># DOCUMENTOS</v>
          </cell>
          <cell r="K31" t="str">
            <v>1 DOCUMENTO AL AÑO</v>
          </cell>
        </row>
        <row r="32">
          <cell r="A32" t="str">
            <v>7.1</v>
          </cell>
          <cell r="B32">
            <v>2.2000000000000002</v>
          </cell>
          <cell r="C32" t="str">
            <v>Subobjetivo 2: Establecer estrategias evaluables y permanentes de promoción del programa, que visibilicen al programa frente a la competencia</v>
          </cell>
          <cell r="D32">
            <v>0</v>
          </cell>
          <cell r="E32">
            <v>0</v>
          </cell>
          <cell r="F32">
            <v>0</v>
          </cell>
          <cell r="G32">
            <v>0</v>
          </cell>
          <cell r="H32">
            <v>0</v>
          </cell>
          <cell r="I32">
            <v>0</v>
          </cell>
          <cell r="J32">
            <v>0</v>
          </cell>
          <cell r="K32">
            <v>0</v>
          </cell>
        </row>
        <row r="33">
          <cell r="A33" t="str">
            <v>7.1.1</v>
          </cell>
          <cell r="B33" t="str">
            <v>2.2.1</v>
          </cell>
          <cell r="C33" t="str">
            <v>Acción 1: Llevar a cabo un trabajo de referenciación con otros programas de postgrado de la universidad y de otras instituciones en relación con estrategias de promoción de oferta académica</v>
          </cell>
          <cell r="D33" t="str">
            <v>01-11</v>
          </cell>
          <cell r="E33" t="str">
            <v>06-11</v>
          </cell>
          <cell r="F33" t="str">
            <v>DIR POSGRADOS</v>
          </cell>
          <cell r="G33" t="str">
            <v>COOR POSGRADOS</v>
          </cell>
          <cell r="H33">
            <v>0</v>
          </cell>
          <cell r="I33" t="str">
            <v>REVISION DOCUMENTO</v>
          </cell>
          <cell r="J33" t="str">
            <v># DOCUMENTOS</v>
          </cell>
          <cell r="K33" t="str">
            <v>1 DOCUMENTO AL AÑO</v>
          </cell>
        </row>
        <row r="34">
          <cell r="A34" t="str">
            <v>7.1.2</v>
          </cell>
          <cell r="B34" t="str">
            <v>2.2.2</v>
          </cell>
          <cell r="C34" t="str">
            <v>Acción 2: Coordinar con la Oficina de Scoutting y Promoción mecanismos de evaluación de las estrategias actuales de promoción</v>
          </cell>
          <cell r="D34" t="str">
            <v>06-11</v>
          </cell>
          <cell r="E34" t="str">
            <v>08-11</v>
          </cell>
          <cell r="F34" t="str">
            <v>DIR POSGRADOS</v>
          </cell>
          <cell r="G34" t="str">
            <v>COOR POSGRADOS</v>
          </cell>
          <cell r="H34">
            <v>0</v>
          </cell>
          <cell r="I34" t="str">
            <v>REVISION DOCUMENTO</v>
          </cell>
          <cell r="J34" t="str">
            <v># DOCUMENTOS</v>
          </cell>
          <cell r="K34" t="str">
            <v>1 DOCUMENTO AL AÑO</v>
          </cell>
        </row>
        <row r="35">
          <cell r="A35" t="str">
            <v>7.1.4</v>
          </cell>
          <cell r="B35" t="str">
            <v>2.2.3</v>
          </cell>
          <cell r="C35" t="str">
            <v>Acción 3: Consolidar y mantener las bases de datos de interesados en los programas del Departamento</v>
          </cell>
          <cell r="D35" t="str">
            <v>06-11</v>
          </cell>
          <cell r="E35" t="str">
            <v>09-11</v>
          </cell>
          <cell r="F35" t="str">
            <v>DIR POSGRADOS</v>
          </cell>
          <cell r="G35" t="str">
            <v>COOR POSGRADOS</v>
          </cell>
          <cell r="H35">
            <v>0</v>
          </cell>
          <cell r="I35" t="str">
            <v>REVISION BASE DE DATOS</v>
          </cell>
          <cell r="J35" t="str">
            <v># REPORTES BD</v>
          </cell>
          <cell r="K35" t="str">
            <v>2 REPORTES AL AÑO</v>
          </cell>
        </row>
        <row r="36">
          <cell r="A36" t="str">
            <v>7.1.3</v>
          </cell>
          <cell r="B36" t="str">
            <v>2.2.4</v>
          </cell>
          <cell r="C36" t="str">
            <v>Acción 4: Diseñar e implementar una estrategia para la promoción de los programas de postgrado en el programa de pregrado en psicología de la universidad</v>
          </cell>
          <cell r="D36" t="str">
            <v>04-11</v>
          </cell>
          <cell r="E36" t="str">
            <v>10-11</v>
          </cell>
          <cell r="F36" t="str">
            <v>DIR POSGRADOS</v>
          </cell>
          <cell r="G36" t="str">
            <v>COOR POSGRADOS</v>
          </cell>
          <cell r="H36">
            <v>0</v>
          </cell>
          <cell r="I36" t="str">
            <v>REVISION DOCUMENTO</v>
          </cell>
          <cell r="J36" t="str">
            <v># DOCUMENTOS</v>
          </cell>
          <cell r="K36" t="str">
            <v>1 DOCUMENTO AL AÑO</v>
          </cell>
        </row>
        <row r="37">
          <cell r="A37" t="str">
            <v>Eliminada</v>
          </cell>
          <cell r="B37" t="str">
            <v>2.2.5</v>
          </cell>
          <cell r="C37" t="str">
            <v>Acción 5: Mantener imágenes corporativas que sean distintivas de los programas de postgrado del Departamento, en el contexto de las políticas de comunicación de la universidad</v>
          </cell>
          <cell r="D37" t="str">
            <v>01-12</v>
          </cell>
          <cell r="E37" t="str">
            <v>06-12</v>
          </cell>
          <cell r="F37" t="str">
            <v>DIR POSGRADOS</v>
          </cell>
          <cell r="G37" t="str">
            <v>COOR POSGRADOS</v>
          </cell>
          <cell r="H37">
            <v>0</v>
          </cell>
          <cell r="I37" t="str">
            <v>REVISION DOCUMENTO</v>
          </cell>
          <cell r="J37" t="str">
            <v># DOCUMENTOS</v>
          </cell>
          <cell r="K37" t="str">
            <v>1 DOCUMENTO AL AÑO</v>
          </cell>
        </row>
        <row r="38">
          <cell r="A38" t="str">
            <v>7.1.5</v>
          </cell>
          <cell r="B38" t="str">
            <v>2.2.6</v>
          </cell>
          <cell r="C38" t="str">
            <v>Acción 6: Coordinar con la Oficina de Comunicaciones y la Decanatura políticas para la publicación en prensa y en otros medios de difusión de información sobre los programas del Departamento</v>
          </cell>
          <cell r="D38" t="str">
            <v>01-12</v>
          </cell>
          <cell r="E38" t="str">
            <v>06-12</v>
          </cell>
          <cell r="F38" t="str">
            <v>DIR POSGRADOS</v>
          </cell>
          <cell r="G38" t="str">
            <v>COOR POSGRADOS</v>
          </cell>
          <cell r="H38">
            <v>0</v>
          </cell>
          <cell r="I38" t="str">
            <v>REVISION DOCUMENTO</v>
          </cell>
          <cell r="J38" t="str">
            <v># DOCUMENTOS</v>
          </cell>
          <cell r="K38" t="str">
            <v>1 DOCUMENTO AL AÑO</v>
          </cell>
        </row>
        <row r="39">
          <cell r="A39" t="str">
            <v>7.1.3</v>
          </cell>
          <cell r="B39" t="str">
            <v>2.2.7</v>
          </cell>
          <cell r="C39" t="str">
            <v>Acción 7: Publicar periódicamente un boletín electrónico del Departamento que ofrezca información actualizada sobre desarrollos y programas del Departamento</v>
          </cell>
          <cell r="D39" t="str">
            <v>01-12</v>
          </cell>
          <cell r="E39" t="str">
            <v>06-12</v>
          </cell>
          <cell r="F39" t="str">
            <v>DIR POSGRADOS</v>
          </cell>
          <cell r="G39" t="str">
            <v>COOR POSGRADOS</v>
          </cell>
          <cell r="H39">
            <v>0</v>
          </cell>
          <cell r="I39" t="str">
            <v>REVISION BOLETIN ELECTRONICO</v>
          </cell>
          <cell r="J39" t="str">
            <v># BOLETINES</v>
          </cell>
          <cell r="K39" t="str">
            <v>1 BOLETIN AL AÑO</v>
          </cell>
        </row>
        <row r="40">
          <cell r="A40" t="str">
            <v>4.1</v>
          </cell>
          <cell r="B40">
            <v>2.2999999999999998</v>
          </cell>
          <cell r="C40" t="str">
            <v xml:space="preserve">Subobjetivo 3: Establecer mecanismos para la atracción y retención de los mejores estudiantes </v>
          </cell>
          <cell r="D40">
            <v>0</v>
          </cell>
          <cell r="E40">
            <v>0</v>
          </cell>
          <cell r="F40">
            <v>0</v>
          </cell>
          <cell r="G40">
            <v>0</v>
          </cell>
          <cell r="H40" t="e">
            <v>#REF!</v>
          </cell>
          <cell r="I40">
            <v>0</v>
          </cell>
          <cell r="J40">
            <v>0</v>
          </cell>
          <cell r="K40">
            <v>0</v>
          </cell>
        </row>
        <row r="41">
          <cell r="A41" t="str">
            <v>4.1.1</v>
          </cell>
          <cell r="B41" t="str">
            <v>2.3.1</v>
          </cell>
          <cell r="C41" t="str">
            <v>Acción 1: Acordar con la Decanatura un sistema de becas o asistencias graduadas diseñado para estudiantes de la Maestría en Psicología Clínica y de la Salud, según rendimiento académico y necesidades económicas, y de acuerdo con posibilidades financieras del Departamento y el programa</v>
          </cell>
          <cell r="D41" t="str">
            <v>08-11</v>
          </cell>
          <cell r="E41" t="str">
            <v>12-12</v>
          </cell>
          <cell r="F41" t="str">
            <v>DIR POSGRADOS</v>
          </cell>
          <cell r="G41" t="str">
            <v>COOR POSGRADOS</v>
          </cell>
          <cell r="H41" t="e">
            <v>#REF!</v>
          </cell>
          <cell r="I41" t="str">
            <v>REVISION SISTEMA BECAS</v>
          </cell>
          <cell r="J41" t="str">
            <v># BECAS</v>
          </cell>
          <cell r="K41" t="str">
            <v>2 BECAS AL AÑO</v>
          </cell>
        </row>
        <row r="42">
          <cell r="A42" t="str">
            <v>4.1.2</v>
          </cell>
          <cell r="B42" t="str">
            <v>2.3.2</v>
          </cell>
          <cell r="C42" t="str">
            <v>Acción 2: Coordinar con la Decanatura estrategias para ofrecer a candidatos excepcionales del país incentivos para su vinculación como estudiantes al programa</v>
          </cell>
          <cell r="D42" t="str">
            <v>08-11</v>
          </cell>
          <cell r="E42" t="str">
            <v>12-12</v>
          </cell>
          <cell r="F42" t="str">
            <v>DIR POSGRADOS</v>
          </cell>
          <cell r="G42" t="str">
            <v>COOR POSGRADOS</v>
          </cell>
          <cell r="H42" t="e">
            <v>#REF!</v>
          </cell>
          <cell r="I42" t="str">
            <v>REVISION POLITICA ADMISION</v>
          </cell>
          <cell r="J42" t="str">
            <v># ESTUDIANTES</v>
          </cell>
          <cell r="K42" t="str">
            <v>2 ESTUDIANTES AL AÑO</v>
          </cell>
        </row>
        <row r="43">
          <cell r="A43" t="str">
            <v>4.1.3</v>
          </cell>
          <cell r="B43" t="str">
            <v>2.3.3</v>
          </cell>
          <cell r="C43" t="str">
            <v>Acción 3: Ofrecer a los mejores estudiantes oportunidades de formación adicionales a las previstas en el programa</v>
          </cell>
          <cell r="D43" t="str">
            <v>08-11</v>
          </cell>
          <cell r="E43" t="str">
            <v>12-12</v>
          </cell>
          <cell r="F43" t="str">
            <v>DIR POSGRADOS</v>
          </cell>
          <cell r="G43" t="str">
            <v>COOR POSGRADOS</v>
          </cell>
          <cell r="H43" t="e">
            <v>#REF!</v>
          </cell>
          <cell r="I43" t="str">
            <v>REVISION DOCUMENTO</v>
          </cell>
          <cell r="J43" t="str">
            <v># DOCUMENTOS</v>
          </cell>
          <cell r="K43" t="str">
            <v>1 DOCUMENTO AL AÑO</v>
          </cell>
        </row>
        <row r="44">
          <cell r="A44">
            <v>0</v>
          </cell>
          <cell r="B44">
            <v>2.4</v>
          </cell>
          <cell r="C44" t="str">
            <v xml:space="preserve">Subobjetivo 4: Fortalecer la actividad investigativa del programa, asociada a grupos de investigación y trabajos de estudiantes </v>
          </cell>
          <cell r="D44">
            <v>0</v>
          </cell>
          <cell r="E44">
            <v>0</v>
          </cell>
          <cell r="F44">
            <v>0</v>
          </cell>
          <cell r="G44">
            <v>0</v>
          </cell>
          <cell r="H44">
            <v>0</v>
          </cell>
          <cell r="I44">
            <v>0</v>
          </cell>
          <cell r="J44">
            <v>0</v>
          </cell>
          <cell r="K44">
            <v>0</v>
          </cell>
        </row>
        <row r="45">
          <cell r="A45" t="str">
            <v>5.1.1</v>
          </cell>
          <cell r="B45" t="str">
            <v>2.4.1</v>
          </cell>
          <cell r="C45" t="str">
            <v>Acción 1: Establecer un fondo semilla para el apoyo a proyectos estudiantiles de postgrado en el área clínica</v>
          </cell>
          <cell r="D45" t="str">
            <v>01-12</v>
          </cell>
          <cell r="E45" t="str">
            <v>06-12</v>
          </cell>
          <cell r="F45" t="str">
            <v>DIR POSGRADOS</v>
          </cell>
          <cell r="G45" t="str">
            <v>COOR POSGRADOS</v>
          </cell>
          <cell r="H45" t="e">
            <v>#REF!</v>
          </cell>
          <cell r="I45" t="str">
            <v>REVISION DOCUMENTO</v>
          </cell>
          <cell r="J45" t="str">
            <v># DOCUMENTOS</v>
          </cell>
          <cell r="K45" t="str">
            <v>1 DOCUMENTO AL AÑO</v>
          </cell>
        </row>
        <row r="46">
          <cell r="A46" t="str">
            <v>5.2.4</v>
          </cell>
          <cell r="B46" t="str">
            <v>2.4.2</v>
          </cell>
          <cell r="C46" t="str">
            <v>Acción 2: Definir estándares mínimos de producción investigativa y difusión académica, aplicables a profesores participantes en grupos de investigación en el área clínica</v>
          </cell>
          <cell r="D46" t="str">
            <v>01-12</v>
          </cell>
          <cell r="E46" t="str">
            <v>06-12</v>
          </cell>
          <cell r="F46" t="str">
            <v>DIR POSGRADOS</v>
          </cell>
          <cell r="G46" t="str">
            <v>COOR POSGRADOS</v>
          </cell>
          <cell r="H46" t="e">
            <v>#REF!</v>
          </cell>
          <cell r="I46" t="str">
            <v>REVISION DOCUMENTO</v>
          </cell>
          <cell r="J46" t="str">
            <v># DOCUMENTOS</v>
          </cell>
          <cell r="K46" t="str">
            <v>1 DOCUMENTO AL AÑO</v>
          </cell>
        </row>
        <row r="47">
          <cell r="A47" t="str">
            <v>5.1.1</v>
          </cell>
          <cell r="B47" t="str">
            <v>2.4.3</v>
          </cell>
          <cell r="C47" t="str">
            <v>Acción 3: Apoyar el establecimiento de semilleros de investigación con estudiantes de pregrado</v>
          </cell>
          <cell r="D47" t="str">
            <v>01-12</v>
          </cell>
          <cell r="E47" t="str">
            <v>06-12</v>
          </cell>
          <cell r="F47" t="str">
            <v>DIR DEPTO</v>
          </cell>
          <cell r="G47" t="str">
            <v>COOR DEPTO</v>
          </cell>
          <cell r="H47" t="e">
            <v>#REF!</v>
          </cell>
          <cell r="I47" t="str">
            <v>REVISION DOCUMENTO</v>
          </cell>
          <cell r="J47" t="str">
            <v># DOCUMENTOS</v>
          </cell>
          <cell r="K47" t="str">
            <v>1 DOCUMENTO AL AÑO</v>
          </cell>
        </row>
        <row r="48">
          <cell r="A48" t="str">
            <v>2.1</v>
          </cell>
          <cell r="B48">
            <v>2.5</v>
          </cell>
          <cell r="C48" t="str">
            <v>Subobjetivo 5: Garantizar infraestructura y convenios adecuados para el desarrollo de prácticas clínicas supervisadas</v>
          </cell>
          <cell r="D48">
            <v>0</v>
          </cell>
          <cell r="E48">
            <v>0</v>
          </cell>
          <cell r="F48">
            <v>0</v>
          </cell>
          <cell r="G48">
            <v>0</v>
          </cell>
          <cell r="H48" t="e">
            <v>#REF!</v>
          </cell>
          <cell r="I48">
            <v>0</v>
          </cell>
          <cell r="J48">
            <v>0</v>
          </cell>
          <cell r="K48">
            <v>0</v>
          </cell>
        </row>
        <row r="49">
          <cell r="A49" t="str">
            <v>2.1.1</v>
          </cell>
          <cell r="B49" t="str">
            <v>2.5.1</v>
          </cell>
          <cell r="C49" t="str">
            <v>Acción 1: Coordinar con la Vicerrectoría Académica y la Facultad de Medicina esfuerzos para el establecimiento de espacios adecuados y procedimientos del caso para la realización de prácticas clínicas supervisadas en la Casa Espinosa</v>
          </cell>
          <cell r="D49" t="str">
            <v>01-12</v>
          </cell>
          <cell r="E49" t="str">
            <v>06-12</v>
          </cell>
          <cell r="F49" t="str">
            <v>DIR POSGRADOS</v>
          </cell>
          <cell r="G49" t="str">
            <v>COOR POSGRADOS</v>
          </cell>
          <cell r="H49" t="e">
            <v>#REF!</v>
          </cell>
          <cell r="I49" t="str">
            <v>REVISION DOCUMENTO</v>
          </cell>
          <cell r="J49" t="str">
            <v># DOCUMENTOS</v>
          </cell>
          <cell r="K49" t="str">
            <v>1 DOCUMENTO AL AÑO</v>
          </cell>
        </row>
        <row r="50">
          <cell r="A50" t="str">
            <v>2.1.1</v>
          </cell>
          <cell r="B50" t="str">
            <v>2.5.2</v>
          </cell>
          <cell r="C50" t="str">
            <v>Acción 2: Establecer convenios con instituciones prestadoras de salud para la realización de prácticas clínicas supervisadas con miras a complementar la capacidad instalada de la Casa Espinosa</v>
          </cell>
          <cell r="D50" t="str">
            <v>01-12</v>
          </cell>
          <cell r="E50" t="str">
            <v>06-12</v>
          </cell>
          <cell r="F50" t="str">
            <v>DIR POSGRADOS</v>
          </cell>
          <cell r="G50" t="str">
            <v>COOR POSGRADOS</v>
          </cell>
          <cell r="H50" t="e">
            <v>#REF!</v>
          </cell>
          <cell r="I50" t="str">
            <v>REVISION DOCUMENTO</v>
          </cell>
          <cell r="J50" t="str">
            <v># DOCUMENTOS</v>
          </cell>
          <cell r="K50" t="str">
            <v>1 DOCUMENTO AL AÑO</v>
          </cell>
        </row>
        <row r="51">
          <cell r="A51" t="str">
            <v>2.1.2</v>
          </cell>
          <cell r="B51" t="str">
            <v>2.5.3</v>
          </cell>
          <cell r="C51" t="str">
            <v>Acción 3: Dotar al programa de Maestría en Psicología Clínica y de la Salud de los equipos tecnológicos necesarios para la realización de diversas modalidades de supervisión clínica</v>
          </cell>
          <cell r="D51" t="str">
            <v>01-12</v>
          </cell>
          <cell r="E51" t="str">
            <v>06-12</v>
          </cell>
          <cell r="F51" t="str">
            <v>DIR POSGRADOS</v>
          </cell>
          <cell r="G51" t="str">
            <v>COOR POSGRADOS</v>
          </cell>
          <cell r="H51" t="e">
            <v>#REF!</v>
          </cell>
          <cell r="I51" t="str">
            <v>REVISION DOCUMENTO</v>
          </cell>
          <cell r="J51" t="str">
            <v># DOCUMENTOS</v>
          </cell>
          <cell r="K51" t="str">
            <v>1 DOCUMENTO AL AÑO</v>
          </cell>
        </row>
        <row r="52">
          <cell r="A52" t="str">
            <v>2.2</v>
          </cell>
          <cell r="B52">
            <v>2.6</v>
          </cell>
          <cell r="C52" t="str">
            <v>Subobjetivo 6: Establecer un modelo de supervisión que sea factible financieramente y de alta calidad académica</v>
          </cell>
          <cell r="D52">
            <v>0</v>
          </cell>
          <cell r="E52">
            <v>0</v>
          </cell>
          <cell r="F52">
            <v>0</v>
          </cell>
          <cell r="G52">
            <v>0</v>
          </cell>
          <cell r="H52" t="e">
            <v>#REF!</v>
          </cell>
          <cell r="I52">
            <v>0</v>
          </cell>
          <cell r="J52">
            <v>0</v>
          </cell>
          <cell r="K52">
            <v>0</v>
          </cell>
        </row>
        <row r="53">
          <cell r="A53" t="str">
            <v>2.2.1</v>
          </cell>
          <cell r="B53" t="str">
            <v>2.6.1</v>
          </cell>
          <cell r="C53" t="str">
            <v>Acción 1: Elaborar colegiadamente y socializar entre docentes y supervisores protocolos de supervisión aplicables al programa de Maestría en Psicología Clínica y de la Salud, de conformidad con las posibilidades presupuestales del Departamento</v>
          </cell>
          <cell r="D53" t="str">
            <v>01-12</v>
          </cell>
          <cell r="E53" t="str">
            <v>06-12</v>
          </cell>
          <cell r="F53" t="str">
            <v>DIR POSGRADOS</v>
          </cell>
          <cell r="G53" t="str">
            <v>COOR POSGRADOS</v>
          </cell>
          <cell r="H53" t="e">
            <v>#REF!</v>
          </cell>
          <cell r="I53" t="str">
            <v>REVISION DOCUMENTO</v>
          </cell>
          <cell r="J53" t="str">
            <v># DOCUMENTOS</v>
          </cell>
          <cell r="K53" t="str">
            <v>1 DOCUMENTO AL AÑO</v>
          </cell>
        </row>
        <row r="54">
          <cell r="A54" t="str">
            <v>3.2.4</v>
          </cell>
          <cell r="B54" t="str">
            <v>2.6.2</v>
          </cell>
          <cell r="C54" t="str">
            <v>Acción 2: Establecer un pool de profesores ocasionales e invitados, adecuadamente referenciados, que apoyen actividades de formación en el programa, a nivel de cátedra y supervisión</v>
          </cell>
          <cell r="D54" t="str">
            <v>01-12</v>
          </cell>
          <cell r="E54" t="str">
            <v>06-12</v>
          </cell>
          <cell r="F54" t="str">
            <v>DIR POSGRADOS</v>
          </cell>
          <cell r="G54" t="str">
            <v>COOR POSGRADOS</v>
          </cell>
          <cell r="H54" t="e">
            <v>#REF!</v>
          </cell>
          <cell r="I54" t="str">
            <v>REVISION DOCUMENTO</v>
          </cell>
          <cell r="J54" t="str">
            <v># DOCUMENTOS</v>
          </cell>
          <cell r="K54" t="str">
            <v>1 DOCUMENTO AL AÑO</v>
          </cell>
        </row>
        <row r="55">
          <cell r="A55" t="str">
            <v>2.2.2</v>
          </cell>
          <cell r="B55" t="str">
            <v>2.6.3</v>
          </cell>
          <cell r="C55" t="str">
            <v>Acción 3: Implementar un sistema de benchmarking con el fin de establecer  las características distintivas y compartidas del modelo de supervisión desarrollado</v>
          </cell>
          <cell r="D55" t="str">
            <v>01-12</v>
          </cell>
          <cell r="E55" t="str">
            <v>06-12</v>
          </cell>
          <cell r="F55" t="str">
            <v>DIR POSGRADOS</v>
          </cell>
          <cell r="G55" t="str">
            <v>COOR POSGRADOS</v>
          </cell>
          <cell r="H55" t="e">
            <v>#REF!</v>
          </cell>
          <cell r="I55" t="str">
            <v>REVISION DOCUMENTO</v>
          </cell>
          <cell r="J55" t="str">
            <v># DOCUMENTOS</v>
          </cell>
          <cell r="K55" t="str">
            <v>1 DOCUMENTO AL AÑO</v>
          </cell>
        </row>
        <row r="56">
          <cell r="A56" t="str">
            <v>2.2</v>
          </cell>
          <cell r="B56">
            <v>2.7</v>
          </cell>
          <cell r="C56" t="str">
            <v xml:space="preserve">Subobjetivo 7: Establecer mecanismos permanentes de autoevaluación de la calidad del programa </v>
          </cell>
          <cell r="D56">
            <v>0</v>
          </cell>
          <cell r="E56">
            <v>0</v>
          </cell>
          <cell r="F56">
            <v>0</v>
          </cell>
          <cell r="G56">
            <v>0</v>
          </cell>
          <cell r="H56" t="e">
            <v>#REF!</v>
          </cell>
          <cell r="I56">
            <v>0</v>
          </cell>
          <cell r="J56">
            <v>0</v>
          </cell>
          <cell r="K56">
            <v>0</v>
          </cell>
        </row>
        <row r="57">
          <cell r="A57" t="str">
            <v>2.2.3</v>
          </cell>
          <cell r="B57" t="str">
            <v>2.7.1</v>
          </cell>
          <cell r="C57" t="str">
            <v>Acción 1: Con base en los factores, las características y los indicadores inicialmente propuestos por el CNA para acreditación de  postgrados y en otros insumos de autoevaluación, perfeccionar el sistema de información académica (de estudiantes y profesores) del Departamento</v>
          </cell>
          <cell r="D57" t="str">
            <v>07-12</v>
          </cell>
          <cell r="E57" t="str">
            <v>12-12</v>
          </cell>
          <cell r="F57" t="str">
            <v>DIR POSGRADOS</v>
          </cell>
          <cell r="G57" t="str">
            <v>COOR POSGRADOS</v>
          </cell>
          <cell r="H57" t="e">
            <v>#REF!</v>
          </cell>
          <cell r="I57" t="str">
            <v>REVISION BASE DE DATOS</v>
          </cell>
          <cell r="J57" t="str">
            <v># REPORTES BD</v>
          </cell>
          <cell r="K57" t="str">
            <v>2 REPORTES AL AÑO</v>
          </cell>
        </row>
        <row r="58">
          <cell r="A58" t="str">
            <v>2.2.4</v>
          </cell>
          <cell r="B58" t="str">
            <v>2.7.2</v>
          </cell>
          <cell r="C58" t="str">
            <v>Acción 2: Diseñar estrategias para el seguimiento de la calidad en la docencia a partir de formatos de evaluación de cursos más elaborados</v>
          </cell>
          <cell r="D58" t="str">
            <v>07-12</v>
          </cell>
          <cell r="E58" t="str">
            <v>12-12</v>
          </cell>
          <cell r="F58" t="str">
            <v>DIR POSGRADOS</v>
          </cell>
          <cell r="G58" t="str">
            <v>COOR POSGRADOS</v>
          </cell>
          <cell r="H58" t="e">
            <v>#REF!</v>
          </cell>
          <cell r="I58" t="str">
            <v>REVISION DOCUMENTO</v>
          </cell>
          <cell r="J58" t="str">
            <v># DOCUMENTOS</v>
          </cell>
          <cell r="K58" t="str">
            <v>1 DOCUMENTO AL AÑO</v>
          </cell>
        </row>
        <row r="59">
          <cell r="A59" t="str">
            <v>2.2.5</v>
          </cell>
          <cell r="B59" t="str">
            <v>2.7.3</v>
          </cell>
          <cell r="C59" t="str">
            <v>Acción 3: Implementar periódicamente estrategias de obtención de información cualitativa (e.g., grupos focales) para evaluar satisfacción estudiantil.</v>
          </cell>
          <cell r="D59" t="str">
            <v>07-12</v>
          </cell>
          <cell r="E59" t="str">
            <v>12-12</v>
          </cell>
          <cell r="F59" t="str">
            <v>DIR POSGRADOS</v>
          </cell>
          <cell r="G59" t="str">
            <v>COOR POSGRADOS</v>
          </cell>
          <cell r="H59" t="e">
            <v>#REF!</v>
          </cell>
          <cell r="I59" t="str">
            <v>REVISION DOCUMENTO</v>
          </cell>
          <cell r="J59" t="str">
            <v># DOCUMENTOS</v>
          </cell>
          <cell r="K59" t="str">
            <v>1 DOCUMENTO AL AÑO</v>
          </cell>
        </row>
        <row r="60">
          <cell r="A60" t="str">
            <v>2.2.2</v>
          </cell>
          <cell r="B60" t="str">
            <v>2.7.4</v>
          </cell>
          <cell r="C60" t="str">
            <v>Acción 4: Implementar un sistema de benchmarking con el fin de establecer  las características distintivas de los programas y cursos de postgrado</v>
          </cell>
          <cell r="D60" t="str">
            <v>07-12</v>
          </cell>
          <cell r="E60" t="str">
            <v>12-12</v>
          </cell>
          <cell r="F60" t="str">
            <v>DIR POSGRADOS</v>
          </cell>
          <cell r="G60" t="str">
            <v>COOR POSGRADOS</v>
          </cell>
          <cell r="H60" t="e">
            <v>#REF!</v>
          </cell>
          <cell r="I60" t="str">
            <v>REVISION DOCUMENTO</v>
          </cell>
          <cell r="J60" t="str">
            <v># DOCUMENTOS</v>
          </cell>
          <cell r="K60" t="str">
            <v>1 DOCUMENTO AL AÑO</v>
          </cell>
        </row>
        <row r="61">
          <cell r="A61">
            <v>0</v>
          </cell>
          <cell r="B61">
            <v>3</v>
          </cell>
          <cell r="C61" t="str">
            <v>Objetivo 3: GARANTIZAR EL RECONOCIMIENTO  DE LOS PROGRAMAS DE POSGRADO, A TRAVÉS DE LA EXCELENCIA EN LA FORMACIÓN DE INVESTIGADORES</v>
          </cell>
          <cell r="D61">
            <v>0</v>
          </cell>
          <cell r="E61">
            <v>0</v>
          </cell>
          <cell r="F61">
            <v>0</v>
          </cell>
          <cell r="G61">
            <v>0</v>
          </cell>
          <cell r="H61" t="e">
            <v>#REF!</v>
          </cell>
          <cell r="I61">
            <v>0</v>
          </cell>
          <cell r="J61">
            <v>0</v>
          </cell>
          <cell r="K61">
            <v>0</v>
          </cell>
        </row>
        <row r="62">
          <cell r="A62" t="str">
            <v>Eliminado</v>
          </cell>
          <cell r="B62">
            <v>3.1</v>
          </cell>
          <cell r="C62" t="str">
            <v>Subobjetivo 1: Proveer a los estudiantes doctorales y a los grupos de investigación la infraestructura necesaria  para actividades de investigación</v>
          </cell>
          <cell r="D62">
            <v>0</v>
          </cell>
          <cell r="E62">
            <v>0</v>
          </cell>
          <cell r="F62">
            <v>0</v>
          </cell>
          <cell r="G62">
            <v>0</v>
          </cell>
          <cell r="H62" t="e">
            <v>#REF!</v>
          </cell>
          <cell r="I62">
            <v>0</v>
          </cell>
          <cell r="J62">
            <v>0</v>
          </cell>
          <cell r="K62">
            <v>0</v>
          </cell>
        </row>
        <row r="63">
          <cell r="A63">
            <v>0</v>
          </cell>
          <cell r="B63" t="str">
            <v>3.1.1</v>
          </cell>
          <cell r="C63" t="str">
            <v>Acción 1: Coordinar con la Decanatura la ampliación y dotación adicional del Laboratorio de Psicología, en lo referente a infraestructura física, tecnológica y psicométrica</v>
          </cell>
          <cell r="D63" t="str">
            <v>01-13</v>
          </cell>
          <cell r="E63" t="str">
            <v>06-13</v>
          </cell>
          <cell r="F63" t="str">
            <v>DIR DEPTO</v>
          </cell>
          <cell r="G63" t="str">
            <v>COOR POSGRADOS</v>
          </cell>
          <cell r="H63" t="e">
            <v>#REF!</v>
          </cell>
          <cell r="I63" t="str">
            <v>REVISION PLAN INVERSION</v>
          </cell>
          <cell r="J63" t="str">
            <v>PLAN INVERSION</v>
          </cell>
          <cell r="K63" t="str">
            <v>EJECUTAR INVERSION</v>
          </cell>
        </row>
        <row r="64">
          <cell r="A64">
            <v>0</v>
          </cell>
          <cell r="B64" t="str">
            <v>3.1.2</v>
          </cell>
          <cell r="C64" t="str">
            <v>Acción 2: Gestionar ante la Decanatura la dotación de estaciones de trabajo adicionales para asistentes graduados y asistentes de docencia.</v>
          </cell>
          <cell r="D64" t="str">
            <v>01-13</v>
          </cell>
          <cell r="E64" t="str">
            <v>06-13</v>
          </cell>
          <cell r="F64" t="str">
            <v>DIR DEPTO</v>
          </cell>
          <cell r="G64" t="str">
            <v>COOR POSGRADOS</v>
          </cell>
          <cell r="H64" t="e">
            <v>#REF!</v>
          </cell>
          <cell r="I64" t="str">
            <v>REVISION PLAN ESTACIONES</v>
          </cell>
          <cell r="J64" t="str">
            <v># ESTACIONES ADICIONALES</v>
          </cell>
          <cell r="K64" t="str">
            <v>5 ESTACIONES ADICIONALES</v>
          </cell>
        </row>
        <row r="65">
          <cell r="A65">
            <v>0</v>
          </cell>
          <cell r="B65" t="str">
            <v>3.1.3</v>
          </cell>
          <cell r="C65" t="str">
            <v>Acción 3: Diseñar un sistema de evaluación y monitoreo constante de la adecuación de los recursos psicométricos y de software del Laboratorio de Psicología</v>
          </cell>
          <cell r="D65" t="str">
            <v>01-13</v>
          </cell>
          <cell r="E65" t="str">
            <v>06-13</v>
          </cell>
          <cell r="F65" t="str">
            <v>DIR POSGRADOS</v>
          </cell>
          <cell r="G65" t="str">
            <v>COOR POSGRADOS</v>
          </cell>
          <cell r="H65" t="e">
            <v>#REF!</v>
          </cell>
          <cell r="I65" t="str">
            <v>REVISION SISTEMA EVALUACION</v>
          </cell>
          <cell r="J65" t="str">
            <v># DOCUMENTOS</v>
          </cell>
          <cell r="K65" t="str">
            <v>1 DOCUMENTO AL AÑO</v>
          </cell>
        </row>
        <row r="66">
          <cell r="A66">
            <v>0</v>
          </cell>
          <cell r="B66" t="str">
            <v>3.1.4</v>
          </cell>
          <cell r="C66" t="str">
            <v>Acción 4: Adelantar, en coordinación con la Oficina de Planta Física, la remodelación del Laboratorio de Neurociencias, para efectos de apoyo a actividades investigativas actuales</v>
          </cell>
          <cell r="D66" t="str">
            <v>08-10</v>
          </cell>
          <cell r="E66" t="str">
            <v>12-10</v>
          </cell>
          <cell r="F66" t="str">
            <v>DIR POSGRADOS</v>
          </cell>
          <cell r="G66" t="str">
            <v>COOR POSGRADOS</v>
          </cell>
          <cell r="H66" t="e">
            <v>#REF!</v>
          </cell>
          <cell r="I66" t="str">
            <v>REVISION PLANOS</v>
          </cell>
          <cell r="J66" t="str">
            <v>DISTRIBUCION PLANTA FISICA</v>
          </cell>
          <cell r="K66" t="str">
            <v>1 LAB NEUROCIENCIAS</v>
          </cell>
        </row>
        <row r="67">
          <cell r="A67">
            <v>0</v>
          </cell>
          <cell r="B67" t="str">
            <v>3.1.5</v>
          </cell>
          <cell r="C67" t="str">
            <v>Acción 5: Gestionar ante la Decanatura y la Oficina de Gestión Humana, la vinculación de un auxiliar para el Laboratorio de Neurociencias</v>
          </cell>
          <cell r="D67" t="str">
            <v>01-13</v>
          </cell>
          <cell r="E67" t="str">
            <v>06-13</v>
          </cell>
          <cell r="F67" t="str">
            <v>DIR POSGRADOS</v>
          </cell>
          <cell r="G67" t="str">
            <v>COOR POSGRADOS</v>
          </cell>
          <cell r="H67" t="e">
            <v>#REF!</v>
          </cell>
          <cell r="I67" t="str">
            <v>PERFIL CARGO</v>
          </cell>
          <cell r="J67" t="str">
            <v>PERSONAL CONTRATADO</v>
          </cell>
          <cell r="K67" t="str">
            <v>1 AUXILIAR</v>
          </cell>
        </row>
        <row r="68">
          <cell r="A68" t="str">
            <v>2.2</v>
          </cell>
          <cell r="B68">
            <v>3.2</v>
          </cell>
          <cell r="C68" t="str">
            <v xml:space="preserve">Subobjetivo 2: Establecer mecanismos permanentes de autoevaluación de la calidad del programa </v>
          </cell>
          <cell r="D68">
            <v>0</v>
          </cell>
          <cell r="E68">
            <v>0</v>
          </cell>
          <cell r="F68">
            <v>0</v>
          </cell>
          <cell r="G68">
            <v>0</v>
          </cell>
          <cell r="H68" t="e">
            <v>#REF!</v>
          </cell>
          <cell r="I68">
            <v>0</v>
          </cell>
          <cell r="J68">
            <v>0</v>
          </cell>
          <cell r="K68">
            <v>0</v>
          </cell>
        </row>
        <row r="69">
          <cell r="A69" t="str">
            <v>2.2.3</v>
          </cell>
          <cell r="B69" t="str">
            <v>3.2.1</v>
          </cell>
          <cell r="C69" t="str">
            <v>Acción 1: Con base en los factores, las características y los indicadores inicialmente propuestos por el CNA para acreditación de  postgrados y en otros insumos de autoevaluación, perfeccionar el sistema de información académica (de estudiantes y profesores) del Departamento</v>
          </cell>
          <cell r="D69" t="str">
            <v>07-12</v>
          </cell>
          <cell r="E69" t="str">
            <v>12-12</v>
          </cell>
          <cell r="F69" t="str">
            <v>DIR POSGRADOS</v>
          </cell>
          <cell r="G69" t="str">
            <v>COOR POSGRADOS</v>
          </cell>
          <cell r="H69" t="e">
            <v>#REF!</v>
          </cell>
          <cell r="I69" t="str">
            <v>REVISION BASE DE DATOS</v>
          </cell>
          <cell r="J69" t="str">
            <v># REPORTES BD</v>
          </cell>
          <cell r="K69" t="str">
            <v>2 REPORTES AL AÑO</v>
          </cell>
        </row>
        <row r="70">
          <cell r="A70" t="str">
            <v>2.2.4</v>
          </cell>
          <cell r="B70" t="str">
            <v>3.2.2</v>
          </cell>
          <cell r="C70" t="str">
            <v>Acción 2: Diseñar estrategias para el seguimiento de la calidad en la docencia a partir de formatos de evaluación de cursos más elaborados</v>
          </cell>
          <cell r="D70" t="str">
            <v>07-12</v>
          </cell>
          <cell r="E70" t="str">
            <v>12-12</v>
          </cell>
          <cell r="F70" t="str">
            <v>DIR POSGRADOS</v>
          </cell>
          <cell r="G70" t="str">
            <v>COOR POSGRADOS</v>
          </cell>
          <cell r="H70" t="e">
            <v>#REF!</v>
          </cell>
          <cell r="I70" t="str">
            <v>REVISION DOCUMENTO</v>
          </cell>
          <cell r="J70" t="str">
            <v># DOCUMENTOS</v>
          </cell>
          <cell r="K70" t="str">
            <v>1 DOCUMENTO AL AÑO</v>
          </cell>
        </row>
        <row r="71">
          <cell r="A71" t="str">
            <v>2.2.5</v>
          </cell>
          <cell r="B71" t="str">
            <v>3.2.3</v>
          </cell>
          <cell r="C71" t="str">
            <v>Acción 3: Implementar periódicamente estrategias de obtención de información cualitativa (e.g., grupos focales) para evaluar satisfacción estudiantil.</v>
          </cell>
          <cell r="D71" t="str">
            <v>07-12</v>
          </cell>
          <cell r="E71" t="str">
            <v>12-12</v>
          </cell>
          <cell r="F71" t="str">
            <v>DIR POSGRADOS</v>
          </cell>
          <cell r="G71" t="str">
            <v>COOR POSGRADOS</v>
          </cell>
          <cell r="H71" t="e">
            <v>#REF!</v>
          </cell>
          <cell r="I71" t="str">
            <v>REVISION DOCUMENTO</v>
          </cell>
          <cell r="J71" t="str">
            <v># DOCUMENTOS</v>
          </cell>
          <cell r="K71" t="str">
            <v>1 DOCUMENTO AL AÑO</v>
          </cell>
        </row>
        <row r="72">
          <cell r="A72" t="str">
            <v>2.2.2</v>
          </cell>
          <cell r="B72" t="str">
            <v>3.2.4</v>
          </cell>
          <cell r="C72" t="str">
            <v>Acción 4: Diseñar un sistema de seguimiento y evaluación de la medida en la cual el programa es conducente al desarrollo de las competencias contenidas en los objetivos de formación.</v>
          </cell>
          <cell r="D72" t="str">
            <v>07-12</v>
          </cell>
          <cell r="E72" t="str">
            <v>12-12</v>
          </cell>
          <cell r="F72" t="str">
            <v>DIR POSGRADOS</v>
          </cell>
          <cell r="G72" t="str">
            <v>COOR POSGRADOS</v>
          </cell>
          <cell r="H72" t="e">
            <v>#REF!</v>
          </cell>
          <cell r="I72" t="str">
            <v>REVISION DOCUMENTO</v>
          </cell>
          <cell r="J72" t="str">
            <v># DOCUMENTOS</v>
          </cell>
          <cell r="K72" t="str">
            <v>1 DOCUMENTO AL AÑO</v>
          </cell>
        </row>
        <row r="73">
          <cell r="A73" t="str">
            <v>2.2.2</v>
          </cell>
          <cell r="B73" t="str">
            <v>3.2.5</v>
          </cell>
          <cell r="C73" t="str">
            <v>Acción 5: Implementar un sistema de benchmarking con el fin de establecer  las características distintivas de los programas y cursos de postgrado</v>
          </cell>
          <cell r="D73" t="str">
            <v>07-12</v>
          </cell>
          <cell r="E73" t="str">
            <v>12-12</v>
          </cell>
          <cell r="F73" t="str">
            <v>DIR POSGRADOS</v>
          </cell>
          <cell r="G73" t="str">
            <v>COOR POSGRADOS</v>
          </cell>
          <cell r="H73" t="e">
            <v>#REF!</v>
          </cell>
          <cell r="I73" t="str">
            <v>REVISION DOCUMENTO</v>
          </cell>
          <cell r="J73" t="str">
            <v># DOCUMENTOS</v>
          </cell>
          <cell r="K73" t="str">
            <v>1 DOCUMENTO AL AÑO</v>
          </cell>
        </row>
        <row r="74">
          <cell r="A74" t="str">
            <v>7.1</v>
          </cell>
          <cell r="B74">
            <v>3.3</v>
          </cell>
          <cell r="C74" t="str">
            <v>Subobjetivo 3: Establecer estrategias evaluables y permanentes de promoción del programa, que visibilicen al programa frente a la competencia</v>
          </cell>
          <cell r="D74">
            <v>0</v>
          </cell>
          <cell r="E74">
            <v>0</v>
          </cell>
          <cell r="F74">
            <v>0</v>
          </cell>
          <cell r="G74">
            <v>0</v>
          </cell>
          <cell r="H74" t="e">
            <v>#REF!</v>
          </cell>
          <cell r="I74">
            <v>0</v>
          </cell>
          <cell r="J74">
            <v>0</v>
          </cell>
          <cell r="K74">
            <v>0</v>
          </cell>
        </row>
        <row r="75">
          <cell r="A75" t="str">
            <v>7.1.1</v>
          </cell>
          <cell r="B75" t="str">
            <v>3.3.1</v>
          </cell>
          <cell r="C75" t="str">
            <v>Acción 1: Llevar a cabo un trabajo de referenciación con otros programas de postgrado de la universidad y de otras instituciones en relación con estrategias de promoción de oferta académica</v>
          </cell>
          <cell r="D75" t="str">
            <v>01-11</v>
          </cell>
          <cell r="E75" t="str">
            <v>12-11</v>
          </cell>
          <cell r="F75" t="str">
            <v>DIR POSGRADOS</v>
          </cell>
          <cell r="G75" t="str">
            <v>COOR POSGRADOS</v>
          </cell>
          <cell r="H75" t="e">
            <v>#REF!</v>
          </cell>
          <cell r="I75" t="str">
            <v>REVISION DOCUMENTO</v>
          </cell>
          <cell r="J75" t="str">
            <v># DOCUMENTOS</v>
          </cell>
          <cell r="K75" t="str">
            <v>1 DOCUMENTO AL AÑO</v>
          </cell>
        </row>
        <row r="76">
          <cell r="A76" t="str">
            <v>7.1.2</v>
          </cell>
          <cell r="B76" t="str">
            <v>3.3.2</v>
          </cell>
          <cell r="C76" t="str">
            <v>Acción 2: Coordinar con la Oficina de Scoutting y Promoción mecanismos de evaluación de las estrategias actuales de promoción</v>
          </cell>
          <cell r="D76" t="str">
            <v>01-11</v>
          </cell>
          <cell r="E76" t="str">
            <v>06-11</v>
          </cell>
          <cell r="F76" t="str">
            <v>DIR POSGRADOS</v>
          </cell>
          <cell r="G76" t="str">
            <v>COOR POSGRADOS</v>
          </cell>
          <cell r="H76" t="e">
            <v>#REF!</v>
          </cell>
          <cell r="I76" t="str">
            <v>REVISION DOCUMENTO</v>
          </cell>
          <cell r="J76" t="str">
            <v># DOCUMENTOS</v>
          </cell>
          <cell r="K76" t="str">
            <v>1 DOCUMENTO AL AÑO</v>
          </cell>
        </row>
        <row r="77">
          <cell r="A77" t="str">
            <v>7.1.4</v>
          </cell>
          <cell r="B77" t="str">
            <v>3.3.3</v>
          </cell>
          <cell r="C77" t="str">
            <v>Acción 3: Consolidar y mantener las bases de datos de interesados en los programas del Departamento</v>
          </cell>
          <cell r="D77" t="str">
            <v>06-11</v>
          </cell>
          <cell r="E77" t="str">
            <v>09-11</v>
          </cell>
          <cell r="F77" t="str">
            <v>DIR POSGRADOS</v>
          </cell>
          <cell r="G77" t="str">
            <v>COOR POSGRADOS</v>
          </cell>
          <cell r="H77" t="e">
            <v>#REF!</v>
          </cell>
          <cell r="I77" t="str">
            <v>REVISION BASE DE DATOS</v>
          </cell>
          <cell r="J77" t="str">
            <v># REPORTES BD</v>
          </cell>
          <cell r="K77" t="str">
            <v>2 REPORTES AL AÑO</v>
          </cell>
        </row>
        <row r="78">
          <cell r="A78" t="str">
            <v>7.1.3</v>
          </cell>
          <cell r="B78" t="str">
            <v>3.3.4</v>
          </cell>
          <cell r="C78" t="str">
            <v xml:space="preserve">Acción 4: Diseñar e implementar una estrategia para la promoción de los programas de postgrado en el programa de pregrado en psicología de la universidad. </v>
          </cell>
          <cell r="D78" t="str">
            <v>06-11</v>
          </cell>
          <cell r="E78" t="str">
            <v>09-11</v>
          </cell>
          <cell r="F78" t="str">
            <v>DIR POSGRADOS</v>
          </cell>
          <cell r="G78" t="str">
            <v>COOR POSGRADOS</v>
          </cell>
          <cell r="H78" t="e">
            <v>#REF!</v>
          </cell>
          <cell r="I78" t="str">
            <v>REVISION DOCUMENTO</v>
          </cell>
          <cell r="J78" t="str">
            <v># DOCUMENTOS</v>
          </cell>
          <cell r="K78" t="str">
            <v>1 DOCUMENTO AL AÑO</v>
          </cell>
        </row>
        <row r="79">
          <cell r="A79" t="str">
            <v>Eliminada</v>
          </cell>
          <cell r="B79" t="str">
            <v>3.3.5</v>
          </cell>
          <cell r="C79" t="str">
            <v>Acción 5: Mantener imágenes corporativas que sean distintivas de los programas de postgrado del Departamento, en el contexto de las políticas de comunicación de la universidad</v>
          </cell>
          <cell r="D79" t="str">
            <v>01-12</v>
          </cell>
          <cell r="E79" t="str">
            <v>06-12</v>
          </cell>
          <cell r="F79" t="str">
            <v>DIR POSGRADOS</v>
          </cell>
          <cell r="G79" t="str">
            <v>COOR POSGRADOS</v>
          </cell>
          <cell r="H79" t="e">
            <v>#REF!</v>
          </cell>
          <cell r="I79" t="str">
            <v>REVISION DOCUMENTO</v>
          </cell>
          <cell r="J79" t="str">
            <v># DOCUMENTOS</v>
          </cell>
          <cell r="K79" t="str">
            <v>1 DOCUMENTO AL AÑO</v>
          </cell>
        </row>
        <row r="80">
          <cell r="A80" t="str">
            <v>7.1.5</v>
          </cell>
          <cell r="B80" t="str">
            <v>3.3.6</v>
          </cell>
          <cell r="C80" t="str">
            <v>Acción 6: Coordinar con la Oficina de Comunicaciones y la Decanatura políticas para la publicación en prensa y en otros medios de difusión de información sobre los programas del Departamento</v>
          </cell>
          <cell r="D80" t="str">
            <v>01-12</v>
          </cell>
          <cell r="E80" t="str">
            <v>06-12</v>
          </cell>
          <cell r="F80" t="str">
            <v>DIR POSGRADOS</v>
          </cell>
          <cell r="G80" t="str">
            <v>COOR POSGRADOS</v>
          </cell>
          <cell r="H80" t="e">
            <v>#REF!</v>
          </cell>
          <cell r="I80" t="str">
            <v>REVISION DOCUMENTO</v>
          </cell>
          <cell r="J80" t="str">
            <v># DOCUMENTOS</v>
          </cell>
          <cell r="K80" t="str">
            <v>1 DOCUMENTO AL AÑO</v>
          </cell>
        </row>
        <row r="81">
          <cell r="A81" t="str">
            <v>7.1.3</v>
          </cell>
          <cell r="B81" t="str">
            <v>3.3.7</v>
          </cell>
          <cell r="C81" t="str">
            <v>Acción 7: Publicar periódicamente un boletín electrónico del Departamento que ofrezca información actualizada sobre desarrollos y programas del Departamento</v>
          </cell>
          <cell r="D81" t="str">
            <v>01-12</v>
          </cell>
          <cell r="E81" t="str">
            <v>06-12</v>
          </cell>
          <cell r="F81" t="str">
            <v>DIR POSGRADOS</v>
          </cell>
          <cell r="G81" t="str">
            <v>COOR POSGRADOS</v>
          </cell>
          <cell r="H81" t="e">
            <v>#REF!</v>
          </cell>
          <cell r="I81" t="str">
            <v>REVISION BOLETIN ELECTRONICO</v>
          </cell>
          <cell r="J81" t="str">
            <v># BOLETINES</v>
          </cell>
          <cell r="K81" t="str">
            <v>1 BOLETIN AL AÑO</v>
          </cell>
        </row>
        <row r="82">
          <cell r="A82" t="str">
            <v>5.1</v>
          </cell>
          <cell r="B82">
            <v>3.4</v>
          </cell>
          <cell r="C82" t="str">
            <v xml:space="preserve">Subobjetivo 4: Crear espacios de socialización que permitan la discusión y divulgación entre pares de productos e iniciativas académicas e investigativas </v>
          </cell>
          <cell r="D82">
            <v>0</v>
          </cell>
          <cell r="E82">
            <v>0</v>
          </cell>
          <cell r="F82">
            <v>0</v>
          </cell>
          <cell r="G82">
            <v>0</v>
          </cell>
          <cell r="H82" t="e">
            <v>#REF!</v>
          </cell>
          <cell r="I82">
            <v>0</v>
          </cell>
          <cell r="J82">
            <v>0</v>
          </cell>
          <cell r="K82">
            <v>0</v>
          </cell>
        </row>
        <row r="83">
          <cell r="A83" t="str">
            <v>5.1.2</v>
          </cell>
          <cell r="B83" t="str">
            <v>3.4.1</v>
          </cell>
          <cell r="C83" t="str">
            <v>Acción 1: Definir los propósitos formativos de espacios de socialización y divulgación académica en los diferentes niveles de desarrollo de las competencias investigativas de los estudiantes</v>
          </cell>
          <cell r="D83" t="str">
            <v>01-13</v>
          </cell>
          <cell r="E83" t="str">
            <v>06-13</v>
          </cell>
          <cell r="F83" t="str">
            <v>DIR POSGRADOS</v>
          </cell>
          <cell r="G83" t="str">
            <v>COOR POSGRADOS</v>
          </cell>
          <cell r="H83" t="e">
            <v>#REF!</v>
          </cell>
          <cell r="I83" t="str">
            <v>REVISION DOCUMENTO</v>
          </cell>
          <cell r="J83" t="str">
            <v># DOCUMENTOS</v>
          </cell>
          <cell r="K83" t="str">
            <v>1 DOCUMENTO AL AÑO</v>
          </cell>
        </row>
        <row r="84">
          <cell r="A84" t="str">
            <v>5.1.2</v>
          </cell>
          <cell r="B84" t="str">
            <v>3.4.2</v>
          </cell>
          <cell r="C84" t="str">
            <v>Acción 2: Definir los diversos formatos de actividad y periodicidad de los espacios de socialización y divulgación</v>
          </cell>
          <cell r="D84" t="str">
            <v>01-13</v>
          </cell>
          <cell r="E84" t="str">
            <v>06-13</v>
          </cell>
          <cell r="F84" t="str">
            <v>DIR POSGRADOS</v>
          </cell>
          <cell r="G84" t="str">
            <v>COOR POSGRADOS</v>
          </cell>
          <cell r="H84" t="e">
            <v>#REF!</v>
          </cell>
          <cell r="I84" t="str">
            <v>REVISION DOCUMENTO</v>
          </cell>
          <cell r="J84" t="str">
            <v># DOCUMENTOS</v>
          </cell>
          <cell r="K84" t="str">
            <v>1 DOCUMENTO AL AÑO</v>
          </cell>
        </row>
        <row r="85">
          <cell r="A85" t="str">
            <v>5.1.2</v>
          </cell>
          <cell r="B85" t="str">
            <v>3.4.3</v>
          </cell>
          <cell r="C85" t="str">
            <v>Acción 3: Establecer estrategias de divulgación oportuna y eficaz de las actividades relacionadas con los espacios de socialización</v>
          </cell>
          <cell r="D85" t="str">
            <v>01-13</v>
          </cell>
          <cell r="E85" t="str">
            <v>06-13</v>
          </cell>
          <cell r="F85" t="str">
            <v>DIR POSGRADOS</v>
          </cell>
          <cell r="G85" t="str">
            <v>COOR POSGRADOS</v>
          </cell>
          <cell r="H85" t="e">
            <v>#REF!</v>
          </cell>
          <cell r="I85" t="str">
            <v>REVISION DOCUMENTO</v>
          </cell>
          <cell r="J85" t="str">
            <v># DOCUMENTOS</v>
          </cell>
          <cell r="K85" t="str">
            <v>1 DOCUMENTO AL AÑO</v>
          </cell>
        </row>
        <row r="86">
          <cell r="A86" t="str">
            <v>5.1.3</v>
          </cell>
          <cell r="B86" t="str">
            <v>3.4.4</v>
          </cell>
          <cell r="C86" t="str">
            <v>Acción 4: Definir mecanismos de evaluación periódica de los espacios de socialización</v>
          </cell>
          <cell r="D86" t="str">
            <v>01-13</v>
          </cell>
          <cell r="E86" t="str">
            <v>06-13</v>
          </cell>
          <cell r="F86" t="str">
            <v>DIR POSGRADOS</v>
          </cell>
          <cell r="G86" t="str">
            <v>COOR POSGRADOS</v>
          </cell>
          <cell r="H86" t="e">
            <v>#REF!</v>
          </cell>
          <cell r="I86" t="str">
            <v>REVISION DOCUMENTO</v>
          </cell>
          <cell r="J86" t="str">
            <v># DOCUMENTOS</v>
          </cell>
          <cell r="K86" t="str">
            <v>1 DOCUMENTO AL AÑO</v>
          </cell>
        </row>
        <row r="87">
          <cell r="A87" t="str">
            <v>7.2</v>
          </cell>
          <cell r="B87">
            <v>3.5</v>
          </cell>
          <cell r="C87" t="str">
            <v>Subobjetivo 5: Promover la presencia en eventos y escenarios académicos nacionales e internacionales</v>
          </cell>
          <cell r="D87">
            <v>0</v>
          </cell>
          <cell r="E87">
            <v>0</v>
          </cell>
          <cell r="F87">
            <v>0</v>
          </cell>
          <cell r="G87">
            <v>0</v>
          </cell>
          <cell r="H87" t="e">
            <v>#REF!</v>
          </cell>
          <cell r="I87">
            <v>0</v>
          </cell>
          <cell r="J87">
            <v>0</v>
          </cell>
          <cell r="K87">
            <v>0</v>
          </cell>
        </row>
        <row r="88">
          <cell r="A88" t="str">
            <v>7.2.2</v>
          </cell>
          <cell r="B88" t="str">
            <v>3.5.1</v>
          </cell>
          <cell r="C88" t="str">
            <v>Acción 1: Llegar a consensos sobre las políticas y estrategias de participación en eventos académicos, de acuerdo con diversos propósitos académicos e institucionales</v>
          </cell>
          <cell r="D88" t="str">
            <v>01-11</v>
          </cell>
          <cell r="E88" t="str">
            <v>06-11</v>
          </cell>
          <cell r="F88" t="str">
            <v>DIR DEPTO</v>
          </cell>
          <cell r="G88" t="str">
            <v>COOR DEPTO</v>
          </cell>
          <cell r="H88" t="e">
            <v>#REF!</v>
          </cell>
          <cell r="I88" t="str">
            <v>REVISION DOCUMENTO</v>
          </cell>
          <cell r="J88" t="str">
            <v># DOCUMENTOS</v>
          </cell>
          <cell r="K88" t="str">
            <v>1 DOCUMENTO AL AÑO</v>
          </cell>
        </row>
        <row r="89">
          <cell r="A89" t="str">
            <v>5.1.4</v>
          </cell>
          <cell r="B89" t="str">
            <v>3.5.2</v>
          </cell>
          <cell r="C89" t="str">
            <v>Acción 2: Desarrollar un sistema que permita dar información a los grupos de investigación sobre eventos académicos relevantes en sus respectivas áreas</v>
          </cell>
          <cell r="D89" t="str">
            <v>01-11</v>
          </cell>
          <cell r="E89" t="str">
            <v>06-11</v>
          </cell>
          <cell r="F89" t="str">
            <v>DIR DEPTO</v>
          </cell>
          <cell r="G89" t="str">
            <v>COOR DEPTO</v>
          </cell>
          <cell r="H89" t="e">
            <v>#REF!</v>
          </cell>
          <cell r="I89" t="str">
            <v>REVISION DOCUMENTO</v>
          </cell>
          <cell r="J89" t="str">
            <v># DOCUMENTOS</v>
          </cell>
          <cell r="K89" t="str">
            <v>1 DOCUMENTO AL AÑO</v>
          </cell>
        </row>
        <row r="90">
          <cell r="A90" t="str">
            <v>7.2.3</v>
          </cell>
          <cell r="B90" t="str">
            <v>3.5.3</v>
          </cell>
          <cell r="C90" t="str">
            <v>Acción 3: En coordinación con la Decanatura, buscar y ofrecer incentivos y ayudas para la participación de estudiantes en eventos académicos nacionales e internacionales</v>
          </cell>
          <cell r="D90" t="str">
            <v>01-11</v>
          </cell>
          <cell r="E90" t="str">
            <v>06-11</v>
          </cell>
          <cell r="F90" t="str">
            <v>DIR DEPTO</v>
          </cell>
          <cell r="G90" t="str">
            <v>COOR DEPTO</v>
          </cell>
          <cell r="H90" t="e">
            <v>#REF!</v>
          </cell>
          <cell r="I90" t="str">
            <v>REVISION DOCUMENTO</v>
          </cell>
          <cell r="J90" t="str">
            <v># DOCUMENTOS</v>
          </cell>
          <cell r="K90" t="str">
            <v>1 DOCUMENTO AL AÑO</v>
          </cell>
        </row>
        <row r="91">
          <cell r="A91" t="str">
            <v>5.1.5</v>
          </cell>
          <cell r="B91" t="str">
            <v>3.5.4</v>
          </cell>
          <cell r="C91" t="str">
            <v>Acción 4: Establecer espacios o escenarios que permitan a estudiantes de postgrado presentar sus trabajos en ambientes pedagógicos, para efectos de simular presentaciones o participaciones en eventos académicos profesionales</v>
          </cell>
          <cell r="D91" t="str">
            <v>01-11</v>
          </cell>
          <cell r="E91" t="str">
            <v>06-11</v>
          </cell>
          <cell r="F91" t="str">
            <v>DIR DEPTO</v>
          </cell>
          <cell r="G91" t="str">
            <v>COOR DEPTO</v>
          </cell>
          <cell r="H91" t="e">
            <v>#REF!</v>
          </cell>
          <cell r="I91" t="str">
            <v>REVISION DOCUMENTO</v>
          </cell>
          <cell r="J91" t="str">
            <v># DOCUMENTOS</v>
          </cell>
          <cell r="K91" t="str">
            <v>1 DOCUMENTO AL AÑO</v>
          </cell>
        </row>
        <row r="92">
          <cell r="A92" t="str">
            <v>7.2.1</v>
          </cell>
          <cell r="B92" t="str">
            <v>3.5.5</v>
          </cell>
          <cell r="C92" t="str">
            <v>Acción 5: Aumentar la organización de eventos académicos por parte del Departamento de Psicología</v>
          </cell>
          <cell r="D92" t="str">
            <v>01-11</v>
          </cell>
          <cell r="E92" t="str">
            <v>06-11</v>
          </cell>
          <cell r="F92" t="str">
            <v>DIR DEPTO</v>
          </cell>
          <cell r="G92" t="str">
            <v>COOR DEPTO</v>
          </cell>
          <cell r="H92" t="e">
            <v>#REF!</v>
          </cell>
          <cell r="I92" t="str">
            <v>REVISION DOCUMENTO</v>
          </cell>
          <cell r="J92" t="str">
            <v># DOCUMENTOS</v>
          </cell>
          <cell r="K92" t="str">
            <v>1 DOCUMENTO AL AÑO</v>
          </cell>
        </row>
        <row r="93">
          <cell r="A93" t="str">
            <v>5.3</v>
          </cell>
          <cell r="B93">
            <v>4</v>
          </cell>
          <cell r="C93" t="str">
            <v>Objetivo 4: FORTALECER LA VISIBILIDAD DE LA PRODUCCIÓN ACADÉMICA  Y LOS NEXOS CON REDES  A NIVEL NACIONAL E INTERNACIONAL</v>
          </cell>
          <cell r="D93">
            <v>0</v>
          </cell>
          <cell r="E93">
            <v>0</v>
          </cell>
          <cell r="F93">
            <v>0</v>
          </cell>
          <cell r="G93">
            <v>0</v>
          </cell>
          <cell r="H93" t="e">
            <v>#REF!</v>
          </cell>
          <cell r="I93">
            <v>0</v>
          </cell>
          <cell r="J93">
            <v>0</v>
          </cell>
          <cell r="K93">
            <v>0</v>
          </cell>
        </row>
        <row r="94">
          <cell r="A94" t="str">
            <v>Eliminado</v>
          </cell>
          <cell r="B94">
            <v>4.0999999999999996</v>
          </cell>
          <cell r="C94" t="str">
            <v>Subobjetivo 3: Proveer a los estudiantes doctorales y a los grupos de investigación la infraestructura necesaria  para actividades de investigación</v>
          </cell>
          <cell r="D94">
            <v>0</v>
          </cell>
          <cell r="E94">
            <v>0</v>
          </cell>
          <cell r="F94" t="str">
            <v>YA CONSIDERADO</v>
          </cell>
          <cell r="G94">
            <v>0</v>
          </cell>
          <cell r="H94">
            <v>0</v>
          </cell>
          <cell r="I94">
            <v>0</v>
          </cell>
          <cell r="J94">
            <v>0</v>
          </cell>
          <cell r="K94">
            <v>0</v>
          </cell>
        </row>
        <row r="95">
          <cell r="A95">
            <v>0</v>
          </cell>
          <cell r="B95" t="str">
            <v>4.1.1</v>
          </cell>
          <cell r="C95" t="str">
            <v>Acción 1: Coordinar con la Decanatura la ampliación y dotación adicional del Laboratorio de Psicología, en lo referente a infraestructura física, tecnológica y psicométrica</v>
          </cell>
          <cell r="D95">
            <v>0</v>
          </cell>
          <cell r="E95">
            <v>0</v>
          </cell>
          <cell r="F95">
            <v>0</v>
          </cell>
          <cell r="G95">
            <v>0</v>
          </cell>
          <cell r="H95">
            <v>0</v>
          </cell>
          <cell r="I95">
            <v>0</v>
          </cell>
          <cell r="J95">
            <v>0</v>
          </cell>
          <cell r="K95">
            <v>0</v>
          </cell>
        </row>
        <row r="96">
          <cell r="A96">
            <v>0</v>
          </cell>
          <cell r="B96" t="str">
            <v>4.1.2</v>
          </cell>
          <cell r="C96" t="str">
            <v>Acción 2: Gestionar ante la Decanatura y la Oficina de Gestión Humana, la vinculación de un auxiliar para el Laboratorio de Neurociencias</v>
          </cell>
          <cell r="D96">
            <v>0</v>
          </cell>
          <cell r="E96">
            <v>0</v>
          </cell>
          <cell r="F96">
            <v>0</v>
          </cell>
          <cell r="G96">
            <v>0</v>
          </cell>
          <cell r="H96">
            <v>0</v>
          </cell>
          <cell r="I96">
            <v>0</v>
          </cell>
          <cell r="J96">
            <v>0</v>
          </cell>
          <cell r="K96">
            <v>0</v>
          </cell>
        </row>
        <row r="97">
          <cell r="A97">
            <v>0</v>
          </cell>
          <cell r="B97" t="str">
            <v>4.1.3</v>
          </cell>
          <cell r="C97" t="str">
            <v>Acción 3: Adelantar, en coordinación con la Oficina de Planta Física, la remodelación del Laboratorio de Neurociencias, para efectos de apoyo a actividades investigativas actuale</v>
          </cell>
          <cell r="D97">
            <v>0</v>
          </cell>
          <cell r="E97">
            <v>0</v>
          </cell>
          <cell r="F97">
            <v>0</v>
          </cell>
          <cell r="G97">
            <v>0</v>
          </cell>
          <cell r="H97">
            <v>0</v>
          </cell>
          <cell r="I97">
            <v>0</v>
          </cell>
          <cell r="J97">
            <v>0</v>
          </cell>
          <cell r="K97">
            <v>0</v>
          </cell>
        </row>
        <row r="98">
          <cell r="A98">
            <v>0</v>
          </cell>
          <cell r="B98" t="str">
            <v>4.1.4</v>
          </cell>
          <cell r="C98" t="str">
            <v>Acción 4: Gestionar ante la Decanatura la dotación de puestos de trabajo adicionales para asistentes graduados y asistentes de docencia</v>
          </cell>
          <cell r="D98">
            <v>0</v>
          </cell>
          <cell r="E98">
            <v>0</v>
          </cell>
          <cell r="F98">
            <v>0</v>
          </cell>
          <cell r="G98">
            <v>0</v>
          </cell>
          <cell r="H98">
            <v>0</v>
          </cell>
          <cell r="I98">
            <v>0</v>
          </cell>
          <cell r="J98">
            <v>0</v>
          </cell>
          <cell r="K98">
            <v>0</v>
          </cell>
        </row>
        <row r="99">
          <cell r="A99">
            <v>0</v>
          </cell>
          <cell r="B99" t="str">
            <v>4.1.5</v>
          </cell>
          <cell r="C99" t="str">
            <v>Acción 5: Diseñar un sistema de evaluación y monitoreo constante de la adecuación de los recursos psicométricos y de software del Laboratorio de Psicología</v>
          </cell>
          <cell r="D99">
            <v>0</v>
          </cell>
          <cell r="E99">
            <v>0</v>
          </cell>
          <cell r="F99">
            <v>0</v>
          </cell>
          <cell r="G99">
            <v>0</v>
          </cell>
          <cell r="H99">
            <v>0</v>
          </cell>
          <cell r="I99">
            <v>0</v>
          </cell>
          <cell r="J99">
            <v>0</v>
          </cell>
          <cell r="K99">
            <v>0</v>
          </cell>
        </row>
        <row r="100">
          <cell r="A100" t="str">
            <v>5.2</v>
          </cell>
          <cell r="B100">
            <v>4.2</v>
          </cell>
          <cell r="C100" t="str">
            <v>Subobjetivo 2: Incrementar los productos de investigación</v>
          </cell>
          <cell r="D100">
            <v>0</v>
          </cell>
          <cell r="E100">
            <v>0</v>
          </cell>
          <cell r="F100">
            <v>0</v>
          </cell>
          <cell r="G100">
            <v>0</v>
          </cell>
          <cell r="H100">
            <v>0</v>
          </cell>
          <cell r="I100">
            <v>0</v>
          </cell>
          <cell r="J100">
            <v>0</v>
          </cell>
          <cell r="K100">
            <v>0</v>
          </cell>
        </row>
        <row r="101">
          <cell r="A101" t="str">
            <v>5.2.1</v>
          </cell>
          <cell r="B101" t="str">
            <v>4.2.1</v>
          </cell>
          <cell r="C101" t="str">
            <v>Acción 1: Discutir referentes relevantes de productividad académica a nivel local, nacional e internacional</v>
          </cell>
          <cell r="D101" t="str">
            <v>01-11</v>
          </cell>
          <cell r="E101" t="str">
            <v>06-11</v>
          </cell>
          <cell r="F101" t="str">
            <v>DIR DEPTO</v>
          </cell>
          <cell r="G101" t="str">
            <v>COOR DEPTO</v>
          </cell>
          <cell r="H101" t="e">
            <v>#REF!</v>
          </cell>
          <cell r="I101" t="str">
            <v>REVISION DOCUMENTO</v>
          </cell>
          <cell r="J101" t="str">
            <v># DOCUMENTOS</v>
          </cell>
          <cell r="K101" t="str">
            <v>1 DOCUMENTO AL AÑO</v>
          </cell>
        </row>
        <row r="102">
          <cell r="A102" t="str">
            <v>5.2.1</v>
          </cell>
          <cell r="B102" t="str">
            <v>4.2.2</v>
          </cell>
          <cell r="C102" t="str">
            <v>Acción 2: Definir tipos de productos de actividades investigativas consistentes con los diferentes grupos de investigación</v>
          </cell>
          <cell r="D102" t="str">
            <v>01-11</v>
          </cell>
          <cell r="E102" t="str">
            <v>06-11</v>
          </cell>
          <cell r="F102" t="str">
            <v>DIR DEPTO</v>
          </cell>
          <cell r="G102" t="str">
            <v>COOR DEPTO</v>
          </cell>
          <cell r="H102" t="e">
            <v>#REF!</v>
          </cell>
          <cell r="I102" t="str">
            <v>REVISION DOCUMENTO</v>
          </cell>
          <cell r="J102" t="str">
            <v># DOCUMENTOS</v>
          </cell>
          <cell r="K102" t="str">
            <v>1 DOCUMENTO AL AÑO</v>
          </cell>
        </row>
        <row r="103">
          <cell r="A103" t="str">
            <v>5.2.1</v>
          </cell>
          <cell r="B103" t="str">
            <v>4.2.3</v>
          </cell>
          <cell r="C103" t="str">
            <v>Acción 3: Establecer estándares mínimos de desempeño en investigación</v>
          </cell>
          <cell r="D103" t="str">
            <v>01-11</v>
          </cell>
          <cell r="E103" t="str">
            <v>06-11</v>
          </cell>
          <cell r="F103" t="str">
            <v>DIR DEPTO</v>
          </cell>
          <cell r="G103" t="str">
            <v>COOR DEPTO</v>
          </cell>
          <cell r="H103" t="e">
            <v>#REF!</v>
          </cell>
          <cell r="I103" t="str">
            <v>REVISION DOCUMENTO</v>
          </cell>
          <cell r="J103" t="str">
            <v># DOCUMENTOS</v>
          </cell>
          <cell r="K103" t="str">
            <v>1 DOCUMENTO AL AÑO</v>
          </cell>
        </row>
        <row r="104">
          <cell r="A104" t="str">
            <v>5.2.1</v>
          </cell>
          <cell r="B104" t="str">
            <v>4.2.4</v>
          </cell>
          <cell r="C104" t="str">
            <v>Acción 4: Establecer un sistema de seguimiento de la producción académica de los grupos y profesores del Departamento</v>
          </cell>
          <cell r="D104" t="str">
            <v>01-11</v>
          </cell>
          <cell r="E104" t="str">
            <v>06-11</v>
          </cell>
          <cell r="F104" t="str">
            <v>DIR DEPTO</v>
          </cell>
          <cell r="G104" t="str">
            <v>COOR DEPTO</v>
          </cell>
          <cell r="H104" t="e">
            <v>#REF!</v>
          </cell>
          <cell r="I104" t="str">
            <v>REVISION BASE DE DATOS</v>
          </cell>
          <cell r="J104" t="str">
            <v># DOCUMENTOS</v>
          </cell>
          <cell r="K104" t="str">
            <v>1 DOCUMENTO AL AÑO</v>
          </cell>
        </row>
        <row r="105">
          <cell r="A105" t="str">
            <v>5.2.3</v>
          </cell>
          <cell r="B105" t="str">
            <v>4.2.5</v>
          </cell>
          <cell r="C105" t="str">
            <v>Acción 5: Establecer políticas de apoyo a traducciones de artículos escritos por profesores o estudiantes doctorales del Departamento</v>
          </cell>
          <cell r="D105" t="str">
            <v>01-11</v>
          </cell>
          <cell r="E105" t="str">
            <v>06-11</v>
          </cell>
          <cell r="F105" t="str">
            <v>DIR DEPTO</v>
          </cell>
          <cell r="G105" t="str">
            <v>COOR DEPTO</v>
          </cell>
          <cell r="H105" t="e">
            <v>#REF!</v>
          </cell>
          <cell r="I105" t="str">
            <v>REVISION DOCUMENTO</v>
          </cell>
          <cell r="J105" t="str">
            <v># REPORTES BD</v>
          </cell>
          <cell r="K105" t="str">
            <v>1 REPORTE AL AÑO</v>
          </cell>
        </row>
        <row r="106">
          <cell r="A106" t="str">
            <v>5.2.3</v>
          </cell>
          <cell r="B106" t="str">
            <v>4.2.6</v>
          </cell>
          <cell r="C106" t="str">
            <v>Acción 5: Establecer políticas y procedimientos para apoyo a labores de edición y corrección de estilo de artículos escritos por profesores o estudiantes doctorales del Departamento</v>
          </cell>
          <cell r="D106" t="str">
            <v>01-11</v>
          </cell>
          <cell r="E106" t="str">
            <v>06-11</v>
          </cell>
          <cell r="F106" t="str">
            <v>DIR DEPTO</v>
          </cell>
          <cell r="G106" t="str">
            <v>COOR DEPTO</v>
          </cell>
          <cell r="H106" t="e">
            <v>#REF!</v>
          </cell>
          <cell r="I106" t="str">
            <v>REVISION DOCUMENTO</v>
          </cell>
          <cell r="J106" t="str">
            <v># DOCUMENTOS</v>
          </cell>
          <cell r="K106" t="str">
            <v>1 DOCUMENTO AL AÑO</v>
          </cell>
        </row>
        <row r="107">
          <cell r="A107" t="str">
            <v>5.2.4</v>
          </cell>
          <cell r="B107" t="str">
            <v>4.2.7</v>
          </cell>
          <cell r="C107" t="str">
            <v>Acción 5: En coordinación con la Decanatura, definir incentivos económicos o políticas de asignación académica que faciliten la publicación en revistas indexadas internacionales</v>
          </cell>
          <cell r="D107" t="str">
            <v>01-11</v>
          </cell>
          <cell r="E107" t="str">
            <v>06-11</v>
          </cell>
          <cell r="F107" t="str">
            <v>DIR DEPTO</v>
          </cell>
          <cell r="G107" t="str">
            <v>COOR DEPTO</v>
          </cell>
          <cell r="H107" t="e">
            <v>#REF!</v>
          </cell>
          <cell r="I107" t="str">
            <v>REVISION DOCUMENTO</v>
          </cell>
          <cell r="J107" t="str">
            <v># DOCUMENTOS</v>
          </cell>
          <cell r="K107" t="str">
            <v>1 DOCUMENTO AL AÑO</v>
          </cell>
        </row>
        <row r="108">
          <cell r="A108" t="str">
            <v>5.3</v>
          </cell>
          <cell r="B108">
            <v>4.3</v>
          </cell>
          <cell r="C108" t="str">
            <v xml:space="preserve">Subobjetivo 3: Asegurar la difusión de la producción académica del Departamento en sectores estratégicos </v>
          </cell>
          <cell r="D108">
            <v>0</v>
          </cell>
          <cell r="E108">
            <v>0</v>
          </cell>
          <cell r="F108">
            <v>0</v>
          </cell>
          <cell r="G108">
            <v>0</v>
          </cell>
          <cell r="H108">
            <v>0</v>
          </cell>
          <cell r="I108">
            <v>0</v>
          </cell>
          <cell r="J108">
            <v>0</v>
          </cell>
          <cell r="K108">
            <v>0</v>
          </cell>
        </row>
        <row r="109">
          <cell r="A109" t="str">
            <v>5.3.2</v>
          </cell>
          <cell r="B109" t="str">
            <v>4.3.1</v>
          </cell>
          <cell r="C109" t="str">
            <v>Acción 1: Construir una base de datos con stakeholders o audiencias de interés para cada uno de los grupos de investigación</v>
          </cell>
          <cell r="D109" t="str">
            <v>06-12</v>
          </cell>
          <cell r="E109" t="str">
            <v>12-12</v>
          </cell>
          <cell r="F109" t="str">
            <v>DIR POSGRADOS</v>
          </cell>
          <cell r="G109" t="str">
            <v>COOR POSGRADOS</v>
          </cell>
          <cell r="H109" t="e">
            <v>#REF!</v>
          </cell>
          <cell r="I109" t="str">
            <v>REVISION DOCUMENTO</v>
          </cell>
          <cell r="J109" t="str">
            <v># DOCUMENTOS</v>
          </cell>
          <cell r="K109" t="str">
            <v>1 DOCUMENTO AL AÑO</v>
          </cell>
        </row>
        <row r="110">
          <cell r="A110" t="str">
            <v>5.3.1</v>
          </cell>
          <cell r="B110" t="str">
            <v>4.3.2</v>
          </cell>
          <cell r="C110" t="str">
            <v>Acción 2: Distribuir un boletín electrónico del Departamento que contenga información sobre desarrollos y avances de los grupos de investigación o del Departamento como unidad académica</v>
          </cell>
          <cell r="D110" t="str">
            <v>06-12</v>
          </cell>
          <cell r="E110" t="str">
            <v>12-12</v>
          </cell>
          <cell r="F110" t="str">
            <v>DIR POSGRADOS</v>
          </cell>
          <cell r="G110" t="str">
            <v>COOR POSGRADOS</v>
          </cell>
          <cell r="H110" t="e">
            <v>#REF!</v>
          </cell>
          <cell r="I110" t="str">
            <v>REVISION DOCUMENTO</v>
          </cell>
          <cell r="J110" t="str">
            <v># DOCUMENTOS</v>
          </cell>
          <cell r="K110" t="str">
            <v>1 DOCUMENTO AL AÑO</v>
          </cell>
        </row>
        <row r="111">
          <cell r="A111" t="str">
            <v>5.3.2</v>
          </cell>
          <cell r="B111" t="str">
            <v>4.3.3</v>
          </cell>
          <cell r="C111" t="str">
            <v>Acción 3: Llevar a cabo reuniones programadas y periódicas con audiencias de interés, con el propósito de sondear intereses y socializar desarrollos</v>
          </cell>
          <cell r="D111" t="str">
            <v>06-12</v>
          </cell>
          <cell r="E111" t="str">
            <v>12-12</v>
          </cell>
          <cell r="F111" t="str">
            <v>DIR POSGRADOS</v>
          </cell>
          <cell r="G111" t="str">
            <v>COOR POSGRADOS</v>
          </cell>
          <cell r="H111" t="e">
            <v>#REF!</v>
          </cell>
          <cell r="I111" t="str">
            <v>REVISION DOCUMENTO</v>
          </cell>
          <cell r="J111" t="str">
            <v># DOCUMENTOS</v>
          </cell>
          <cell r="K111" t="str">
            <v>1 DOCUMENTO AL AÑO</v>
          </cell>
        </row>
        <row r="112">
          <cell r="A112" t="str">
            <v>3.2</v>
          </cell>
          <cell r="B112">
            <v>4.4000000000000004</v>
          </cell>
          <cell r="C112" t="str">
            <v>Subobjetivo 4: Incrementar la movilidad de profesores en diversas modalidades de intercambio</v>
          </cell>
          <cell r="D112">
            <v>0</v>
          </cell>
          <cell r="E112">
            <v>0</v>
          </cell>
          <cell r="F112">
            <v>0</v>
          </cell>
          <cell r="G112">
            <v>0</v>
          </cell>
          <cell r="H112">
            <v>0</v>
          </cell>
          <cell r="I112">
            <v>0</v>
          </cell>
          <cell r="J112">
            <v>0</v>
          </cell>
          <cell r="K112">
            <v>0</v>
          </cell>
        </row>
        <row r="113">
          <cell r="A113" t="str">
            <v>3.2.1</v>
          </cell>
          <cell r="B113" t="str">
            <v>4.4.1</v>
          </cell>
          <cell r="C113" t="str">
            <v>Acción 1: Definir diversas modalidades de movilidad de profesores de Uniandes hacia el exterior, y de movilidad de profesores del exterior hacia Uniandes</v>
          </cell>
          <cell r="D113" t="str">
            <v>01-11</v>
          </cell>
          <cell r="E113" t="str">
            <v>06-11</v>
          </cell>
          <cell r="F113" t="str">
            <v>DIR DEPTO</v>
          </cell>
          <cell r="G113" t="str">
            <v>COOR DEPTO</v>
          </cell>
          <cell r="H113" t="e">
            <v>#REF!</v>
          </cell>
          <cell r="I113" t="str">
            <v>REVISION DOCUMENTO</v>
          </cell>
          <cell r="J113" t="str">
            <v># PROFESORES EN MOVILIDAD</v>
          </cell>
          <cell r="K113" t="str">
            <v>4 PROFESORES AL AÑO</v>
          </cell>
        </row>
        <row r="114">
          <cell r="A114" t="str">
            <v>3.2.2</v>
          </cell>
          <cell r="B114" t="str">
            <v>4.4.2</v>
          </cell>
          <cell r="C114" t="str">
            <v>Acción 2: Establecer políticas de apoyo financiero</v>
          </cell>
          <cell r="D114" t="str">
            <v>01-11</v>
          </cell>
          <cell r="E114" t="str">
            <v>06-11</v>
          </cell>
          <cell r="F114" t="str">
            <v>DIR DEPTO</v>
          </cell>
          <cell r="G114" t="str">
            <v>COOR DEPTO</v>
          </cell>
          <cell r="H114" t="e">
            <v>#REF!</v>
          </cell>
          <cell r="I114" t="str">
            <v>REVISION DOCUMENTO</v>
          </cell>
          <cell r="J114" t="str">
            <v># DOCUMENTOS</v>
          </cell>
          <cell r="K114" t="str">
            <v>1 DOCUMENTO AL AÑO</v>
          </cell>
        </row>
        <row r="115">
          <cell r="A115" t="str">
            <v>3.2.3</v>
          </cell>
          <cell r="B115" t="str">
            <v>4.4.3</v>
          </cell>
          <cell r="C115" t="str">
            <v>Acción 3: Hacer uso de convenios existentes y promover el establecimiento de nuevos</v>
          </cell>
          <cell r="D115" t="str">
            <v>01-11</v>
          </cell>
          <cell r="E115" t="str">
            <v>06-11</v>
          </cell>
          <cell r="F115" t="str">
            <v>DIR DEPTO</v>
          </cell>
          <cell r="G115" t="str">
            <v>COOR DEPTO</v>
          </cell>
          <cell r="H115" t="e">
            <v>#REF!</v>
          </cell>
          <cell r="I115" t="str">
            <v>REVISION DOCUMENTO</v>
          </cell>
          <cell r="J115" t="str">
            <v># DOCUMENTOS</v>
          </cell>
          <cell r="K115" t="str">
            <v>1 DOCUMENTO AL AÑO</v>
          </cell>
        </row>
      </sheetData>
      <sheetData sheetId="6"/>
      <sheetData sheetId="7">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t="str">
            <v>1 / 1.2</v>
          </cell>
          <cell r="B5">
            <v>1</v>
          </cell>
          <cell r="C5" t="str">
            <v>Objetivo 1 • FORTALECER Y CONSOLIDAR ACADÉMICAMENTE LOS PROGRAMAS DEL DEPARTAMENTO Y FAVORECER EL TRABAJO INTERDISCIPLINARIO ENTRE LAS ÁREAS</v>
          </cell>
          <cell r="D5">
            <v>0</v>
          </cell>
          <cell r="E5">
            <v>0</v>
          </cell>
          <cell r="F5">
            <v>0</v>
          </cell>
          <cell r="G5">
            <v>0</v>
          </cell>
          <cell r="H5" t="e">
            <v>#REF!</v>
          </cell>
          <cell r="I5">
            <v>0</v>
          </cell>
          <cell r="J5">
            <v>0</v>
          </cell>
          <cell r="K5">
            <v>0</v>
          </cell>
        </row>
        <row r="6">
          <cell r="A6" t="str">
            <v>1.1. / 1.2.1</v>
          </cell>
          <cell r="B6" t="str">
            <v>1.1</v>
          </cell>
          <cell r="C6" t="str">
            <v>Subobjetivo 1 • REVISAR Y EVALUAR LOS PROGRAMAS DEL DEPARTAMENTO EN LAS DIFERENTES ÁREAS. ESTABLECER EL INTERCAMBIO ACADÉMICO ENTRE LOS/LAS PROFESORES/AS DE LAS ÁREAS EN EL CONTEXTO DE LA  CONCEPCIÓN DEL LENGUAJE QUE  ORIENTA AL DEPARTAMENTO</v>
          </cell>
          <cell r="D6">
            <v>0</v>
          </cell>
          <cell r="E6">
            <v>0</v>
          </cell>
          <cell r="F6">
            <v>0</v>
          </cell>
          <cell r="G6">
            <v>0</v>
          </cell>
          <cell r="H6" t="e">
            <v>#REF!</v>
          </cell>
          <cell r="I6">
            <v>0</v>
          </cell>
          <cell r="J6">
            <v>0</v>
          </cell>
          <cell r="K6">
            <v>0</v>
          </cell>
        </row>
        <row r="7">
          <cell r="A7" t="str">
            <v>1.1.1</v>
          </cell>
          <cell r="B7" t="str">
            <v>1.1.1</v>
          </cell>
          <cell r="C7" t="str">
            <v>Acción 1 Análisis y evaluación de las perspectivas epistemológicas sobre el lenguaje en las distintas áreas. Habrá un profesor o profesora coordinador en cada una de las dos grandes áreas –Estudios Culturales y área de lenguas</v>
          </cell>
          <cell r="D7" t="str">
            <v>01-11</v>
          </cell>
          <cell r="E7" t="str">
            <v>12-11</v>
          </cell>
          <cell r="F7" t="str">
            <v>DIR DEPTO</v>
          </cell>
          <cell r="G7" t="str">
            <v>DIR POSGRADO</v>
          </cell>
          <cell r="H7" t="e">
            <v>#REF!</v>
          </cell>
          <cell r="I7" t="str">
            <v>REVISION CONCEPTO</v>
          </cell>
          <cell r="J7" t="str">
            <v># DOCUMENTO</v>
          </cell>
          <cell r="K7" t="str">
            <v>1 DOCUMENTO AL AÑO</v>
          </cell>
        </row>
        <row r="8">
          <cell r="A8" t="str">
            <v>1.2.2</v>
          </cell>
          <cell r="B8" t="str">
            <v>1.1.2</v>
          </cell>
          <cell r="C8" t="str">
            <v>Acción 2 • Realizar presentaciones de las distintas áreas para mantener el intercambio académico entre los /las profesores/as y favorecer el proceso de integración y el trabajo interdisciplinario, así como permitir la evaluación de los programas en el contexto de la visión del lenguaje que orienta al Departamento</v>
          </cell>
          <cell r="D8" t="str">
            <v>01-12</v>
          </cell>
          <cell r="E8" t="str">
            <v>12-12</v>
          </cell>
          <cell r="F8" t="str">
            <v>DIR DEPTO</v>
          </cell>
          <cell r="G8" t="str">
            <v>DIR POSGRADO</v>
          </cell>
          <cell r="H8" t="e">
            <v>#REF!</v>
          </cell>
          <cell r="I8" t="str">
            <v>PRESENTACION AREAS</v>
          </cell>
          <cell r="J8" t="str">
            <v># PRESENTAC</v>
          </cell>
          <cell r="K8" t="str">
            <v>4 PRESENTACIO AL AÑO</v>
          </cell>
        </row>
        <row r="9">
          <cell r="A9" t="str">
            <v>1.2.3</v>
          </cell>
          <cell r="B9" t="str">
            <v>1.1.3</v>
          </cell>
          <cell r="C9" t="str">
            <v xml:space="preserve">Acción 3 • Realización de seminarios inter-áreas: </v>
          </cell>
          <cell r="D9" t="str">
            <v>01-13</v>
          </cell>
          <cell r="E9" t="str">
            <v>12-13</v>
          </cell>
          <cell r="F9" t="str">
            <v>DIR DEPTO</v>
          </cell>
          <cell r="G9" t="str">
            <v>DIR POSGRADO</v>
          </cell>
          <cell r="H9" t="e">
            <v>#REF!</v>
          </cell>
          <cell r="I9" t="str">
            <v>PROGRAMACION SEMINARIOS</v>
          </cell>
          <cell r="J9" t="str">
            <v># SEMINARIOS</v>
          </cell>
          <cell r="K9" t="str">
            <v>2 SEMINARIOS AL AÑO</v>
          </cell>
        </row>
        <row r="10">
          <cell r="A10" t="str">
            <v>2.1.1</v>
          </cell>
          <cell r="B10">
            <v>1.2</v>
          </cell>
          <cell r="C10" t="str">
            <v>Subobjetivo 2 Establecer  el nivel de doctorado para todos los profesores en el área de lenguas</v>
          </cell>
          <cell r="D10">
            <v>0</v>
          </cell>
          <cell r="E10">
            <v>0</v>
          </cell>
          <cell r="F10">
            <v>0</v>
          </cell>
          <cell r="G10">
            <v>0</v>
          </cell>
          <cell r="H10" t="e">
            <v>#REF!</v>
          </cell>
          <cell r="I10">
            <v>0</v>
          </cell>
          <cell r="J10">
            <v>0</v>
          </cell>
          <cell r="K10">
            <v>0</v>
          </cell>
        </row>
        <row r="11">
          <cell r="A11" t="str">
            <v>1.3</v>
          </cell>
          <cell r="B11" t="str">
            <v>1.2.1</v>
          </cell>
          <cell r="C11" t="str">
            <v xml:space="preserve">Acción 1 • Crear la Maestría en Pedagogía de Lenguas extranjeras </v>
          </cell>
          <cell r="D11" t="str">
            <v>01-11</v>
          </cell>
          <cell r="E11" t="str">
            <v>12-12</v>
          </cell>
          <cell r="F11" t="str">
            <v>DIR DEPTO</v>
          </cell>
          <cell r="G11" t="str">
            <v>DIR POSGRADO</v>
          </cell>
          <cell r="H11" t="e">
            <v>#REF!</v>
          </cell>
          <cell r="I11" t="str">
            <v>PROPUESTA MAESTRIA</v>
          </cell>
          <cell r="J11" t="str">
            <v>MAESTRIA APROBADA</v>
          </cell>
          <cell r="K11" t="str">
            <v>MAESTRIA APROBADA</v>
          </cell>
        </row>
        <row r="12">
          <cell r="A12" t="str">
            <v>1.4.3</v>
          </cell>
          <cell r="B12" t="str">
            <v>1.2.2</v>
          </cell>
          <cell r="C12" t="str">
            <v xml:space="preserve">Acción 2 • Redefinir el programa de  pedagogía  de lenguas extranjeras a partir de la interculturalidad y de la traducción de culturas.  </v>
          </cell>
          <cell r="D12" t="str">
            <v>01-11</v>
          </cell>
          <cell r="E12" t="str">
            <v>12-12</v>
          </cell>
          <cell r="F12" t="str">
            <v>DIR DEPTO</v>
          </cell>
          <cell r="G12" t="str">
            <v>DIR POSGRADO</v>
          </cell>
          <cell r="H12" t="e">
            <v>#REF!</v>
          </cell>
          <cell r="I12">
            <v>0</v>
          </cell>
          <cell r="J12">
            <v>0</v>
          </cell>
          <cell r="K12">
            <v>0</v>
          </cell>
        </row>
        <row r="13">
          <cell r="A13" t="str">
            <v>1.4.1</v>
          </cell>
          <cell r="B13" t="str">
            <v>1.2.3</v>
          </cell>
          <cell r="C13" t="str">
            <v>Acción 3 • Crear el área de español como opción de la concentración en pedagogía. Pedagogía de la lectura y la escritura en español</v>
          </cell>
          <cell r="D13" t="str">
            <v>01-11</v>
          </cell>
          <cell r="E13" t="str">
            <v>12-12</v>
          </cell>
          <cell r="F13" t="str">
            <v>DIR DEPTO</v>
          </cell>
          <cell r="G13" t="str">
            <v>DIR POSGRADO</v>
          </cell>
          <cell r="H13" t="e">
            <v>#REF!</v>
          </cell>
          <cell r="I13" t="str">
            <v>PROPUESTA OPCION</v>
          </cell>
          <cell r="J13" t="str">
            <v>PROPUESTA OPCION</v>
          </cell>
          <cell r="K13" t="str">
            <v>PROPUESTA OPCION</v>
          </cell>
        </row>
        <row r="14">
          <cell r="A14" t="str">
            <v>1.4.2</v>
          </cell>
          <cell r="B14" t="str">
            <v>1.2.4</v>
          </cell>
          <cell r="C14" t="str">
            <v>Acción 4 • Crear y desarrollar el área  de estudios sobre el lenguaje con los profesores que regresan del doctorado</v>
          </cell>
          <cell r="D14" t="str">
            <v>01-11</v>
          </cell>
          <cell r="E14" t="str">
            <v>12-12</v>
          </cell>
          <cell r="F14" t="str">
            <v>DIR DEPTO</v>
          </cell>
          <cell r="G14" t="str">
            <v>DIR POSGRADO</v>
          </cell>
          <cell r="H14" t="e">
            <v>#REF!</v>
          </cell>
          <cell r="I14" t="str">
            <v>PROPUESTA AREA</v>
          </cell>
          <cell r="J14" t="str">
            <v>PROPUESTA AREA</v>
          </cell>
          <cell r="K14" t="str">
            <v>PROPUESTA AREA</v>
          </cell>
        </row>
        <row r="15">
          <cell r="A15">
            <v>3</v>
          </cell>
          <cell r="B15">
            <v>2</v>
          </cell>
          <cell r="C15" t="str">
            <v>Objetivo 2 • FAVORECER LA INVESTIGACIÓN  CONJUNTA Y ESPECÍFICA EN LAS DISTINTAS ÁREAS, Y LAS PUBLICACIONES</v>
          </cell>
          <cell r="D15">
            <v>0</v>
          </cell>
          <cell r="E15">
            <v>0</v>
          </cell>
          <cell r="F15">
            <v>0</v>
          </cell>
          <cell r="G15">
            <v>0</v>
          </cell>
          <cell r="H15" t="e">
            <v>#REF!</v>
          </cell>
          <cell r="I15">
            <v>0</v>
          </cell>
          <cell r="J15">
            <v>0</v>
          </cell>
          <cell r="K15">
            <v>0</v>
          </cell>
        </row>
        <row r="16">
          <cell r="A16" t="str">
            <v>3.1</v>
          </cell>
          <cell r="B16">
            <v>2.1</v>
          </cell>
          <cell r="C16" t="str">
            <v>Subobjetivo 1 CREAR UNA CULTURA Y UNAS POLÍTICAS DE INVESTIGACIÓN QUE INCLUYA A LOS/LAS PROFESORAS DE LAS ÁREAS DE LENGUAS</v>
          </cell>
          <cell r="D16">
            <v>0</v>
          </cell>
          <cell r="E16">
            <v>0</v>
          </cell>
          <cell r="F16">
            <v>0</v>
          </cell>
          <cell r="G16">
            <v>0</v>
          </cell>
          <cell r="H16" t="e">
            <v>#REF!</v>
          </cell>
          <cell r="I16">
            <v>0</v>
          </cell>
          <cell r="J16">
            <v>0</v>
          </cell>
          <cell r="K16">
            <v>0</v>
          </cell>
        </row>
        <row r="17">
          <cell r="A17" t="str">
            <v>3.1.1</v>
          </cell>
          <cell r="B17" t="str">
            <v>2.1.1</v>
          </cell>
          <cell r="C17" t="str">
            <v>Acción 1 • Crear grupos de investigación en el área de estudios sobre el lenguaje y en el área de pedagogía de lenguas extranjeras y buscar su homologación por parte de Colciencias en  la máxima categoría posible</v>
          </cell>
          <cell r="D17" t="str">
            <v>01-12</v>
          </cell>
          <cell r="E17" t="str">
            <v>12-13</v>
          </cell>
          <cell r="F17" t="str">
            <v>DIR DEPTO</v>
          </cell>
          <cell r="G17" t="str">
            <v>DIR POSGRADO</v>
          </cell>
          <cell r="H17" t="e">
            <v>#REF!</v>
          </cell>
          <cell r="I17" t="str">
            <v>INVENTARIO AREA</v>
          </cell>
          <cell r="J17" t="str">
            <v># GRUPOS</v>
          </cell>
          <cell r="K17" t="str">
            <v>2 GRUPOS CREADOS</v>
          </cell>
        </row>
        <row r="18">
          <cell r="A18" t="str">
            <v>2.1.2</v>
          </cell>
          <cell r="B18" t="str">
            <v>2.1.2</v>
          </cell>
          <cell r="C18" t="str">
            <v>Acción 2 • Aumentar la planta profesoral y ajustar la carga académica al promedio de la Facultad</v>
          </cell>
          <cell r="D18" t="str">
            <v>01-12</v>
          </cell>
          <cell r="E18" t="str">
            <v>12-13</v>
          </cell>
          <cell r="F18" t="str">
            <v>DIR DEPTO</v>
          </cell>
          <cell r="G18" t="str">
            <v>DIR POSGRADO</v>
          </cell>
          <cell r="H18" t="e">
            <v>#REF!</v>
          </cell>
          <cell r="I18" t="str">
            <v>ANALISIS # PROFESORES</v>
          </cell>
          <cell r="J18" t="str">
            <v># PROFESORES</v>
          </cell>
          <cell r="K18">
            <v>0</v>
          </cell>
        </row>
        <row r="19">
          <cell r="A19" t="str">
            <v>3.1.2</v>
          </cell>
          <cell r="B19" t="str">
            <v>2.1.3</v>
          </cell>
          <cell r="C19" t="str">
            <v>Acción 3 • Integrar a los profesores de cátedra en los proyectos de investigación</v>
          </cell>
          <cell r="D19" t="str">
            <v>01-12</v>
          </cell>
          <cell r="E19" t="str">
            <v>12-13</v>
          </cell>
          <cell r="F19" t="str">
            <v>DIR DEPTO</v>
          </cell>
          <cell r="G19" t="str">
            <v>DIR POSGRADO</v>
          </cell>
          <cell r="H19" t="e">
            <v>#REF!</v>
          </cell>
          <cell r="I19" t="str">
            <v>ANALISIS PROFES CAT EN INVESTIGACION</v>
          </cell>
          <cell r="J19" t="str">
            <v># PROFES CAT EN INVESTIGACION</v>
          </cell>
          <cell r="K19" t="str">
            <v>20% DE LOS PROFESORES DE CAT EN INV</v>
          </cell>
        </row>
        <row r="20">
          <cell r="A20" t="str">
            <v>3.1.3</v>
          </cell>
          <cell r="B20" t="str">
            <v>2.1.4</v>
          </cell>
          <cell r="C20" t="str">
            <v>Acción 4 • Fomentar los grupos de investigación con estudiantes de maestría</v>
          </cell>
          <cell r="D20" t="str">
            <v>01-12</v>
          </cell>
          <cell r="E20" t="str">
            <v>12-13</v>
          </cell>
          <cell r="F20" t="str">
            <v>DIR DEPTO</v>
          </cell>
          <cell r="G20" t="str">
            <v>DIR POSGRADO</v>
          </cell>
          <cell r="H20" t="e">
            <v>#REF!</v>
          </cell>
          <cell r="I20" t="str">
            <v>INVENTARIO # ESTUDIANTES EN GURPOS</v>
          </cell>
          <cell r="J20" t="str">
            <v># ESTUDIANTES EN GRUPOS</v>
          </cell>
          <cell r="K20" t="str">
            <v>AUMENTO DE 50% DE ESTUDIANTES EN GRUPOS</v>
          </cell>
        </row>
        <row r="21">
          <cell r="A21" t="str">
            <v>3.2</v>
          </cell>
          <cell r="B21">
            <v>2.2000000000000002</v>
          </cell>
          <cell r="C21" t="str">
            <v>Subobjetivo 2 • AUMENTAR EL NÚMERO DE PUBLICACIONES DEL DEPARTAMENTO</v>
          </cell>
          <cell r="D21">
            <v>0</v>
          </cell>
          <cell r="E21">
            <v>0</v>
          </cell>
          <cell r="F21">
            <v>0</v>
          </cell>
          <cell r="G21">
            <v>0</v>
          </cell>
          <cell r="H21" t="e">
            <v>#REF!</v>
          </cell>
          <cell r="I21">
            <v>0</v>
          </cell>
          <cell r="J21">
            <v>0</v>
          </cell>
          <cell r="K21">
            <v>0</v>
          </cell>
        </row>
        <row r="22">
          <cell r="A22" t="str">
            <v>3.2.1</v>
          </cell>
          <cell r="B22" t="str">
            <v>2.2.1</v>
          </cell>
          <cell r="C22" t="str">
            <v>Acción 1 Dar descargas a los profesores y profesoras para dedicar tiempo  a la preparación de artículos y libros en las distintas áreas</v>
          </cell>
          <cell r="D22" t="str">
            <v>01-11</v>
          </cell>
          <cell r="E22" t="str">
            <v>12-15</v>
          </cell>
          <cell r="F22" t="str">
            <v>DIR DEPTO</v>
          </cell>
          <cell r="G22" t="str">
            <v>DIR POSGRADO</v>
          </cell>
          <cell r="H22" t="e">
            <v>#REF!</v>
          </cell>
          <cell r="I22" t="str">
            <v>INVENTARIO DESCARGAS</v>
          </cell>
          <cell r="J22" t="str">
            <v># DESCARGAS</v>
          </cell>
          <cell r="K22" t="str">
            <v>AUMENTO DE 40% EN LAS DESCARGAS</v>
          </cell>
        </row>
        <row r="23">
          <cell r="A23" t="str">
            <v>3.2.2</v>
          </cell>
          <cell r="B23" t="str">
            <v>2.2.2</v>
          </cell>
          <cell r="C23" t="str">
            <v>Acción 2 • Establecer políticas de calidad: pertinencia académica con relación a la orientación de los programas del Departamento; evaluación positiva por parte de un par externo y un par interno; aceptación para publicación en revista o editorial reconocidas</v>
          </cell>
          <cell r="D23" t="str">
            <v>01-11</v>
          </cell>
          <cell r="E23" t="str">
            <v>12-15</v>
          </cell>
          <cell r="F23" t="str">
            <v>DIR DEPTO</v>
          </cell>
          <cell r="G23" t="str">
            <v>DIR POSGRADO</v>
          </cell>
          <cell r="H23" t="e">
            <v>#REF!</v>
          </cell>
          <cell r="I23" t="str">
            <v>ANALISIS POLITICAS</v>
          </cell>
          <cell r="J23" t="str">
            <v>DOCUMENTO POLITICAS</v>
          </cell>
          <cell r="K23" t="str">
            <v>DOCUMENTO POLITICAS</v>
          </cell>
        </row>
        <row r="24">
          <cell r="A24" t="str">
            <v>3.2.3</v>
          </cell>
          <cell r="B24" t="str">
            <v>2.2.3</v>
          </cell>
          <cell r="C24" t="str">
            <v>Acción 3 • Crear base de datos con los nombres de evaluadores internos y externos y con los nombres de revistas y editoriales nacionales e internacionales que puedan interesarse en los artículos y libros producidos en el Departamento</v>
          </cell>
          <cell r="D24" t="str">
            <v>01-11</v>
          </cell>
          <cell r="E24" t="str">
            <v>12-11</v>
          </cell>
          <cell r="F24" t="str">
            <v>DIR DEPTO</v>
          </cell>
          <cell r="G24" t="str">
            <v>DIR POSGRADO</v>
          </cell>
          <cell r="H24" t="e">
            <v>#REF!</v>
          </cell>
          <cell r="I24" t="str">
            <v>DISEÑO BASE DE DATOS</v>
          </cell>
          <cell r="J24" t="str">
            <v># REPORTES</v>
          </cell>
          <cell r="K24" t="str">
            <v>2 REPORTES AL AÑO</v>
          </cell>
        </row>
        <row r="25">
          <cell r="A25" t="str">
            <v>3.2.4</v>
          </cell>
          <cell r="B25" t="str">
            <v>2.2.4</v>
          </cell>
          <cell r="C25" t="str">
            <v>Acción 4 • Fortalecer la revista Errantio de los estudiantes: mejorar la calidad y darle mayor difusión</v>
          </cell>
          <cell r="D25" t="str">
            <v>01-11</v>
          </cell>
          <cell r="E25" t="str">
            <v>12-11</v>
          </cell>
          <cell r="F25" t="str">
            <v>DIR DEPTO</v>
          </cell>
          <cell r="G25" t="str">
            <v>DIR POSGRADO</v>
          </cell>
          <cell r="H25" t="e">
            <v>#REF!</v>
          </cell>
          <cell r="I25" t="str">
            <v>ANALISIS ESTRUCTURA ACTUAL</v>
          </cell>
          <cell r="J25" t="str">
            <v>NUEVA ESTRUCTURA</v>
          </cell>
          <cell r="K25" t="str">
            <v>NUEVA ESTRUCTURA</v>
          </cell>
        </row>
        <row r="26">
          <cell r="A26" t="str">
            <v>Obj: 4  / 5</v>
          </cell>
          <cell r="B26">
            <v>3</v>
          </cell>
          <cell r="C26" t="str">
            <v>Objetivo 3 • Buscar la proyección nacional e internacional del departamento y la proyección de sus egresados en el mundo laboral</v>
          </cell>
          <cell r="D26">
            <v>0</v>
          </cell>
          <cell r="E26">
            <v>0</v>
          </cell>
          <cell r="F26">
            <v>0</v>
          </cell>
          <cell r="G26">
            <v>0</v>
          </cell>
          <cell r="H26" t="e">
            <v>#REF!</v>
          </cell>
          <cell r="I26">
            <v>0</v>
          </cell>
          <cell r="J26">
            <v>0</v>
          </cell>
          <cell r="K26">
            <v>0</v>
          </cell>
        </row>
        <row r="27">
          <cell r="A27" t="str">
            <v>5.1 / 5.2</v>
          </cell>
          <cell r="B27">
            <v>3.1</v>
          </cell>
          <cell r="C27" t="str">
            <v>Subobjetivo 1 • Fomentar la participación en congresos y establecer lazos académicos con redes institucionales nacionales e internacionales</v>
          </cell>
          <cell r="D27">
            <v>0</v>
          </cell>
          <cell r="E27">
            <v>0</v>
          </cell>
          <cell r="F27">
            <v>0</v>
          </cell>
          <cell r="G27">
            <v>0</v>
          </cell>
          <cell r="H27" t="e">
            <v>#REF!</v>
          </cell>
          <cell r="I27">
            <v>0</v>
          </cell>
          <cell r="J27">
            <v>0</v>
          </cell>
          <cell r="K27">
            <v>0</v>
          </cell>
        </row>
        <row r="28">
          <cell r="A28" t="str">
            <v>5.2.1</v>
          </cell>
          <cell r="B28" t="str">
            <v>3.1.1</v>
          </cell>
          <cell r="C28" t="str">
            <v>Acción 1 Establecer mayor intercambio académico e investigativo con los demás Departamentos de la Facultad y con otras Facultades de la Universidad</v>
          </cell>
          <cell r="D28" t="str">
            <v>01-11</v>
          </cell>
          <cell r="E28" t="str">
            <v>12-15</v>
          </cell>
          <cell r="F28" t="str">
            <v>DIR DEPTO</v>
          </cell>
          <cell r="G28" t="str">
            <v>DIR POSGRADO</v>
          </cell>
          <cell r="H28" t="e">
            <v>#REF!</v>
          </cell>
          <cell r="I28" t="str">
            <v>ANALISIS INTERCAMBIO</v>
          </cell>
          <cell r="J28" t="str">
            <v># INTERCAMBIOS ACADEMICOS</v>
          </cell>
          <cell r="K28" t="str">
            <v>AUMENTO DE 50% EN EL NUMERO DE INTERCAMBIOS</v>
          </cell>
        </row>
        <row r="29">
          <cell r="A29" t="str">
            <v>5.2.2</v>
          </cell>
          <cell r="B29" t="str">
            <v>3.1.2</v>
          </cell>
          <cell r="C29" t="str">
            <v>Acción 2 • Invitar a profesores de la Facultad a dictar cursos en la maestría</v>
          </cell>
          <cell r="D29" t="str">
            <v>01-11</v>
          </cell>
          <cell r="E29" t="str">
            <v>12-15</v>
          </cell>
          <cell r="F29" t="str">
            <v>DIR DEPTO</v>
          </cell>
          <cell r="G29" t="str">
            <v>DIR POSGRADO</v>
          </cell>
          <cell r="H29" t="e">
            <v>#REF!</v>
          </cell>
          <cell r="I29" t="str">
            <v>ANALISIS PARTICIPACION ACTUAL</v>
          </cell>
          <cell r="J29" t="str">
            <v># PROFESORES INVITADOS</v>
          </cell>
          <cell r="K29" t="str">
            <v>AUMENTO DE 50% EN PROFESORES INVITADOS</v>
          </cell>
        </row>
        <row r="30">
          <cell r="A30" t="str">
            <v>5.1.1</v>
          </cell>
          <cell r="B30" t="str">
            <v>3.1.3</v>
          </cell>
          <cell r="C30" t="str">
            <v>Acción 3 • Realizar y asistir con mayor frecuencia a congresos nacionales e internacionales</v>
          </cell>
          <cell r="D30" t="str">
            <v>01-11</v>
          </cell>
          <cell r="E30" t="str">
            <v>12-15</v>
          </cell>
          <cell r="F30" t="str">
            <v>DIR DEPTO</v>
          </cell>
          <cell r="G30" t="str">
            <v>DIR POSGRADO</v>
          </cell>
          <cell r="H30" t="e">
            <v>#REF!</v>
          </cell>
          <cell r="I30" t="str">
            <v>PARTICIPACION CONGRESOS</v>
          </cell>
          <cell r="J30" t="str">
            <v># ASISTENCIAS A CONGRESOS</v>
          </cell>
          <cell r="K30" t="str">
            <v>AUMENTO DE 40% EN ASISTENCIAS</v>
          </cell>
        </row>
        <row r="31">
          <cell r="A31" t="str">
            <v>5.1.2</v>
          </cell>
          <cell r="B31" t="str">
            <v>3.1.4</v>
          </cell>
          <cell r="C31" t="str">
            <v>Acción 4 • Invitar a profesores de la Facultad y de la Universidad a participar en Congresos del Departamento. 2010 y siguientes, al menos una vez al año</v>
          </cell>
          <cell r="D31">
            <v>0</v>
          </cell>
          <cell r="E31">
            <v>0</v>
          </cell>
          <cell r="F31">
            <v>0</v>
          </cell>
          <cell r="G31">
            <v>0</v>
          </cell>
          <cell r="H31" t="e">
            <v>#REF!</v>
          </cell>
          <cell r="I31">
            <v>0</v>
          </cell>
          <cell r="J31">
            <v>0</v>
          </cell>
          <cell r="K31">
            <v>0</v>
          </cell>
        </row>
        <row r="32">
          <cell r="A32" t="str">
            <v>5.2.3</v>
          </cell>
          <cell r="B32" t="str">
            <v>3.1.5</v>
          </cell>
          <cell r="C32" t="str">
            <v>Acción 5 • Divulgar ampliamente los resultados de investigación en foros nacionales e internacionales</v>
          </cell>
          <cell r="D32" t="str">
            <v>01-11</v>
          </cell>
          <cell r="E32" t="str">
            <v>12-15</v>
          </cell>
          <cell r="F32" t="str">
            <v>DIR DEPTO</v>
          </cell>
          <cell r="G32" t="str">
            <v>DIR POSGRADO</v>
          </cell>
          <cell r="H32" t="e">
            <v>#REF!</v>
          </cell>
          <cell r="I32" t="str">
            <v>INVENTARIO DIFUSION</v>
          </cell>
          <cell r="J32" t="str">
            <v># PUBLICACIONES</v>
          </cell>
          <cell r="K32" t="str">
            <v>AUMENTO DE 50% EN PUBLICACIONES</v>
          </cell>
        </row>
        <row r="33">
          <cell r="A33" t="str">
            <v>5.2.4</v>
          </cell>
          <cell r="B33" t="str">
            <v>3.1.6</v>
          </cell>
          <cell r="C33" t="str">
            <v>Acción 6 • Consolidar los programas de intercambio de profesores y de estudiantes con instituciones extranjeras</v>
          </cell>
          <cell r="D33" t="str">
            <v>01-11</v>
          </cell>
          <cell r="E33" t="str">
            <v>12-15</v>
          </cell>
          <cell r="F33" t="str">
            <v>DIR DEPTO</v>
          </cell>
          <cell r="G33" t="str">
            <v>DIR POSGRADO</v>
          </cell>
          <cell r="H33" t="e">
            <v>#REF!</v>
          </cell>
          <cell r="I33" t="str">
            <v>INVENTARIO INTERCAMBIOS</v>
          </cell>
          <cell r="J33" t="str">
            <v># INTERCAMBIOS ACADEMICOS</v>
          </cell>
          <cell r="K33" t="str">
            <v>AUMENTO DE 30% EN INTERCAMBIOS</v>
          </cell>
        </row>
        <row r="34">
          <cell r="A34" t="str">
            <v>4.1</v>
          </cell>
          <cell r="B34">
            <v>3.2</v>
          </cell>
          <cell r="C34" t="str">
            <v>Subobjetivo 2 • CREAR MECANISMOS PAR DAR A CONOCER EN EL MUNDO LABORAL EL CAMPO DE ACCIÓN PROFESIONAL DE LA CARRERA DE LENGUAJES Y ESTUDIOS SOCIOCULTURALES</v>
          </cell>
          <cell r="D34">
            <v>0</v>
          </cell>
          <cell r="E34">
            <v>0</v>
          </cell>
          <cell r="F34">
            <v>0</v>
          </cell>
          <cell r="G34">
            <v>0</v>
          </cell>
          <cell r="H34" t="e">
            <v>#REF!</v>
          </cell>
          <cell r="I34">
            <v>0</v>
          </cell>
          <cell r="J34">
            <v>0</v>
          </cell>
          <cell r="K34">
            <v>0</v>
          </cell>
        </row>
        <row r="35">
          <cell r="A35" t="str">
            <v>4.1.1</v>
          </cell>
          <cell r="B35" t="str">
            <v>3.2.1</v>
          </cell>
          <cell r="C35" t="str">
            <v>Acción 1 • Incluir la práctica laboral como una opción de grado y buscar establecer convenios con instituciones públicas y privadas para la realización de la práctica en el campo de los Estudios Socioculturales:  ONG, fundaciones sociales, instituciones estatales, etc.</v>
          </cell>
          <cell r="D35" t="str">
            <v>01-12</v>
          </cell>
          <cell r="E35" t="str">
            <v>12-12</v>
          </cell>
          <cell r="F35" t="str">
            <v>DIR DEPTO</v>
          </cell>
          <cell r="G35" t="str">
            <v>DIR POSGRADO</v>
          </cell>
          <cell r="H35" t="e">
            <v>#REF!</v>
          </cell>
          <cell r="I35" t="str">
            <v>INVENTARIO PRACTICAS</v>
          </cell>
          <cell r="J35" t="str">
            <v># CONVENIOS</v>
          </cell>
          <cell r="K35" t="str">
            <v>AUMENTO DE 50% EN CONVENIOS</v>
          </cell>
        </row>
        <row r="36">
          <cell r="A36" t="str">
            <v>4.1.2 / 4.2.1</v>
          </cell>
          <cell r="B36" t="str">
            <v>3.2.2</v>
          </cell>
          <cell r="C36" t="str">
            <v>Acción 2 • Crear una red de comunicación a través de internet entre el Departamento, los estudiantes de pregrado y  los egresados para la difusión del programa y sus posibilidades profesionales. Convocar a los egresados a participar activamente en los eventos del Departamento y aportar propuestas académicas e investigativas  a partir de su experiencia profesional</v>
          </cell>
          <cell r="D36" t="str">
            <v>01-12</v>
          </cell>
          <cell r="E36" t="str">
            <v>12-12</v>
          </cell>
          <cell r="F36" t="str">
            <v>DIR DEPTO</v>
          </cell>
          <cell r="G36" t="str">
            <v>DIR POSGRADO</v>
          </cell>
          <cell r="H36" t="e">
            <v>#REF!</v>
          </cell>
          <cell r="I36" t="str">
            <v>ANALISIS CONTACTOS ACTUALES</v>
          </cell>
          <cell r="J36" t="str">
            <v># CONTACTOS</v>
          </cell>
          <cell r="K36" t="str">
            <v>AUMENTO DE 60% EN CONTACTOS</v>
          </cell>
        </row>
        <row r="37">
          <cell r="A37" t="str">
            <v>4.1.3</v>
          </cell>
          <cell r="B37" t="str">
            <v>3.2.3</v>
          </cell>
          <cell r="C37" t="str">
            <v>Acción 3 • Trabajar con el CTP para desarrollar mecanismos que permitan dar a conocer en los grupos de interés el campo de acción laboral de la carrera de Lenguajes y Estudios Socioculturales</v>
          </cell>
          <cell r="D37" t="str">
            <v>01-12</v>
          </cell>
          <cell r="E37" t="str">
            <v>12-12</v>
          </cell>
          <cell r="F37" t="str">
            <v>DIR DEPTO</v>
          </cell>
          <cell r="G37" t="str">
            <v>DIR POSGRADO</v>
          </cell>
          <cell r="H37" t="e">
            <v>#REF!</v>
          </cell>
          <cell r="I37" t="str">
            <v>MECANISMOS ACTUALES</v>
          </cell>
          <cell r="J37" t="str">
            <v># EVENTOS INFORMATIVOS</v>
          </cell>
          <cell r="K37" t="str">
            <v>4 EVENTOS AL AÑO</v>
          </cell>
        </row>
      </sheetData>
      <sheetData sheetId="8"/>
      <sheetData sheetId="9">
        <row r="4">
          <cell r="A4" t="str">
            <v>Numeral propuesto</v>
          </cell>
        </row>
      </sheetData>
      <sheetData sheetId="10"/>
      <sheetData sheetId="11">
        <row r="4">
          <cell r="A4" t="str">
            <v>Numeral propuesto</v>
          </cell>
          <cell r="B4" t="str">
            <v>Número</v>
          </cell>
          <cell r="C4" t="str">
            <v>Objetivos/Subobjetivos/Acciones</v>
          </cell>
          <cell r="D4" t="str">
            <v>Fecha de inicio</v>
          </cell>
          <cell r="E4" t="str">
            <v>Fecha de finalización</v>
          </cell>
          <cell r="F4" t="str">
            <v>Responsable Principal</v>
          </cell>
          <cell r="G4" t="str">
            <v>Responsable Secundario</v>
          </cell>
          <cell r="H4" t="str">
            <v>Costo Total (5 años)</v>
          </cell>
          <cell r="I4" t="str">
            <v>Evaluación</v>
          </cell>
          <cell r="J4" t="str">
            <v>Indicador</v>
          </cell>
          <cell r="K4" t="str">
            <v>Meta</v>
          </cell>
        </row>
        <row r="5">
          <cell r="A5" t="str">
            <v>Obj: 3 y 1</v>
          </cell>
          <cell r="B5">
            <v>1</v>
          </cell>
          <cell r="C5" t="str">
            <v>Objetivo 1. CONSOLIDAR EL DEPARTAMENTO DE CIENCIA POLÍTICA DE LA UNIVERSIDAD DE LOS ANDES COMO UNA INSTITUCIÓN LÍDER EN LA DISCIPLINA EN COLOMBIA Y LATINOAMÉRICA POR MEDIO DE SUS PROGRAMAS DE PRE Y POSTGRADO Y POR MEDIO DE LA INVESTIGACIÓN DE EXCELENCIA</v>
          </cell>
          <cell r="D5">
            <v>0</v>
          </cell>
          <cell r="E5">
            <v>0</v>
          </cell>
          <cell r="F5">
            <v>0</v>
          </cell>
          <cell r="G5">
            <v>0</v>
          </cell>
          <cell r="H5" t="e">
            <v>#REF!</v>
          </cell>
          <cell r="I5">
            <v>0</v>
          </cell>
          <cell r="J5">
            <v>0</v>
          </cell>
          <cell r="K5">
            <v>0</v>
          </cell>
        </row>
        <row r="6">
          <cell r="A6" t="str">
            <v>3.1</v>
          </cell>
          <cell r="B6" t="str">
            <v>1.1</v>
          </cell>
          <cell r="C6" t="str">
            <v>Subobjetivo 1 Fortalecer los grupos de investigación para que sean funcionales para—y reflejo de— la cooperación, el intercambio y la construcción conjunta de conocimiento en tres temas estratégicos (Instituciones políticas; conflicto armado y construcción de paz; y estudios globales).</v>
          </cell>
          <cell r="D6">
            <v>0</v>
          </cell>
          <cell r="E6">
            <v>0</v>
          </cell>
          <cell r="F6">
            <v>0</v>
          </cell>
          <cell r="G6">
            <v>0</v>
          </cell>
          <cell r="H6" t="e">
            <v>#REF!</v>
          </cell>
          <cell r="I6">
            <v>0</v>
          </cell>
          <cell r="J6">
            <v>0</v>
          </cell>
          <cell r="K6">
            <v>0</v>
          </cell>
        </row>
        <row r="7">
          <cell r="A7" t="str">
            <v>3.1.2</v>
          </cell>
          <cell r="B7" t="str">
            <v>1.1.1</v>
          </cell>
          <cell r="C7" t="str">
            <v xml:space="preserve">Acción 1 Estructurar los grupos de investigación en torno a los tres temas estratégicos. </v>
          </cell>
          <cell r="D7" t="str">
            <v>01-11</v>
          </cell>
          <cell r="E7" t="str">
            <v>06-11</v>
          </cell>
          <cell r="F7" t="str">
            <v>DIR DEPTO</v>
          </cell>
          <cell r="G7" t="str">
            <v>DIR POSGRADOS</v>
          </cell>
          <cell r="H7" t="e">
            <v>#REF!</v>
          </cell>
          <cell r="I7" t="str">
            <v>REVISION TEMAS ESTRATEGICOS</v>
          </cell>
          <cell r="J7" t="str">
            <v># GRUPOS EN TEMAS ESTRATEGICOS</v>
          </cell>
          <cell r="K7" t="str">
            <v>TODOS LOS GRUPOS EN TEMAS</v>
          </cell>
        </row>
        <row r="8">
          <cell r="A8" t="str">
            <v>Eliminada</v>
          </cell>
          <cell r="B8" t="str">
            <v>1.1.2</v>
          </cell>
          <cell r="C8" t="str">
            <v>Acción 2 Contratar profesores adicionales en las áreas estratégicas pero sub-equipadas (Relaciones Internacionales y Teoría)</v>
          </cell>
          <cell r="D8" t="str">
            <v>01-13</v>
          </cell>
          <cell r="E8" t="str">
            <v>06-13</v>
          </cell>
          <cell r="F8" t="str">
            <v>DIR DEPTO</v>
          </cell>
          <cell r="G8" t="str">
            <v>DIR POSGRADOS</v>
          </cell>
          <cell r="H8" t="e">
            <v>#REF!</v>
          </cell>
          <cell r="I8" t="str">
            <v>CONVOCATORIA PROFES</v>
          </cell>
          <cell r="J8" t="str">
            <v># PROFES NUEVOS</v>
          </cell>
          <cell r="K8" t="str">
            <v>1 PROFESOR NUEVO</v>
          </cell>
        </row>
        <row r="9">
          <cell r="A9" t="str">
            <v>2.3.3</v>
          </cell>
          <cell r="B9" t="str">
            <v>1.1.3</v>
          </cell>
          <cell r="C9" t="str">
            <v>Acción 3 Gestionar vinculaciones parciales con profesores visitantes financiados por entidades internacionales (como la Unión Europea—cátedra Jean Monnet—la Comisión Fulbright y el IFEA)</v>
          </cell>
          <cell r="D9" t="str">
            <v>06-11</v>
          </cell>
          <cell r="E9" t="str">
            <v>06-13</v>
          </cell>
          <cell r="F9" t="str">
            <v>DIR DEPTO</v>
          </cell>
          <cell r="G9" t="str">
            <v>COOR PREGRADO</v>
          </cell>
          <cell r="H9" t="e">
            <v>#REF!</v>
          </cell>
          <cell r="I9" t="str">
            <v>REVISION CONVENIOS</v>
          </cell>
          <cell r="J9" t="str">
            <v># PROFES VISITANTES</v>
          </cell>
          <cell r="K9" t="str">
            <v>2 PROFESORES VISITANTES</v>
          </cell>
        </row>
        <row r="10">
          <cell r="A10" t="str">
            <v>1.1</v>
          </cell>
          <cell r="B10" t="str">
            <v>1.2</v>
          </cell>
          <cell r="C10" t="str">
            <v>Subobjetivo 2 Fortalecer las tres áreas temáticas estratégicas en su currículo</v>
          </cell>
          <cell r="D10">
            <v>0</v>
          </cell>
          <cell r="E10">
            <v>0</v>
          </cell>
          <cell r="F10">
            <v>0</v>
          </cell>
          <cell r="G10">
            <v>0</v>
          </cell>
          <cell r="H10" t="e">
            <v>#REF!</v>
          </cell>
          <cell r="I10">
            <v>0</v>
          </cell>
          <cell r="J10">
            <v>0</v>
          </cell>
          <cell r="K10">
            <v>0</v>
          </cell>
        </row>
        <row r="11">
          <cell r="A11" t="str">
            <v>Eliminada</v>
          </cell>
          <cell r="B11" t="str">
            <v>1.2.1</v>
          </cell>
          <cell r="C11" t="str">
            <v>Acción 1 Ofrecer dos cursos electivos de los temas estratégicos cada semestre en el pregrado</v>
          </cell>
          <cell r="D11" t="str">
            <v>01-11</v>
          </cell>
          <cell r="E11" t="str">
            <v>12-15</v>
          </cell>
          <cell r="F11" t="str">
            <v>DIR DEPTO</v>
          </cell>
          <cell r="G11" t="str">
            <v>COOR PREGRADO</v>
          </cell>
          <cell r="H11" t="e">
            <v>#REF!</v>
          </cell>
          <cell r="I11" t="str">
            <v>OFERTA CURSOS</v>
          </cell>
          <cell r="J11" t="str">
            <v># CURSOS OFERTADOS</v>
          </cell>
          <cell r="K11" t="str">
            <v>1 POR SEMESTRE</v>
          </cell>
        </row>
        <row r="12">
          <cell r="A12" t="str">
            <v>1.1.1</v>
          </cell>
          <cell r="B12" t="str">
            <v>1.2.2</v>
          </cell>
          <cell r="C12" t="str">
            <v>Acción 2 Ofrecer regularmente cursos electivos nuevos en los temas estratégicos.</v>
          </cell>
          <cell r="D12" t="str">
            <v>01-11</v>
          </cell>
          <cell r="E12" t="str">
            <v>12-15</v>
          </cell>
          <cell r="F12" t="str">
            <v>DIR DEPTO</v>
          </cell>
          <cell r="G12" t="str">
            <v>COOR PREGRADO</v>
          </cell>
          <cell r="H12" t="e">
            <v>#REF!</v>
          </cell>
          <cell r="I12" t="str">
            <v>OFERTA CURSOS</v>
          </cell>
          <cell r="J12" t="str">
            <v># CURSOS OFERTADOS</v>
          </cell>
          <cell r="K12" t="str">
            <v>1 POR SEMESTRE</v>
          </cell>
        </row>
        <row r="13">
          <cell r="A13" t="str">
            <v>2.1.2</v>
          </cell>
          <cell r="B13" t="str">
            <v>1.2.3</v>
          </cell>
          <cell r="C13" t="str">
            <v>Acción 3 Contratar profesores adicionales en las áreas estratégicas pero sub-equipadas (principalmente Relaciones Internacionales y Teoría) para cumplir con las exigencias de pregrado y postgrado (Maestría y un doctorado).</v>
          </cell>
          <cell r="D13" t="str">
            <v>01-12</v>
          </cell>
          <cell r="E13" t="str">
            <v>06-14</v>
          </cell>
          <cell r="F13" t="str">
            <v>DIR DEPTO</v>
          </cell>
          <cell r="G13" t="str">
            <v>COOR PREGRADO</v>
          </cell>
          <cell r="H13" t="e">
            <v>#REF!</v>
          </cell>
          <cell r="I13" t="str">
            <v>CONVOCATORIA PROFES</v>
          </cell>
          <cell r="J13" t="str">
            <v># PROFES NUEVOS</v>
          </cell>
          <cell r="K13" t="str">
            <v>1 PROFESOR NUEVO</v>
          </cell>
        </row>
        <row r="14">
          <cell r="A14" t="str">
            <v>Eliminada</v>
          </cell>
          <cell r="B14" t="str">
            <v>1.2.4</v>
          </cell>
          <cell r="C14" t="str">
            <v>Acción 4.  Conformar un grupo de discusión inter-institucional sobre pedagogía de teoría y métodos para que sirva de referente en la conformación de la oferta docente del departamento.</v>
          </cell>
          <cell r="D14" t="str">
            <v>06-11</v>
          </cell>
          <cell r="E14" t="str">
            <v>12-13</v>
          </cell>
          <cell r="F14" t="str">
            <v>DIR DEPTO</v>
          </cell>
          <cell r="G14" t="str">
            <v>DIR POSGRADOS</v>
          </cell>
          <cell r="H14" t="e">
            <v>#REF!</v>
          </cell>
          <cell r="I14">
            <v>0</v>
          </cell>
          <cell r="J14">
            <v>0</v>
          </cell>
          <cell r="K14">
            <v>0</v>
          </cell>
        </row>
        <row r="15">
          <cell r="A15" t="str">
            <v>3.2</v>
          </cell>
          <cell r="B15">
            <v>1.3</v>
          </cell>
          <cell r="C15" t="str">
            <v>Subobjetivo 3 Promover la investigación por parte de todos sus profesores para que aporten insumos calificados y empíricamente sustentados</v>
          </cell>
          <cell r="D15">
            <v>0</v>
          </cell>
          <cell r="E15">
            <v>0</v>
          </cell>
          <cell r="F15">
            <v>0</v>
          </cell>
          <cell r="G15">
            <v>0</v>
          </cell>
          <cell r="H15" t="e">
            <v>#REF!</v>
          </cell>
          <cell r="I15">
            <v>0</v>
          </cell>
          <cell r="J15">
            <v>0</v>
          </cell>
          <cell r="K15">
            <v>0</v>
          </cell>
        </row>
        <row r="16">
          <cell r="A16" t="str">
            <v>1.3.1</v>
          </cell>
          <cell r="B16" t="str">
            <v>1.3.1</v>
          </cell>
          <cell r="C16" t="str">
            <v>Acción 1 Diseminar oportunidades de financiación dentro y fuera de la universidad</v>
          </cell>
          <cell r="D16" t="str">
            <v>01-11</v>
          </cell>
          <cell r="E16" t="str">
            <v>12-15</v>
          </cell>
          <cell r="F16" t="str">
            <v>DIR DEPTO</v>
          </cell>
          <cell r="G16" t="str">
            <v>DIR POSGRADOS</v>
          </cell>
          <cell r="H16" t="e">
            <v>#REF!</v>
          </cell>
          <cell r="I16" t="str">
            <v>REVISION REPORTE FINANCIACION</v>
          </cell>
          <cell r="J16" t="str">
            <v># REPORTES</v>
          </cell>
          <cell r="K16" t="str">
            <v>1 AL MES</v>
          </cell>
        </row>
        <row r="17">
          <cell r="A17" t="str">
            <v>Eliminada</v>
          </cell>
          <cell r="B17" t="str">
            <v>1.3.2</v>
          </cell>
          <cell r="C17" t="str">
            <v xml:space="preserve">Acción 2 Inscripción ante el CESO de por lo menos un proyecto de investigación al tiempo por parte de cada profesor. </v>
          </cell>
          <cell r="D17" t="str">
            <v>01-11</v>
          </cell>
          <cell r="E17" t="str">
            <v>12-15</v>
          </cell>
          <cell r="F17" t="str">
            <v>DIR DEPTO</v>
          </cell>
          <cell r="G17" t="str">
            <v>DIR POSGRADOS</v>
          </cell>
          <cell r="H17" t="e">
            <v>#REF!</v>
          </cell>
          <cell r="I17" t="str">
            <v>REVISION REPORTE PROYECTOS</v>
          </cell>
          <cell r="J17" t="str">
            <v># REPORTES</v>
          </cell>
          <cell r="K17" t="str">
            <v>1 AL AÑO POR PROFESORS</v>
          </cell>
        </row>
        <row r="18">
          <cell r="A18" t="str">
            <v>Eliminada</v>
          </cell>
          <cell r="B18" t="str">
            <v>1.3.3</v>
          </cell>
          <cell r="C18" t="str">
            <v>Acción 3 Construir el espacio físico y proveer los equipos adecuados para que profesores y estudiantes de Maestría y doctorado desempeñen sus tareas docentes e investigativas cómoda y funcionalmente</v>
          </cell>
          <cell r="D18" t="str">
            <v>01-11</v>
          </cell>
          <cell r="E18" t="str">
            <v>06-13</v>
          </cell>
          <cell r="F18" t="str">
            <v>DECANO</v>
          </cell>
          <cell r="G18" t="str">
            <v>DIR DEPTO</v>
          </cell>
          <cell r="H18" t="e">
            <v>#REF!</v>
          </cell>
          <cell r="I18" t="str">
            <v>REVISION PLANOS EDIFICIO G Y GB</v>
          </cell>
          <cell r="J18" t="str">
            <v>REQUERIMIENTOS PLANTA FISICA</v>
          </cell>
          <cell r="K18" t="str">
            <v>ESPACIOS ADECUADOS NUEVO EDIFICIO</v>
          </cell>
        </row>
        <row r="19">
          <cell r="A19" t="str">
            <v>3.3.1</v>
          </cell>
          <cell r="B19" t="str">
            <v>1.3.4</v>
          </cell>
          <cell r="C19" t="str">
            <v>Acción 4 Mantener contacto recurrente y activo con otras facultades y departamentos de la universidad para promover el diálogo interdisciplinario y la construcción interactiva de conocimiento</v>
          </cell>
          <cell r="D19" t="str">
            <v>01-11</v>
          </cell>
          <cell r="E19" t="str">
            <v>12-15</v>
          </cell>
          <cell r="F19" t="str">
            <v>DIR DEPTO</v>
          </cell>
          <cell r="G19" t="str">
            <v>DIR POSGRADOS</v>
          </cell>
          <cell r="H19" t="e">
            <v>#REF!</v>
          </cell>
          <cell r="I19" t="str">
            <v>REPORTE INICIATIVAS CONJUNTAS</v>
          </cell>
          <cell r="J19" t="str">
            <v># INICIATIVAS CONJUNTAS</v>
          </cell>
          <cell r="K19" t="str">
            <v>1 INICIATIVA AL AÑO POR PROFESOR</v>
          </cell>
        </row>
        <row r="20">
          <cell r="A20" t="str">
            <v>3.4</v>
          </cell>
          <cell r="B20">
            <v>1.4</v>
          </cell>
          <cell r="C20" t="str">
            <v>Subobjetivo 4 Aumentar el volumen y la calidad de publicaciones orientadas hacia la revisión por pares nacionales e internacionales</v>
          </cell>
          <cell r="D20">
            <v>0</v>
          </cell>
          <cell r="E20">
            <v>0</v>
          </cell>
          <cell r="F20">
            <v>0</v>
          </cell>
          <cell r="G20">
            <v>0</v>
          </cell>
          <cell r="H20" t="e">
            <v>#REF!</v>
          </cell>
          <cell r="I20">
            <v>0</v>
          </cell>
          <cell r="J20">
            <v>0</v>
          </cell>
          <cell r="K20">
            <v>0</v>
          </cell>
        </row>
        <row r="21">
          <cell r="A21" t="str">
            <v>3.4.5</v>
          </cell>
          <cell r="B21" t="str">
            <v>1.4.1</v>
          </cell>
          <cell r="C21" t="str">
            <v>Acción 1 Identificar y promover estímulos  (como el monto de las bonificaciones anuales y un incremento de los salarios) para la productividad de los profesores adscritos al Departamento de Ciencia Política</v>
          </cell>
          <cell r="D21" t="str">
            <v>01-11</v>
          </cell>
          <cell r="E21" t="str">
            <v>06-11</v>
          </cell>
          <cell r="F21" t="str">
            <v>DIR DEPTO</v>
          </cell>
          <cell r="G21" t="str">
            <v>DIR POSGRADOS</v>
          </cell>
          <cell r="H21" t="e">
            <v>#REF!</v>
          </cell>
          <cell r="I21" t="str">
            <v>REVISION POLITICA ESTIMULOS</v>
          </cell>
          <cell r="J21" t="str">
            <v>POLITICA ESTIMULOS</v>
          </cell>
          <cell r="K21" t="str">
            <v>POLITICA DE ESTIMULOS REVISADA</v>
          </cell>
        </row>
        <row r="22">
          <cell r="A22" t="str">
            <v>3.4.1</v>
          </cell>
          <cell r="B22" t="str">
            <v>1.4.2</v>
          </cell>
          <cell r="C22" t="str">
            <v>Acción 2  Fortalecer el cargo de coordinación de publicaciones para brindar apoyo a profesores del Departamento de Ciencia Política en la gestión de sus publicaciones ante el CESO, brindar asesoría estratégica en la identificación de canales de divulgación de su producción, en el diseño de publicaciones y en la divulgación del conocimiento producido en el departamento</v>
          </cell>
          <cell r="D22" t="str">
            <v>01-12</v>
          </cell>
          <cell r="E22" t="str">
            <v>12-12</v>
          </cell>
          <cell r="F22" t="str">
            <v>DIR DEPTO</v>
          </cell>
          <cell r="G22" t="str">
            <v>DIR POSGRADOS</v>
          </cell>
          <cell r="H22" t="e">
            <v>#REF!</v>
          </cell>
          <cell r="I22" t="str">
            <v>REVISION DESCRIPCION DE CARGO</v>
          </cell>
          <cell r="J22" t="str">
            <v>DEFINICIOPN FUNCIONES NUEVO CARGO</v>
          </cell>
          <cell r="K22" t="str">
            <v>CARGO CON DEFINICION DE NUEVAS FUNCIONES</v>
          </cell>
        </row>
        <row r="23">
          <cell r="A23" t="str">
            <v>3.4.2</v>
          </cell>
          <cell r="B23" t="str">
            <v>1.4.3</v>
          </cell>
          <cell r="C23" t="str">
            <v>Acción 3  Fortalecer la revista Colombia Internacional (regularidad, cumplimiento con requisitos SCIELO y COLCIENCIAS) para subir a categoría A1</v>
          </cell>
          <cell r="D23" t="str">
            <v>01-11</v>
          </cell>
          <cell r="E23" t="str">
            <v>12-13</v>
          </cell>
          <cell r="F23" t="str">
            <v>DIR DEPTO</v>
          </cell>
          <cell r="G23" t="str">
            <v>DIR REVISTA</v>
          </cell>
          <cell r="H23" t="e">
            <v>#REF!</v>
          </cell>
          <cell r="I23" t="str">
            <v>REVISION PARAMETROS CLASIFICACION COLCIENCIAS</v>
          </cell>
          <cell r="J23" t="str">
            <v>CUMPLIMIENTO PARAMETROS COLCIENCIAS A1</v>
          </cell>
          <cell r="K23" t="str">
            <v>CLASIFICACION EN A1</v>
          </cell>
        </row>
        <row r="24">
          <cell r="A24" t="str">
            <v>3.4.3</v>
          </cell>
          <cell r="B24" t="str">
            <v>1.4.4</v>
          </cell>
          <cell r="C24" t="str">
            <v>Acción 4 Promover una serie de publicaciones académico-coyunturales, editadas por profesores del Departamento de Ciencia Política, que cumplan los siguientes criterios: una publicación anual, el interés en el tema trasciende las fronteras nacionales, en la publicación participan expertos temáticos de otros países, y la publicación es precedida por una conferencia en la Universidad de los Andes</v>
          </cell>
          <cell r="D24" t="str">
            <v>01-12</v>
          </cell>
          <cell r="E24" t="str">
            <v>12-15</v>
          </cell>
          <cell r="F24" t="str">
            <v>DIR DEPTO</v>
          </cell>
          <cell r="G24" t="str">
            <v>DIR REVISTA</v>
          </cell>
          <cell r="H24" t="e">
            <v>#REF!</v>
          </cell>
          <cell r="I24" t="str">
            <v>REVISION PARAMETROS CLASIFICACION COLCIENCIAS</v>
          </cell>
          <cell r="J24" t="str">
            <v>LISTA DE PUBLICACIONES COYUNTURALES</v>
          </cell>
          <cell r="K24" t="str">
            <v>1 PUBLICACION AL AÑO</v>
          </cell>
        </row>
        <row r="25">
          <cell r="A25" t="str">
            <v>3.4.4</v>
          </cell>
          <cell r="B25" t="str">
            <v>1.4.5</v>
          </cell>
          <cell r="C25" t="str">
            <v>Acción  5 Identificar formas creativas para lanzar y diseminar las publicaciones a los públicos relevantes. Divulgar y distribuir estratégicamente sus publicaciones, de forma impresa y digital</v>
          </cell>
          <cell r="D25" t="str">
            <v>01-13</v>
          </cell>
          <cell r="E25" t="str">
            <v>12-15</v>
          </cell>
          <cell r="F25" t="str">
            <v>DIR DEPTO</v>
          </cell>
          <cell r="G25" t="str">
            <v>DIR REVISTA</v>
          </cell>
          <cell r="H25" t="e">
            <v>#REF!</v>
          </cell>
          <cell r="I25" t="str">
            <v>REVISION LISTA PUBLICO RECEPTOR</v>
          </cell>
          <cell r="J25" t="str">
            <v>ENVIOS A PUBLICOS SELECCIONADOS</v>
          </cell>
          <cell r="K25" t="str">
            <v>2 ENVIOS AL AÑO</v>
          </cell>
        </row>
        <row r="26">
          <cell r="A26" t="str">
            <v>4.1</v>
          </cell>
          <cell r="B26">
            <v>1.5</v>
          </cell>
          <cell r="C26" t="str">
            <v>Subobjetivo 5 Organizar eventos académicos y divulgativos organizados o co-auspiciados por el Departamento de Ciencia Política de la Universidad de los Andes</v>
          </cell>
          <cell r="D26">
            <v>0</v>
          </cell>
          <cell r="E26">
            <v>0</v>
          </cell>
          <cell r="F26">
            <v>0</v>
          </cell>
          <cell r="G26">
            <v>0</v>
          </cell>
          <cell r="H26" t="e">
            <v>#REF!</v>
          </cell>
          <cell r="I26">
            <v>0</v>
          </cell>
          <cell r="J26">
            <v>0</v>
          </cell>
          <cell r="K26">
            <v>0</v>
          </cell>
        </row>
        <row r="27">
          <cell r="A27" t="str">
            <v>4.1.1</v>
          </cell>
          <cell r="B27" t="str">
            <v>1.5.1</v>
          </cell>
          <cell r="C27" t="str">
            <v>Acción 1 Cultivar relaciones con entidades nacionales e internacionales (cooperación internacional, medios de comunicación, entidades estatales) que compartan intereses para realizar conjuntamente eventos y conferencias</v>
          </cell>
          <cell r="D27" t="str">
            <v>01-12</v>
          </cell>
          <cell r="E27" t="str">
            <v>12-15</v>
          </cell>
          <cell r="F27" t="str">
            <v>DIR DEPTO</v>
          </cell>
          <cell r="G27" t="str">
            <v>DIR POSGRADOS</v>
          </cell>
          <cell r="H27" t="e">
            <v>#REF!</v>
          </cell>
          <cell r="I27" t="str">
            <v>REVISION LISTA ENTIDADES</v>
          </cell>
          <cell r="J27" t="str">
            <v>CONTACTO CON ENTIDADES</v>
          </cell>
          <cell r="K27" t="str">
            <v>4 EVENTOS AL AÑO  CON ENTIDADES</v>
          </cell>
        </row>
        <row r="28">
          <cell r="A28" t="str">
            <v>Eliminada</v>
          </cell>
          <cell r="B28" t="str">
            <v>1.5.2</v>
          </cell>
          <cell r="C28" t="str">
            <v>Acción 2  Componer y trabajar sobre una lista anual de temas y eventos posibles</v>
          </cell>
          <cell r="D28" t="str">
            <v>01-12</v>
          </cell>
          <cell r="E28" t="str">
            <v>12-15</v>
          </cell>
          <cell r="F28" t="str">
            <v>DIR DEPTO</v>
          </cell>
          <cell r="G28" t="str">
            <v>DIR POSGRADOS</v>
          </cell>
          <cell r="H28" t="e">
            <v>#REF!</v>
          </cell>
          <cell r="I28" t="str">
            <v>REVISION LISTA TEMAS Y EVENTOS</v>
          </cell>
          <cell r="J28" t="str">
            <v>EVENTOS SOBRE LOS TEMAS IDENTIFICADOS</v>
          </cell>
          <cell r="K28" t="str">
            <v>4 EVENTOS AL AÑO  CON ENTIDADES</v>
          </cell>
        </row>
        <row r="29">
          <cell r="A29" t="str">
            <v>4.1.2</v>
          </cell>
          <cell r="B29" t="str">
            <v>1.5.3</v>
          </cell>
          <cell r="C29" t="str">
            <v>Acción 3  Anunciar y publicitar los eventos con suficiente anterioridad para facilitar la participación de visitantes de otras partes del país</v>
          </cell>
          <cell r="D29" t="str">
            <v>01-11</v>
          </cell>
          <cell r="E29" t="str">
            <v>12-15</v>
          </cell>
          <cell r="F29" t="str">
            <v>DIR DEPTO</v>
          </cell>
          <cell r="G29" t="str">
            <v>DIR POSGRADOS</v>
          </cell>
          <cell r="H29" t="e">
            <v>#REF!</v>
          </cell>
          <cell r="I29" t="str">
            <v>REVISION LISTA DE EVENTOS A PUBLICITAR</v>
          </cell>
          <cell r="J29" t="str">
            <v>EVENTO PUBLICITADO CON ANTICIPACION</v>
          </cell>
          <cell r="K29" t="str">
            <v>4 EVENTOS AL AÑO  PUBLICIATDOS</v>
          </cell>
        </row>
        <row r="30">
          <cell r="A30" t="str">
            <v>2.3</v>
          </cell>
          <cell r="B30">
            <v>1.6</v>
          </cell>
          <cell r="C30" t="str">
            <v>Subobjetivo 6 Aumentar la participación en congresos nacionales e internacionales por parte de investigadores del Departamento de Ciencia Política de la Universidad de los Andes</v>
          </cell>
          <cell r="D30">
            <v>0</v>
          </cell>
          <cell r="E30">
            <v>0</v>
          </cell>
          <cell r="F30">
            <v>0</v>
          </cell>
          <cell r="G30">
            <v>0</v>
          </cell>
          <cell r="H30" t="e">
            <v>#REF!</v>
          </cell>
          <cell r="I30">
            <v>0</v>
          </cell>
          <cell r="J30">
            <v>0</v>
          </cell>
          <cell r="K30">
            <v>0</v>
          </cell>
        </row>
        <row r="31">
          <cell r="A31" t="str">
            <v>2.3.1 / 2.3.2</v>
          </cell>
          <cell r="B31" t="str">
            <v>1.6.1</v>
          </cell>
          <cell r="C31" t="str">
            <v>Acción 1 Promover la participación de sus profesores en congresos nacionales e internacionales para que presenten avances de investigación o investigaciones terminadas por medio del apoyo financiero de los viajes, por medio de la divulgación de las oportunidades de presentación y por medio del ajuste y la posibilidad de re-programar las clases para que los profesores puedan asistir a los eventos durante el semestre sin sacrificar el cumplimiento con sus estudiantes</v>
          </cell>
          <cell r="D31" t="str">
            <v>01-11</v>
          </cell>
          <cell r="E31" t="str">
            <v>12-15</v>
          </cell>
          <cell r="F31" t="str">
            <v>DIR DEPTO</v>
          </cell>
          <cell r="G31" t="str">
            <v>DIR POSGRADOS</v>
          </cell>
          <cell r="H31" t="e">
            <v>#REF!</v>
          </cell>
          <cell r="I31" t="str">
            <v>REVISION LISTA CONGRESOS</v>
          </cell>
          <cell r="J31" t="str">
            <v># CONGRESOS POR PROFESOR</v>
          </cell>
          <cell r="K31" t="str">
            <v>1 CONGRESO POR PROFESOR AL AÑO</v>
          </cell>
        </row>
        <row r="32">
          <cell r="A32">
            <v>0</v>
          </cell>
          <cell r="B32">
            <v>1.7</v>
          </cell>
          <cell r="C32" t="str">
            <v>Subobjetivo 7</v>
          </cell>
          <cell r="D32">
            <v>0</v>
          </cell>
          <cell r="E32">
            <v>0</v>
          </cell>
          <cell r="F32">
            <v>0</v>
          </cell>
          <cell r="G32">
            <v>0</v>
          </cell>
          <cell r="H32" t="e">
            <v>#REF!</v>
          </cell>
          <cell r="I32">
            <v>0</v>
          </cell>
          <cell r="J32">
            <v>0</v>
          </cell>
          <cell r="K32">
            <v>0</v>
          </cell>
        </row>
        <row r="33">
          <cell r="A33" t="str">
            <v>4.1.3</v>
          </cell>
          <cell r="B33" t="str">
            <v>1.7.1</v>
          </cell>
          <cell r="C33" t="str">
            <v>Acción 1 Mantener una base de datos actualizada y categorizada/especializada que identifique públicos estratégicos (en la academia, el sector público y privado) para hacerles llegar sus publicaciones y para divulgar la realización de eventos</v>
          </cell>
          <cell r="D33" t="str">
            <v>06-11</v>
          </cell>
          <cell r="E33" t="str">
            <v>12-15</v>
          </cell>
          <cell r="F33" t="str">
            <v>DIR DEPTO</v>
          </cell>
          <cell r="G33" t="str">
            <v>DIR POSGRADOS</v>
          </cell>
          <cell r="H33" t="e">
            <v>#REF!</v>
          </cell>
          <cell r="I33" t="str">
            <v>REVISION REPORTES BD</v>
          </cell>
          <cell r="J33" t="str">
            <v># REPORTES SOBRE PUBLICOS ESTRATEGICOS</v>
          </cell>
          <cell r="K33" t="str">
            <v>2 REPORTES AL AÑO</v>
          </cell>
        </row>
        <row r="34">
          <cell r="A34" t="str">
            <v>4.1.3</v>
          </cell>
          <cell r="B34" t="str">
            <v>1.7.2</v>
          </cell>
          <cell r="C34" t="str">
            <v>Acción 2  Enviar un boletín semanal (De Política) a estudiantes, egresados y otros (“amigos” del departamento) para eventos y publicaciones de interés para la comunidad de politólogos</v>
          </cell>
          <cell r="D34" t="str">
            <v>06-11</v>
          </cell>
          <cell r="E34" t="str">
            <v>12-15</v>
          </cell>
          <cell r="F34" t="str">
            <v>DIR DEPTO</v>
          </cell>
          <cell r="G34" t="str">
            <v>DIR POSGRADOS</v>
          </cell>
          <cell r="H34" t="e">
            <v>#REF!</v>
          </cell>
          <cell r="I34" t="str">
            <v>REVISION BOLETIN</v>
          </cell>
          <cell r="J34" t="str">
            <v># BOLETINES INFORMATIVOS</v>
          </cell>
          <cell r="K34" t="str">
            <v>30 BOLETINES AL AÑO</v>
          </cell>
        </row>
        <row r="35">
          <cell r="A35" t="str">
            <v>4.1.3</v>
          </cell>
          <cell r="B35" t="str">
            <v>1.7.3</v>
          </cell>
          <cell r="C35" t="str">
            <v>Acción 3  Convertir la página del Departamento de Ciencia Política en una herramienta permanentemente actualizada en la que pueden consultarse publicaciones del departamento y eventos de lanzamiento, así como otras noticias de interés para estudiantes, docentes, egresados y otros grupos de interés</v>
          </cell>
          <cell r="D35" t="str">
            <v>01-11</v>
          </cell>
          <cell r="E35" t="str">
            <v>12-11</v>
          </cell>
          <cell r="F35" t="str">
            <v>DIR DEPTO</v>
          </cell>
          <cell r="G35" t="str">
            <v>DIR POSGRADOS</v>
          </cell>
          <cell r="H35" t="e">
            <v>#REF!</v>
          </cell>
          <cell r="I35" t="str">
            <v>REVISION CONTENIDOS PAGINA</v>
          </cell>
          <cell r="J35" t="str">
            <v>DISEÑO PAGINA CON ALTOS ESTANDARES</v>
          </cell>
          <cell r="K35" t="str">
            <v>PAGINACOMPLETAMENTE REDISEÑADA</v>
          </cell>
        </row>
        <row r="36">
          <cell r="A36" t="str">
            <v>Obj: 1 / 2</v>
          </cell>
          <cell r="B36">
            <v>2</v>
          </cell>
          <cell r="C36" t="str">
            <v>Objetivo 2 FORMAR PROFESIONALES DE EXCELENTE CALIDAD, ELEVADO RIGOR ANALÍTICO E IMPECABLE DOMINIO DE LOS PRINCIPALES CONCEPTOS DE LA CIENCIA POLÍTICA A TRAVÉS DE SU DOCENCIA COMPETENTE Y SU PEDAGOGÍA DE EXCELENCIA</v>
          </cell>
          <cell r="D36">
            <v>0</v>
          </cell>
          <cell r="E36">
            <v>0</v>
          </cell>
          <cell r="F36">
            <v>0</v>
          </cell>
          <cell r="G36">
            <v>0</v>
          </cell>
          <cell r="H36" t="e">
            <v>#REF!</v>
          </cell>
          <cell r="I36">
            <v>0</v>
          </cell>
          <cell r="J36">
            <v>0</v>
          </cell>
          <cell r="K36">
            <v>0</v>
          </cell>
        </row>
        <row r="37">
          <cell r="A37" t="str">
            <v>1.2</v>
          </cell>
          <cell r="B37">
            <v>2.1</v>
          </cell>
          <cell r="C37" t="str">
            <v>Subobjetivo 1 Afianzar la capacidad analítica y el manejo de los conceptos y herramientas esenciales de la disciplina de la Ciencia Política en los estudiantes de pregrado y postgrado</v>
          </cell>
          <cell r="D37">
            <v>0</v>
          </cell>
          <cell r="E37">
            <v>0</v>
          </cell>
          <cell r="F37">
            <v>0</v>
          </cell>
          <cell r="G37">
            <v>0</v>
          </cell>
          <cell r="H37" t="e">
            <v>#REF!</v>
          </cell>
          <cell r="I37">
            <v>0</v>
          </cell>
          <cell r="J37">
            <v>0</v>
          </cell>
          <cell r="K37">
            <v>0</v>
          </cell>
        </row>
        <row r="38">
          <cell r="A38" t="str">
            <v>1.2.1</v>
          </cell>
          <cell r="B38" t="str">
            <v>2.1.1</v>
          </cell>
          <cell r="C38" t="str">
            <v>Acción 1 Revisar anualmente los contenidos de los programas de los cursos para asegurarse de que se cubren desde los clásicos hasta los autores de frontera en los diferentes temas cubiertos en los cursos</v>
          </cell>
          <cell r="D38" t="str">
            <v>01-11</v>
          </cell>
          <cell r="E38" t="str">
            <v>12-15</v>
          </cell>
          <cell r="F38" t="str">
            <v>DIR DEPTO</v>
          </cell>
          <cell r="G38" t="str">
            <v>COOR DEPTO</v>
          </cell>
          <cell r="H38" t="e">
            <v>#REF!</v>
          </cell>
          <cell r="I38" t="str">
            <v>CONTENIDOS DE CURSOS</v>
          </cell>
          <cell r="J38" t="str">
            <v># CONTENIDOS DE CURSOS REVISADOS</v>
          </cell>
          <cell r="K38" t="str">
            <v>5 CURSOS REVISADOS AL SEMESTRE</v>
          </cell>
        </row>
        <row r="39">
          <cell r="A39" t="str">
            <v>1.2.2</v>
          </cell>
          <cell r="B39" t="str">
            <v>2.1.2</v>
          </cell>
          <cell r="C39" t="str">
            <v>Acción 2 Dentro del respeto por la liberalidad y flexibilidad del programa académico de la Universidad de los Andes, promover la inscripción de los cursos de Ciencia Política entre los estudiantes del departamento para optimizar la formación disciplinaria</v>
          </cell>
          <cell r="D39" t="str">
            <v>01-11</v>
          </cell>
          <cell r="E39" t="str">
            <v>12-15</v>
          </cell>
          <cell r="F39" t="str">
            <v>DIR DEPTO</v>
          </cell>
          <cell r="G39" t="str">
            <v>COOR DEPTO</v>
          </cell>
          <cell r="H39" t="e">
            <v>#REF!</v>
          </cell>
          <cell r="I39" t="str">
            <v>REVISAR SISTEMA DE PROMOCION DE CURSOS</v>
          </cell>
          <cell r="J39" t="str">
            <v># ESTUDIANTES INSCRITOS EN LOS CURSOS</v>
          </cell>
          <cell r="K39" t="str">
            <v>AUMENTO DEL 30% EN LA INSCRIPCION DE CURSOS</v>
          </cell>
        </row>
        <row r="40">
          <cell r="A40" t="str">
            <v>Eliminada</v>
          </cell>
          <cell r="B40" t="str">
            <v>2.1.3</v>
          </cell>
          <cell r="C40" t="str">
            <v>Acción 3 Conformar un grupo de discusión inter-institucional sobre pedagogía de teoría y métodos</v>
          </cell>
          <cell r="D40" t="str">
            <v>06-12</v>
          </cell>
          <cell r="E40" t="str">
            <v>12-12</v>
          </cell>
          <cell r="F40" t="str">
            <v>DIR DEPTO</v>
          </cell>
          <cell r="G40" t="str">
            <v>COOR DEPTO</v>
          </cell>
          <cell r="H40" t="e">
            <v>#REF!</v>
          </cell>
          <cell r="I40" t="str">
            <v>REVISION DE LA PEDAGOGIA EN TEORIA Y METODOS</v>
          </cell>
          <cell r="J40" t="str">
            <v># REUNIONES DE DISCUSION</v>
          </cell>
          <cell r="K40" t="str">
            <v>2 REUNIONES AL AÑO</v>
          </cell>
        </row>
        <row r="41">
          <cell r="A41" t="str">
            <v>1.2.3</v>
          </cell>
          <cell r="B41" t="str">
            <v>2.1.4</v>
          </cell>
          <cell r="C41" t="str">
            <v>Acción 4 Propiciar una sólida formación metodológica de los estudiantes del postgrado</v>
          </cell>
          <cell r="D41" t="str">
            <v>06-11</v>
          </cell>
          <cell r="E41" t="str">
            <v>12-15</v>
          </cell>
          <cell r="F41" t="str">
            <v>DIR DEPTO</v>
          </cell>
          <cell r="G41" t="str">
            <v>DIR POSGRADOS</v>
          </cell>
          <cell r="H41" t="e">
            <v>#REF!</v>
          </cell>
          <cell r="I41" t="str">
            <v>REVISION CURRICULO</v>
          </cell>
          <cell r="J41" t="str">
            <v># NUEVOS PROGRAMAS</v>
          </cell>
          <cell r="K41" t="str">
            <v>2 REPORTES AL AÑO</v>
          </cell>
        </row>
        <row r="42">
          <cell r="A42" t="str">
            <v>2.2</v>
          </cell>
          <cell r="B42">
            <v>2.2000000000000002</v>
          </cell>
          <cell r="C42" t="str">
            <v>Subobjetivo 2 Perfeccionar la capacidad pedagógica de los profesores del Departamento de Ciencia Política para transmitir a los estudiantes su conocimiento acumulado y generar procesos de aprendizaje autónomo y colectivo</v>
          </cell>
          <cell r="D42">
            <v>0</v>
          </cell>
          <cell r="E42">
            <v>0</v>
          </cell>
          <cell r="F42">
            <v>0</v>
          </cell>
          <cell r="G42">
            <v>0</v>
          </cell>
          <cell r="H42" t="e">
            <v>#REF!</v>
          </cell>
          <cell r="I42">
            <v>0</v>
          </cell>
          <cell r="J42">
            <v>0</v>
          </cell>
          <cell r="K42">
            <v>0</v>
          </cell>
        </row>
        <row r="43">
          <cell r="A43" t="str">
            <v>2.2.1</v>
          </cell>
          <cell r="B43" t="str">
            <v>2.2.1</v>
          </cell>
          <cell r="C43" t="str">
            <v>Acción 1 Proveer espacios seguros para intercambiar buenas y malas prácticas en la docencia y en la evaluación, sobre el supuesto de que el Departamento valora la diversidad de las estrategias pedagógicas y procura la generación de aprendizaje colectivo sobre su eficacia</v>
          </cell>
          <cell r="D43" t="str">
            <v>01-12</v>
          </cell>
          <cell r="E43" t="str">
            <v>12-15</v>
          </cell>
          <cell r="F43" t="str">
            <v>DIR DEPTO</v>
          </cell>
          <cell r="G43" t="str">
            <v>COOR DEPTO</v>
          </cell>
          <cell r="H43" t="e">
            <v>#REF!</v>
          </cell>
          <cell r="I43" t="str">
            <v>REVISION AGENDA REUNIONES</v>
          </cell>
          <cell r="J43" t="str">
            <v># REUNIONES DE PRACTICAS DOCENTES</v>
          </cell>
          <cell r="K43" t="str">
            <v>2 REUNIONES AL AÑO</v>
          </cell>
        </row>
        <row r="44">
          <cell r="A44" t="str">
            <v>2.2.2</v>
          </cell>
          <cell r="B44" t="str">
            <v>2.2.2</v>
          </cell>
          <cell r="C44" t="str">
            <v>Acción 2 Identificar un sistema de tutorías para profesores jóvenes en la organización de sus cursos y sus sistemas de evaluación</v>
          </cell>
          <cell r="D44" t="str">
            <v>01-12</v>
          </cell>
          <cell r="E44" t="str">
            <v>06-12</v>
          </cell>
          <cell r="F44" t="str">
            <v>DIR DEPTO</v>
          </cell>
          <cell r="G44" t="str">
            <v>COOR DEPTO</v>
          </cell>
          <cell r="H44" t="e">
            <v>#REF!</v>
          </cell>
          <cell r="I44" t="str">
            <v>REVISAR SISTEMA DE TUTORIAS CON EL CIFE</v>
          </cell>
          <cell r="J44" t="str">
            <v>UN SISTEMA DE TUTORIA PARA PROFESORES JOVENES</v>
          </cell>
          <cell r="K44" t="str">
            <v>1 CURSO AL AÑO</v>
          </cell>
        </row>
        <row r="45">
          <cell r="A45" t="str">
            <v>Eliminada</v>
          </cell>
          <cell r="B45" t="str">
            <v>2.2.3</v>
          </cell>
          <cell r="C45" t="str">
            <v>Acción 3 Conformar un grupo de discusión inter-institucional sobre pedagogía de teoría y métodos para que sirva de referente en la conformación de la oferta docente del departamento</v>
          </cell>
          <cell r="D45" t="str">
            <v>01-12</v>
          </cell>
          <cell r="E45" t="str">
            <v>06-12</v>
          </cell>
          <cell r="F45" t="str">
            <v>DIR DEPTO</v>
          </cell>
          <cell r="G45" t="str">
            <v>DIR POSGRADOS</v>
          </cell>
          <cell r="H45" t="e">
            <v>#REF!</v>
          </cell>
          <cell r="I45" t="str">
            <v>REVISAR OTROS SISTEMAS DE PEDAGOGIA</v>
          </cell>
          <cell r="J45" t="str">
            <v>CONCRETAR UN SISTEMA DE PEDAGOGIA EN TEORIA Y METODOS</v>
          </cell>
          <cell r="K45" t="str">
            <v>TENER AL MENOS UN SISTEMA DEFINIDO</v>
          </cell>
        </row>
        <row r="46">
          <cell r="A46" t="str">
            <v>Eliminada</v>
          </cell>
          <cell r="B46" t="str">
            <v>2.2.4</v>
          </cell>
          <cell r="C46" t="str">
            <v>Acción 4 Estimular la docencia con la oportunidad de expresar reconocimiento por parte de graduandos</v>
          </cell>
          <cell r="D46" t="str">
            <v>01-12</v>
          </cell>
          <cell r="E46" t="str">
            <v>06-12</v>
          </cell>
          <cell r="F46" t="str">
            <v>DIR DEPTO</v>
          </cell>
          <cell r="G46" t="str">
            <v>DIR POSGRADOS</v>
          </cell>
          <cell r="H46" t="e">
            <v>#REF!</v>
          </cell>
          <cell r="I46" t="str">
            <v>REVISION DE ESTIMULOS ACTUALES</v>
          </cell>
          <cell r="J46" t="str">
            <v>DOCUMENTO DE ESTIMULOS</v>
          </cell>
          <cell r="K46" t="str">
            <v>TENER AL MENOS UN SISTEMA DEFINIDO</v>
          </cell>
        </row>
        <row r="47">
          <cell r="A47" t="str">
            <v>1.3</v>
          </cell>
          <cell r="B47">
            <v>2.2999999999999998</v>
          </cell>
          <cell r="C47" t="str">
            <v>Subobjetivo 3 Sobre la construcción de comunidad académica. Promover la construcción de espacios de comunicación con los estudiantes</v>
          </cell>
          <cell r="D47">
            <v>0</v>
          </cell>
          <cell r="E47">
            <v>0</v>
          </cell>
          <cell r="F47">
            <v>0</v>
          </cell>
          <cell r="G47">
            <v>0</v>
          </cell>
          <cell r="H47" t="e">
            <v>#REF!</v>
          </cell>
          <cell r="I47">
            <v>0</v>
          </cell>
          <cell r="J47">
            <v>0</v>
          </cell>
          <cell r="K47">
            <v>0</v>
          </cell>
        </row>
        <row r="48">
          <cell r="A48" t="str">
            <v>1.3.1</v>
          </cell>
          <cell r="B48" t="str">
            <v>2.3.1</v>
          </cell>
          <cell r="C48" t="str">
            <v xml:space="preserve">Acción 1 Vincular los estudiantes a redes académicas y profesionales relevantes para su disciplina </v>
          </cell>
          <cell r="D48" t="str">
            <v>01-12</v>
          </cell>
          <cell r="E48" t="str">
            <v>06-12</v>
          </cell>
          <cell r="F48" t="str">
            <v>DIR DEPTO</v>
          </cell>
          <cell r="G48" t="str">
            <v>DIR POSGRADOS</v>
          </cell>
          <cell r="H48" t="e">
            <v>#REF!</v>
          </cell>
          <cell r="I48" t="str">
            <v>REVISION DE REDES</v>
          </cell>
          <cell r="J48" t="str">
            <v># DE ESTUDIANTES VINCULADOS A REDES</v>
          </cell>
          <cell r="K48" t="str">
            <v>5% DE LOS ESTUDIANTES VINCULADOS</v>
          </cell>
        </row>
        <row r="49">
          <cell r="A49" t="str">
            <v>1.3.2</v>
          </cell>
          <cell r="B49" t="str">
            <v>2.3.2</v>
          </cell>
          <cell r="C49" t="str">
            <v>Acción 2 Crear un rincón para estudiantes en la página del departamento que incluya un espacio para el periódico estudiantil, la representación estudiantil y trabajos sobresalientes de estudiantes</v>
          </cell>
          <cell r="D49" t="str">
            <v>01-11</v>
          </cell>
          <cell r="E49" t="str">
            <v>06-11</v>
          </cell>
          <cell r="F49" t="str">
            <v>DIR DEPTO</v>
          </cell>
          <cell r="G49" t="str">
            <v>COOR PREGRADO</v>
          </cell>
          <cell r="H49" t="e">
            <v>#REF!</v>
          </cell>
          <cell r="I49" t="str">
            <v>REVISAR EL DISEÑO DE LA PAGINA</v>
          </cell>
          <cell r="J49" t="str">
            <v>SECCION CREADA</v>
          </cell>
          <cell r="K49" t="str">
            <v>CREAR LA SECCION</v>
          </cell>
        </row>
        <row r="50">
          <cell r="A50" t="str">
            <v>1.3.3</v>
          </cell>
          <cell r="B50" t="str">
            <v>2.3.3</v>
          </cell>
          <cell r="C50" t="str">
            <v>Acción 3 Realización anual de la encuesta de satisfacción a estudiantes</v>
          </cell>
          <cell r="D50" t="str">
            <v>01-11</v>
          </cell>
          <cell r="E50" t="str">
            <v>12-15</v>
          </cell>
          <cell r="F50" t="str">
            <v>DIR DEPTO</v>
          </cell>
          <cell r="G50" t="str">
            <v>DIR POSGRADOS</v>
          </cell>
          <cell r="H50" t="e">
            <v>#REF!</v>
          </cell>
          <cell r="I50" t="str">
            <v>REVISION ENCUENTA</v>
          </cell>
          <cell r="J50" t="str">
            <v>ENCUESTA DE SATISFACCION</v>
          </cell>
          <cell r="K50" t="str">
            <v>1 PROCESO DE ENCUESTA AL AÑO</v>
          </cell>
        </row>
        <row r="51">
          <cell r="A51">
            <v>4</v>
          </cell>
          <cell r="B51">
            <v>3</v>
          </cell>
          <cell r="C51" t="str">
            <v>Objetivo 3 CONTRIBUIR Al MEJORAMIENTO DEL DEBATE ACADÉMICO Y POLÍTICO, NACIONAL E INTERNACIONAL, Y A LA FORMULACIÓN DE POLÍTICAS PÚBLICAS DEL PAÍS</v>
          </cell>
          <cell r="D51">
            <v>0</v>
          </cell>
          <cell r="E51">
            <v>0</v>
          </cell>
          <cell r="F51">
            <v>0</v>
          </cell>
          <cell r="G51">
            <v>0</v>
          </cell>
          <cell r="H51" t="e">
            <v>#REF!</v>
          </cell>
          <cell r="I51">
            <v>0</v>
          </cell>
          <cell r="J51">
            <v>0</v>
          </cell>
          <cell r="K51">
            <v>0</v>
          </cell>
        </row>
        <row r="52">
          <cell r="A52" t="str">
            <v>4.2</v>
          </cell>
          <cell r="B52">
            <v>3.1</v>
          </cell>
          <cell r="C52" t="str">
            <v>Subobjetivo 1 Liderar el afianzamiento de redes nacionales e internacionales con académicos y entidades nacionales e internacionales</v>
          </cell>
          <cell r="D52">
            <v>0</v>
          </cell>
          <cell r="E52">
            <v>0</v>
          </cell>
          <cell r="F52">
            <v>0</v>
          </cell>
          <cell r="G52">
            <v>0</v>
          </cell>
          <cell r="H52" t="e">
            <v>#REF!</v>
          </cell>
          <cell r="I52">
            <v>0</v>
          </cell>
          <cell r="J52">
            <v>0</v>
          </cell>
          <cell r="K52">
            <v>0</v>
          </cell>
        </row>
        <row r="53">
          <cell r="A53" t="str">
            <v>4.2.1</v>
          </cell>
          <cell r="B53" t="str">
            <v>3.1.1</v>
          </cell>
          <cell r="C53" t="str">
            <v>Acción 1 Formar parte activa de redes profesionales nacionales (como la Asociación Colombiana de Ciencia Política) e internacionales (American Political Science Association, International Studies Association, ECPR, etc.)</v>
          </cell>
          <cell r="D53" t="str">
            <v>06-11</v>
          </cell>
          <cell r="E53" t="str">
            <v>12-11</v>
          </cell>
          <cell r="F53" t="str">
            <v>DIR DEPTO</v>
          </cell>
          <cell r="G53" t="str">
            <v>DIR POSGRADOS</v>
          </cell>
          <cell r="H53" t="e">
            <v>#REF!</v>
          </cell>
          <cell r="I53" t="str">
            <v>REVISAR CONDICIONES DE INSCRIPCION A LAS REDES</v>
          </cell>
          <cell r="J53" t="str">
            <v>INSCRIPCION A REDES</v>
          </cell>
          <cell r="K53" t="str">
            <v>INSCRIPCION A LA RED NACIONAL E INTERNACIONAL</v>
          </cell>
        </row>
        <row r="54">
          <cell r="A54" t="str">
            <v>4.1.4</v>
          </cell>
          <cell r="B54" t="str">
            <v>3.1.2</v>
          </cell>
          <cell r="C54" t="str">
            <v>Acción 2 Promover la participación de estudiantes e investigadores de otras universidades en los eventos organizados por el departamento por medio de la circulación temprana de información y la emisión de certificados</v>
          </cell>
          <cell r="D54" t="str">
            <v>06-11</v>
          </cell>
          <cell r="E54" t="str">
            <v>12-11</v>
          </cell>
          <cell r="F54" t="str">
            <v>DIR DEPTO</v>
          </cell>
          <cell r="G54" t="str">
            <v>DIR POSGRADOS</v>
          </cell>
          <cell r="H54" t="e">
            <v>#REF!</v>
          </cell>
          <cell r="I54" t="str">
            <v>REVISION PARTICIPACION ACTUAL</v>
          </cell>
          <cell r="J54" t="str">
            <v># ESTUDIANTES QUE PARTICIPAN EN EVENTOS</v>
          </cell>
          <cell r="K54" t="str">
            <v>5% DE LOS ESTUDIANTES PARTICIPANDO EN EVENTOS</v>
          </cell>
        </row>
        <row r="55">
          <cell r="A55" t="str">
            <v>4.2</v>
          </cell>
          <cell r="B55">
            <v>3.2</v>
          </cell>
          <cell r="C55" t="str">
            <v>Subobjetivo 2 Mantener una comunicación regular con líderes académicos y con líderes del sector público o privado, nacional o internacional, para intercambiar ideas y facilitar la transmisión del conocimiento académico a los procesos de toma de decisiones</v>
          </cell>
          <cell r="D55">
            <v>0</v>
          </cell>
          <cell r="E55">
            <v>0</v>
          </cell>
          <cell r="F55">
            <v>0</v>
          </cell>
          <cell r="G55">
            <v>0</v>
          </cell>
          <cell r="H55" t="e">
            <v>#REF!</v>
          </cell>
          <cell r="I55">
            <v>0</v>
          </cell>
          <cell r="J55">
            <v>0</v>
          </cell>
          <cell r="K55">
            <v>0</v>
          </cell>
        </row>
        <row r="56">
          <cell r="A56" t="str">
            <v>4.2.2</v>
          </cell>
          <cell r="B56" t="str">
            <v>3.2.1</v>
          </cell>
          <cell r="C56" t="str">
            <v>Acción 1 Invitar a líderes académicos y del sector público o privado, nacional o internacional, a espacios cerrados y confidenciales para conversar sobre avances o temas de actualidad (“Viernes de política”)</v>
          </cell>
          <cell r="D56" t="str">
            <v>01-12</v>
          </cell>
          <cell r="E56" t="str">
            <v>12-15</v>
          </cell>
          <cell r="F56" t="str">
            <v>DIR DEPTO</v>
          </cell>
          <cell r="G56" t="str">
            <v>DIR POSGRADOS</v>
          </cell>
          <cell r="H56" t="e">
            <v>#REF!</v>
          </cell>
          <cell r="I56" t="str">
            <v>REVISION DE ESPACIOS ACTUALES</v>
          </cell>
          <cell r="J56" t="str">
            <v># DE REUNIONES</v>
          </cell>
          <cell r="K56" t="str">
            <v>4 REUNIONES AL AÑO</v>
          </cell>
        </row>
        <row r="57">
          <cell r="A57" t="str">
            <v>Eliminada</v>
          </cell>
          <cell r="B57" t="str">
            <v>3.2.2</v>
          </cell>
          <cell r="C57" t="str">
            <v>Acción 2 Envío de boletín semanal del depto (De Política) a listas actualizadas semestralmente de interesados en el medio externo</v>
          </cell>
          <cell r="D57" t="str">
            <v>01-12</v>
          </cell>
          <cell r="E57" t="str">
            <v>12-15</v>
          </cell>
          <cell r="F57" t="str">
            <v>DIR DEPTO</v>
          </cell>
          <cell r="G57" t="str">
            <v>DIR POSGRADOS</v>
          </cell>
          <cell r="H57" t="e">
            <v>#REF!</v>
          </cell>
          <cell r="I57" t="str">
            <v>REVISION DE LISTAS DE INTERSADOS</v>
          </cell>
          <cell r="J57" t="str">
            <v># RECEPTORES</v>
          </cell>
          <cell r="K57" t="str">
            <v>100 RECEPTORES AL AÑO</v>
          </cell>
        </row>
        <row r="58">
          <cell r="A58" t="str">
            <v>4.2.3</v>
          </cell>
          <cell r="B58" t="str">
            <v>3.2.3</v>
          </cell>
          <cell r="C58" t="str">
            <v>Acción 3 Envío de publicaciones de forma segmentada a públicos relevantes</v>
          </cell>
          <cell r="D58" t="str">
            <v>01-12</v>
          </cell>
          <cell r="E58" t="str">
            <v>12-15</v>
          </cell>
          <cell r="F58" t="str">
            <v>DIR DEPTO</v>
          </cell>
          <cell r="G58" t="str">
            <v>DIR POSGRADOS</v>
          </cell>
          <cell r="H58" t="e">
            <v>#REF!</v>
          </cell>
          <cell r="I58" t="str">
            <v>REVISION DE LISTAS DE PUBLICO RELEVANTE</v>
          </cell>
          <cell r="J58" t="str">
            <v># RECEPTORES</v>
          </cell>
          <cell r="K58" t="str">
            <v>200 RECEPTORES AL AÑO</v>
          </cell>
        </row>
      </sheetData>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ón Decanatura "/>
      <sheetName val="PD Decanatura"/>
      <sheetName val="Revisión IIE"/>
      <sheetName val="PD IEE"/>
      <sheetName val="Revisión IQUI"/>
      <sheetName val="PD IQUI"/>
      <sheetName val="Revisión ISIS"/>
      <sheetName val="PD ISIS"/>
      <sheetName val="Revisión IMEC"/>
      <sheetName val="PD IMEC"/>
      <sheetName val="Revisión ICYA"/>
      <sheetName val="Revisión IIND"/>
      <sheetName val="PD IIND"/>
      <sheetName val="PDI - PDF"/>
    </sheetNames>
    <sheetDataSet>
      <sheetData sheetId="0">
        <row r="5">
          <cell r="A5">
            <v>1</v>
          </cell>
          <cell r="B5">
            <v>1</v>
          </cell>
          <cell r="C5" t="str">
            <v>Objetivo 1: Mantener actualizados y alcanzar los perfiles de formación</v>
          </cell>
          <cell r="D5">
            <v>0</v>
          </cell>
          <cell r="E5">
            <v>0</v>
          </cell>
          <cell r="F5">
            <v>0</v>
          </cell>
          <cell r="G5">
            <v>0</v>
          </cell>
          <cell r="H5">
            <v>0</v>
          </cell>
          <cell r="I5">
            <v>0</v>
          </cell>
          <cell r="J5">
            <v>0</v>
          </cell>
          <cell r="K5">
            <v>0</v>
          </cell>
        </row>
        <row r="6">
          <cell r="A6" t="str">
            <v>1.1</v>
          </cell>
          <cell r="B6" t="str">
            <v>1.1</v>
          </cell>
          <cell r="C6" t="str">
            <v>Subobjetivo 1.1. Actualizar los perfiles de formación (pregrado, especialización, maestría y doctorado) teniendo en cuenta las tendencias mundiales, las necesidades nacionales y el contexto educativo del país.</v>
          </cell>
          <cell r="D6">
            <v>0</v>
          </cell>
          <cell r="E6">
            <v>0</v>
          </cell>
          <cell r="F6">
            <v>0</v>
          </cell>
          <cell r="G6">
            <v>0</v>
          </cell>
          <cell r="H6">
            <v>190000</v>
          </cell>
          <cell r="I6">
            <v>0</v>
          </cell>
          <cell r="J6">
            <v>0</v>
          </cell>
          <cell r="K6" t="str">
            <v>· Objetivos y outcomes de cada programa (pregrado y posgrado) actualizados en el 2012 y nuevamente en el 2015.</v>
          </cell>
        </row>
        <row r="7">
          <cell r="A7" t="str">
            <v>1.1.1</v>
          </cell>
          <cell r="B7" t="str">
            <v>1.1.1</v>
          </cell>
          <cell r="C7" t="str">
            <v>Realizar consulta de constituyentes</v>
          </cell>
          <cell r="D7">
            <v>40725</v>
          </cell>
          <cell r="E7">
            <v>40878</v>
          </cell>
          <cell r="F7" t="str">
            <v>Vicedecanatura de pregrado</v>
          </cell>
          <cell r="G7">
            <v>0</v>
          </cell>
          <cell r="H7">
            <v>0</v>
          </cell>
          <cell r="I7">
            <v>0</v>
          </cell>
          <cell r="J7">
            <v>0</v>
          </cell>
          <cell r="K7">
            <v>0</v>
          </cell>
        </row>
        <row r="8">
          <cell r="A8" t="str">
            <v>1.1.2</v>
          </cell>
          <cell r="B8" t="str">
            <v>1.1.2</v>
          </cell>
          <cell r="C8" t="str">
            <v>Evaluar nivel de logro de outcomes</v>
          </cell>
          <cell r="D8">
            <v>40725</v>
          </cell>
          <cell r="E8">
            <v>40878</v>
          </cell>
          <cell r="F8" t="str">
            <v>Vicedecanatura de pregrado</v>
          </cell>
          <cell r="G8">
            <v>0</v>
          </cell>
          <cell r="H8">
            <v>0</v>
          </cell>
          <cell r="I8">
            <v>0</v>
          </cell>
          <cell r="J8">
            <v>0</v>
          </cell>
          <cell r="K8">
            <v>0</v>
          </cell>
        </row>
        <row r="9">
          <cell r="A9" t="str">
            <v>1.1.2</v>
          </cell>
          <cell r="B9" t="str">
            <v>1.1.3</v>
          </cell>
          <cell r="C9" t="str">
            <v>Afinar concordancia de objetivos y outcomes</v>
          </cell>
          <cell r="D9">
            <v>40909</v>
          </cell>
          <cell r="E9">
            <v>41061</v>
          </cell>
          <cell r="F9" t="str">
            <v>Vicedecanatura de pregrado</v>
          </cell>
          <cell r="G9">
            <v>0</v>
          </cell>
          <cell r="H9">
            <v>0</v>
          </cell>
          <cell r="I9">
            <v>0</v>
          </cell>
          <cell r="J9">
            <v>0</v>
          </cell>
          <cell r="K9">
            <v>0</v>
          </cell>
        </row>
        <row r="10">
          <cell r="A10" t="str">
            <v>1.1.3</v>
          </cell>
          <cell r="B10" t="str">
            <v>1.1.4.</v>
          </cell>
          <cell r="C10" t="str">
            <v>Estudio de programas en universidades líderes</v>
          </cell>
          <cell r="D10">
            <v>40725</v>
          </cell>
          <cell r="E10">
            <v>40878</v>
          </cell>
          <cell r="F10" t="str">
            <v>Vicedecanatura de pregrado</v>
          </cell>
          <cell r="G10">
            <v>0</v>
          </cell>
          <cell r="H10">
            <v>20000</v>
          </cell>
          <cell r="I10">
            <v>0</v>
          </cell>
          <cell r="J10">
            <v>0</v>
          </cell>
          <cell r="K10">
            <v>0</v>
          </cell>
        </row>
        <row r="11">
          <cell r="A11" t="str">
            <v>1.3.6</v>
          </cell>
          <cell r="B11" t="str">
            <v>1.1.5.</v>
          </cell>
          <cell r="C11" t="str">
            <v>Elaboración de portafolio de módulos de formación en Ingeniería y Sociedad</v>
          </cell>
          <cell r="D11">
            <v>40544</v>
          </cell>
          <cell r="E11">
            <v>40695</v>
          </cell>
          <cell r="F11" t="str">
            <v>Grupo tecnología y sociedad</v>
          </cell>
          <cell r="G11">
            <v>0</v>
          </cell>
          <cell r="H11">
            <v>70000</v>
          </cell>
          <cell r="I11">
            <v>0</v>
          </cell>
          <cell r="J11">
            <v>0</v>
          </cell>
          <cell r="K11">
            <v>0</v>
          </cell>
        </row>
        <row r="12">
          <cell r="A12" t="str">
            <v>1.3.7</v>
          </cell>
          <cell r="B12" t="str">
            <v>1.1.6.</v>
          </cell>
          <cell r="C12" t="str">
            <v>Propuesta de nuevos programas</v>
          </cell>
          <cell r="D12">
            <v>40909</v>
          </cell>
          <cell r="E12">
            <v>41244</v>
          </cell>
          <cell r="F12" t="str">
            <v>Vicedecanatura de pregrado</v>
          </cell>
          <cell r="G12">
            <v>0</v>
          </cell>
          <cell r="H12">
            <v>100000</v>
          </cell>
          <cell r="I12">
            <v>0</v>
          </cell>
          <cell r="J12">
            <v>0</v>
          </cell>
          <cell r="K12">
            <v>0</v>
          </cell>
        </row>
        <row r="13">
          <cell r="A13" t="str">
            <v>1.2</v>
          </cell>
          <cell r="B13" t="str">
            <v>1.2</v>
          </cell>
          <cell r="C13" t="str">
            <v>Subobjetivo 1.2.  Mantener un curriculum innovador que responda a los perfiles deseados para la formación.</v>
          </cell>
          <cell r="D13">
            <v>0</v>
          </cell>
          <cell r="E13">
            <v>0</v>
          </cell>
          <cell r="F13">
            <v>0</v>
          </cell>
          <cell r="G13">
            <v>0</v>
          </cell>
          <cell r="H13">
            <v>0</v>
          </cell>
          <cell r="I13">
            <v>0</v>
          </cell>
          <cell r="J13">
            <v>0</v>
          </cell>
          <cell r="K13" t="str">
            <v>En el 2015 innovaciones implementadas y evaluadas</v>
          </cell>
        </row>
        <row r="14">
          <cell r="A14" t="str">
            <v>1.2.1</v>
          </cell>
          <cell r="B14" t="str">
            <v>1.2.1</v>
          </cell>
          <cell r="C14" t="str">
            <v>Análisis de cada programa en universidades líderes</v>
          </cell>
          <cell r="D14">
            <v>40725</v>
          </cell>
          <cell r="E14">
            <v>40878</v>
          </cell>
          <cell r="F14" t="str">
            <v>Vicedecanatura de pregrado</v>
          </cell>
          <cell r="G14">
            <v>0</v>
          </cell>
          <cell r="H14">
            <v>0</v>
          </cell>
          <cell r="I14">
            <v>0</v>
          </cell>
          <cell r="J14">
            <v>0</v>
          </cell>
          <cell r="K14">
            <v>0</v>
          </cell>
        </row>
        <row r="15">
          <cell r="A15" t="str">
            <v>1.2.2</v>
          </cell>
          <cell r="B15" t="str">
            <v>1.2.2</v>
          </cell>
          <cell r="C15" t="str">
            <v>Diagnóstico de la concordancia de la docencia con los outcomes</v>
          </cell>
          <cell r="D15">
            <v>40725</v>
          </cell>
          <cell r="E15">
            <v>41061</v>
          </cell>
          <cell r="F15" t="str">
            <v>Vicedecanatura de pregrado</v>
          </cell>
          <cell r="G15">
            <v>0</v>
          </cell>
          <cell r="H15">
            <v>60000</v>
          </cell>
          <cell r="I15">
            <v>0</v>
          </cell>
          <cell r="J15">
            <v>0</v>
          </cell>
          <cell r="K15">
            <v>0</v>
          </cell>
        </row>
        <row r="16">
          <cell r="A16" t="str">
            <v>1.2.3</v>
          </cell>
          <cell r="B16" t="str">
            <v>1.2.3</v>
          </cell>
          <cell r="C16" t="str">
            <v>Desarrollar actividades de formación en docencia</v>
          </cell>
          <cell r="D16">
            <v>40695</v>
          </cell>
          <cell r="E16">
            <v>42339</v>
          </cell>
          <cell r="F16" t="str">
            <v>Vicedecanatura de pregrado</v>
          </cell>
          <cell r="G16">
            <v>0</v>
          </cell>
          <cell r="H16">
            <v>113000</v>
          </cell>
          <cell r="I16">
            <v>0</v>
          </cell>
          <cell r="J16">
            <v>0</v>
          </cell>
          <cell r="K16">
            <v>0</v>
          </cell>
        </row>
        <row r="17">
          <cell r="A17" t="str">
            <v>1.2.4</v>
          </cell>
          <cell r="B17" t="str">
            <v>1.2.4.</v>
          </cell>
          <cell r="C17" t="str">
            <v>Apoyo para el rediseño de espacios curriculares</v>
          </cell>
          <cell r="D17">
            <v>40909</v>
          </cell>
          <cell r="E17">
            <v>42339</v>
          </cell>
          <cell r="F17" t="str">
            <v>Vicedecanatura de pregrado</v>
          </cell>
          <cell r="G17">
            <v>0</v>
          </cell>
          <cell r="H17">
            <v>320000</v>
          </cell>
          <cell r="I17">
            <v>0</v>
          </cell>
          <cell r="J17">
            <v>0</v>
          </cell>
          <cell r="K17">
            <v>0</v>
          </cell>
        </row>
        <row r="18">
          <cell r="A18" t="str">
            <v>1.2.4</v>
          </cell>
          <cell r="B18" t="str">
            <v>1.2.5.</v>
          </cell>
          <cell r="C18" t="str">
            <v>Implantación de modificaciones</v>
          </cell>
          <cell r="D18">
            <v>41061</v>
          </cell>
          <cell r="E18">
            <v>42339</v>
          </cell>
          <cell r="F18" t="str">
            <v>Vicedecanatura de pregrado</v>
          </cell>
          <cell r="G18">
            <v>0</v>
          </cell>
          <cell r="H18">
            <v>320000</v>
          </cell>
          <cell r="I18">
            <v>0</v>
          </cell>
          <cell r="J18">
            <v>0</v>
          </cell>
          <cell r="K18">
            <v>0</v>
          </cell>
        </row>
        <row r="19">
          <cell r="A19" t="str">
            <v>1.3</v>
          </cell>
          <cell r="B19" t="str">
            <v>1.3</v>
          </cell>
          <cell r="C19" t="str">
            <v>Subobjetivo 1.3. Desarrollar nuevos programas de maestría</v>
          </cell>
          <cell r="D19">
            <v>0</v>
          </cell>
          <cell r="E19">
            <v>0</v>
          </cell>
          <cell r="F19">
            <v>0</v>
          </cell>
          <cell r="G19">
            <v>0</v>
          </cell>
          <cell r="H19">
            <v>0</v>
          </cell>
          <cell r="I19">
            <v>0</v>
          </cell>
          <cell r="J19">
            <v>0</v>
          </cell>
          <cell r="K19" t="str">
            <v>10  nuevos programas de maestría en el 2015.</v>
          </cell>
        </row>
        <row r="20">
          <cell r="A20" t="str">
            <v>1.3.1</v>
          </cell>
          <cell r="B20" t="str">
            <v>1.3.1.</v>
          </cell>
          <cell r="C20" t="str">
            <v>Desarrollar un proceso de apoyo a la creación de las nuevas maestrías.</v>
          </cell>
          <cell r="D20">
            <v>40544</v>
          </cell>
          <cell r="E20">
            <v>40695</v>
          </cell>
          <cell r="F20" t="str">
            <v>Vicedecanatura de investigación y posgrado</v>
          </cell>
          <cell r="G20">
            <v>0</v>
          </cell>
          <cell r="H20">
            <v>82500</v>
          </cell>
          <cell r="I20">
            <v>0</v>
          </cell>
          <cell r="J20">
            <v>0</v>
          </cell>
          <cell r="K20">
            <v>0</v>
          </cell>
        </row>
        <row r="21">
          <cell r="A21" t="str">
            <v>1.3.2</v>
          </cell>
          <cell r="B21" t="str">
            <v>1.3.2</v>
          </cell>
          <cell r="C21" t="str">
            <v>Indagar sobre las ofertas, nacionales e internacionales, de los programas de maestrías, precios y tener información comparativa.</v>
          </cell>
          <cell r="D21">
            <v>40575</v>
          </cell>
          <cell r="E21">
            <v>42248</v>
          </cell>
          <cell r="F21" t="str">
            <v>Vicedecanatura de investigación y posgrado</v>
          </cell>
          <cell r="G21">
            <v>0</v>
          </cell>
          <cell r="H21">
            <v>82500</v>
          </cell>
          <cell r="I21">
            <v>0</v>
          </cell>
          <cell r="J21">
            <v>0</v>
          </cell>
          <cell r="K21">
            <v>0</v>
          </cell>
        </row>
        <row r="22">
          <cell r="A22" t="str">
            <v>1.3.3</v>
          </cell>
          <cell r="B22" t="str">
            <v>1.3.3</v>
          </cell>
          <cell r="C22" t="str">
            <v>Desarrollar un programa de apoyo financiero para las maestrías.</v>
          </cell>
          <cell r="D22">
            <v>40544</v>
          </cell>
          <cell r="E22">
            <v>40695</v>
          </cell>
          <cell r="F22" t="str">
            <v>Vicedecanatura de investigación y posgrado</v>
          </cell>
          <cell r="G22">
            <v>0</v>
          </cell>
          <cell r="H22">
            <v>41250</v>
          </cell>
          <cell r="I22">
            <v>0</v>
          </cell>
          <cell r="J22">
            <v>0</v>
          </cell>
          <cell r="K22">
            <v>0</v>
          </cell>
        </row>
        <row r="23">
          <cell r="A23" t="str">
            <v>1.3.4</v>
          </cell>
          <cell r="B23" t="str">
            <v>1.3.4</v>
          </cell>
          <cell r="C23" t="str">
            <v>Mejorar el programa de scouting de las maestrías.</v>
          </cell>
          <cell r="D23">
            <v>40575</v>
          </cell>
          <cell r="E23">
            <v>42248</v>
          </cell>
          <cell r="F23" t="str">
            <v>Coordinadora de promoción</v>
          </cell>
          <cell r="G23">
            <v>0</v>
          </cell>
          <cell r="H23">
            <v>500000</v>
          </cell>
          <cell r="I23">
            <v>0</v>
          </cell>
          <cell r="J23">
            <v>0</v>
          </cell>
          <cell r="K23">
            <v>0</v>
          </cell>
        </row>
        <row r="24">
          <cell r="A24" t="str">
            <v>1.3.5</v>
          </cell>
          <cell r="B24" t="str">
            <v>1.3.5.</v>
          </cell>
          <cell r="C24" t="str">
            <v>Definición de maestría interdisciplinaria en estudios de ingeniería y sociedad</v>
          </cell>
          <cell r="D24">
            <v>40725</v>
          </cell>
          <cell r="E24">
            <v>40878</v>
          </cell>
          <cell r="F24" t="str">
            <v>Grupo tecnología y sociedad</v>
          </cell>
          <cell r="G24">
            <v>0</v>
          </cell>
          <cell r="H24">
            <v>130000</v>
          </cell>
          <cell r="I24">
            <v>0</v>
          </cell>
          <cell r="J24">
            <v>0</v>
          </cell>
          <cell r="K24">
            <v>0</v>
          </cell>
        </row>
        <row r="25">
          <cell r="A25" t="str">
            <v>1.3.8</v>
          </cell>
          <cell r="B25" t="str">
            <v>1.3.6.</v>
          </cell>
          <cell r="C25" t="str">
            <v>Inicio de maestría interdisciplinaria en estudios de ingeniería y sociedad</v>
          </cell>
          <cell r="D25">
            <v>40909</v>
          </cell>
          <cell r="E25">
            <v>0</v>
          </cell>
          <cell r="F25" t="str">
            <v>Grupo tecnología y sociedad</v>
          </cell>
          <cell r="G25">
            <v>0</v>
          </cell>
          <cell r="H25">
            <v>0</v>
          </cell>
          <cell r="I25">
            <v>0</v>
          </cell>
          <cell r="J25">
            <v>0</v>
          </cell>
          <cell r="K25">
            <v>0</v>
          </cell>
        </row>
        <row r="26">
          <cell r="A26" t="str">
            <v>1.4</v>
          </cell>
          <cell r="B26" t="str">
            <v>1.4</v>
          </cell>
          <cell r="C26" t="str">
            <v>Subobjetivo 1.4. Lograr la articulación de los programas de formación.</v>
          </cell>
          <cell r="D26">
            <v>0</v>
          </cell>
          <cell r="E26">
            <v>0</v>
          </cell>
          <cell r="F26">
            <v>0</v>
          </cell>
          <cell r="G26">
            <v>0</v>
          </cell>
          <cell r="H26">
            <v>0</v>
          </cell>
          <cell r="I26">
            <v>0</v>
          </cell>
          <cell r="J26">
            <v>0</v>
          </cell>
          <cell r="K26" t="str">
            <v>Incrementar el número de estudiantes en programa coterminal que ingresen a la maestría (El 50% del incremento se deberá a estudiantes del programa coterminal)</v>
          </cell>
        </row>
        <row r="27">
          <cell r="A27" t="str">
            <v>1.4.1</v>
          </cell>
          <cell r="B27" t="str">
            <v>1.4.1</v>
          </cell>
          <cell r="C27" t="str">
            <v>Desarrollar el coterminal de maestría-doctorado.</v>
          </cell>
          <cell r="D27">
            <v>40558</v>
          </cell>
          <cell r="E27">
            <v>40695</v>
          </cell>
          <cell r="F27" t="str">
            <v>Vicedecanatura de investigación y posgrado</v>
          </cell>
          <cell r="G27">
            <v>0</v>
          </cell>
          <cell r="H27">
            <v>0</v>
          </cell>
          <cell r="I27">
            <v>0</v>
          </cell>
          <cell r="J27">
            <v>0</v>
          </cell>
          <cell r="K27">
            <v>0</v>
          </cell>
        </row>
        <row r="28">
          <cell r="A28" t="str">
            <v>1.4.2</v>
          </cell>
          <cell r="B28" t="str">
            <v>1.4.2</v>
          </cell>
          <cell r="C28" t="str">
            <v>Programa especial de scouting del pregrado.</v>
          </cell>
          <cell r="D28">
            <v>40575</v>
          </cell>
          <cell r="E28">
            <v>42248</v>
          </cell>
          <cell r="F28" t="str">
            <v>Vicedecanatura de pregrado</v>
          </cell>
          <cell r="G28">
            <v>0</v>
          </cell>
          <cell r="H28">
            <v>0</v>
          </cell>
          <cell r="I28">
            <v>0</v>
          </cell>
          <cell r="J28">
            <v>0</v>
          </cell>
          <cell r="K28">
            <v>0</v>
          </cell>
        </row>
        <row r="29">
          <cell r="A29" t="str">
            <v>1.5</v>
          </cell>
          <cell r="B29" t="str">
            <v>1.5</v>
          </cell>
          <cell r="C29" t="str">
            <v>Subobjetivo 1.5. Mantener un sistema de calidad.</v>
          </cell>
          <cell r="D29">
            <v>0</v>
          </cell>
          <cell r="E29">
            <v>0</v>
          </cell>
          <cell r="F29">
            <v>0</v>
          </cell>
          <cell r="G29">
            <v>0</v>
          </cell>
          <cell r="H29">
            <v>0</v>
          </cell>
          <cell r="I29">
            <v>0</v>
          </cell>
          <cell r="J29">
            <v>0</v>
          </cell>
          <cell r="K29" t="str">
            <v>· Todos los programas de pregrado acreditados por ABET en el 2012. Extender la acreditación a los programas de posgrado.</v>
          </cell>
        </row>
        <row r="30">
          <cell r="A30" t="str">
            <v>1.5.1</v>
          </cell>
          <cell r="B30" t="str">
            <v>1.5.1.</v>
          </cell>
          <cell r="C30" t="str">
            <v>Finalizar implementación de sistema de calidad</v>
          </cell>
          <cell r="D30">
            <v>40544</v>
          </cell>
          <cell r="E30">
            <v>0</v>
          </cell>
          <cell r="F30" t="str">
            <v>Vicedecanatura de pregrado</v>
          </cell>
          <cell r="G30">
            <v>0</v>
          </cell>
          <cell r="H30">
            <v>0</v>
          </cell>
          <cell r="I30">
            <v>0</v>
          </cell>
          <cell r="J30">
            <v>0</v>
          </cell>
          <cell r="K30">
            <v>0</v>
          </cell>
        </row>
        <row r="31">
          <cell r="A31" t="str">
            <v>1.5.2</v>
          </cell>
          <cell r="B31" t="str">
            <v>1.5.2.</v>
          </cell>
          <cell r="C31" t="str">
            <v>Todos los programas de pregrado acreditados por ABET en el 2012.</v>
          </cell>
          <cell r="D31">
            <v>40940</v>
          </cell>
          <cell r="E31">
            <v>0</v>
          </cell>
          <cell r="F31" t="str">
            <v>Vicedecanatura de pregrado</v>
          </cell>
          <cell r="G31">
            <v>0</v>
          </cell>
          <cell r="H31">
            <v>0</v>
          </cell>
          <cell r="I31">
            <v>0</v>
          </cell>
          <cell r="J31">
            <v>0</v>
          </cell>
          <cell r="K31">
            <v>0</v>
          </cell>
        </row>
        <row r="32">
          <cell r="A32" t="str">
            <v>1.5.3</v>
          </cell>
          <cell r="B32" t="str">
            <v>1.5.3.</v>
          </cell>
          <cell r="C32" t="str">
            <v>Definición e implementación de sistema de calidad de los programas de posgrado.</v>
          </cell>
          <cell r="D32">
            <v>40940</v>
          </cell>
          <cell r="E32">
            <v>0</v>
          </cell>
          <cell r="F32" t="str">
            <v>Vicedecanatura de pregrado</v>
          </cell>
          <cell r="G32">
            <v>0</v>
          </cell>
          <cell r="H32">
            <v>0</v>
          </cell>
          <cell r="I32">
            <v>0</v>
          </cell>
          <cell r="J32">
            <v>0</v>
          </cell>
          <cell r="K32">
            <v>0</v>
          </cell>
        </row>
        <row r="33">
          <cell r="A33" t="str">
            <v>1.5.4</v>
          </cell>
          <cell r="B33" t="str">
            <v>1.5.4.</v>
          </cell>
          <cell r="C33" t="str">
            <v>Desarrollo de un sistema de información para el sistema de calidad</v>
          </cell>
          <cell r="D33">
            <v>40575</v>
          </cell>
          <cell r="E33">
            <v>40725</v>
          </cell>
          <cell r="F33" t="str">
            <v>Vicedecanatura de pregrado</v>
          </cell>
          <cell r="G33">
            <v>0</v>
          </cell>
          <cell r="H33">
            <v>30000</v>
          </cell>
          <cell r="I33">
            <v>0</v>
          </cell>
          <cell r="J33">
            <v>0</v>
          </cell>
          <cell r="K33">
            <v>0</v>
          </cell>
        </row>
        <row r="34">
          <cell r="A34">
            <v>4</v>
          </cell>
          <cell r="B34">
            <v>2</v>
          </cell>
          <cell r="C34" t="str">
            <v>Objetivo 2: Fortalecer la investigación</v>
          </cell>
          <cell r="D34">
            <v>0</v>
          </cell>
          <cell r="E34">
            <v>0</v>
          </cell>
          <cell r="F34">
            <v>0</v>
          </cell>
          <cell r="G34">
            <v>0</v>
          </cell>
          <cell r="H34">
            <v>0</v>
          </cell>
          <cell r="I34">
            <v>0</v>
          </cell>
          <cell r="J34">
            <v>0</v>
          </cell>
          <cell r="K34">
            <v>0</v>
          </cell>
        </row>
        <row r="35">
          <cell r="A35" t="str">
            <v>4.1</v>
          </cell>
          <cell r="B35" t="str">
            <v>2.1</v>
          </cell>
          <cell r="C35" t="str">
            <v>Subobjetivo 2.1. Desarrollar las Líneas Estratégicas de la Facultad</v>
          </cell>
          <cell r="D35">
            <v>0</v>
          </cell>
          <cell r="E35">
            <v>0</v>
          </cell>
          <cell r="F35">
            <v>0</v>
          </cell>
          <cell r="G35">
            <v>0</v>
          </cell>
          <cell r="H35">
            <v>0</v>
          </cell>
          <cell r="I35">
            <v>0</v>
          </cell>
          <cell r="J35">
            <v>0</v>
          </cell>
          <cell r="K35" t="str">
            <v xml:space="preserve">·  Al menos 4 líneas de investigación consolidadas en el 2015. (*) </v>
          </cell>
        </row>
        <row r="36">
          <cell r="A36" t="str">
            <v>4.1.1</v>
          </cell>
          <cell r="B36" t="str">
            <v>2.1.1</v>
          </cell>
          <cell r="C36" t="str">
            <v>Apoyar la creación y organización de las Líneas de Investigación Estratégicas</v>
          </cell>
          <cell r="D36">
            <v>40544</v>
          </cell>
          <cell r="E36">
            <v>42339</v>
          </cell>
          <cell r="F36" t="str">
            <v>Decano</v>
          </cell>
          <cell r="G36" t="str">
            <v>VSE/VIP</v>
          </cell>
          <cell r="H36">
            <v>5000000</v>
          </cell>
          <cell r="I36">
            <v>0</v>
          </cell>
          <cell r="J36">
            <v>0</v>
          </cell>
          <cell r="K36">
            <v>0</v>
          </cell>
        </row>
        <row r="37">
          <cell r="A37" t="str">
            <v>4.1.2</v>
          </cell>
          <cell r="B37" t="str">
            <v>2.1.2</v>
          </cell>
          <cell r="C37" t="str">
            <v>Generar incentivos para el desarrollo de las Líneas de Investigación  Estratégicas.</v>
          </cell>
          <cell r="D37">
            <v>40544</v>
          </cell>
          <cell r="E37">
            <v>40695</v>
          </cell>
          <cell r="F37" t="str">
            <v>Decano</v>
          </cell>
          <cell r="G37" t="str">
            <v>VSE/VIP</v>
          </cell>
          <cell r="H37">
            <v>0</v>
          </cell>
          <cell r="I37">
            <v>0</v>
          </cell>
          <cell r="J37">
            <v>0</v>
          </cell>
          <cell r="K37">
            <v>0</v>
          </cell>
        </row>
        <row r="38">
          <cell r="A38" t="str">
            <v>4.2</v>
          </cell>
          <cell r="B38" t="str">
            <v>2.2</v>
          </cell>
          <cell r="C38" t="str">
            <v>Subobjetivo 2.2. Fortalecer el doctorado y los grupos de investigación</v>
          </cell>
          <cell r="D38">
            <v>0</v>
          </cell>
          <cell r="E38">
            <v>0</v>
          </cell>
          <cell r="F38">
            <v>0</v>
          </cell>
          <cell r="G38">
            <v>0</v>
          </cell>
          <cell r="H38">
            <v>0</v>
          </cell>
          <cell r="I38">
            <v>0</v>
          </cell>
          <cell r="J38">
            <v>0</v>
          </cell>
          <cell r="K38" t="str">
            <v>·  Todos los profesores habilitados asesorando al menos 2 estudiantes de doctorado en el 2015.</v>
          </cell>
        </row>
        <row r="39">
          <cell r="A39" t="str">
            <v>1.5.5</v>
          </cell>
          <cell r="B39" t="str">
            <v>2.2.1</v>
          </cell>
          <cell r="C39" t="str">
            <v>Ejecutar el plan de mejoramiento y completar el sistema de calidad.</v>
          </cell>
          <cell r="D39" t="str">
            <v>01/2011</v>
          </cell>
          <cell r="E39" t="str">
            <v>06/2011</v>
          </cell>
          <cell r="F39" t="str">
            <v>Vicedecanatura Investigación y Posgrado</v>
          </cell>
          <cell r="G39">
            <v>0</v>
          </cell>
          <cell r="H39">
            <v>0</v>
          </cell>
          <cell r="I39">
            <v>0</v>
          </cell>
          <cell r="J39">
            <v>0</v>
          </cell>
          <cell r="K39">
            <v>0</v>
          </cell>
        </row>
        <row r="40">
          <cell r="A40" t="str">
            <v>4.2.1</v>
          </cell>
          <cell r="B40" t="str">
            <v>2.2.2.</v>
          </cell>
          <cell r="C40" t="str">
            <v>Definir un modelo de costos del programa que permita crecer el número de estudiantes.</v>
          </cell>
          <cell r="D40">
            <v>40575</v>
          </cell>
          <cell r="E40">
            <v>40602</v>
          </cell>
          <cell r="F40" t="str">
            <v>Decano/Vicedecanatura Investigación y Posgrado</v>
          </cell>
          <cell r="G40">
            <v>0</v>
          </cell>
          <cell r="H40">
            <v>0</v>
          </cell>
          <cell r="I40">
            <v>0</v>
          </cell>
          <cell r="J40">
            <v>0</v>
          </cell>
          <cell r="K40">
            <v>0</v>
          </cell>
        </row>
        <row r="41">
          <cell r="A41" t="str">
            <v>4.2.2</v>
          </cell>
          <cell r="B41" t="str">
            <v>2.2.3.</v>
          </cell>
          <cell r="C41" t="str">
            <v>Consolidar el apoyo para las fuentes de financiación de los estudiantes.</v>
          </cell>
          <cell r="D41">
            <v>40575</v>
          </cell>
          <cell r="E41">
            <v>42339</v>
          </cell>
          <cell r="F41" t="str">
            <v>Vicedecanatura Investigación y Posgrado</v>
          </cell>
          <cell r="G41">
            <v>0</v>
          </cell>
          <cell r="H41">
            <v>0</v>
          </cell>
          <cell r="I41">
            <v>0</v>
          </cell>
          <cell r="J41">
            <v>0</v>
          </cell>
          <cell r="K41">
            <v>0</v>
          </cell>
        </row>
        <row r="42">
          <cell r="A42" t="str">
            <v>4.2.3</v>
          </cell>
          <cell r="B42" t="str">
            <v>2.2.4.</v>
          </cell>
          <cell r="C42" t="str">
            <v>Apoyar la relación existente y desarrollar nuevas relaciones internacionales para la búsqueda de coasesores internacionales.</v>
          </cell>
          <cell r="D42">
            <v>40575</v>
          </cell>
          <cell r="E42">
            <v>42339</v>
          </cell>
          <cell r="F42" t="str">
            <v>Vicedecanatura Investigación y Posgrado</v>
          </cell>
          <cell r="G42">
            <v>0</v>
          </cell>
          <cell r="H42">
            <v>0</v>
          </cell>
          <cell r="I42">
            <v>0</v>
          </cell>
          <cell r="J42">
            <v>0</v>
          </cell>
          <cell r="K42">
            <v>0</v>
          </cell>
        </row>
        <row r="43">
          <cell r="A43" t="str">
            <v>4.2.4</v>
          </cell>
          <cell r="B43" t="str">
            <v>2.2.5.</v>
          </cell>
          <cell r="C43" t="str">
            <v>Realizar seguimiento a los convenios en el marco del programa doctoral.</v>
          </cell>
          <cell r="D43">
            <v>40575</v>
          </cell>
          <cell r="E43">
            <v>42339</v>
          </cell>
          <cell r="F43" t="str">
            <v>Vicedecanatura Investigación y Posgrado</v>
          </cell>
          <cell r="G43">
            <v>0</v>
          </cell>
          <cell r="H43">
            <v>0</v>
          </cell>
          <cell r="I43">
            <v>0</v>
          </cell>
          <cell r="J43">
            <v>0</v>
          </cell>
          <cell r="K43">
            <v>0</v>
          </cell>
        </row>
        <row r="44">
          <cell r="A44" t="str">
            <v>4.2.5</v>
          </cell>
          <cell r="B44" t="str">
            <v>2.2.6.</v>
          </cell>
          <cell r="C44" t="str">
            <v>Divulgar el programa doctoral: folleto, página web, tesis doctorales.</v>
          </cell>
          <cell r="D44">
            <v>40575</v>
          </cell>
          <cell r="E44">
            <v>42339</v>
          </cell>
          <cell r="F44" t="str">
            <v>Vicedecanatura Investigación y Posgrado</v>
          </cell>
          <cell r="G44">
            <v>0</v>
          </cell>
          <cell r="H44">
            <v>396750</v>
          </cell>
          <cell r="I44">
            <v>0</v>
          </cell>
          <cell r="J44">
            <v>0</v>
          </cell>
          <cell r="K44">
            <v>0</v>
          </cell>
        </row>
        <row r="45">
          <cell r="A45" t="str">
            <v>4.2.6</v>
          </cell>
          <cell r="B45" t="str">
            <v>2.2.7.</v>
          </cell>
          <cell r="C45" t="str">
            <v>Implementar nuevas funcionalidades en el sistema de información del programa de doctorado.</v>
          </cell>
          <cell r="D45">
            <v>40544</v>
          </cell>
          <cell r="E45">
            <v>40725</v>
          </cell>
          <cell r="F45" t="str">
            <v>Vicedecanatura Investigación y Posgrado</v>
          </cell>
          <cell r="G45">
            <v>0</v>
          </cell>
          <cell r="H45">
            <v>187000.00000000003</v>
          </cell>
          <cell r="I45">
            <v>0</v>
          </cell>
          <cell r="J45">
            <v>0</v>
          </cell>
          <cell r="K45">
            <v>0</v>
          </cell>
        </row>
        <row r="46">
          <cell r="A46" t="str">
            <v>6.4.2</v>
          </cell>
          <cell r="B46" t="str">
            <v>2.2.8.</v>
          </cell>
          <cell r="C46" t="str">
            <v>Desarrollar un programa de seguimiento a los egresados del doctorado.</v>
          </cell>
          <cell r="D46">
            <v>40544</v>
          </cell>
          <cell r="E46">
            <v>40878</v>
          </cell>
          <cell r="F46" t="str">
            <v>Vicedecanatura Investigación y Posgrado</v>
          </cell>
          <cell r="G46">
            <v>0</v>
          </cell>
          <cell r="H46">
            <v>46750.000000000007</v>
          </cell>
          <cell r="I46">
            <v>0</v>
          </cell>
          <cell r="J46">
            <v>0</v>
          </cell>
          <cell r="K46">
            <v>0</v>
          </cell>
        </row>
        <row r="47">
          <cell r="A47" t="str">
            <v>4.2.6</v>
          </cell>
          <cell r="B47" t="str">
            <v>2.2.9.</v>
          </cell>
          <cell r="C47" t="str">
            <v>Desarrollar un sistema de información para producir  indicadores por estudiante:  publicaciones, citaciones, asistencia a congresos.</v>
          </cell>
          <cell r="D47">
            <v>40544</v>
          </cell>
          <cell r="E47">
            <v>40878</v>
          </cell>
          <cell r="F47" t="str">
            <v>Vicedecanatura Investigación y Posgrado</v>
          </cell>
          <cell r="G47">
            <v>0</v>
          </cell>
          <cell r="H47">
            <v>93500.000000000015</v>
          </cell>
          <cell r="I47">
            <v>0</v>
          </cell>
          <cell r="J47">
            <v>0</v>
          </cell>
          <cell r="K47">
            <v>0</v>
          </cell>
        </row>
        <row r="48">
          <cell r="A48" t="str">
            <v>4.3.</v>
          </cell>
          <cell r="B48" t="str">
            <v>2.3.</v>
          </cell>
          <cell r="C48" t="str">
            <v>Subobjetivo 2.3. Incrementar los recursos económicos para las actividades de investigación.</v>
          </cell>
          <cell r="D48">
            <v>0</v>
          </cell>
          <cell r="E48">
            <v>0</v>
          </cell>
          <cell r="F48">
            <v>0</v>
          </cell>
          <cell r="G48">
            <v>0</v>
          </cell>
          <cell r="H48">
            <v>0</v>
          </cell>
          <cell r="I48">
            <v>0</v>
          </cell>
          <cell r="J48">
            <v>0</v>
          </cell>
          <cell r="K48" t="str">
            <v>·  $5,000 millones de pesos al año generados por proyectos de investigación (financiación externa, que no pagan overhead) diferentes a los ingresos de las líneas estratégicas.</v>
          </cell>
        </row>
        <row r="49">
          <cell r="A49" t="str">
            <v>4.3.1</v>
          </cell>
          <cell r="B49" t="str">
            <v>2.3.1</v>
          </cell>
          <cell r="C49" t="str">
            <v>Apoyar la búsqueda de oportunidades.</v>
          </cell>
          <cell r="D49">
            <v>0</v>
          </cell>
          <cell r="E49">
            <v>0</v>
          </cell>
          <cell r="F49" t="str">
            <v>Vicedecanatura Sector Externo</v>
          </cell>
          <cell r="G49">
            <v>0</v>
          </cell>
          <cell r="H49">
            <v>0</v>
          </cell>
          <cell r="I49">
            <v>0</v>
          </cell>
          <cell r="J49">
            <v>0</v>
          </cell>
          <cell r="K49">
            <v>0</v>
          </cell>
        </row>
        <row r="50">
          <cell r="A50" t="str">
            <v>4.4.4 / 4.4.5</v>
          </cell>
          <cell r="B50" t="str">
            <v>2.3.2.</v>
          </cell>
          <cell r="C50" t="str">
            <v>Divulgar las investigaciones de la Facultad.</v>
          </cell>
          <cell r="D50">
            <v>40544</v>
          </cell>
          <cell r="E50">
            <v>42339</v>
          </cell>
          <cell r="F50" t="str">
            <v>Vicedecanatura Investigación y Posgrado</v>
          </cell>
          <cell r="G50">
            <v>0</v>
          </cell>
          <cell r="H50">
            <v>660000</v>
          </cell>
          <cell r="I50">
            <v>0</v>
          </cell>
          <cell r="J50">
            <v>0</v>
          </cell>
          <cell r="K50">
            <v>0</v>
          </cell>
        </row>
        <row r="51">
          <cell r="A51" t="str">
            <v>4.5.1</v>
          </cell>
          <cell r="B51" t="str">
            <v>2.3.3.</v>
          </cell>
          <cell r="C51" t="str">
            <v>Mejorar el sistema de información de la Facultad para divulgar los resultados.</v>
          </cell>
          <cell r="D51">
            <v>40544</v>
          </cell>
          <cell r="E51">
            <v>40725</v>
          </cell>
          <cell r="F51" t="str">
            <v>Vicedecanatura Investigación y Posgrado</v>
          </cell>
          <cell r="G51">
            <v>0</v>
          </cell>
          <cell r="H51">
            <v>187000.00000000003</v>
          </cell>
          <cell r="I51">
            <v>0</v>
          </cell>
          <cell r="J51">
            <v>0</v>
          </cell>
          <cell r="K51">
            <v>0</v>
          </cell>
        </row>
        <row r="52">
          <cell r="A52" t="str">
            <v>4.5</v>
          </cell>
          <cell r="B52" t="str">
            <v>2.4</v>
          </cell>
          <cell r="C52" t="str">
            <v>Subobjetivo 2.4. Aumentar la producción y la divulgación de nuevo conocimiento (publicaciones, patentes, software, etc.).</v>
          </cell>
          <cell r="D52">
            <v>0</v>
          </cell>
          <cell r="E52">
            <v>0</v>
          </cell>
          <cell r="F52">
            <v>0</v>
          </cell>
          <cell r="G52">
            <v>0</v>
          </cell>
          <cell r="H52">
            <v>0</v>
          </cell>
          <cell r="I52">
            <v>0</v>
          </cell>
          <cell r="J52">
            <v>0</v>
          </cell>
          <cell r="K52" t="str">
            <v>·  1 artículo publicado en revistas ISI por profesor por año.</v>
          </cell>
        </row>
        <row r="53">
          <cell r="A53" t="str">
            <v>4.5.1</v>
          </cell>
          <cell r="B53" t="str">
            <v>2.4.1</v>
          </cell>
          <cell r="C53" t="str">
            <v>Desarrollar un sistema de información de la producción  de los profesores.</v>
          </cell>
          <cell r="D53">
            <v>40544</v>
          </cell>
          <cell r="E53">
            <v>40725</v>
          </cell>
          <cell r="F53" t="str">
            <v>Vicedecanatura Investigación y Posgrado</v>
          </cell>
          <cell r="G53">
            <v>0</v>
          </cell>
          <cell r="H53">
            <v>187000.00000000003</v>
          </cell>
          <cell r="I53">
            <v>0</v>
          </cell>
          <cell r="J53">
            <v>0</v>
          </cell>
          <cell r="K53">
            <v>0</v>
          </cell>
        </row>
        <row r="54">
          <cell r="A54" t="str">
            <v>4.5.2</v>
          </cell>
          <cell r="B54" t="str">
            <v>2.4.2.</v>
          </cell>
          <cell r="C54" t="str">
            <v>Analizar y revisar los incentivos a la producción de los profesores.</v>
          </cell>
          <cell r="D54">
            <v>40575</v>
          </cell>
          <cell r="E54">
            <v>40695</v>
          </cell>
          <cell r="F54" t="str">
            <v>Decano/Vicedecanatura de Investigación y Posgrado</v>
          </cell>
          <cell r="G54">
            <v>0</v>
          </cell>
          <cell r="H54">
            <v>0</v>
          </cell>
          <cell r="I54">
            <v>0</v>
          </cell>
          <cell r="J54">
            <v>0</v>
          </cell>
          <cell r="K54">
            <v>0</v>
          </cell>
        </row>
        <row r="55">
          <cell r="A55" t="str">
            <v>4.6</v>
          </cell>
          <cell r="B55" t="str">
            <v>2.5.</v>
          </cell>
          <cell r="C55" t="str">
            <v>Subobjetivo 2.5. Incrementar la cooperación internacional.</v>
          </cell>
          <cell r="D55">
            <v>0</v>
          </cell>
          <cell r="E55">
            <v>0</v>
          </cell>
          <cell r="F55">
            <v>0</v>
          </cell>
          <cell r="G55">
            <v>0</v>
          </cell>
          <cell r="H55">
            <v>0</v>
          </cell>
          <cell r="I55">
            <v>0</v>
          </cell>
          <cell r="J55">
            <v>0</v>
          </cell>
          <cell r="K55" t="str">
            <v>· El tiempo de permanencia de profesores visitantes en la Facultad debe superar los 70 meses al año.</v>
          </cell>
        </row>
        <row r="56">
          <cell r="A56" t="str">
            <v>4.6.1</v>
          </cell>
          <cell r="B56" t="str">
            <v>2.5.1</v>
          </cell>
          <cell r="C56" t="str">
            <v>Facilitar un programa de posdoctorales.</v>
          </cell>
          <cell r="D56">
            <v>40575</v>
          </cell>
          <cell r="E56">
            <v>42339</v>
          </cell>
          <cell r="F56" t="str">
            <v>Vicedecanatura de Investigación y Posgrado</v>
          </cell>
          <cell r="G56">
            <v>0</v>
          </cell>
          <cell r="H56">
            <v>2142000</v>
          </cell>
          <cell r="I56">
            <v>0</v>
          </cell>
          <cell r="J56">
            <v>0</v>
          </cell>
          <cell r="K56">
            <v>0</v>
          </cell>
        </row>
        <row r="57">
          <cell r="A57" t="str">
            <v>4.6.2</v>
          </cell>
          <cell r="B57" t="str">
            <v>2.5.2.</v>
          </cell>
          <cell r="C57" t="str">
            <v>Hacer todos los medios de divulgación en español e inglés.</v>
          </cell>
          <cell r="D57">
            <v>40544</v>
          </cell>
          <cell r="E57">
            <v>42339</v>
          </cell>
          <cell r="F57" t="str">
            <v>Coordinadora de Promoción.</v>
          </cell>
          <cell r="G57">
            <v>0</v>
          </cell>
          <cell r="H57">
            <v>50000</v>
          </cell>
          <cell r="I57">
            <v>0</v>
          </cell>
          <cell r="J57">
            <v>0</v>
          </cell>
          <cell r="K57">
            <v>0</v>
          </cell>
        </row>
        <row r="58">
          <cell r="A58" t="str">
            <v>4.6.3</v>
          </cell>
          <cell r="B58" t="str">
            <v>2.5.3.</v>
          </cell>
          <cell r="C58" t="str">
            <v>Consolidar redes internacionales</v>
          </cell>
          <cell r="D58">
            <v>40725</v>
          </cell>
          <cell r="E58">
            <v>42339</v>
          </cell>
          <cell r="F58" t="str">
            <v>Vicedecanatura de Investigación y Posgrado</v>
          </cell>
          <cell r="G58">
            <v>0</v>
          </cell>
          <cell r="H58">
            <v>60000</v>
          </cell>
          <cell r="I58">
            <v>0</v>
          </cell>
          <cell r="J58">
            <v>0</v>
          </cell>
          <cell r="K58">
            <v>0</v>
          </cell>
        </row>
        <row r="59">
          <cell r="A59" t="str">
            <v>4.6.4</v>
          </cell>
          <cell r="B59" t="str">
            <v>2.5.4.</v>
          </cell>
          <cell r="C59" t="str">
            <v>Apoyar la movilidad.</v>
          </cell>
          <cell r="D59">
            <v>40575</v>
          </cell>
          <cell r="E59">
            <v>42339</v>
          </cell>
          <cell r="F59" t="str">
            <v>Vicedecanatura de Investigación y Posgrado</v>
          </cell>
          <cell r="G59">
            <v>0</v>
          </cell>
          <cell r="H59">
            <v>360000</v>
          </cell>
          <cell r="I59">
            <v>0</v>
          </cell>
          <cell r="J59">
            <v>0</v>
          </cell>
          <cell r="K59">
            <v>0</v>
          </cell>
        </row>
        <row r="60">
          <cell r="A60">
            <v>6</v>
          </cell>
          <cell r="B60">
            <v>3</v>
          </cell>
          <cell r="C60" t="str">
            <v xml:space="preserve">Objetivo 3: Aumentar la contribución de la Facultad al desarrollo  del país. </v>
          </cell>
          <cell r="D60">
            <v>0</v>
          </cell>
          <cell r="E60">
            <v>0</v>
          </cell>
          <cell r="F60">
            <v>0</v>
          </cell>
          <cell r="G60">
            <v>0</v>
          </cell>
          <cell r="H60">
            <v>0</v>
          </cell>
          <cell r="I60">
            <v>0</v>
          </cell>
          <cell r="J60">
            <v>0</v>
          </cell>
          <cell r="K60">
            <v>0</v>
          </cell>
        </row>
        <row r="61">
          <cell r="A61" t="str">
            <v>6.1</v>
          </cell>
          <cell r="B61" t="str">
            <v>3.1</v>
          </cell>
          <cell r="C61" t="str">
            <v xml:space="preserve">Subobjetivo 3.1:  Asistir a las empresas en sus esfuerzos por aumentar su competitividad. </v>
          </cell>
          <cell r="D61">
            <v>0</v>
          </cell>
          <cell r="E61">
            <v>0</v>
          </cell>
          <cell r="F61">
            <v>0</v>
          </cell>
          <cell r="G61">
            <v>0</v>
          </cell>
          <cell r="H61">
            <v>0</v>
          </cell>
          <cell r="I61">
            <v>0</v>
          </cell>
          <cell r="J61">
            <v>0</v>
          </cell>
          <cell r="K61" t="str">
            <v>· 100% de los proyectos tiene un impacto favorable en la competitividad de las empresas, desde la perspectiva de la entidad contratante.</v>
          </cell>
        </row>
        <row r="62">
          <cell r="A62" t="str">
            <v>6.1.1</v>
          </cell>
          <cell r="B62" t="str">
            <v>3.1.1</v>
          </cell>
          <cell r="C62" t="str">
            <v>Organizar anualmente un foro en innovación de alcance internacional.</v>
          </cell>
          <cell r="D62">
            <v>40664</v>
          </cell>
          <cell r="E62">
            <v>42125</v>
          </cell>
          <cell r="F62" t="str">
            <v>Vicedecanatura para el Sector Externo</v>
          </cell>
          <cell r="G62">
            <v>0</v>
          </cell>
          <cell r="H62">
            <v>100000</v>
          </cell>
          <cell r="I62">
            <v>0</v>
          </cell>
          <cell r="J62">
            <v>0</v>
          </cell>
          <cell r="K62">
            <v>0</v>
          </cell>
        </row>
        <row r="63">
          <cell r="A63" t="str">
            <v>6.1.2</v>
          </cell>
          <cell r="B63" t="str">
            <v>3.1.2</v>
          </cell>
          <cell r="C63" t="str">
            <v>Impulsar la suscripción de acuerdos de cooperación con las empresas del país para explorar conjuntamente la forma de introducir la innovación en sus productos o procesos.</v>
          </cell>
          <cell r="D63">
            <v>40544</v>
          </cell>
          <cell r="E63">
            <v>42339</v>
          </cell>
          <cell r="F63" t="str">
            <v>Vicedecanatura para el Sector Externo</v>
          </cell>
          <cell r="G63">
            <v>0</v>
          </cell>
          <cell r="H63">
            <v>0</v>
          </cell>
          <cell r="I63">
            <v>0</v>
          </cell>
          <cell r="J63">
            <v>0</v>
          </cell>
          <cell r="K63">
            <v>0</v>
          </cell>
        </row>
        <row r="64">
          <cell r="A64" t="str">
            <v>6.1.1</v>
          </cell>
          <cell r="B64" t="str">
            <v>3.1.3.</v>
          </cell>
          <cell r="C64" t="str">
            <v>Organizar ruedas anuales de encuentro entre empresas interesadas y los grupos de investigación para compartir los problemas de las primeras y la capacidad de los segundos para ofrecerles una solución.</v>
          </cell>
          <cell r="D64">
            <v>40756</v>
          </cell>
          <cell r="E64">
            <v>42217</v>
          </cell>
          <cell r="F64" t="str">
            <v>Vicedecanatura para el Sector Externo</v>
          </cell>
          <cell r="G64">
            <v>0</v>
          </cell>
          <cell r="H64">
            <v>200000</v>
          </cell>
          <cell r="I64">
            <v>0</v>
          </cell>
          <cell r="J64">
            <v>0</v>
          </cell>
          <cell r="K64">
            <v>0</v>
          </cell>
        </row>
        <row r="65">
          <cell r="A65" t="str">
            <v>6.2</v>
          </cell>
          <cell r="B65" t="str">
            <v>3.2</v>
          </cell>
          <cell r="C65" t="str">
            <v>Subobjetivo 3.2: Contribuir en la construcción de soluciones para los problemas críticos del país.</v>
          </cell>
          <cell r="D65">
            <v>0</v>
          </cell>
          <cell r="E65">
            <v>0</v>
          </cell>
          <cell r="F65">
            <v>0</v>
          </cell>
          <cell r="G65">
            <v>0</v>
          </cell>
          <cell r="H65">
            <v>0</v>
          </cell>
          <cell r="I65">
            <v>0</v>
          </cell>
          <cell r="J65">
            <v>0</v>
          </cell>
          <cell r="K65" t="str">
            <v>· $10,000 millones al año generados por proyectos que ofrecen una solución a alguno de los problemas críticos del país.</v>
          </cell>
        </row>
        <row r="66">
          <cell r="A66" t="str">
            <v>6.2.2</v>
          </cell>
          <cell r="B66" t="str">
            <v>3.2.1</v>
          </cell>
          <cell r="C66" t="str">
            <v>Impulsar la participación de los profesores en la dirección de las grandes empresas públicas del país.</v>
          </cell>
          <cell r="D66">
            <v>40544</v>
          </cell>
          <cell r="E66">
            <v>42339</v>
          </cell>
          <cell r="F66" t="str">
            <v>Vicedecanatura para el Sector Externo</v>
          </cell>
          <cell r="G66">
            <v>0</v>
          </cell>
          <cell r="H66">
            <v>525000</v>
          </cell>
          <cell r="I66">
            <v>0</v>
          </cell>
          <cell r="J66">
            <v>0</v>
          </cell>
          <cell r="K66">
            <v>0</v>
          </cell>
        </row>
        <row r="67">
          <cell r="A67" t="str">
            <v>6.2.1</v>
          </cell>
          <cell r="B67" t="str">
            <v>3.2.2</v>
          </cell>
          <cell r="C67" t="str">
            <v>Consolidar las Líneas de Investigación Estratégicas alrededor de áreas críticas para el país.</v>
          </cell>
          <cell r="D67">
            <v>40544</v>
          </cell>
          <cell r="E67">
            <v>42339</v>
          </cell>
          <cell r="F67" t="str">
            <v>Vicedecanatura para el Sector Externo</v>
          </cell>
          <cell r="G67">
            <v>0</v>
          </cell>
          <cell r="H67">
            <v>2217375</v>
          </cell>
          <cell r="I67">
            <v>0</v>
          </cell>
          <cell r="J67">
            <v>0</v>
          </cell>
          <cell r="K67">
            <v>0</v>
          </cell>
        </row>
        <row r="68">
          <cell r="A68" t="str">
            <v>6.3</v>
          </cell>
          <cell r="B68" t="str">
            <v>3.3</v>
          </cell>
          <cell r="C68" t="str">
            <v>Subobjetivo 3.3. Generar opinión alrededor de los temas de interés nacional e incidir en las decisiones tecnológicas, sociales, económicas, ambientales y políticas.</v>
          </cell>
          <cell r="D68">
            <v>0</v>
          </cell>
          <cell r="E68">
            <v>0</v>
          </cell>
          <cell r="F68">
            <v>0</v>
          </cell>
          <cell r="G68">
            <v>0</v>
          </cell>
          <cell r="H68">
            <v>0</v>
          </cell>
          <cell r="I68">
            <v>0</v>
          </cell>
          <cell r="J68">
            <v>0</v>
          </cell>
          <cell r="K68" t="str">
            <v>· 6 foros al año con invitados internacionales organizados alrededor de temas de interés nacional.</v>
          </cell>
        </row>
        <row r="69">
          <cell r="A69" t="str">
            <v>6.3.1</v>
          </cell>
          <cell r="B69" t="str">
            <v>3.3.1</v>
          </cell>
          <cell r="C69" t="str">
            <v>Organizar dos foros al año en temas críticos para el país en el campo de la ingeniería.</v>
          </cell>
          <cell r="D69">
            <v>40817</v>
          </cell>
          <cell r="E69">
            <v>42278</v>
          </cell>
          <cell r="F69" t="str">
            <v>Vicedecanatura para el Sector Externo</v>
          </cell>
          <cell r="G69">
            <v>0</v>
          </cell>
          <cell r="H69">
            <v>200000</v>
          </cell>
          <cell r="I69">
            <v>0</v>
          </cell>
          <cell r="J69">
            <v>0</v>
          </cell>
          <cell r="K69">
            <v>0</v>
          </cell>
        </row>
        <row r="70">
          <cell r="A70" t="str">
            <v>6.3.2</v>
          </cell>
          <cell r="B70" t="str">
            <v>3.3.2</v>
          </cell>
          <cell r="C70" t="str">
            <v>Impulsar la participación de los profesores en la dirección de los gremios y de las asociaciones profesionales del país.</v>
          </cell>
          <cell r="D70">
            <v>40544</v>
          </cell>
          <cell r="E70">
            <v>42339</v>
          </cell>
          <cell r="F70" t="str">
            <v>Vicedecanatura para el Sector Externo</v>
          </cell>
          <cell r="G70">
            <v>0</v>
          </cell>
          <cell r="H70">
            <v>525000</v>
          </cell>
          <cell r="I70">
            <v>0</v>
          </cell>
          <cell r="J70">
            <v>0</v>
          </cell>
          <cell r="K70">
            <v>0</v>
          </cell>
        </row>
        <row r="71">
          <cell r="A71" t="str">
            <v>1.6</v>
          </cell>
          <cell r="B71" t="str">
            <v>3.4.</v>
          </cell>
          <cell r="C71" t="str">
            <v>Subobjetivo 3.4. Incorporar formalmente la innovación y el emprendimiento a las distintas dimensiones de la actividad académica de la Facultad.</v>
          </cell>
          <cell r="D71">
            <v>0</v>
          </cell>
          <cell r="E71">
            <v>0</v>
          </cell>
          <cell r="F71">
            <v>0</v>
          </cell>
          <cell r="G71">
            <v>0</v>
          </cell>
          <cell r="H71">
            <v>0</v>
          </cell>
          <cell r="I71">
            <v>0</v>
          </cell>
          <cell r="J71">
            <v>0</v>
          </cell>
          <cell r="K71">
            <v>0</v>
          </cell>
        </row>
        <row r="72">
          <cell r="A72" t="str">
            <v>1.6.1</v>
          </cell>
          <cell r="B72" t="str">
            <v>3.4.1</v>
          </cell>
          <cell r="C72" t="str">
            <v>Introducir en los programas de formación académica un especial énfasis en las áreas de innovación y emprendimiento</v>
          </cell>
          <cell r="D72">
            <v>40544</v>
          </cell>
          <cell r="E72">
            <v>42339</v>
          </cell>
          <cell r="F72" t="str">
            <v>Vicedecanatura para el Sector Externo</v>
          </cell>
          <cell r="G72">
            <v>0</v>
          </cell>
          <cell r="H72">
            <v>87500</v>
          </cell>
          <cell r="I72">
            <v>0</v>
          </cell>
          <cell r="J72">
            <v>0</v>
          </cell>
          <cell r="K72">
            <v>0</v>
          </cell>
        </row>
        <row r="73">
          <cell r="A73" t="str">
            <v>1.6.2</v>
          </cell>
          <cell r="B73" t="str">
            <v>3.4.2.</v>
          </cell>
          <cell r="C73" t="str">
            <v>Desarrollar entre los estudiantes de la Facultad, de distintos niveles y disciplinas, su capacidad para hacer emprendimientos exitosos en el mercado</v>
          </cell>
          <cell r="D73">
            <v>40725</v>
          </cell>
          <cell r="E73">
            <v>42339</v>
          </cell>
          <cell r="F73" t="str">
            <v>Vicedecanatura para el Sector Externo</v>
          </cell>
          <cell r="G73">
            <v>0</v>
          </cell>
          <cell r="H73">
            <v>400000</v>
          </cell>
          <cell r="I73">
            <v>0</v>
          </cell>
          <cell r="J73">
            <v>0</v>
          </cell>
          <cell r="K73">
            <v>0</v>
          </cell>
        </row>
        <row r="74">
          <cell r="A74" t="str">
            <v>4.4</v>
          </cell>
          <cell r="B74" t="str">
            <v>3.5</v>
          </cell>
          <cell r="C74" t="str">
            <v>Subobjetivo 3.5. Adelantar una campaña de fundraising para sustentar el desarrollo de las líneas estratégicas de investigación de la Facultad.</v>
          </cell>
          <cell r="D74">
            <v>0</v>
          </cell>
          <cell r="E74">
            <v>0</v>
          </cell>
          <cell r="F74">
            <v>0</v>
          </cell>
          <cell r="G74">
            <v>0</v>
          </cell>
          <cell r="H74">
            <v>0</v>
          </cell>
          <cell r="I74">
            <v>0</v>
          </cell>
          <cell r="J74">
            <v>0</v>
          </cell>
          <cell r="K74">
            <v>0</v>
          </cell>
        </row>
        <row r="75">
          <cell r="A75" t="str">
            <v>4.4.1</v>
          </cell>
          <cell r="B75" t="str">
            <v>3.5.1.</v>
          </cell>
          <cell r="C75" t="str">
            <v>Escribir un case statement por cada línea estratégica, donde se manifieste la destinación pretendida de los recursos.</v>
          </cell>
          <cell r="D75">
            <v>40544</v>
          </cell>
          <cell r="E75">
            <v>40695</v>
          </cell>
          <cell r="F75" t="str">
            <v>Vicedecanatura para el Sector Externo</v>
          </cell>
          <cell r="G75">
            <v>0</v>
          </cell>
          <cell r="H75">
            <v>0</v>
          </cell>
          <cell r="I75">
            <v>0</v>
          </cell>
          <cell r="J75">
            <v>0</v>
          </cell>
          <cell r="K75">
            <v>0</v>
          </cell>
        </row>
        <row r="76">
          <cell r="A76" t="str">
            <v>4.4.2</v>
          </cell>
          <cell r="B76" t="str">
            <v>3.5.2.</v>
          </cell>
          <cell r="C76" t="str">
            <v> Conformar los comités asesores de cada línea estratégica con participación de los sectores público y privado.</v>
          </cell>
          <cell r="D76">
            <v>40544</v>
          </cell>
          <cell r="E76">
            <v>42339</v>
          </cell>
          <cell r="F76" t="str">
            <v>Vicedecanatura para el Sector Externo</v>
          </cell>
          <cell r="G76">
            <v>0</v>
          </cell>
          <cell r="H76">
            <v>73000</v>
          </cell>
          <cell r="I76">
            <v>0</v>
          </cell>
          <cell r="J76">
            <v>0</v>
          </cell>
          <cell r="K76">
            <v>0</v>
          </cell>
        </row>
        <row r="77">
          <cell r="A77" t="str">
            <v>4.4.3</v>
          </cell>
          <cell r="B77" t="str">
            <v>3.5.3.</v>
          </cell>
          <cell r="C77" t="str">
            <v>Construir  bases de datos de potenciales  donantes (individuos o corporaciones).</v>
          </cell>
          <cell r="D77">
            <v>40544</v>
          </cell>
          <cell r="E77">
            <v>42339</v>
          </cell>
          <cell r="F77" t="str">
            <v>Vicedecanatura para el Sector Externo</v>
          </cell>
          <cell r="G77">
            <v>0</v>
          </cell>
          <cell r="H77">
            <v>0</v>
          </cell>
          <cell r="I77">
            <v>0</v>
          </cell>
          <cell r="J77">
            <v>0</v>
          </cell>
          <cell r="K77">
            <v>0</v>
          </cell>
        </row>
        <row r="78">
          <cell r="A78" t="str">
            <v>4.4.3</v>
          </cell>
          <cell r="B78" t="str">
            <v>3.5.4</v>
          </cell>
          <cell r="C78" t="str">
            <v>Organizar y realizar reuniones para la búsqueda  de donaciones</v>
          </cell>
          <cell r="D78">
            <v>40544</v>
          </cell>
          <cell r="E78">
            <v>42339</v>
          </cell>
          <cell r="F78" t="str">
            <v>Vicedecanatura para el Sector Externo</v>
          </cell>
          <cell r="G78">
            <v>0</v>
          </cell>
          <cell r="H78">
            <v>0</v>
          </cell>
          <cell r="I78">
            <v>0</v>
          </cell>
          <cell r="J78">
            <v>0</v>
          </cell>
          <cell r="K78">
            <v>0</v>
          </cell>
        </row>
        <row r="79">
          <cell r="A79" t="str">
            <v>6.4.1</v>
          </cell>
          <cell r="B79" t="str">
            <v>3.5.5.</v>
          </cell>
          <cell r="C79" t="str">
            <v>Reforzar la relación con los egresados  de la Facultad.</v>
          </cell>
          <cell r="D79">
            <v>40544</v>
          </cell>
          <cell r="E79">
            <v>42339</v>
          </cell>
          <cell r="F79" t="str">
            <v>Vicedecanatura para el Sector Externo</v>
          </cell>
          <cell r="G79">
            <v>0</v>
          </cell>
          <cell r="H79">
            <v>100000</v>
          </cell>
          <cell r="I79">
            <v>0</v>
          </cell>
          <cell r="J79">
            <v>0</v>
          </cell>
          <cell r="K79">
            <v>0</v>
          </cell>
        </row>
        <row r="80">
          <cell r="A80">
            <v>2</v>
          </cell>
          <cell r="B80">
            <v>4</v>
          </cell>
          <cell r="C80" t="str">
            <v>Objetivo 4: Lograr que los profesores sean referentes en sus áreas de trabajo.</v>
          </cell>
          <cell r="D80">
            <v>0</v>
          </cell>
          <cell r="E80">
            <v>0</v>
          </cell>
          <cell r="F80">
            <v>0</v>
          </cell>
          <cell r="G80">
            <v>0</v>
          </cell>
          <cell r="H80">
            <v>0</v>
          </cell>
          <cell r="I80">
            <v>0</v>
          </cell>
          <cell r="J80">
            <v>0</v>
          </cell>
          <cell r="K80">
            <v>0</v>
          </cell>
        </row>
        <row r="81">
          <cell r="A81" t="str">
            <v>2.1</v>
          </cell>
          <cell r="B81" t="str">
            <v>4.1.</v>
          </cell>
          <cell r="C81" t="str">
            <v>Subobjetivo 4.1.: Lograr que los profesores sean referentes en sus áreas de trabajo.</v>
          </cell>
          <cell r="D81">
            <v>0</v>
          </cell>
          <cell r="E81">
            <v>0</v>
          </cell>
          <cell r="F81">
            <v>0</v>
          </cell>
          <cell r="G81">
            <v>0</v>
          </cell>
          <cell r="H81">
            <v>0</v>
          </cell>
          <cell r="I81">
            <v>0</v>
          </cell>
          <cell r="J81">
            <v>0</v>
          </cell>
          <cell r="K81" t="str">
            <v>Definir e incrementar un indicador basado en:</v>
          </cell>
        </row>
        <row r="82">
          <cell r="A82" t="str">
            <v>2.1.1</v>
          </cell>
          <cell r="B82" t="str">
            <v>4.1.1</v>
          </cell>
          <cell r="C82" t="str">
            <v>Apoyar el programa de acompañamiento de los Profesores Asistentes.</v>
          </cell>
          <cell r="D82">
            <v>40725</v>
          </cell>
          <cell r="E82">
            <v>42339</v>
          </cell>
          <cell r="F82" t="str">
            <v>Vicedecanatura de Investigación y Posgrado.</v>
          </cell>
          <cell r="G82">
            <v>0</v>
          </cell>
          <cell r="H82">
            <v>0</v>
          </cell>
          <cell r="I82">
            <v>0</v>
          </cell>
          <cell r="J82">
            <v>0</v>
          </cell>
          <cell r="K82" t="str">
            <v>Participación en Comités de pares evaluadores de programas</v>
          </cell>
        </row>
        <row r="83">
          <cell r="A83" t="str">
            <v>2.1.2</v>
          </cell>
          <cell r="B83" t="str">
            <v>4.1.2.</v>
          </cell>
          <cell r="C83" t="str">
            <v>Revisar procesos y Documentos de Ordenamiento, Carga Profesoral y Evaluación de Desempeño.</v>
          </cell>
          <cell r="D83">
            <v>40544</v>
          </cell>
          <cell r="E83">
            <v>40695</v>
          </cell>
          <cell r="F83" t="str">
            <v>Decano</v>
          </cell>
          <cell r="G83" t="str">
            <v>Consejo de Facultad</v>
          </cell>
          <cell r="H83" t="str">
            <v>NA</v>
          </cell>
          <cell r="I83">
            <v>0</v>
          </cell>
          <cell r="J83">
            <v>0</v>
          </cell>
          <cell r="K83" t="str">
            <v xml:space="preserve">Contribución a la formación de profesores/investigadores </v>
          </cell>
        </row>
        <row r="84">
          <cell r="A84" t="str">
            <v>2.1.3</v>
          </cell>
          <cell r="B84" t="str">
            <v>4.1.3.</v>
          </cell>
          <cell r="C84" t="str">
            <v>Acciones incluidas en 2.4, 2.5, 3.3 y 3.2.</v>
          </cell>
          <cell r="D84">
            <v>0</v>
          </cell>
          <cell r="E84">
            <v>0</v>
          </cell>
          <cell r="F84">
            <v>0</v>
          </cell>
          <cell r="G84">
            <v>0</v>
          </cell>
          <cell r="H84">
            <v>0</v>
          </cell>
          <cell r="I84">
            <v>0</v>
          </cell>
          <cell r="J84">
            <v>0</v>
          </cell>
          <cell r="K84" t="str">
            <v>Participación en Congresos Internacionales como conferencista.
Invitación a conferencias internacionales como conferencista principal.
Realización de pasantías cortas para dirigir seminarios de investigación.
Participación Comités Científicos de congresos nacionales
Participación Comités editoriales
Citaciones de artículos publicados en revistas indexadas
Participación Redes académicas internacionales
Desarrollo de material de cursos
Desarrollo de textos docentes
Participación en Comités directivos de Asociaciones académicas
Participación en Comités directivos de Agremiaciones profesionales
Otros</v>
          </cell>
        </row>
        <row r="85">
          <cell r="A85" t="str">
            <v>Obj: 3 y5</v>
          </cell>
          <cell r="B85">
            <v>5</v>
          </cell>
          <cell r="C85" t="str">
            <v>Objetivo 5: Lograr una organización y un tamaño para la Facultad que le permita cumplir la misión.</v>
          </cell>
          <cell r="D85">
            <v>0</v>
          </cell>
          <cell r="E85">
            <v>0</v>
          </cell>
          <cell r="F85">
            <v>0</v>
          </cell>
          <cell r="G85">
            <v>0</v>
          </cell>
          <cell r="H85">
            <v>0</v>
          </cell>
          <cell r="I85">
            <v>0</v>
          </cell>
          <cell r="J85">
            <v>0</v>
          </cell>
          <cell r="K85">
            <v>0</v>
          </cell>
        </row>
        <row r="86">
          <cell r="A86" t="str">
            <v>3.1</v>
          </cell>
          <cell r="B86" t="str">
            <v>5.1</v>
          </cell>
          <cell r="C86" t="str">
            <v xml:space="preserve">Subobjetivo 5.1. Alcanzar las metas de población estudiantil de la Facultad </v>
          </cell>
          <cell r="D86">
            <v>0</v>
          </cell>
          <cell r="E86">
            <v>0</v>
          </cell>
          <cell r="F86">
            <v>0</v>
          </cell>
          <cell r="G86">
            <v>0</v>
          </cell>
          <cell r="H86">
            <v>0</v>
          </cell>
          <cell r="I86">
            <v>0</v>
          </cell>
          <cell r="J86">
            <v>0</v>
          </cell>
          <cell r="K86" t="str">
            <v>Metas a 2015:</v>
          </cell>
        </row>
        <row r="87">
          <cell r="A87" t="str">
            <v>3.1.1</v>
          </cell>
          <cell r="B87" t="str">
            <v>5.1.1</v>
          </cell>
          <cell r="C87" t="str">
            <v>Apoyar el scouting</v>
          </cell>
          <cell r="D87">
            <v>40575</v>
          </cell>
          <cell r="E87">
            <v>42339</v>
          </cell>
          <cell r="F87" t="str">
            <v>Coordinadora de Promoción.</v>
          </cell>
          <cell r="G87">
            <v>0</v>
          </cell>
          <cell r="H87">
            <v>400000</v>
          </cell>
          <cell r="I87">
            <v>0</v>
          </cell>
          <cell r="J87">
            <v>0</v>
          </cell>
          <cell r="K87" t="str">
            <v>Pregrado: 5.500</v>
          </cell>
        </row>
        <row r="88">
          <cell r="A88">
            <v>0</v>
          </cell>
          <cell r="B88" t="str">
            <v>5.1.2</v>
          </cell>
          <cell r="C88" t="str">
            <v>Acción 2</v>
          </cell>
          <cell r="D88">
            <v>0</v>
          </cell>
          <cell r="E88">
            <v>0</v>
          </cell>
          <cell r="F88">
            <v>0</v>
          </cell>
          <cell r="G88">
            <v>0</v>
          </cell>
          <cell r="H88">
            <v>0</v>
          </cell>
          <cell r="I88">
            <v>0</v>
          </cell>
          <cell r="J88">
            <v>0</v>
          </cell>
          <cell r="K88" t="str">
            <v>Maestría: 1.400</v>
          </cell>
        </row>
        <row r="89">
          <cell r="A89">
            <v>0</v>
          </cell>
          <cell r="B89" t="str">
            <v>5.1.3.</v>
          </cell>
          <cell r="C89" t="str">
            <v>Acción 3</v>
          </cell>
          <cell r="D89">
            <v>0</v>
          </cell>
          <cell r="E89">
            <v>0</v>
          </cell>
          <cell r="F89">
            <v>0</v>
          </cell>
          <cell r="G89">
            <v>0</v>
          </cell>
          <cell r="H89">
            <v>0</v>
          </cell>
          <cell r="I89">
            <v>0</v>
          </cell>
          <cell r="J89">
            <v>0</v>
          </cell>
          <cell r="K89" t="str">
            <v>Doctorado: 150</v>
          </cell>
        </row>
        <row r="90">
          <cell r="A90" t="str">
            <v>3.2</v>
          </cell>
          <cell r="B90" t="str">
            <v>5.2</v>
          </cell>
          <cell r="C90" t="str">
            <v>Subobjetivo 5.2.Alcanzar las metas en la composición de la planta de profesores</v>
          </cell>
          <cell r="D90">
            <v>0</v>
          </cell>
          <cell r="E90">
            <v>0</v>
          </cell>
          <cell r="F90">
            <v>0</v>
          </cell>
          <cell r="G90">
            <v>0</v>
          </cell>
          <cell r="H90">
            <v>0</v>
          </cell>
          <cell r="I90">
            <v>0</v>
          </cell>
          <cell r="J90">
            <v>0</v>
          </cell>
          <cell r="K90" t="str">
            <v>· 110 profesores de planta vinculados a la Facultad con título de doctorado.</v>
          </cell>
        </row>
        <row r="91">
          <cell r="A91">
            <v>0</v>
          </cell>
          <cell r="B91" t="str">
            <v>5.2.1</v>
          </cell>
          <cell r="C91" t="str">
            <v>Acción 1</v>
          </cell>
          <cell r="D91">
            <v>0</v>
          </cell>
          <cell r="E91">
            <v>0</v>
          </cell>
          <cell r="F91">
            <v>0</v>
          </cell>
          <cell r="G91">
            <v>0</v>
          </cell>
          <cell r="H91">
            <v>0</v>
          </cell>
          <cell r="I91">
            <v>0</v>
          </cell>
          <cell r="J91">
            <v>0</v>
          </cell>
          <cell r="K91">
            <v>0</v>
          </cell>
        </row>
        <row r="92">
          <cell r="A92">
            <v>0</v>
          </cell>
          <cell r="B92" t="str">
            <v>5.2.2.</v>
          </cell>
          <cell r="C92" t="str">
            <v>Acción 2</v>
          </cell>
          <cell r="D92">
            <v>0</v>
          </cell>
          <cell r="E92">
            <v>0</v>
          </cell>
          <cell r="F92">
            <v>0</v>
          </cell>
          <cell r="G92">
            <v>0</v>
          </cell>
          <cell r="H92">
            <v>0</v>
          </cell>
          <cell r="I92">
            <v>0</v>
          </cell>
          <cell r="J92">
            <v>0</v>
          </cell>
          <cell r="K92">
            <v>0</v>
          </cell>
        </row>
        <row r="93">
          <cell r="A93">
            <v>0</v>
          </cell>
          <cell r="B93" t="str">
            <v>5.2.3.</v>
          </cell>
          <cell r="C93" t="str">
            <v>Acción 3</v>
          </cell>
          <cell r="D93">
            <v>0</v>
          </cell>
          <cell r="E93">
            <v>0</v>
          </cell>
          <cell r="F93">
            <v>0</v>
          </cell>
          <cell r="G93">
            <v>0</v>
          </cell>
          <cell r="H93">
            <v>0</v>
          </cell>
          <cell r="I93">
            <v>0</v>
          </cell>
          <cell r="J93">
            <v>0</v>
          </cell>
          <cell r="K93">
            <v>0</v>
          </cell>
        </row>
        <row r="94">
          <cell r="A94" t="str">
            <v>5.1</v>
          </cell>
          <cell r="B94" t="str">
            <v>5.3.</v>
          </cell>
          <cell r="C94" t="str">
            <v>Subobjetivo 5.3. Definir y alcanzar las metas de Infraestructura física y recursos para soportar el desarrollo de la Facultad.</v>
          </cell>
          <cell r="D94">
            <v>0</v>
          </cell>
          <cell r="E94">
            <v>0</v>
          </cell>
          <cell r="F94">
            <v>0</v>
          </cell>
          <cell r="G94">
            <v>0</v>
          </cell>
          <cell r="H94">
            <v>0</v>
          </cell>
          <cell r="I94">
            <v>0</v>
          </cell>
          <cell r="J94">
            <v>0</v>
          </cell>
          <cell r="K94" t="str">
            <v>· 8% de los ingresos operacionales al año en inversión para desarrollo y adecuación de los laboratorios y mantenimiento.</v>
          </cell>
        </row>
        <row r="95">
          <cell r="A95" t="str">
            <v>5.1.1</v>
          </cell>
          <cell r="B95" t="str">
            <v>5.3.1</v>
          </cell>
          <cell r="C95" t="str">
            <v>Definir y satisfacer  los requerimientos de infraestructura, con  base en el crecimiento  de la población de profesores y estudiantes.</v>
          </cell>
          <cell r="D95">
            <v>40544</v>
          </cell>
          <cell r="E95">
            <v>42339</v>
          </cell>
          <cell r="F95" t="str">
            <v>Consejo de Facultad</v>
          </cell>
          <cell r="G95">
            <v>0</v>
          </cell>
          <cell r="H95">
            <v>3000000</v>
          </cell>
          <cell r="I95">
            <v>0</v>
          </cell>
          <cell r="J95">
            <v>0</v>
          </cell>
          <cell r="K95">
            <v>0</v>
          </cell>
        </row>
        <row r="96">
          <cell r="A96" t="str">
            <v>5.1.2</v>
          </cell>
          <cell r="B96" t="str">
            <v>5.3.2.</v>
          </cell>
          <cell r="C96" t="str">
            <v>Definir e implantar los indicadores de usos de laboratorios.</v>
          </cell>
          <cell r="D96">
            <v>40544</v>
          </cell>
          <cell r="E96">
            <v>40695</v>
          </cell>
          <cell r="F96" t="str">
            <v>Vicedecanatura Sector Externo</v>
          </cell>
          <cell r="G96" t="str">
            <v>Comité de Laboratorios</v>
          </cell>
          <cell r="H96">
            <v>0</v>
          </cell>
          <cell r="I96">
            <v>0</v>
          </cell>
          <cell r="J96">
            <v>0</v>
          </cell>
          <cell r="K96">
            <v>0</v>
          </cell>
        </row>
        <row r="97">
          <cell r="A97" t="str">
            <v>5.1.3</v>
          </cell>
          <cell r="B97" t="str">
            <v>5.3.3.</v>
          </cell>
          <cell r="C97" t="str">
            <v>Coordinar el plan de mantenimiento anual a la infraestructura y reposición de equipos de laboratorio.</v>
          </cell>
          <cell r="D97">
            <v>40544</v>
          </cell>
          <cell r="E97">
            <v>42339</v>
          </cell>
          <cell r="F97" t="str">
            <v>Vicedecanatura Sector Externo</v>
          </cell>
          <cell r="G97" t="str">
            <v>Comité de Laboratorios</v>
          </cell>
          <cell r="H97">
            <v>0</v>
          </cell>
          <cell r="I97">
            <v>0</v>
          </cell>
          <cell r="J97">
            <v>0</v>
          </cell>
          <cell r="K97">
            <v>0</v>
          </cell>
        </row>
        <row r="98">
          <cell r="A98" t="str">
            <v>5.2</v>
          </cell>
          <cell r="B98" t="str">
            <v>5.4</v>
          </cell>
          <cell r="C98" t="str">
            <v>Subobjetivo 5.4. Adaptar la organización a los desafíos de su crecimiento.</v>
          </cell>
          <cell r="D98">
            <v>0</v>
          </cell>
          <cell r="E98">
            <v>0</v>
          </cell>
          <cell r="F98">
            <v>0</v>
          </cell>
          <cell r="G98">
            <v>0</v>
          </cell>
          <cell r="H98">
            <v>0</v>
          </cell>
          <cell r="I98">
            <v>0</v>
          </cell>
          <cell r="J98">
            <v>0</v>
          </cell>
          <cell r="K98" t="str">
            <v>· Los gastos administrativos consolidados de la Facultad no superan el 12% de los ingresos totales.</v>
          </cell>
        </row>
        <row r="99">
          <cell r="A99" t="str">
            <v>5.1.4</v>
          </cell>
          <cell r="B99" t="str">
            <v>5.4.1</v>
          </cell>
          <cell r="C99" t="str">
            <v>Desarrollar la Oficina de Tecnologías de Información de la Facultad.</v>
          </cell>
          <cell r="D99">
            <v>40544</v>
          </cell>
          <cell r="E99">
            <v>41091</v>
          </cell>
          <cell r="F99" t="str">
            <v>Vicedecanaturas de Pregrado e Investigación y Posgrado</v>
          </cell>
          <cell r="G99">
            <v>0</v>
          </cell>
          <cell r="H99">
            <v>400000</v>
          </cell>
          <cell r="I99">
            <v>0</v>
          </cell>
          <cell r="J99">
            <v>0</v>
          </cell>
          <cell r="K99">
            <v>0</v>
          </cell>
        </row>
        <row r="100">
          <cell r="A100" t="str">
            <v>5.2.1</v>
          </cell>
          <cell r="B100" t="str">
            <v>5.4.2.</v>
          </cell>
          <cell r="C100" t="str">
            <v>Análisis de los procesos y estructura de la Decanatura</v>
          </cell>
          <cell r="D100">
            <v>40544</v>
          </cell>
          <cell r="E100">
            <v>40695</v>
          </cell>
          <cell r="F100" t="str">
            <v>Decano</v>
          </cell>
          <cell r="G100">
            <v>0</v>
          </cell>
          <cell r="H100">
            <v>50000</v>
          </cell>
          <cell r="I100">
            <v>0</v>
          </cell>
          <cell r="J100">
            <v>0</v>
          </cell>
          <cell r="K100">
            <v>0</v>
          </cell>
        </row>
      </sheetData>
      <sheetData sheetId="1"/>
      <sheetData sheetId="2">
        <row r="5">
          <cell r="B5">
            <v>1</v>
          </cell>
          <cell r="C5">
            <v>1</v>
          </cell>
          <cell r="D5" t="str">
            <v>Objetivo 1: Mantener actualizados y alcanzar los perfiles de formación</v>
          </cell>
          <cell r="E5">
            <v>0</v>
          </cell>
          <cell r="F5">
            <v>0</v>
          </cell>
          <cell r="G5">
            <v>0</v>
          </cell>
          <cell r="H5">
            <v>0</v>
          </cell>
          <cell r="I5">
            <v>1495391.4807840134</v>
          </cell>
          <cell r="J5">
            <v>0</v>
          </cell>
          <cell r="K5">
            <v>0</v>
          </cell>
          <cell r="L5">
            <v>0</v>
          </cell>
          <cell r="M5" t="str">
            <v>Evaluación del aprendizaje</v>
          </cell>
          <cell r="N5">
            <v>0</v>
          </cell>
          <cell r="O5">
            <v>0</v>
          </cell>
          <cell r="P5">
            <v>0</v>
          </cell>
          <cell r="Q5">
            <v>0</v>
          </cell>
          <cell r="R5">
            <v>0</v>
          </cell>
          <cell r="S5">
            <v>0</v>
          </cell>
          <cell r="T5">
            <v>0</v>
          </cell>
          <cell r="U5">
            <v>0</v>
          </cell>
          <cell r="V5">
            <v>0</v>
          </cell>
          <cell r="W5">
            <v>0</v>
          </cell>
          <cell r="X5">
            <v>1</v>
          </cell>
          <cell r="Y5">
            <v>0</v>
          </cell>
          <cell r="Z5">
            <v>1</v>
          </cell>
          <cell r="AA5">
            <v>0</v>
          </cell>
          <cell r="AB5">
            <v>1</v>
          </cell>
          <cell r="AC5">
            <v>0</v>
          </cell>
        </row>
        <row r="6">
          <cell r="B6" t="str">
            <v>1.1</v>
          </cell>
          <cell r="C6" t="str">
            <v>1.1</v>
          </cell>
          <cell r="D6" t="str">
            <v>Subobjetivo 1.1. Actualizar los perfiles de formación (pregrado, especialización, maestría y doctorado) teniendo en cuenta las tendencias mundiales, las necesidades nacionales y el contexto educativo del país.</v>
          </cell>
          <cell r="E6">
            <v>0</v>
          </cell>
          <cell r="F6">
            <v>0</v>
          </cell>
          <cell r="G6">
            <v>0</v>
          </cell>
          <cell r="H6">
            <v>0</v>
          </cell>
          <cell r="I6">
            <v>109843.02151680001</v>
          </cell>
          <cell r="J6">
            <v>0</v>
          </cell>
          <cell r="K6">
            <v>0</v>
          </cell>
          <cell r="L6" t="str">
            <v>· Objetivos y outcomes de cada programa (pregrado y posgrado) actualizados en el 2012 y nuevamente en el 2015.</v>
          </cell>
          <cell r="M6" t="str">
            <v>Evaluación del aprendizaje</v>
          </cell>
          <cell r="N6">
            <v>0</v>
          </cell>
          <cell r="O6">
            <v>0</v>
          </cell>
          <cell r="P6">
            <v>0</v>
          </cell>
          <cell r="Q6">
            <v>0</v>
          </cell>
          <cell r="R6">
            <v>0</v>
          </cell>
          <cell r="S6">
            <v>0</v>
          </cell>
          <cell r="T6">
            <v>0</v>
          </cell>
          <cell r="U6">
            <v>0</v>
          </cell>
          <cell r="V6">
            <v>0</v>
          </cell>
          <cell r="W6">
            <v>0</v>
          </cell>
          <cell r="X6">
            <v>1</v>
          </cell>
          <cell r="Y6">
            <v>0</v>
          </cell>
          <cell r="Z6">
            <v>1</v>
          </cell>
          <cell r="AA6">
            <v>0</v>
          </cell>
          <cell r="AB6" t="str">
            <v>1.1</v>
          </cell>
          <cell r="AC6">
            <v>0</v>
          </cell>
        </row>
        <row r="7">
          <cell r="B7" t="str">
            <v>1.1.1</v>
          </cell>
          <cell r="C7" t="str">
            <v>1.1.1</v>
          </cell>
          <cell r="D7" t="str">
            <v>Hacer un recorrido del perfil uniandino hasta la fecha</v>
          </cell>
          <cell r="E7">
            <v>40544</v>
          </cell>
          <cell r="F7">
            <v>40603</v>
          </cell>
          <cell r="G7" t="str">
            <v>Jefe Departamento Comité Académico Coordinador administrativo</v>
          </cell>
          <cell r="H7">
            <v>0</v>
          </cell>
          <cell r="I7">
            <v>0</v>
          </cell>
          <cell r="J7" t="str">
            <v>Cumplimiento de Indicadores</v>
          </cell>
          <cell r="K7" t="str">
            <v>Documento</v>
          </cell>
          <cell r="L7">
            <v>0</v>
          </cell>
          <cell r="M7">
            <v>0</v>
          </cell>
          <cell r="N7">
            <v>0</v>
          </cell>
          <cell r="O7">
            <v>0</v>
          </cell>
          <cell r="P7">
            <v>0</v>
          </cell>
          <cell r="Q7">
            <v>0</v>
          </cell>
          <cell r="R7">
            <v>0</v>
          </cell>
          <cell r="S7">
            <v>0</v>
          </cell>
          <cell r="T7">
            <v>0</v>
          </cell>
          <cell r="U7">
            <v>0</v>
          </cell>
          <cell r="V7">
            <v>0</v>
          </cell>
          <cell r="W7">
            <v>0</v>
          </cell>
          <cell r="X7">
            <v>0</v>
          </cell>
          <cell r="Y7" t="str">
            <v>¿Genera algún costo?</v>
          </cell>
          <cell r="Z7">
            <v>1</v>
          </cell>
          <cell r="AA7">
            <v>0</v>
          </cell>
          <cell r="AB7" t="str">
            <v>1.1.1</v>
          </cell>
          <cell r="AC7">
            <v>0</v>
          </cell>
        </row>
        <row r="8">
          <cell r="B8" t="str">
            <v>6.4.1</v>
          </cell>
          <cell r="C8" t="str">
            <v>1.1.2</v>
          </cell>
          <cell r="D8" t="str">
            <v>Conformar un comité asesor de egresados idóneo para este propósito, reunirse con ellos varias veces y sacar conclusiones</v>
          </cell>
          <cell r="E8" t="str">
            <v>01/01/2011 01/01/2014</v>
          </cell>
          <cell r="F8" t="str">
            <v>01/05/2011  01/05/2015</v>
          </cell>
          <cell r="G8" t="str">
            <v>Jefe Departamento Comité Académico Coordinador administrativo</v>
          </cell>
          <cell r="H8">
            <v>0</v>
          </cell>
          <cell r="I8">
            <v>0</v>
          </cell>
          <cell r="J8" t="str">
            <v>Cumplimiento de Indicadores</v>
          </cell>
          <cell r="K8" t="str">
            <v>Comité conformado, actas, documento con conclusiones finales</v>
          </cell>
          <cell r="L8">
            <v>0</v>
          </cell>
          <cell r="M8">
            <v>0</v>
          </cell>
          <cell r="N8">
            <v>0</v>
          </cell>
          <cell r="O8">
            <v>0</v>
          </cell>
          <cell r="P8">
            <v>0</v>
          </cell>
          <cell r="Q8">
            <v>0</v>
          </cell>
          <cell r="R8">
            <v>0</v>
          </cell>
          <cell r="S8">
            <v>0</v>
          </cell>
          <cell r="T8">
            <v>0</v>
          </cell>
          <cell r="U8">
            <v>0</v>
          </cell>
          <cell r="V8">
            <v>0</v>
          </cell>
          <cell r="W8">
            <v>0</v>
          </cell>
          <cell r="X8">
            <v>0</v>
          </cell>
          <cell r="Y8" t="str">
            <v>¿Genera algún costo?</v>
          </cell>
          <cell r="Z8">
            <v>1</v>
          </cell>
          <cell r="AA8">
            <v>0</v>
          </cell>
          <cell r="AB8" t="str">
            <v>6.4.1</v>
          </cell>
          <cell r="AC8">
            <v>0</v>
          </cell>
        </row>
        <row r="9">
          <cell r="B9" t="str">
            <v>6.4.2</v>
          </cell>
          <cell r="C9" t="str">
            <v>1.1.3</v>
          </cell>
          <cell r="D9" t="str">
            <v>Identificar egresados en el exterior y trabajar a distancia este subobjetivo con ellos</v>
          </cell>
          <cell r="E9">
            <v>40544</v>
          </cell>
          <cell r="F9">
            <v>40664</v>
          </cell>
          <cell r="G9" t="str">
            <v>Jefe Departamento Comité Académico Coordinador administrativo</v>
          </cell>
          <cell r="H9">
            <v>0</v>
          </cell>
          <cell r="I9">
            <v>0</v>
          </cell>
          <cell r="J9" t="str">
            <v>Cumplimiento de Indicadores</v>
          </cell>
          <cell r="K9" t="str">
            <v>egresados identificados, acta de contactos sostenidos, documento con conclusiones finales</v>
          </cell>
          <cell r="L9">
            <v>0</v>
          </cell>
          <cell r="M9">
            <v>0</v>
          </cell>
          <cell r="N9">
            <v>0</v>
          </cell>
          <cell r="O9">
            <v>0</v>
          </cell>
          <cell r="P9">
            <v>0</v>
          </cell>
          <cell r="Q9">
            <v>0</v>
          </cell>
          <cell r="R9">
            <v>0</v>
          </cell>
          <cell r="S9">
            <v>0</v>
          </cell>
          <cell r="T9">
            <v>0</v>
          </cell>
          <cell r="U9">
            <v>0</v>
          </cell>
          <cell r="V9">
            <v>0</v>
          </cell>
          <cell r="W9">
            <v>0</v>
          </cell>
          <cell r="X9">
            <v>0</v>
          </cell>
          <cell r="Y9" t="str">
            <v>Debería generar costos asociados</v>
          </cell>
          <cell r="Z9">
            <v>1</v>
          </cell>
          <cell r="AA9">
            <v>-1</v>
          </cell>
          <cell r="AB9" t="str">
            <v>6.4.2</v>
          </cell>
          <cell r="AC9">
            <v>0</v>
          </cell>
        </row>
        <row r="10">
          <cell r="B10" t="str">
            <v>1.1.2</v>
          </cell>
          <cell r="C10" t="str">
            <v>1.1.4</v>
          </cell>
          <cell r="D10" t="str">
            <v>Escoger y visitar facultades muy prestigiosas internacionalmente que sean referencia para nuestros perfiles y sacar conclusiones</v>
          </cell>
          <cell r="E10" t="str">
            <v>01/01/2011 01/01/2014</v>
          </cell>
          <cell r="F10" t="str">
            <v>01/08/2011 01/08/2014</v>
          </cell>
          <cell r="G10" t="str">
            <v>Jefe Departamento Comité Académico Coordinador administrativo</v>
          </cell>
          <cell r="H10">
            <v>0</v>
          </cell>
          <cell r="I10">
            <v>78157.534540800014</v>
          </cell>
          <cell r="J10" t="str">
            <v>Cumplimiento de Indicadores</v>
          </cell>
          <cell r="K10" t="str">
            <v>Selección, informe de visitas y documento con conclusiones finales</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t="str">
            <v>1.1.2</v>
          </cell>
          <cell r="AC10">
            <v>0</v>
          </cell>
        </row>
        <row r="11">
          <cell r="B11" t="str">
            <v>1.1.3</v>
          </cell>
          <cell r="C11" t="str">
            <v>1.1.5</v>
          </cell>
          <cell r="D11" t="str">
            <v>Identificar organizaciones nacionales e internacionales preocupadas por el futuro de la formación de ingenieros, vincularse y participar activamente (ej. NAE (Nat. Acad. Edu.) , ACOFI)</v>
          </cell>
          <cell r="E11" t="str">
            <v>01/01/2011 01/01/2011</v>
          </cell>
          <cell r="F11" t="str">
            <v>01/08/2011 01/12/2015</v>
          </cell>
          <cell r="G11" t="str">
            <v>Jefe Departamento Comité Académico Coordinador administrativo</v>
          </cell>
          <cell r="H11">
            <v>0</v>
          </cell>
          <cell r="I11">
            <v>31685.486976000004</v>
          </cell>
          <cell r="J11" t="str">
            <v>Cumplimiento de Indicadores</v>
          </cell>
          <cell r="K11" t="str">
            <v xml:space="preserve">Identificación, vinculación, informes de participación, resultados y conclusiones de esta partcipación </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1</v>
          </cell>
          <cell r="AA11">
            <v>1</v>
          </cell>
          <cell r="AB11" t="str">
            <v>1.1.3</v>
          </cell>
          <cell r="AC11">
            <v>0</v>
          </cell>
        </row>
        <row r="12">
          <cell r="B12" t="str">
            <v>1.1.4</v>
          </cell>
          <cell r="C12" t="str">
            <v>1.1.6</v>
          </cell>
          <cell r="D12" t="str">
            <v xml:space="preserve">Entender el estado actual de la educación secundaria en el país y a los estudiantes de secundaria </v>
          </cell>
          <cell r="E12" t="str">
            <v>01/01/2011 01/01/2011</v>
          </cell>
          <cell r="F12" t="str">
            <v>01/08/2011 01/12/2015</v>
          </cell>
          <cell r="G12" t="str">
            <v>Jefe Departamento Comité Académico Coordinador administrativo</v>
          </cell>
          <cell r="H12">
            <v>0</v>
          </cell>
          <cell r="I12">
            <v>0</v>
          </cell>
          <cell r="J12" t="str">
            <v>Cumplimiento de Indicadores</v>
          </cell>
          <cell r="K12" t="str">
            <v>informes con conclusiones</v>
          </cell>
          <cell r="L12">
            <v>0</v>
          </cell>
          <cell r="M12">
            <v>0</v>
          </cell>
          <cell r="N12">
            <v>0</v>
          </cell>
          <cell r="O12">
            <v>0</v>
          </cell>
          <cell r="P12">
            <v>0</v>
          </cell>
          <cell r="Q12">
            <v>0</v>
          </cell>
          <cell r="R12">
            <v>0</v>
          </cell>
          <cell r="S12">
            <v>0</v>
          </cell>
          <cell r="T12">
            <v>0</v>
          </cell>
          <cell r="U12">
            <v>0</v>
          </cell>
          <cell r="V12">
            <v>0</v>
          </cell>
          <cell r="W12">
            <v>0</v>
          </cell>
          <cell r="X12">
            <v>0</v>
          </cell>
          <cell r="Y12" t="str">
            <v>Falta claridad en la acción, entender no es una requiere una acción</v>
          </cell>
          <cell r="Z12">
            <v>0</v>
          </cell>
          <cell r="AA12">
            <v>0</v>
          </cell>
          <cell r="AB12" t="str">
            <v>1.1.4</v>
          </cell>
          <cell r="AC12">
            <v>0</v>
          </cell>
        </row>
        <row r="13">
          <cell r="B13" t="str">
            <v>Eliminada</v>
          </cell>
          <cell r="C13" t="str">
            <v>1.1.7</v>
          </cell>
          <cell r="D13" t="str">
            <v>Actualizar los perfiles de formación en el 2012 y otra vez en el 2015</v>
          </cell>
          <cell r="E13" t="str">
            <v>01/01/2011 01/01/2015</v>
          </cell>
          <cell r="F13" t="str">
            <v>01/12/2011 01/12/2015</v>
          </cell>
          <cell r="G13" t="str">
            <v>Jefe Departamento Comité Académico Coordinador administrativo</v>
          </cell>
          <cell r="H13">
            <v>0</v>
          </cell>
          <cell r="I13">
            <v>0</v>
          </cell>
          <cell r="J13" t="str">
            <v>Cumplimiento de Indicadores</v>
          </cell>
          <cell r="K13" t="str">
            <v>nuevos perfiles de formación</v>
          </cell>
          <cell r="L13">
            <v>0</v>
          </cell>
          <cell r="M13">
            <v>0</v>
          </cell>
          <cell r="N13">
            <v>0</v>
          </cell>
          <cell r="O13">
            <v>0</v>
          </cell>
          <cell r="P13">
            <v>0</v>
          </cell>
          <cell r="Q13">
            <v>0</v>
          </cell>
          <cell r="R13">
            <v>0</v>
          </cell>
          <cell r="S13">
            <v>0</v>
          </cell>
          <cell r="T13">
            <v>0</v>
          </cell>
          <cell r="U13">
            <v>0</v>
          </cell>
          <cell r="V13">
            <v>0</v>
          </cell>
          <cell r="W13">
            <v>0</v>
          </cell>
          <cell r="X13">
            <v>0</v>
          </cell>
          <cell r="Y13" t="str">
            <v>¿Genera algún costo?</v>
          </cell>
          <cell r="Z13">
            <v>1</v>
          </cell>
          <cell r="AA13">
            <v>0</v>
          </cell>
          <cell r="AB13" t="str">
            <v>Eliminada</v>
          </cell>
          <cell r="AC13" t="str">
            <v xml:space="preserve">Hace referencia a la frecuencia y periodicidad con la que se van a realizar las acciones del objetivo. </v>
          </cell>
        </row>
        <row r="14">
          <cell r="B14" t="str">
            <v>Eliminada</v>
          </cell>
          <cell r="C14" t="str">
            <v>1.1.8</v>
          </cell>
          <cell r="D14" t="str">
            <v>Mantener una dinámica en el Departamento que ponga como referencia el perfil de formación en todas las discusiones sobre el currículo y la formación</v>
          </cell>
          <cell r="E14">
            <v>40544</v>
          </cell>
          <cell r="F14">
            <v>42339</v>
          </cell>
          <cell r="G14" t="str">
            <v>Jefe Departamento Comité Académico Coordinador administrativo</v>
          </cell>
          <cell r="H14">
            <v>0</v>
          </cell>
          <cell r="I14">
            <v>0</v>
          </cell>
          <cell r="J14" t="str">
            <v>Cumplimiento de Indicadores</v>
          </cell>
          <cell r="K14" t="str">
            <v>Constancias que el perfil se ha puesto como referencia en discusiones sobre el currículo y la formación</v>
          </cell>
          <cell r="L14">
            <v>0</v>
          </cell>
          <cell r="M14">
            <v>0</v>
          </cell>
          <cell r="N14">
            <v>0</v>
          </cell>
          <cell r="O14">
            <v>0</v>
          </cell>
          <cell r="P14">
            <v>0</v>
          </cell>
          <cell r="Q14">
            <v>0</v>
          </cell>
          <cell r="R14">
            <v>0</v>
          </cell>
          <cell r="S14">
            <v>0</v>
          </cell>
          <cell r="T14">
            <v>0</v>
          </cell>
          <cell r="U14">
            <v>0</v>
          </cell>
          <cell r="V14">
            <v>0</v>
          </cell>
          <cell r="W14">
            <v>0</v>
          </cell>
          <cell r="X14">
            <v>0</v>
          </cell>
          <cell r="Y14" t="str">
            <v>No es clara la acción, puede parecer una política</v>
          </cell>
          <cell r="Z14">
            <v>0</v>
          </cell>
          <cell r="AA14">
            <v>0</v>
          </cell>
          <cell r="AB14" t="str">
            <v>Eliminada</v>
          </cell>
          <cell r="AC14" t="str">
            <v>Es bastante específica y tiende a ser una actividad. Además, es transversal a la ejecución de todo el objetivo.</v>
          </cell>
        </row>
        <row r="15">
          <cell r="B15" t="str">
            <v>Eliminada</v>
          </cell>
          <cell r="C15" t="str">
            <v>1.1.9</v>
          </cell>
          <cell r="D15" t="str">
            <v>Acciones similares a las de arriba para maestrías profesionales y especializaciones</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t="str">
            <v>Es necesario que se especifique mejor la acción para asignar costos</v>
          </cell>
          <cell r="Z15">
            <v>0</v>
          </cell>
          <cell r="AA15">
            <v>0</v>
          </cell>
          <cell r="AB15" t="str">
            <v>Eliminada</v>
          </cell>
          <cell r="AC15" t="str">
            <v>Está incluida en las acciones del 1.1.1 al 1.1.4</v>
          </cell>
        </row>
        <row r="16">
          <cell r="B16" t="str">
            <v>1.2</v>
          </cell>
          <cell r="C16" t="str">
            <v>1.2</v>
          </cell>
          <cell r="D16" t="str">
            <v>Subobjetivo 1.2.  Mantener un curriculum innovador que responda a los perfiles deseados para la formación</v>
          </cell>
          <cell r="E16">
            <v>0</v>
          </cell>
          <cell r="F16">
            <v>0</v>
          </cell>
          <cell r="G16">
            <v>0</v>
          </cell>
          <cell r="H16">
            <v>0</v>
          </cell>
          <cell r="I16">
            <v>577352.91798542556</v>
          </cell>
          <cell r="J16">
            <v>0</v>
          </cell>
          <cell r="K16">
            <v>0</v>
          </cell>
          <cell r="L16" t="str">
            <v>En el 2015 innovaciones implementadas y evaluadas</v>
          </cell>
          <cell r="M16" t="str">
            <v>Currriculo</v>
          </cell>
          <cell r="N16">
            <v>0</v>
          </cell>
          <cell r="O16">
            <v>0</v>
          </cell>
          <cell r="P16">
            <v>0</v>
          </cell>
          <cell r="Q16">
            <v>0</v>
          </cell>
          <cell r="R16">
            <v>0</v>
          </cell>
          <cell r="S16">
            <v>0</v>
          </cell>
          <cell r="T16">
            <v>0</v>
          </cell>
          <cell r="U16">
            <v>0</v>
          </cell>
          <cell r="V16">
            <v>0</v>
          </cell>
          <cell r="W16">
            <v>0</v>
          </cell>
          <cell r="X16">
            <v>1</v>
          </cell>
          <cell r="Y16">
            <v>0</v>
          </cell>
          <cell r="Z16">
            <v>1</v>
          </cell>
          <cell r="AA16">
            <v>0</v>
          </cell>
          <cell r="AB16" t="str">
            <v>1.2</v>
          </cell>
          <cell r="AC16">
            <v>0</v>
          </cell>
        </row>
        <row r="17">
          <cell r="B17" t="str">
            <v>1.2.1</v>
          </cell>
          <cell r="C17" t="str">
            <v>1.2.1</v>
          </cell>
          <cell r="D17" t="str">
            <v>Evaluar el curriculum actual contra el perfil de formación</v>
          </cell>
          <cell r="E17">
            <v>40544</v>
          </cell>
          <cell r="F17">
            <v>40664</v>
          </cell>
          <cell r="G17" t="str">
            <v>Jefe Departamento Comité Académico Coordinador administrativo</v>
          </cell>
          <cell r="H17">
            <v>0</v>
          </cell>
          <cell r="I17">
            <v>0</v>
          </cell>
          <cell r="J17" t="str">
            <v>Cumplimiento de Indicador</v>
          </cell>
          <cell r="K17" t="str">
            <v>Informe con resultado de evaluación</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1</v>
          </cell>
          <cell r="AA17">
            <v>1</v>
          </cell>
          <cell r="AB17" t="str">
            <v>1.2.1</v>
          </cell>
          <cell r="AC17">
            <v>0</v>
          </cell>
        </row>
        <row r="18">
          <cell r="B18" t="str">
            <v>1.2.3</v>
          </cell>
          <cell r="C18" t="str">
            <v>1.2.2</v>
          </cell>
          <cell r="D18" t="str">
            <v>Abrir convocatorias para apoyar proyectos de grupos de investigación o profesores sobre cursos innovadores u otras iniciativas curriculares</v>
          </cell>
          <cell r="E18" t="str">
            <v>01/06/2011, 01/06/2012, 01/06/2013, 01/06/2014</v>
          </cell>
          <cell r="F18" t="str">
            <v>01/08/2011, 01/08/2012, 01/08/2013, 01/08/2014</v>
          </cell>
          <cell r="G18" t="str">
            <v>Jefe Departamento Comité Académico Coordinador administrativo</v>
          </cell>
          <cell r="H18">
            <v>0</v>
          </cell>
          <cell r="I18">
            <v>162250.987090963</v>
          </cell>
          <cell r="J18" t="str">
            <v>Cumplimiento de Indicador</v>
          </cell>
          <cell r="K18" t="str">
            <v>convocatorias abiertas, convocatorias adjudicadas</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1</v>
          </cell>
          <cell r="AA18">
            <v>1</v>
          </cell>
          <cell r="AB18" t="str">
            <v>1.2.3</v>
          </cell>
          <cell r="AC18">
            <v>0</v>
          </cell>
        </row>
        <row r="19">
          <cell r="B19" t="str">
            <v>1.2.4</v>
          </cell>
          <cell r="C19" t="str">
            <v>1.2.3</v>
          </cell>
          <cell r="D19" t="str">
            <v>Hacer seguimiento a los proyectos que resulten de la acción 1.2. 2</v>
          </cell>
          <cell r="E19" t="str">
            <v>15/08/2011, 15/08/2012, 15/08/2013, 15/08/2014</v>
          </cell>
          <cell r="F19" t="str">
            <v>01/08/2012, 01/08/2013, 01/08/2014, 01/08/2015</v>
          </cell>
          <cell r="G19" t="str">
            <v>Jefe Departamento Comité Académico Coordinador administrativo</v>
          </cell>
          <cell r="H19">
            <v>0</v>
          </cell>
          <cell r="I19">
            <v>0</v>
          </cell>
          <cell r="J19" t="str">
            <v>Cumplimiento de Indicador</v>
          </cell>
          <cell r="K19" t="str">
            <v>resultados de los proyectos acorde a propuestos</v>
          </cell>
          <cell r="L19">
            <v>0</v>
          </cell>
          <cell r="M19">
            <v>0</v>
          </cell>
          <cell r="N19">
            <v>0</v>
          </cell>
          <cell r="O19">
            <v>0</v>
          </cell>
          <cell r="P19">
            <v>0</v>
          </cell>
          <cell r="Q19">
            <v>0</v>
          </cell>
          <cell r="R19">
            <v>0</v>
          </cell>
          <cell r="S19">
            <v>0</v>
          </cell>
          <cell r="T19">
            <v>0</v>
          </cell>
          <cell r="U19">
            <v>0</v>
          </cell>
          <cell r="V19">
            <v>0</v>
          </cell>
          <cell r="W19">
            <v>0</v>
          </cell>
          <cell r="X19">
            <v>0</v>
          </cell>
          <cell r="Y19" t="str">
            <v>Debería generar costos asociados</v>
          </cell>
          <cell r="Z19">
            <v>1</v>
          </cell>
          <cell r="AA19">
            <v>-1</v>
          </cell>
          <cell r="AB19" t="str">
            <v>1.2.4</v>
          </cell>
          <cell r="AC19">
            <v>0</v>
          </cell>
        </row>
        <row r="20">
          <cell r="B20" t="str">
            <v>1.2.3</v>
          </cell>
          <cell r="C20" t="str">
            <v>1.2.4</v>
          </cell>
          <cell r="D20" t="str">
            <v xml:space="preserve">Abrir convocatorias para apoyar proyectos de grupos de investigación, profesores  y/o estudiantes sobre actividades extracurriculares y nuevos espacios de formación </v>
          </cell>
          <cell r="E20" t="str">
            <v>01/06/2011, 01/06/2012, 01/06/2013, 01/06/2014</v>
          </cell>
          <cell r="F20" t="str">
            <v>01/08/2011, 01/08/2012, 01/08/2013, 01/08/2014</v>
          </cell>
          <cell r="G20" t="str">
            <v>Jefe Departamento Comité Académico Coordinador administrativo</v>
          </cell>
          <cell r="H20">
            <v>0</v>
          </cell>
          <cell r="I20">
            <v>162250.987090963</v>
          </cell>
          <cell r="J20" t="str">
            <v>Cumplimiento de Indicador</v>
          </cell>
          <cell r="K20" t="str">
            <v>convocatorias abiertas, convocatorias adjudicadas</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1</v>
          </cell>
          <cell r="AA20">
            <v>1</v>
          </cell>
          <cell r="AB20" t="str">
            <v>1.2.3</v>
          </cell>
          <cell r="AC20">
            <v>0</v>
          </cell>
        </row>
        <row r="21">
          <cell r="B21" t="str">
            <v>1.2.4</v>
          </cell>
          <cell r="C21" t="str">
            <v>1.2.5</v>
          </cell>
          <cell r="D21" t="str">
            <v>Hacer seguimiento a los proyectos que resulten de la acción 1.2. 4</v>
          </cell>
          <cell r="E21" t="str">
            <v>15/08/2011, 15/08/2012, 15/08/2013, 15/08/2014</v>
          </cell>
          <cell r="F21" t="str">
            <v>01/08/2012, 01/08/2013, 01/08/2014, 01/08/2015</v>
          </cell>
          <cell r="G21" t="str">
            <v>Jefe Departamento Comité Académico Coordinador administrativo</v>
          </cell>
          <cell r="H21">
            <v>0</v>
          </cell>
          <cell r="I21">
            <v>0</v>
          </cell>
          <cell r="J21" t="str">
            <v>Cumplimiento de Indicador</v>
          </cell>
          <cell r="K21" t="str">
            <v>resultados de los proyectos acorde a propuestos</v>
          </cell>
          <cell r="L21">
            <v>0</v>
          </cell>
          <cell r="M21">
            <v>0</v>
          </cell>
          <cell r="N21">
            <v>0</v>
          </cell>
          <cell r="O21">
            <v>0</v>
          </cell>
          <cell r="P21">
            <v>0</v>
          </cell>
          <cell r="Q21">
            <v>0</v>
          </cell>
          <cell r="R21">
            <v>0</v>
          </cell>
          <cell r="S21">
            <v>0</v>
          </cell>
          <cell r="T21">
            <v>0</v>
          </cell>
          <cell r="U21">
            <v>0</v>
          </cell>
          <cell r="V21">
            <v>0</v>
          </cell>
          <cell r="W21">
            <v>0</v>
          </cell>
          <cell r="X21">
            <v>0</v>
          </cell>
          <cell r="Y21" t="str">
            <v>¿Genera algún costo?</v>
          </cell>
          <cell r="Z21">
            <v>1</v>
          </cell>
          <cell r="AA21">
            <v>0</v>
          </cell>
          <cell r="AB21" t="str">
            <v>1.2.4</v>
          </cell>
          <cell r="AC21">
            <v>0</v>
          </cell>
        </row>
        <row r="22">
          <cell r="B22" t="str">
            <v>1.2.2</v>
          </cell>
          <cell r="C22" t="str">
            <v>1.2.6</v>
          </cell>
          <cell r="D22" t="str">
            <v>Hacer una propuesta de departamento (comité académico) sobre un proyecto para generar un curriculum innovador que responda a los perfiles deseados para la formación</v>
          </cell>
          <cell r="E22">
            <v>40664</v>
          </cell>
          <cell r="F22">
            <v>40756</v>
          </cell>
          <cell r="G22" t="str">
            <v>Jefe Departamento Comité Académico Coordinador administrativo</v>
          </cell>
          <cell r="H22">
            <v>0</v>
          </cell>
          <cell r="I22">
            <v>122054.07419127658</v>
          </cell>
          <cell r="J22" t="str">
            <v>Cumplimiento de Indicador</v>
          </cell>
          <cell r="K22" t="str">
            <v>Propuesta</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1</v>
          </cell>
          <cell r="AA22">
            <v>1</v>
          </cell>
          <cell r="AB22" t="str">
            <v>1.2.2</v>
          </cell>
          <cell r="AC22">
            <v>0</v>
          </cell>
        </row>
        <row r="23">
          <cell r="B23" t="str">
            <v>1.2.4</v>
          </cell>
          <cell r="C23" t="str">
            <v>1.2.7</v>
          </cell>
          <cell r="D23" t="str">
            <v>Hacer seguimiento al proyecto que resulta</v>
          </cell>
          <cell r="E23">
            <v>40756</v>
          </cell>
          <cell r="F23">
            <v>42339</v>
          </cell>
          <cell r="G23" t="str">
            <v>Jefe Departamento Comité Académico Coordinador administrativo</v>
          </cell>
          <cell r="H23">
            <v>0</v>
          </cell>
          <cell r="I23">
            <v>0</v>
          </cell>
          <cell r="J23" t="str">
            <v>Cumplimiento de Indicador</v>
          </cell>
          <cell r="K23" t="str">
            <v>Resultados del proyecto acorde a propuestos</v>
          </cell>
          <cell r="L23">
            <v>0</v>
          </cell>
          <cell r="M23">
            <v>0</v>
          </cell>
          <cell r="N23">
            <v>0</v>
          </cell>
          <cell r="O23">
            <v>0</v>
          </cell>
          <cell r="P23">
            <v>0</v>
          </cell>
          <cell r="Q23">
            <v>0</v>
          </cell>
          <cell r="R23">
            <v>0</v>
          </cell>
          <cell r="S23">
            <v>0</v>
          </cell>
          <cell r="T23">
            <v>0</v>
          </cell>
          <cell r="U23">
            <v>0</v>
          </cell>
          <cell r="V23">
            <v>0</v>
          </cell>
          <cell r="W23">
            <v>0</v>
          </cell>
          <cell r="X23">
            <v>0</v>
          </cell>
          <cell r="Y23" t="str">
            <v>¿Genera algún costo?</v>
          </cell>
          <cell r="Z23">
            <v>1</v>
          </cell>
          <cell r="AA23">
            <v>0</v>
          </cell>
          <cell r="AB23" t="str">
            <v>1.2.4</v>
          </cell>
          <cell r="AC23">
            <v>0</v>
          </cell>
        </row>
        <row r="24">
          <cell r="B24" t="str">
            <v>Eliminada</v>
          </cell>
          <cell r="C24" t="str">
            <v>1.2.8</v>
          </cell>
          <cell r="D24" t="str">
            <v>Mantener reuniones periódicas con el comité asesor</v>
          </cell>
          <cell r="E24">
            <v>40664</v>
          </cell>
          <cell r="F24">
            <v>42339</v>
          </cell>
          <cell r="G24" t="str">
            <v>Jefe Departamento Comité Académico Coordinador administrativo</v>
          </cell>
          <cell r="H24">
            <v>0</v>
          </cell>
          <cell r="I24">
            <v>0</v>
          </cell>
          <cell r="J24" t="str">
            <v>Cumplimiento de Indicador</v>
          </cell>
          <cell r="K24" t="str">
            <v>reuniones periódicas</v>
          </cell>
          <cell r="L24">
            <v>0</v>
          </cell>
          <cell r="M24">
            <v>0</v>
          </cell>
          <cell r="N24">
            <v>0</v>
          </cell>
          <cell r="O24">
            <v>0</v>
          </cell>
          <cell r="P24">
            <v>0</v>
          </cell>
          <cell r="Q24">
            <v>0</v>
          </cell>
          <cell r="R24">
            <v>0</v>
          </cell>
          <cell r="S24">
            <v>0</v>
          </cell>
          <cell r="T24">
            <v>0</v>
          </cell>
          <cell r="U24">
            <v>0</v>
          </cell>
          <cell r="V24">
            <v>0</v>
          </cell>
          <cell r="W24">
            <v>0</v>
          </cell>
          <cell r="X24">
            <v>0</v>
          </cell>
          <cell r="Y24" t="str">
            <v>¿Genera algún costo?</v>
          </cell>
          <cell r="Z24">
            <v>1</v>
          </cell>
          <cell r="AA24">
            <v>0</v>
          </cell>
          <cell r="AB24" t="str">
            <v>Eliminada</v>
          </cell>
          <cell r="AC24" t="str">
            <v xml:space="preserve">Es muy específica y se convierte en una actividad. </v>
          </cell>
        </row>
        <row r="25">
          <cell r="B25" t="str">
            <v>1.2.5</v>
          </cell>
          <cell r="C25" t="str">
            <v>1.2.9</v>
          </cell>
          <cell r="D25" t="str">
            <v>Buscar la manera, e implementarla, de que todos los profesores  estemos comprometidos con el currículo como un todo (darle credibilidad)</v>
          </cell>
          <cell r="E25">
            <v>40544</v>
          </cell>
          <cell r="F25">
            <v>42339</v>
          </cell>
          <cell r="G25" t="str">
            <v>Jefe Departamento Comité Académico Coordinador administrativo</v>
          </cell>
          <cell r="H25">
            <v>0</v>
          </cell>
          <cell r="I25">
            <v>130796.86961222294</v>
          </cell>
          <cell r="J25" t="str">
            <v>Cumplimiento de Indicador</v>
          </cell>
          <cell r="K25" t="str">
            <v>Propuestas y resultados exitosos de las acciones de esas propuestas</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1</v>
          </cell>
          <cell r="AA25">
            <v>1</v>
          </cell>
          <cell r="AB25" t="str">
            <v>1.2.5</v>
          </cell>
          <cell r="AC25">
            <v>0</v>
          </cell>
        </row>
        <row r="26">
          <cell r="B26" t="str">
            <v>1.3</v>
          </cell>
          <cell r="C26" t="str">
            <v>1.3</v>
          </cell>
          <cell r="D26" t="str">
            <v>Subobjetivo 1.3. Desarrollar nuevos programas de maestría</v>
          </cell>
          <cell r="E26">
            <v>0</v>
          </cell>
          <cell r="F26">
            <v>0</v>
          </cell>
          <cell r="G26">
            <v>0</v>
          </cell>
          <cell r="H26">
            <v>0</v>
          </cell>
          <cell r="I26">
            <v>0</v>
          </cell>
          <cell r="J26">
            <v>0</v>
          </cell>
          <cell r="K26">
            <v>0</v>
          </cell>
          <cell r="L26" t="str">
            <v>10  nuevos programas de maestría en el 2015.</v>
          </cell>
          <cell r="M26" t="str">
            <v>Nuevos Programas / Cursos</v>
          </cell>
          <cell r="N26">
            <v>0</v>
          </cell>
          <cell r="O26">
            <v>0</v>
          </cell>
          <cell r="P26">
            <v>0</v>
          </cell>
          <cell r="Q26">
            <v>0</v>
          </cell>
          <cell r="R26">
            <v>0</v>
          </cell>
          <cell r="S26">
            <v>0</v>
          </cell>
          <cell r="T26">
            <v>0</v>
          </cell>
          <cell r="U26">
            <v>0</v>
          </cell>
          <cell r="V26">
            <v>0</v>
          </cell>
          <cell r="W26">
            <v>0</v>
          </cell>
          <cell r="X26">
            <v>1</v>
          </cell>
          <cell r="Y26">
            <v>0</v>
          </cell>
          <cell r="Z26">
            <v>1</v>
          </cell>
          <cell r="AA26">
            <v>0</v>
          </cell>
          <cell r="AB26" t="str">
            <v>1.3</v>
          </cell>
          <cell r="AC26">
            <v>0</v>
          </cell>
        </row>
        <row r="27">
          <cell r="B27" t="str">
            <v>1.3.1</v>
          </cell>
          <cell r="C27" t="str">
            <v>1.3.1</v>
          </cell>
          <cell r="D27" t="str">
            <v>Lograr el interés de otros departamentos en una maestría profesional en nanotecnologías</v>
          </cell>
          <cell r="E27">
            <v>40544</v>
          </cell>
          <cell r="F27">
            <v>40664</v>
          </cell>
          <cell r="G27" t="str">
            <v>CMUA</v>
          </cell>
          <cell r="H27">
            <v>0</v>
          </cell>
          <cell r="I27">
            <v>0</v>
          </cell>
          <cell r="J27" t="str">
            <v>Cumplimiento de Indicador</v>
          </cell>
          <cell r="K27" t="str">
            <v>interés logrado</v>
          </cell>
          <cell r="L27">
            <v>0</v>
          </cell>
          <cell r="M27">
            <v>0</v>
          </cell>
          <cell r="N27">
            <v>0</v>
          </cell>
          <cell r="O27">
            <v>0</v>
          </cell>
          <cell r="P27">
            <v>0</v>
          </cell>
          <cell r="Q27">
            <v>0</v>
          </cell>
          <cell r="R27">
            <v>0</v>
          </cell>
          <cell r="S27">
            <v>0</v>
          </cell>
          <cell r="T27">
            <v>0</v>
          </cell>
          <cell r="U27">
            <v>0</v>
          </cell>
          <cell r="V27">
            <v>0</v>
          </cell>
          <cell r="W27">
            <v>0</v>
          </cell>
          <cell r="X27">
            <v>0</v>
          </cell>
          <cell r="Y27" t="str">
            <v>Debería generar costos asociados</v>
          </cell>
          <cell r="Z27">
            <v>1</v>
          </cell>
          <cell r="AA27">
            <v>-1</v>
          </cell>
          <cell r="AB27" t="str">
            <v>1.3.1</v>
          </cell>
          <cell r="AC27">
            <v>0</v>
          </cell>
        </row>
        <row r="28">
          <cell r="B28" t="str">
            <v>1.3.2</v>
          </cell>
          <cell r="C28" t="str">
            <v>1.3.2</v>
          </cell>
          <cell r="D28" t="str">
            <v xml:space="preserve">Inicio de primera promoción maestría de profundización en ingeniería eléctrica en 2011-II </v>
          </cell>
          <cell r="E28">
            <v>40544</v>
          </cell>
          <cell r="F28">
            <v>40756</v>
          </cell>
          <cell r="G28" t="str">
            <v>Grupo de potencia y energía</v>
          </cell>
          <cell r="H28">
            <v>0</v>
          </cell>
          <cell r="I28">
            <v>0</v>
          </cell>
          <cell r="J28" t="str">
            <v>Cumplimiento de Indicador</v>
          </cell>
          <cell r="K28" t="str">
            <v>inicio de primera promoción en 2011-II</v>
          </cell>
          <cell r="L28">
            <v>0</v>
          </cell>
          <cell r="M28">
            <v>0</v>
          </cell>
          <cell r="N28">
            <v>0</v>
          </cell>
          <cell r="O28">
            <v>0</v>
          </cell>
          <cell r="P28">
            <v>0</v>
          </cell>
          <cell r="Q28">
            <v>0</v>
          </cell>
          <cell r="R28">
            <v>0</v>
          </cell>
          <cell r="S28">
            <v>0</v>
          </cell>
          <cell r="T28">
            <v>0</v>
          </cell>
          <cell r="U28">
            <v>0</v>
          </cell>
          <cell r="V28">
            <v>0</v>
          </cell>
          <cell r="W28">
            <v>0</v>
          </cell>
          <cell r="X28">
            <v>0</v>
          </cell>
          <cell r="Y28" t="str">
            <v>Debería generar costos asociados</v>
          </cell>
          <cell r="Z28">
            <v>1</v>
          </cell>
          <cell r="AA28">
            <v>-1</v>
          </cell>
          <cell r="AB28" t="str">
            <v>1.3.2</v>
          </cell>
          <cell r="AC28">
            <v>0</v>
          </cell>
        </row>
        <row r="29">
          <cell r="B29" t="str">
            <v>1.3.2</v>
          </cell>
          <cell r="C29" t="str">
            <v>1.3.3</v>
          </cell>
          <cell r="D29" t="str">
            <v>Inicio de primera promoción maestría de profundización en ingeniería de telecomunicaciones en 2011-II</v>
          </cell>
          <cell r="E29">
            <v>40544</v>
          </cell>
          <cell r="F29">
            <v>40756</v>
          </cell>
          <cell r="G29" t="str">
            <v>GEST</v>
          </cell>
          <cell r="H29">
            <v>0</v>
          </cell>
          <cell r="I29">
            <v>0</v>
          </cell>
          <cell r="J29" t="str">
            <v>Cumplimiento de Indicador</v>
          </cell>
          <cell r="K29" t="str">
            <v>inicio de primera promoción en 2011-II</v>
          </cell>
          <cell r="L29">
            <v>0</v>
          </cell>
          <cell r="M29">
            <v>0</v>
          </cell>
          <cell r="N29">
            <v>0</v>
          </cell>
          <cell r="O29">
            <v>0</v>
          </cell>
          <cell r="P29">
            <v>0</v>
          </cell>
          <cell r="Q29">
            <v>0</v>
          </cell>
          <cell r="R29">
            <v>0</v>
          </cell>
          <cell r="S29">
            <v>0</v>
          </cell>
          <cell r="T29">
            <v>0</v>
          </cell>
          <cell r="U29">
            <v>0</v>
          </cell>
          <cell r="V29">
            <v>0</v>
          </cell>
          <cell r="W29">
            <v>0</v>
          </cell>
          <cell r="X29">
            <v>0</v>
          </cell>
          <cell r="Y29" t="str">
            <v>Debería generar costos asociados</v>
          </cell>
          <cell r="Z29">
            <v>1</v>
          </cell>
          <cell r="AA29">
            <v>-1</v>
          </cell>
          <cell r="AB29" t="str">
            <v>1.3.2</v>
          </cell>
          <cell r="AC29">
            <v>0</v>
          </cell>
        </row>
        <row r="30">
          <cell r="B30" t="str">
            <v>1.3.2</v>
          </cell>
          <cell r="C30" t="str">
            <v>1.3.4</v>
          </cell>
          <cell r="D30" t="str">
            <v>Inicio de primera promoción maestría de profundización en automatización y control en 2012-I</v>
          </cell>
          <cell r="E30">
            <v>40544</v>
          </cell>
          <cell r="F30">
            <v>40909</v>
          </cell>
          <cell r="G30" t="str">
            <v>GIAP</v>
          </cell>
          <cell r="H30">
            <v>0</v>
          </cell>
          <cell r="I30">
            <v>0</v>
          </cell>
          <cell r="J30" t="str">
            <v>Cumplimiento de Indicador</v>
          </cell>
          <cell r="K30" t="str">
            <v>inicio de primera promoción en 2012-1</v>
          </cell>
          <cell r="L30">
            <v>0</v>
          </cell>
          <cell r="M30">
            <v>0</v>
          </cell>
          <cell r="N30">
            <v>0</v>
          </cell>
          <cell r="O30">
            <v>0</v>
          </cell>
          <cell r="P30">
            <v>0</v>
          </cell>
          <cell r="Q30">
            <v>0</v>
          </cell>
          <cell r="R30">
            <v>0</v>
          </cell>
          <cell r="S30">
            <v>0</v>
          </cell>
          <cell r="T30">
            <v>0</v>
          </cell>
          <cell r="U30">
            <v>0</v>
          </cell>
          <cell r="V30">
            <v>0</v>
          </cell>
          <cell r="W30">
            <v>0</v>
          </cell>
          <cell r="X30">
            <v>0</v>
          </cell>
          <cell r="Y30" t="str">
            <v>Debería generar costos asociados</v>
          </cell>
          <cell r="Z30">
            <v>1</v>
          </cell>
          <cell r="AA30">
            <v>-1</v>
          </cell>
          <cell r="AB30" t="str">
            <v>1.3.2</v>
          </cell>
          <cell r="AC30">
            <v>0</v>
          </cell>
        </row>
        <row r="31">
          <cell r="B31" t="str">
            <v>1.4</v>
          </cell>
          <cell r="C31" t="str">
            <v>1.4</v>
          </cell>
          <cell r="D31" t="str">
            <v>Subobjetivo 1.4. Lograr la articulación de los programas de formación.</v>
          </cell>
          <cell r="E31">
            <v>0</v>
          </cell>
          <cell r="F31">
            <v>0</v>
          </cell>
          <cell r="G31">
            <v>0</v>
          </cell>
          <cell r="H31">
            <v>0</v>
          </cell>
          <cell r="I31">
            <v>599241.13712876476</v>
          </cell>
          <cell r="J31">
            <v>0</v>
          </cell>
          <cell r="K31">
            <v>0</v>
          </cell>
          <cell r="L31" t="str">
            <v>Incrementar el número de estudiantes en programa coterminal que ingresen a la maestría (El 50% del incremento se deberá a estudiantes del programa coterminal)</v>
          </cell>
          <cell r="M31" t="str">
            <v>Currriculo</v>
          </cell>
          <cell r="N31">
            <v>0</v>
          </cell>
          <cell r="O31">
            <v>0</v>
          </cell>
          <cell r="P31">
            <v>0</v>
          </cell>
          <cell r="Q31">
            <v>0</v>
          </cell>
          <cell r="R31">
            <v>0</v>
          </cell>
          <cell r="S31">
            <v>0</v>
          </cell>
          <cell r="T31">
            <v>0</v>
          </cell>
          <cell r="U31">
            <v>0</v>
          </cell>
          <cell r="V31">
            <v>0</v>
          </cell>
          <cell r="W31">
            <v>0</v>
          </cell>
          <cell r="X31">
            <v>1</v>
          </cell>
          <cell r="Y31">
            <v>0</v>
          </cell>
          <cell r="Z31">
            <v>1</v>
          </cell>
          <cell r="AA31">
            <v>0</v>
          </cell>
          <cell r="AB31" t="str">
            <v>1.4</v>
          </cell>
          <cell r="AC31">
            <v>0</v>
          </cell>
        </row>
        <row r="32">
          <cell r="B32" t="str">
            <v>1.4.1</v>
          </cell>
          <cell r="C32" t="str">
            <v>1.4.1</v>
          </cell>
          <cell r="D32" t="str">
            <v>Determinar las razones por las que no entran más estudiantes del pregrado al programa coterminal</v>
          </cell>
          <cell r="E32">
            <v>40544</v>
          </cell>
          <cell r="F32">
            <v>40664</v>
          </cell>
          <cell r="G32" t="str">
            <v>Coordinador Administrativo</v>
          </cell>
          <cell r="H32">
            <v>0</v>
          </cell>
          <cell r="I32">
            <v>30433.6521216</v>
          </cell>
          <cell r="J32" t="str">
            <v>Cumplimiento de Indicador</v>
          </cell>
          <cell r="K32" t="str">
            <v>informe con conclusiones</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1</v>
          </cell>
          <cell r="AA32">
            <v>1</v>
          </cell>
          <cell r="AB32" t="str">
            <v>1.4.1</v>
          </cell>
          <cell r="AC32">
            <v>0</v>
          </cell>
        </row>
        <row r="33">
          <cell r="B33" t="str">
            <v>1.4.2</v>
          </cell>
          <cell r="C33" t="str">
            <v>1.4.2</v>
          </cell>
          <cell r="D33" t="str">
            <v>Actuar sobre los resultados de la acción 1.4.1 y aumentar linealmente el número de estudiantes en el coterminal hasta alcanzar en el 2015 la meta del 50% de ellos en el coterminal. (Las acciones podrían ser más cursos de verano, más pasantías internacionales, más contactos con el sector externo posicionando los egresados, mas recursos como simuladores, instrumentación, etc. más moderna y potente, mas asistencias graduadas, mas proyectos de investigación donde puedan trabajar, etc.)</v>
          </cell>
          <cell r="E33">
            <v>40664</v>
          </cell>
          <cell r="F33">
            <v>42339</v>
          </cell>
          <cell r="G33" t="str">
            <v>Jefe de departamento, coordinador adminsitrativo, grupos de investigación, profesores</v>
          </cell>
          <cell r="H33">
            <v>0</v>
          </cell>
          <cell r="I33">
            <v>61027.03709563829</v>
          </cell>
          <cell r="J33" t="str">
            <v>Cumplimiento de Indicador</v>
          </cell>
          <cell r="K33" t="str">
            <v>aumentar linealmente el número de estudiantes en el coterminal hasta alcanzar en el 2015 la meta del 50%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1</v>
          </cell>
          <cell r="AA33">
            <v>1</v>
          </cell>
          <cell r="AB33" t="str">
            <v>1.4.2</v>
          </cell>
          <cell r="AC33">
            <v>0</v>
          </cell>
        </row>
        <row r="34">
          <cell r="B34" t="str">
            <v>1.4.3</v>
          </cell>
          <cell r="C34" t="str">
            <v>1.4.3</v>
          </cell>
          <cell r="D34" t="str">
            <v>Hacer un scouting continuo, directo e indirecto y mas agresivo, para tener mas y mejores estudiantes de maestría</v>
          </cell>
          <cell r="E34">
            <v>40544</v>
          </cell>
          <cell r="F34">
            <v>42339</v>
          </cell>
          <cell r="G34" t="str">
            <v>Jefe de departamento, coordinador adminsitrativo, grupos de investigación, profesores</v>
          </cell>
          <cell r="H34">
            <v>0</v>
          </cell>
          <cell r="I34">
            <v>40196.912899686402</v>
          </cell>
          <cell r="J34" t="str">
            <v>Cumplimiento de Indicador</v>
          </cell>
          <cell r="K34" t="str">
            <v>Aumentar la población de maestría de investigación y profundización cada año hasta llegar a 220 estudiantes en el 2015</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1</v>
          </cell>
          <cell r="AA34">
            <v>1</v>
          </cell>
          <cell r="AB34" t="str">
            <v>1.4.3</v>
          </cell>
          <cell r="AC34">
            <v>0</v>
          </cell>
        </row>
        <row r="35">
          <cell r="B35" t="str">
            <v>4.3.1</v>
          </cell>
          <cell r="C35" t="str">
            <v>1.4.4</v>
          </cell>
          <cell r="D35" t="str">
            <v>Incrementar los recursos económicos para las actividades de investigación de tal manera que en el 2015 todos los estudiantes de la maestría de investigación deben tener financiación</v>
          </cell>
          <cell r="E35">
            <v>40544</v>
          </cell>
          <cell r="F35">
            <v>42339</v>
          </cell>
          <cell r="G35" t="str">
            <v>Jefe de departamento, coordinador adminsitrativo, coordinador de laboratorios, grupos de investigación, profesores</v>
          </cell>
          <cell r="H35">
            <v>0</v>
          </cell>
          <cell r="I35">
            <v>467583.53501184005</v>
          </cell>
          <cell r="J35" t="str">
            <v>Cumplimiento de Indicador</v>
          </cell>
          <cell r="K35" t="str">
            <v>Para el 2015 todos los estudiantes de la maestría de investigación deben tener financiación</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1</v>
          </cell>
          <cell r="AA35">
            <v>1</v>
          </cell>
          <cell r="AB35" t="str">
            <v>4.3.1</v>
          </cell>
          <cell r="AC35" t="str">
            <v xml:space="preserve">Es necesario específicar cómo se van a realizar los incrementos de recursos. </v>
          </cell>
        </row>
        <row r="36">
          <cell r="B36" t="str">
            <v>1.5</v>
          </cell>
          <cell r="C36" t="str">
            <v>1.5</v>
          </cell>
          <cell r="D36" t="str">
            <v>Subobjetivo 1.5. Mantener un sistema de calidad.</v>
          </cell>
          <cell r="E36">
            <v>0</v>
          </cell>
          <cell r="F36">
            <v>0</v>
          </cell>
          <cell r="G36">
            <v>0</v>
          </cell>
          <cell r="H36">
            <v>0</v>
          </cell>
          <cell r="I36">
            <v>208954.40415302297</v>
          </cell>
          <cell r="J36">
            <v>0</v>
          </cell>
          <cell r="K36">
            <v>0</v>
          </cell>
          <cell r="L36" t="str">
            <v>· Todos los programas de pregrado acreditados por ABET en el 2012. Extender la acreditación a los programas de posgrado.</v>
          </cell>
          <cell r="M36" t="str">
            <v>Calidad</v>
          </cell>
          <cell r="N36">
            <v>0</v>
          </cell>
          <cell r="O36">
            <v>0</v>
          </cell>
          <cell r="P36">
            <v>0</v>
          </cell>
          <cell r="Q36">
            <v>0</v>
          </cell>
          <cell r="R36">
            <v>0</v>
          </cell>
          <cell r="S36">
            <v>0</v>
          </cell>
          <cell r="T36">
            <v>0</v>
          </cell>
          <cell r="U36" t="str">
            <v>Procesos Institucionales</v>
          </cell>
          <cell r="V36" t="str">
            <v>Acreditación / Rankings</v>
          </cell>
          <cell r="W36">
            <v>0</v>
          </cell>
          <cell r="X36">
            <v>3</v>
          </cell>
          <cell r="Y36" t="str">
            <v>No es claro el sistema de calidad al que se hacer referencia</v>
          </cell>
          <cell r="Z36">
            <v>0</v>
          </cell>
          <cell r="AA36">
            <v>0</v>
          </cell>
          <cell r="AB36" t="str">
            <v>1.5</v>
          </cell>
          <cell r="AC36">
            <v>0</v>
          </cell>
        </row>
        <row r="37">
          <cell r="B37" t="str">
            <v>1.5.3</v>
          </cell>
          <cell r="C37" t="str">
            <v>1.5.1.</v>
          </cell>
          <cell r="D37" t="str">
            <v>Concluir la implementación del sistema de calidad del proceso de formación (es el mismo proceso ABET, al menos por ahora)</v>
          </cell>
          <cell r="E37">
            <v>40544</v>
          </cell>
          <cell r="F37">
            <v>40909</v>
          </cell>
          <cell r="G37" t="str">
            <v>Jefe de departamento, Comité Académico Coordinador administrativo</v>
          </cell>
          <cell r="H37">
            <v>0</v>
          </cell>
          <cell r="I37">
            <v>130796.86961222294</v>
          </cell>
          <cell r="J37" t="str">
            <v>Cumplimiento de Indicador</v>
          </cell>
          <cell r="K37" t="str">
            <v>sistema de calidad en marcha</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1</v>
          </cell>
          <cell r="AA37">
            <v>1</v>
          </cell>
          <cell r="AB37" t="str">
            <v>1.5.3</v>
          </cell>
          <cell r="AC37">
            <v>0</v>
          </cell>
        </row>
        <row r="38">
          <cell r="B38" t="str">
            <v>1.5.1</v>
          </cell>
          <cell r="C38" t="str">
            <v>1.5.2.</v>
          </cell>
          <cell r="D38" t="str">
            <v>Institucionalizar el sistema de calidad del proceso de formación: Políticas, recursos, entrenamiento, coherencia de  procesos y políticas.</v>
          </cell>
          <cell r="E38">
            <v>40544</v>
          </cell>
          <cell r="F38">
            <v>40909</v>
          </cell>
          <cell r="G38" t="str">
            <v>Jefe de departamento, Comité Académico Coordinador administrativo</v>
          </cell>
          <cell r="H38">
            <v>0</v>
          </cell>
          <cell r="I38">
            <v>0</v>
          </cell>
          <cell r="J38" t="str">
            <v>Cumplimiento de Indicador</v>
          </cell>
          <cell r="K38" t="str">
            <v>sistema de calidad institucionalizado</v>
          </cell>
          <cell r="L38">
            <v>0</v>
          </cell>
          <cell r="M38">
            <v>0</v>
          </cell>
          <cell r="N38">
            <v>0</v>
          </cell>
          <cell r="O38">
            <v>0</v>
          </cell>
          <cell r="P38">
            <v>0</v>
          </cell>
          <cell r="Q38">
            <v>0</v>
          </cell>
          <cell r="R38">
            <v>0</v>
          </cell>
          <cell r="S38">
            <v>0</v>
          </cell>
          <cell r="T38">
            <v>0</v>
          </cell>
          <cell r="U38">
            <v>0</v>
          </cell>
          <cell r="V38">
            <v>0</v>
          </cell>
          <cell r="W38">
            <v>0</v>
          </cell>
          <cell r="X38">
            <v>0</v>
          </cell>
          <cell r="Y38" t="str">
            <v>Debería generar costos asociados</v>
          </cell>
          <cell r="Z38">
            <v>1</v>
          </cell>
          <cell r="AA38">
            <v>-4</v>
          </cell>
          <cell r="AB38" t="str">
            <v>1.5.1</v>
          </cell>
          <cell r="AC38">
            <v>0</v>
          </cell>
        </row>
        <row r="39">
          <cell r="B39" t="str">
            <v>1.5.2</v>
          </cell>
          <cell r="C39" t="str">
            <v>1.5.3</v>
          </cell>
          <cell r="D39" t="str">
            <v>Complementar el sistema de evaluación de cursos</v>
          </cell>
          <cell r="E39">
            <v>40544</v>
          </cell>
          <cell r="F39">
            <v>40909</v>
          </cell>
          <cell r="G39" t="str">
            <v>Jefe de departamento, Comité Académico Coordinador administrativo</v>
          </cell>
          <cell r="H39">
            <v>0</v>
          </cell>
          <cell r="I39">
            <v>0</v>
          </cell>
          <cell r="J39" t="str">
            <v>Cumplimiento de Indicador</v>
          </cell>
          <cell r="K39" t="str">
            <v>sistema de evaluación de cursos complementario en funcionamiento</v>
          </cell>
          <cell r="L39">
            <v>0</v>
          </cell>
          <cell r="M39">
            <v>0</v>
          </cell>
          <cell r="N39">
            <v>0</v>
          </cell>
          <cell r="O39">
            <v>0</v>
          </cell>
          <cell r="P39">
            <v>0</v>
          </cell>
          <cell r="Q39">
            <v>0</v>
          </cell>
          <cell r="R39">
            <v>0</v>
          </cell>
          <cell r="S39">
            <v>0</v>
          </cell>
          <cell r="T39">
            <v>0</v>
          </cell>
          <cell r="U39">
            <v>0</v>
          </cell>
          <cell r="V39">
            <v>0</v>
          </cell>
          <cell r="W39">
            <v>0</v>
          </cell>
          <cell r="X39">
            <v>0</v>
          </cell>
          <cell r="Y39" t="str">
            <v>Debería generar costos asociados</v>
          </cell>
          <cell r="Z39">
            <v>1</v>
          </cell>
          <cell r="AA39">
            <v>-4</v>
          </cell>
          <cell r="AB39" t="str">
            <v>1.5.2</v>
          </cell>
          <cell r="AC39">
            <v>0</v>
          </cell>
        </row>
        <row r="40">
          <cell r="B40" t="str">
            <v>1.5.4</v>
          </cell>
          <cell r="C40" t="str">
            <v>1.5.4</v>
          </cell>
          <cell r="D40" t="str">
            <v>En el 2012, tener las acreditación internacional ABET</v>
          </cell>
          <cell r="E40">
            <v>40544</v>
          </cell>
          <cell r="F40">
            <v>40909</v>
          </cell>
          <cell r="G40" t="str">
            <v>Jefe de departamento, Comité Académico Coordinador administrativo</v>
          </cell>
          <cell r="H40">
            <v>0</v>
          </cell>
          <cell r="I40">
            <v>78157.534540800014</v>
          </cell>
          <cell r="J40" t="str">
            <v>Cumplimiento de Indicador</v>
          </cell>
          <cell r="K40" t="str">
            <v>ABET 2012</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1</v>
          </cell>
          <cell r="AA40">
            <v>1</v>
          </cell>
          <cell r="AB40" t="str">
            <v>1.5.4</v>
          </cell>
          <cell r="AC40">
            <v>0</v>
          </cell>
        </row>
        <row r="41">
          <cell r="B41" t="str">
            <v>6.4.3</v>
          </cell>
          <cell r="C41" t="str">
            <v>1.5.5</v>
          </cell>
          <cell r="D41" t="str">
            <v xml:space="preserve">Hacer seguimiento al desempeño de los egresados en cuanto a su impacto y aporte al desarrollo del país. </v>
          </cell>
          <cell r="E41">
            <v>40544</v>
          </cell>
          <cell r="F41">
            <v>40756</v>
          </cell>
          <cell r="G41" t="str">
            <v>Jefe de departamento, Comité Académico Coordinador administrativo</v>
          </cell>
          <cell r="H41">
            <v>0</v>
          </cell>
          <cell r="I41">
            <v>0</v>
          </cell>
          <cell r="J41" t="str">
            <v>Cumplimiento de Indicador</v>
          </cell>
          <cell r="K41" t="str">
            <v>Resultados de encuestas</v>
          </cell>
          <cell r="L41">
            <v>0</v>
          </cell>
          <cell r="M41">
            <v>0</v>
          </cell>
          <cell r="N41">
            <v>0</v>
          </cell>
          <cell r="O41">
            <v>0</v>
          </cell>
          <cell r="P41">
            <v>0</v>
          </cell>
          <cell r="Q41">
            <v>0</v>
          </cell>
          <cell r="R41">
            <v>0</v>
          </cell>
          <cell r="S41">
            <v>0</v>
          </cell>
          <cell r="T41">
            <v>0</v>
          </cell>
          <cell r="U41">
            <v>0</v>
          </cell>
          <cell r="V41">
            <v>0</v>
          </cell>
          <cell r="W41">
            <v>0</v>
          </cell>
          <cell r="X41">
            <v>0</v>
          </cell>
          <cell r="Y41" t="str">
            <v>Debería generar costos asociados</v>
          </cell>
          <cell r="Z41">
            <v>1</v>
          </cell>
          <cell r="AA41">
            <v>-4</v>
          </cell>
          <cell r="AB41" t="str">
            <v>6.4.3</v>
          </cell>
          <cell r="AC41">
            <v>0</v>
          </cell>
        </row>
        <row r="42">
          <cell r="B42">
            <v>4</v>
          </cell>
          <cell r="C42">
            <v>2</v>
          </cell>
          <cell r="D42" t="str">
            <v>Fortalecer la investigación</v>
          </cell>
          <cell r="E42">
            <v>0</v>
          </cell>
          <cell r="F42">
            <v>0</v>
          </cell>
          <cell r="G42">
            <v>0</v>
          </cell>
          <cell r="H42">
            <v>0</v>
          </cell>
          <cell r="I42">
            <v>825080.11601633299</v>
          </cell>
          <cell r="J42">
            <v>0</v>
          </cell>
          <cell r="K42">
            <v>0</v>
          </cell>
          <cell r="L42">
            <v>0</v>
          </cell>
          <cell r="M42">
            <v>0</v>
          </cell>
          <cell r="N42" t="str">
            <v>Proyectos</v>
          </cell>
          <cell r="O42">
            <v>0</v>
          </cell>
          <cell r="P42">
            <v>0</v>
          </cell>
          <cell r="Q42">
            <v>0</v>
          </cell>
          <cell r="R42">
            <v>0</v>
          </cell>
          <cell r="S42">
            <v>0</v>
          </cell>
          <cell r="T42">
            <v>0</v>
          </cell>
          <cell r="U42">
            <v>0</v>
          </cell>
          <cell r="V42">
            <v>0</v>
          </cell>
          <cell r="W42">
            <v>0</v>
          </cell>
          <cell r="X42">
            <v>1</v>
          </cell>
          <cell r="Y42">
            <v>0</v>
          </cell>
          <cell r="Z42">
            <v>1</v>
          </cell>
          <cell r="AA42">
            <v>0</v>
          </cell>
          <cell r="AB42">
            <v>4</v>
          </cell>
          <cell r="AC42">
            <v>0</v>
          </cell>
        </row>
        <row r="43">
          <cell r="B43" t="str">
            <v>4.1</v>
          </cell>
          <cell r="C43" t="str">
            <v>2.1</v>
          </cell>
          <cell r="D43" t="str">
            <v>Subobjetivo 2.1. Desarrollar las Líneas Estratégicas de la Facultad</v>
          </cell>
          <cell r="E43">
            <v>0</v>
          </cell>
          <cell r="F43">
            <v>0</v>
          </cell>
          <cell r="G43">
            <v>0</v>
          </cell>
          <cell r="H43">
            <v>0</v>
          </cell>
          <cell r="I43">
            <v>0</v>
          </cell>
          <cell r="J43">
            <v>0</v>
          </cell>
          <cell r="K43">
            <v>0</v>
          </cell>
          <cell r="L43" t="str">
            <v xml:space="preserve">·  Al menos 4 líneas de investigación consolidadas en el 2015. (*) </v>
          </cell>
          <cell r="M43">
            <v>0</v>
          </cell>
          <cell r="N43" t="str">
            <v>Grupos de Investigación/ Líneas</v>
          </cell>
          <cell r="O43">
            <v>0</v>
          </cell>
          <cell r="P43">
            <v>0</v>
          </cell>
          <cell r="Q43">
            <v>0</v>
          </cell>
          <cell r="R43">
            <v>0</v>
          </cell>
          <cell r="S43">
            <v>0</v>
          </cell>
          <cell r="T43">
            <v>0</v>
          </cell>
          <cell r="U43">
            <v>0</v>
          </cell>
          <cell r="V43">
            <v>0</v>
          </cell>
          <cell r="W43">
            <v>0</v>
          </cell>
          <cell r="X43">
            <v>1</v>
          </cell>
          <cell r="Y43">
            <v>0</v>
          </cell>
          <cell r="Z43">
            <v>1</v>
          </cell>
          <cell r="AA43">
            <v>0</v>
          </cell>
          <cell r="AB43" t="str">
            <v>4.1</v>
          </cell>
          <cell r="AC43">
            <v>0</v>
          </cell>
        </row>
        <row r="44">
          <cell r="B44" t="str">
            <v>4.1.2</v>
          </cell>
          <cell r="C44" t="str">
            <v>2.1.1</v>
          </cell>
          <cell r="D44" t="str">
            <v xml:space="preserve">Los grupos deben modificar al menos algunas de sus líneas de investigación de manera que sus esfuerzos sean orientados a la obtención de resultados que se puedan vincular a las líneas estratégicas de la Facultad. </v>
          </cell>
          <cell r="E44">
            <v>40544</v>
          </cell>
          <cell r="F44">
            <v>40664</v>
          </cell>
          <cell r="G44" t="str">
            <v>Grupos de investigación</v>
          </cell>
          <cell r="H44">
            <v>0</v>
          </cell>
          <cell r="I44">
            <v>0</v>
          </cell>
          <cell r="J44" t="str">
            <v>Cumplimiento de Indicador</v>
          </cell>
          <cell r="K44" t="str">
            <v>2 líneas por grupo</v>
          </cell>
          <cell r="L44">
            <v>0</v>
          </cell>
          <cell r="M44">
            <v>0</v>
          </cell>
          <cell r="N44">
            <v>0</v>
          </cell>
          <cell r="O44">
            <v>0</v>
          </cell>
          <cell r="P44">
            <v>0</v>
          </cell>
          <cell r="Q44">
            <v>0</v>
          </cell>
          <cell r="R44">
            <v>0</v>
          </cell>
          <cell r="S44">
            <v>0</v>
          </cell>
          <cell r="T44">
            <v>0</v>
          </cell>
          <cell r="U44">
            <v>0</v>
          </cell>
          <cell r="V44">
            <v>0</v>
          </cell>
          <cell r="W44">
            <v>0</v>
          </cell>
          <cell r="X44">
            <v>0</v>
          </cell>
          <cell r="Y44" t="str">
            <v>¿Se genera algún costo?</v>
          </cell>
          <cell r="Z44">
            <v>1</v>
          </cell>
          <cell r="AA44">
            <v>0</v>
          </cell>
          <cell r="AB44" t="str">
            <v>4.1.2</v>
          </cell>
          <cell r="AC44">
            <v>0</v>
          </cell>
        </row>
        <row r="45">
          <cell r="B45" t="str">
            <v>4.1.3</v>
          </cell>
          <cell r="C45" t="str">
            <v>2.1.2</v>
          </cell>
          <cell r="D45" t="str">
            <v>Realizar proyectos interdisciplinares relacionados con las líneas estratégicas de la Facultad</v>
          </cell>
          <cell r="E45">
            <v>40544</v>
          </cell>
          <cell r="F45">
            <v>42339</v>
          </cell>
          <cell r="G45" t="str">
            <v>Grupos de investigación</v>
          </cell>
          <cell r="H45">
            <v>0</v>
          </cell>
          <cell r="I45">
            <v>0</v>
          </cell>
          <cell r="J45" t="str">
            <v>Cumplimiento de Indicador</v>
          </cell>
          <cell r="K45" t="str">
            <v>un proyecto por grupo de manera continua</v>
          </cell>
          <cell r="L45">
            <v>0</v>
          </cell>
          <cell r="M45">
            <v>0</v>
          </cell>
          <cell r="N45">
            <v>0</v>
          </cell>
          <cell r="O45">
            <v>0</v>
          </cell>
          <cell r="P45">
            <v>0</v>
          </cell>
          <cell r="Q45">
            <v>0</v>
          </cell>
          <cell r="R45">
            <v>0</v>
          </cell>
          <cell r="S45">
            <v>0</v>
          </cell>
          <cell r="T45">
            <v>0</v>
          </cell>
          <cell r="U45">
            <v>0</v>
          </cell>
          <cell r="V45">
            <v>0</v>
          </cell>
          <cell r="W45">
            <v>0</v>
          </cell>
          <cell r="X45">
            <v>0</v>
          </cell>
          <cell r="Y45" t="str">
            <v>Debería generar costos asociados</v>
          </cell>
          <cell r="Z45">
            <v>1</v>
          </cell>
          <cell r="AA45">
            <v>-1</v>
          </cell>
          <cell r="AB45" t="str">
            <v>4.1.3</v>
          </cell>
          <cell r="AC45">
            <v>0</v>
          </cell>
        </row>
        <row r="46">
          <cell r="B46" t="str">
            <v>4.2</v>
          </cell>
          <cell r="C46" t="str">
            <v>2.2</v>
          </cell>
          <cell r="D46" t="str">
            <v>Subobjetivo 2.2. Fortalecer el doctorado y los grupos de investigación</v>
          </cell>
          <cell r="E46">
            <v>0</v>
          </cell>
          <cell r="F46">
            <v>0</v>
          </cell>
          <cell r="G46">
            <v>0</v>
          </cell>
          <cell r="H46">
            <v>0</v>
          </cell>
          <cell r="I46">
            <v>0</v>
          </cell>
          <cell r="J46">
            <v>0</v>
          </cell>
          <cell r="K46">
            <v>0</v>
          </cell>
          <cell r="L46" t="str">
            <v>·  Todos los profesores habilitados asesorando al menos 2 estudiantes de doctorado en el 2015.</v>
          </cell>
          <cell r="M46">
            <v>0</v>
          </cell>
          <cell r="N46" t="str">
            <v>Grupos de Investigación/ Líneas</v>
          </cell>
          <cell r="O46">
            <v>0</v>
          </cell>
          <cell r="P46">
            <v>0</v>
          </cell>
          <cell r="Q46">
            <v>0</v>
          </cell>
          <cell r="R46">
            <v>0</v>
          </cell>
          <cell r="S46">
            <v>0</v>
          </cell>
          <cell r="T46">
            <v>0</v>
          </cell>
          <cell r="U46">
            <v>0</v>
          </cell>
          <cell r="V46">
            <v>0</v>
          </cell>
          <cell r="W46">
            <v>0</v>
          </cell>
          <cell r="X46">
            <v>1</v>
          </cell>
          <cell r="Y46">
            <v>0</v>
          </cell>
          <cell r="Z46">
            <v>1</v>
          </cell>
          <cell r="AA46">
            <v>0</v>
          </cell>
          <cell r="AB46" t="str">
            <v>4.2</v>
          </cell>
          <cell r="AC46">
            <v>0</v>
          </cell>
        </row>
        <row r="47">
          <cell r="B47" t="str">
            <v>4.2.1</v>
          </cell>
          <cell r="C47" t="str">
            <v>2.2.1</v>
          </cell>
          <cell r="D47" t="str">
            <v>Todos los profesores habilitados, asesorando al menos 2 estudiantes de doctorado en el 2015. Incluir en el plan de trabajo de cada profesor, mostrando aumento gradual de 2011 en adelante</v>
          </cell>
          <cell r="E47">
            <v>40544</v>
          </cell>
          <cell r="F47">
            <v>42339</v>
          </cell>
          <cell r="G47" t="str">
            <v>Profesores</v>
          </cell>
          <cell r="H47">
            <v>0</v>
          </cell>
          <cell r="I47">
            <v>0</v>
          </cell>
          <cell r="J47" t="str">
            <v>Cumplimiento de Indicador</v>
          </cell>
          <cell r="K47" t="str">
            <v>Todos los profesores habilitados, asesorando al menos 2 estudiantes de doctorado en el 2015</v>
          </cell>
          <cell r="L47">
            <v>0</v>
          </cell>
          <cell r="M47">
            <v>0</v>
          </cell>
          <cell r="N47">
            <v>0</v>
          </cell>
          <cell r="O47">
            <v>0</v>
          </cell>
          <cell r="P47">
            <v>0</v>
          </cell>
          <cell r="Q47">
            <v>0</v>
          </cell>
          <cell r="R47">
            <v>0</v>
          </cell>
          <cell r="S47">
            <v>0</v>
          </cell>
          <cell r="T47">
            <v>0</v>
          </cell>
          <cell r="U47">
            <v>0</v>
          </cell>
          <cell r="V47">
            <v>0</v>
          </cell>
          <cell r="W47">
            <v>0</v>
          </cell>
          <cell r="X47">
            <v>0</v>
          </cell>
          <cell r="Y47" t="str">
            <v>¿Se genera algún costo?</v>
          </cell>
          <cell r="Z47">
            <v>1</v>
          </cell>
          <cell r="AA47">
            <v>0</v>
          </cell>
          <cell r="AB47" t="str">
            <v>4.2.1</v>
          </cell>
          <cell r="AC47">
            <v>0</v>
          </cell>
        </row>
        <row r="48">
          <cell r="B48" t="str">
            <v>4.3</v>
          </cell>
          <cell r="C48" t="str">
            <v>2.3.</v>
          </cell>
          <cell r="D48" t="str">
            <v>Subobjetivo 2.3. Incrementar los recursos económicos para las actividades de investigación.</v>
          </cell>
          <cell r="E48">
            <v>0</v>
          </cell>
          <cell r="F48">
            <v>0</v>
          </cell>
          <cell r="G48">
            <v>0</v>
          </cell>
          <cell r="H48">
            <v>0</v>
          </cell>
          <cell r="I48">
            <v>80393.825799372804</v>
          </cell>
          <cell r="J48">
            <v>0</v>
          </cell>
          <cell r="K48">
            <v>0</v>
          </cell>
          <cell r="L48" t="str">
            <v>·  $5,000 millones de pesos al año generados por proyectos de investigación (financiación externa, que no pagan overhead) diferentes a los ingresos de las líneas estratégicas.</v>
          </cell>
          <cell r="M48">
            <v>0</v>
          </cell>
          <cell r="N48" t="str">
            <v>Financiación</v>
          </cell>
          <cell r="O48">
            <v>0</v>
          </cell>
          <cell r="P48">
            <v>0</v>
          </cell>
          <cell r="Q48">
            <v>0</v>
          </cell>
          <cell r="R48">
            <v>0</v>
          </cell>
          <cell r="S48">
            <v>0</v>
          </cell>
          <cell r="T48">
            <v>0</v>
          </cell>
          <cell r="U48">
            <v>0</v>
          </cell>
          <cell r="V48">
            <v>0</v>
          </cell>
          <cell r="W48">
            <v>0</v>
          </cell>
          <cell r="X48">
            <v>1</v>
          </cell>
          <cell r="Y48">
            <v>0</v>
          </cell>
          <cell r="Z48">
            <v>1</v>
          </cell>
          <cell r="AA48">
            <v>0</v>
          </cell>
          <cell r="AB48" t="str">
            <v>4.3</v>
          </cell>
          <cell r="AC48">
            <v>0</v>
          </cell>
        </row>
        <row r="49">
          <cell r="B49" t="str">
            <v>4.3.1</v>
          </cell>
          <cell r="C49" t="str">
            <v>2.3.1</v>
          </cell>
          <cell r="D49" t="str">
            <v>Incrementar anualmente los ingresos generados por proyectos de investigación (Colciencias, financiación de doctorados por: Colciencias, universidades y proyectos con empresas grandes, recursos internacionales, etc.) de tal manera que para  el 2015 alcancemos la meta de 1200 millones.</v>
          </cell>
          <cell r="E49">
            <v>40544</v>
          </cell>
          <cell r="F49">
            <v>42339</v>
          </cell>
          <cell r="G49" t="str">
            <v>Jefe de departamento, grupos de investigación, profesores</v>
          </cell>
          <cell r="H49">
            <v>0</v>
          </cell>
          <cell r="I49">
            <v>0</v>
          </cell>
          <cell r="J49" t="str">
            <v>Cumplimiento de Indicador</v>
          </cell>
          <cell r="K49" t="str">
            <v>1200 millones en el 2015</v>
          </cell>
          <cell r="L49">
            <v>0</v>
          </cell>
          <cell r="M49">
            <v>0</v>
          </cell>
          <cell r="N49">
            <v>0</v>
          </cell>
          <cell r="O49">
            <v>0</v>
          </cell>
          <cell r="P49">
            <v>0</v>
          </cell>
          <cell r="Q49">
            <v>0</v>
          </cell>
          <cell r="R49">
            <v>0</v>
          </cell>
          <cell r="S49">
            <v>0</v>
          </cell>
          <cell r="T49">
            <v>0</v>
          </cell>
          <cell r="U49">
            <v>0</v>
          </cell>
          <cell r="V49">
            <v>0</v>
          </cell>
          <cell r="W49">
            <v>0</v>
          </cell>
          <cell r="X49">
            <v>0</v>
          </cell>
          <cell r="Y49" t="str">
            <v>¿Se genera algún costo?</v>
          </cell>
          <cell r="Z49">
            <v>1</v>
          </cell>
          <cell r="AA49">
            <v>0</v>
          </cell>
          <cell r="AB49" t="str">
            <v>4.3.1</v>
          </cell>
          <cell r="AC49">
            <v>0</v>
          </cell>
        </row>
        <row r="50">
          <cell r="B50" t="str">
            <v>4.2.2</v>
          </cell>
          <cell r="C50" t="str">
            <v>2.3.2.</v>
          </cell>
          <cell r="D50" t="str">
            <v>Promoción continua en las universidades del país de nuestro programa doctoral</v>
          </cell>
          <cell r="E50">
            <v>40544</v>
          </cell>
          <cell r="F50">
            <v>42339</v>
          </cell>
          <cell r="G50" t="str">
            <v>Jefe de departamento, grupos de investigación, profesores</v>
          </cell>
          <cell r="H50">
            <v>0</v>
          </cell>
          <cell r="I50">
            <v>40196.912899686402</v>
          </cell>
          <cell r="J50" t="str">
            <v>Cumplimiento de Indicador</v>
          </cell>
          <cell r="K50" t="str">
            <v>2 estudiantes de doctorado por grupo proveniente de universidades nacionales</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1</v>
          </cell>
          <cell r="AA50">
            <v>1</v>
          </cell>
          <cell r="AB50" t="str">
            <v>4.2.2</v>
          </cell>
          <cell r="AC50">
            <v>0</v>
          </cell>
        </row>
        <row r="51">
          <cell r="B51" t="str">
            <v>4.2.2</v>
          </cell>
          <cell r="C51" t="str">
            <v>2.3.3.</v>
          </cell>
          <cell r="D51" t="str">
            <v>Promoción continua en empresas grandes del país de nuestro programa doctoral</v>
          </cell>
          <cell r="E51">
            <v>40544</v>
          </cell>
          <cell r="F51">
            <v>42339</v>
          </cell>
          <cell r="G51" t="str">
            <v>Jefe de departamento, grupos de investigación, profesores</v>
          </cell>
          <cell r="H51">
            <v>0</v>
          </cell>
          <cell r="I51">
            <v>40196.912899686402</v>
          </cell>
          <cell r="J51" t="str">
            <v>Cumplimiento de Indicador</v>
          </cell>
          <cell r="K51" t="str">
            <v>3 estudiantes de doctorado financiados por empresas para el 2015</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1</v>
          </cell>
          <cell r="AA51">
            <v>1</v>
          </cell>
          <cell r="AB51" t="str">
            <v>4.2.2</v>
          </cell>
          <cell r="AC51">
            <v>0</v>
          </cell>
        </row>
        <row r="52">
          <cell r="B52" t="str">
            <v>4.3.3</v>
          </cell>
          <cell r="C52" t="str">
            <v>2.3.4</v>
          </cell>
          <cell r="D52" t="str">
            <v>Crear y mantener una organización y un sistema de apoyo a convocatorias de Colciencias y de redes internacionales, para que la participación en convocatorias sea lo mas eficiente y efectiva posible.</v>
          </cell>
          <cell r="E52">
            <v>40544</v>
          </cell>
          <cell r="F52">
            <v>42339</v>
          </cell>
          <cell r="G52" t="str">
            <v>Jefe de departamento, coordinador adminsitrativo, grupos de investigación, profesores</v>
          </cell>
          <cell r="H52">
            <v>0</v>
          </cell>
          <cell r="I52">
            <v>0</v>
          </cell>
          <cell r="J52" t="str">
            <v>Cumplimiento de Indicador</v>
          </cell>
          <cell r="K52" t="str">
            <v>organización y sistema de apoyo funcionando</v>
          </cell>
          <cell r="L52">
            <v>0</v>
          </cell>
          <cell r="M52">
            <v>0</v>
          </cell>
          <cell r="N52">
            <v>0</v>
          </cell>
          <cell r="O52">
            <v>0</v>
          </cell>
          <cell r="P52">
            <v>0</v>
          </cell>
          <cell r="Q52">
            <v>0</v>
          </cell>
          <cell r="R52">
            <v>0</v>
          </cell>
          <cell r="S52">
            <v>0</v>
          </cell>
          <cell r="T52">
            <v>0</v>
          </cell>
          <cell r="U52">
            <v>0</v>
          </cell>
          <cell r="V52">
            <v>0</v>
          </cell>
          <cell r="W52">
            <v>0</v>
          </cell>
          <cell r="X52">
            <v>0</v>
          </cell>
          <cell r="Y52" t="str">
            <v>Debería generar costos asociados</v>
          </cell>
          <cell r="Z52">
            <v>1</v>
          </cell>
          <cell r="AA52">
            <v>-1</v>
          </cell>
          <cell r="AB52" t="str">
            <v>4.3.3</v>
          </cell>
          <cell r="AC52">
            <v>0</v>
          </cell>
        </row>
        <row r="53">
          <cell r="B53" t="str">
            <v>4.4</v>
          </cell>
          <cell r="C53" t="str">
            <v>2.4</v>
          </cell>
          <cell r="D53" t="str">
            <v>Subobjetivo 2.4. Aumentar la producción y la divulgación de nuevo conocimiento (publicaciones, patentes, software, etc.).</v>
          </cell>
          <cell r="E53">
            <v>0</v>
          </cell>
          <cell r="F53">
            <v>0</v>
          </cell>
          <cell r="G53">
            <v>0</v>
          </cell>
          <cell r="H53">
            <v>0</v>
          </cell>
          <cell r="I53">
            <v>262221.94186240004</v>
          </cell>
          <cell r="J53">
            <v>0</v>
          </cell>
          <cell r="K53">
            <v>0</v>
          </cell>
          <cell r="L53" t="str">
            <v>·  1 artículo publicado en revistas ISI por profesor por año.</v>
          </cell>
          <cell r="M53">
            <v>0</v>
          </cell>
          <cell r="N53" t="str">
            <v>Productos bibliográficos y técnicos</v>
          </cell>
          <cell r="O53">
            <v>0</v>
          </cell>
          <cell r="P53">
            <v>0</v>
          </cell>
          <cell r="Q53">
            <v>0</v>
          </cell>
          <cell r="R53">
            <v>0</v>
          </cell>
          <cell r="S53">
            <v>0</v>
          </cell>
          <cell r="T53">
            <v>0</v>
          </cell>
          <cell r="U53">
            <v>0</v>
          </cell>
          <cell r="V53">
            <v>0</v>
          </cell>
          <cell r="W53">
            <v>0</v>
          </cell>
          <cell r="X53">
            <v>1</v>
          </cell>
          <cell r="Y53">
            <v>0</v>
          </cell>
          <cell r="Z53">
            <v>1</v>
          </cell>
          <cell r="AA53">
            <v>0</v>
          </cell>
          <cell r="AB53" t="str">
            <v>4.4</v>
          </cell>
          <cell r="AC53">
            <v>0</v>
          </cell>
        </row>
        <row r="54">
          <cell r="B54" t="str">
            <v>4.4.1</v>
          </cell>
          <cell r="C54" t="str">
            <v>2.4.1</v>
          </cell>
          <cell r="D54" t="str">
            <v>Continuar aumentando nuestra productividad cada año de tal manera que para el 2015, cada  profesor publique un artículo ISI por año.</v>
          </cell>
          <cell r="E54">
            <v>40544</v>
          </cell>
          <cell r="F54">
            <v>42339</v>
          </cell>
          <cell r="G54" t="str">
            <v>Grupos de investigación, profesores</v>
          </cell>
          <cell r="H54">
            <v>0</v>
          </cell>
          <cell r="I54">
            <v>158011.895808</v>
          </cell>
          <cell r="J54" t="str">
            <v>Cumplimiento de Indicador</v>
          </cell>
          <cell r="K54" t="str">
            <v>1 artículo ISI por año por profesor en el 2015</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1</v>
          </cell>
          <cell r="AA54">
            <v>1</v>
          </cell>
          <cell r="AB54" t="str">
            <v>4.4.1</v>
          </cell>
          <cell r="AC54">
            <v>0</v>
          </cell>
        </row>
        <row r="55">
          <cell r="B55" t="str">
            <v>4.4.2</v>
          </cell>
          <cell r="C55" t="str">
            <v>2.4.2.</v>
          </cell>
          <cell r="D55" t="str">
            <v>Participar de diversas maneras en congresos y conferencias nacionales e internacionales</v>
          </cell>
          <cell r="E55">
            <v>40544</v>
          </cell>
          <cell r="F55">
            <v>42339</v>
          </cell>
          <cell r="G55" t="str">
            <v>Grupos de investigación, profesores</v>
          </cell>
          <cell r="H55">
            <v>0</v>
          </cell>
          <cell r="I55">
            <v>104210.04605440001</v>
          </cell>
          <cell r="J55" t="str">
            <v>Cumplimiento de Indicador</v>
          </cell>
          <cell r="K55" t="str">
            <v>5 viajes internaciona-les al semestre</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1</v>
          </cell>
          <cell r="AA55">
            <v>1</v>
          </cell>
          <cell r="AB55" t="str">
            <v>4.4.2</v>
          </cell>
          <cell r="AC55">
            <v>0</v>
          </cell>
        </row>
        <row r="56">
          <cell r="B56" t="str">
            <v>4.5</v>
          </cell>
          <cell r="C56" t="str">
            <v>2.5.</v>
          </cell>
          <cell r="D56" t="str">
            <v>Subobjetivo 2.5. Incrementar la cooperación internacional.</v>
          </cell>
          <cell r="E56">
            <v>0</v>
          </cell>
          <cell r="F56">
            <v>0</v>
          </cell>
          <cell r="G56">
            <v>0</v>
          </cell>
          <cell r="H56">
            <v>0</v>
          </cell>
          <cell r="I56">
            <v>482464.34835456009</v>
          </cell>
          <cell r="J56">
            <v>0</v>
          </cell>
          <cell r="K56">
            <v>0</v>
          </cell>
          <cell r="L56" t="str">
            <v>· El tiempo de permanencia de profesores visitantes en la Facultad debe superar los 70 meses al año.</v>
          </cell>
          <cell r="M56">
            <v>0</v>
          </cell>
          <cell r="N56" t="str">
            <v>Internacionalización</v>
          </cell>
          <cell r="O56">
            <v>0</v>
          </cell>
          <cell r="P56">
            <v>0</v>
          </cell>
          <cell r="Q56">
            <v>0</v>
          </cell>
          <cell r="R56">
            <v>0</v>
          </cell>
          <cell r="S56">
            <v>0</v>
          </cell>
          <cell r="T56">
            <v>0</v>
          </cell>
          <cell r="U56">
            <v>0</v>
          </cell>
          <cell r="V56">
            <v>0</v>
          </cell>
          <cell r="W56">
            <v>0</v>
          </cell>
          <cell r="X56">
            <v>1</v>
          </cell>
          <cell r="Y56">
            <v>0</v>
          </cell>
          <cell r="Z56">
            <v>1</v>
          </cell>
          <cell r="AA56">
            <v>0</v>
          </cell>
          <cell r="AB56" t="str">
            <v>4.5</v>
          </cell>
          <cell r="AC56">
            <v>0</v>
          </cell>
        </row>
        <row r="57">
          <cell r="B57" t="str">
            <v>4.5.1</v>
          </cell>
          <cell r="C57" t="str">
            <v>2.5.1</v>
          </cell>
          <cell r="D57" t="str">
            <v xml:space="preserve">Los grupos y profesores, con apoyo del departamento, deben invitar profesores extranjeros a la escuela de verano </v>
          </cell>
          <cell r="E57">
            <v>40544</v>
          </cell>
          <cell r="F57">
            <v>42339</v>
          </cell>
          <cell r="G57" t="str">
            <v>Grupos de investigación, profesores</v>
          </cell>
          <cell r="H57">
            <v>0</v>
          </cell>
          <cell r="I57">
            <v>135191.41109760001</v>
          </cell>
          <cell r="J57" t="str">
            <v>Cumplimiento de Indicador</v>
          </cell>
          <cell r="K57" t="str">
            <v>4 cursos de verano al año</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1</v>
          </cell>
          <cell r="AA57">
            <v>1</v>
          </cell>
          <cell r="AB57" t="str">
            <v>4.5.1</v>
          </cell>
          <cell r="AC57">
            <v>0</v>
          </cell>
        </row>
        <row r="58">
          <cell r="B58" t="str">
            <v>4.5.2</v>
          </cell>
          <cell r="C58" t="str">
            <v>2.5.2</v>
          </cell>
          <cell r="D58" t="str">
            <v>STAI en universidad, centro de investigación o empresa extranjera</v>
          </cell>
          <cell r="E58">
            <v>40544</v>
          </cell>
          <cell r="F58">
            <v>42339</v>
          </cell>
          <cell r="G58" t="str">
            <v>Grupos de investigación, profesores</v>
          </cell>
          <cell r="H58">
            <v>0</v>
          </cell>
          <cell r="I58">
            <v>41684.018421760004</v>
          </cell>
          <cell r="J58" t="str">
            <v>Cumplimiento de Indicador</v>
          </cell>
          <cell r="K58" t="str">
            <v>1 stai cada año</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1</v>
          </cell>
          <cell r="AA58">
            <v>1</v>
          </cell>
          <cell r="AB58" t="str">
            <v>4.5.2</v>
          </cell>
          <cell r="AC58">
            <v>0</v>
          </cell>
        </row>
        <row r="59">
          <cell r="B59" t="str">
            <v>4.5.3</v>
          </cell>
          <cell r="C59" t="str">
            <v>2.5.3</v>
          </cell>
          <cell r="D59" t="str">
            <v>Pasantías de estudiantes de pregrado y maestría en el exterior</v>
          </cell>
          <cell r="E59">
            <v>0</v>
          </cell>
          <cell r="F59">
            <v>0</v>
          </cell>
          <cell r="G59">
            <v>0</v>
          </cell>
          <cell r="H59">
            <v>0</v>
          </cell>
          <cell r="I59">
            <v>253483.89580800003</v>
          </cell>
          <cell r="J59" t="str">
            <v>Cumplimiento de Indicador</v>
          </cell>
          <cell r="K59" t="str">
            <v>5 por ciento (10 estud)</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1</v>
          </cell>
          <cell r="AA59">
            <v>1</v>
          </cell>
          <cell r="AB59" t="str">
            <v>4.5.3</v>
          </cell>
          <cell r="AC59">
            <v>0</v>
          </cell>
        </row>
        <row r="60">
          <cell r="B60" t="str">
            <v>4.5.4</v>
          </cell>
          <cell r="C60" t="str">
            <v>2.5.4</v>
          </cell>
          <cell r="D60" t="str">
            <v>profesores del departamento hacen en el exterior visitas cortas (aprox 1 mes) técnicas en docencia o investigación</v>
          </cell>
          <cell r="E60">
            <v>0</v>
          </cell>
          <cell r="F60">
            <v>0</v>
          </cell>
          <cell r="G60">
            <v>0</v>
          </cell>
          <cell r="H60">
            <v>0</v>
          </cell>
          <cell r="I60">
            <v>52105.023027200004</v>
          </cell>
          <cell r="J60" t="str">
            <v>Cumplimiento de Indicador</v>
          </cell>
          <cell r="K60" t="str">
            <v>2 viajes internacionales al semestre</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1</v>
          </cell>
          <cell r="AA60">
            <v>1</v>
          </cell>
          <cell r="AB60" t="str">
            <v>4.5.4</v>
          </cell>
          <cell r="AC60">
            <v>0</v>
          </cell>
        </row>
        <row r="61">
          <cell r="B61">
            <v>6</v>
          </cell>
          <cell r="C61">
            <v>3</v>
          </cell>
          <cell r="D61" t="str">
            <v xml:space="preserve">Objetivo 3: Aumentar la contribución de la Facultad al desarrollo  del país. </v>
          </cell>
          <cell r="E61">
            <v>0</v>
          </cell>
          <cell r="F61">
            <v>0</v>
          </cell>
          <cell r="G61">
            <v>0</v>
          </cell>
          <cell r="H61">
            <v>0</v>
          </cell>
          <cell r="I61">
            <v>2333168.6542064548</v>
          </cell>
          <cell r="J61">
            <v>0</v>
          </cell>
          <cell r="K61">
            <v>0</v>
          </cell>
          <cell r="L61">
            <v>0</v>
          </cell>
          <cell r="M61">
            <v>0</v>
          </cell>
          <cell r="N61">
            <v>0</v>
          </cell>
          <cell r="O61">
            <v>0</v>
          </cell>
          <cell r="P61">
            <v>0</v>
          </cell>
          <cell r="Q61">
            <v>0</v>
          </cell>
          <cell r="R61">
            <v>0</v>
          </cell>
          <cell r="S61">
            <v>0</v>
          </cell>
          <cell r="T61">
            <v>0</v>
          </cell>
          <cell r="U61">
            <v>0</v>
          </cell>
          <cell r="V61" t="str">
            <v>Participación</v>
          </cell>
          <cell r="W61">
            <v>0</v>
          </cell>
          <cell r="X61">
            <v>1</v>
          </cell>
          <cell r="Y61">
            <v>0</v>
          </cell>
          <cell r="Z61">
            <v>1</v>
          </cell>
          <cell r="AA61">
            <v>0</v>
          </cell>
          <cell r="AB61">
            <v>6</v>
          </cell>
          <cell r="AC61">
            <v>0</v>
          </cell>
        </row>
        <row r="62">
          <cell r="B62" t="str">
            <v>6.1</v>
          </cell>
          <cell r="C62" t="str">
            <v>3.1</v>
          </cell>
          <cell r="D62" t="str">
            <v xml:space="preserve">Subobjetivo 3.1:  Asistir a las empresas en sus esfuerzos por aumentar su competitividad. </v>
          </cell>
          <cell r="E62">
            <v>0</v>
          </cell>
          <cell r="F62">
            <v>0</v>
          </cell>
          <cell r="G62">
            <v>0</v>
          </cell>
          <cell r="H62">
            <v>0</v>
          </cell>
          <cell r="I62">
            <v>2238782.5173584805</v>
          </cell>
          <cell r="J62">
            <v>0</v>
          </cell>
          <cell r="K62">
            <v>0</v>
          </cell>
          <cell r="L62" t="str">
            <v>· 100% de los proyectos tiene un impacto favorable en la competitividad de las empresas, desde la perspectiva de la entidad contratante.</v>
          </cell>
          <cell r="M62">
            <v>0</v>
          </cell>
          <cell r="N62">
            <v>0</v>
          </cell>
          <cell r="O62">
            <v>0</v>
          </cell>
          <cell r="P62">
            <v>0</v>
          </cell>
          <cell r="Q62">
            <v>0</v>
          </cell>
          <cell r="R62">
            <v>0</v>
          </cell>
          <cell r="S62">
            <v>0</v>
          </cell>
          <cell r="T62">
            <v>0</v>
          </cell>
          <cell r="U62">
            <v>0</v>
          </cell>
          <cell r="V62" t="str">
            <v>Vínculos Empresas</v>
          </cell>
          <cell r="W62">
            <v>0</v>
          </cell>
          <cell r="X62">
            <v>1</v>
          </cell>
          <cell r="Y62">
            <v>0</v>
          </cell>
          <cell r="Z62">
            <v>1</v>
          </cell>
          <cell r="AA62">
            <v>0</v>
          </cell>
          <cell r="AB62" t="str">
            <v>6.1</v>
          </cell>
          <cell r="AC62">
            <v>0</v>
          </cell>
        </row>
        <row r="63">
          <cell r="B63" t="str">
            <v>5.2.1</v>
          </cell>
          <cell r="C63" t="str">
            <v>3.1.1</v>
          </cell>
          <cell r="D63" t="str">
            <v>El Departamento debe fortalecer los grupos de investigación contra compromisos de proyectos importantes con el sector externo</v>
          </cell>
          <cell r="E63">
            <v>40544</v>
          </cell>
          <cell r="F63">
            <v>42339</v>
          </cell>
          <cell r="G63" t="str">
            <v>jefe de departamento, grupos de investigación, profesores</v>
          </cell>
          <cell r="H63">
            <v>0</v>
          </cell>
          <cell r="I63">
            <v>799301.92163009685</v>
          </cell>
          <cell r="J63" t="str">
            <v>Cumplimiento de Indicador</v>
          </cell>
          <cell r="K63" t="str">
            <v>2,5% del ingreso del departamento para las acciones 3.1.1 + 3.1.3</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14</v>
          </cell>
          <cell r="AA63">
            <v>1</v>
          </cell>
          <cell r="AB63" t="str">
            <v>5.2.1</v>
          </cell>
          <cell r="AC63">
            <v>0</v>
          </cell>
        </row>
        <row r="64">
          <cell r="B64" t="str">
            <v>6.1.1</v>
          </cell>
          <cell r="C64" t="str">
            <v>3.1.2</v>
          </cell>
          <cell r="D64" t="str">
            <v>Identificar empresas  importantes y llegar con ellas a programas de capacitación que aumenten su productividad</v>
          </cell>
          <cell r="E64">
            <v>40544</v>
          </cell>
          <cell r="F64">
            <v>42339</v>
          </cell>
          <cell r="G64" t="str">
            <v>jefe de departamento, grupos de investigación, profesores</v>
          </cell>
          <cell r="H64">
            <v>0</v>
          </cell>
          <cell r="I64">
            <v>0</v>
          </cell>
          <cell r="J64" t="str">
            <v>Cumplimiento de Indicador</v>
          </cell>
          <cell r="K64" t="str">
            <v>1 capacitación importante por grupo</v>
          </cell>
          <cell r="L64">
            <v>0</v>
          </cell>
          <cell r="M64">
            <v>0</v>
          </cell>
          <cell r="N64">
            <v>0</v>
          </cell>
          <cell r="O64">
            <v>0</v>
          </cell>
          <cell r="P64">
            <v>0</v>
          </cell>
          <cell r="Q64">
            <v>0</v>
          </cell>
          <cell r="R64">
            <v>0</v>
          </cell>
          <cell r="S64">
            <v>0</v>
          </cell>
          <cell r="T64">
            <v>0</v>
          </cell>
          <cell r="U64">
            <v>0</v>
          </cell>
          <cell r="V64">
            <v>0</v>
          </cell>
          <cell r="W64">
            <v>0</v>
          </cell>
          <cell r="X64">
            <v>0</v>
          </cell>
          <cell r="Y64" t="str">
            <v>¿Genera algún costo?</v>
          </cell>
          <cell r="Z64">
            <v>1</v>
          </cell>
          <cell r="AA64">
            <v>0</v>
          </cell>
          <cell r="AB64" t="str">
            <v>6.1.1</v>
          </cell>
          <cell r="AC64">
            <v>0</v>
          </cell>
        </row>
        <row r="65">
          <cell r="B65" t="str">
            <v>6.1.2</v>
          </cell>
          <cell r="C65" t="str">
            <v>3.1.3.</v>
          </cell>
          <cell r="D65" t="str">
            <v>Fortalecer los laboratorios avanzados del departamento contra compromisos de proyectos importantes con el sector industrial que exploten fundamentalmente este recurso</v>
          </cell>
          <cell r="E65">
            <v>40544</v>
          </cell>
          <cell r="F65">
            <v>42339</v>
          </cell>
          <cell r="G65" t="str">
            <v>jefe de departamento, grupos de investigación, profesores</v>
          </cell>
          <cell r="H65">
            <v>0</v>
          </cell>
          <cell r="I65">
            <v>1439480.5957283836</v>
          </cell>
          <cell r="J65" t="str">
            <v>Cumplimiento de Indicador</v>
          </cell>
          <cell r="K65" t="str">
            <v xml:space="preserve">7,5% del ingreso del departamento para las acciones 3.1.1 + 3.1.3 </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1</v>
          </cell>
          <cell r="AA65">
            <v>1</v>
          </cell>
          <cell r="AB65" t="str">
            <v>6.1.2</v>
          </cell>
          <cell r="AC65">
            <v>0</v>
          </cell>
        </row>
        <row r="66">
          <cell r="B66" t="str">
            <v>6.2</v>
          </cell>
          <cell r="C66" t="str">
            <v>3.2</v>
          </cell>
          <cell r="D66" t="str">
            <v>Subobjetivo 3.2: Contribuir en la construcción de soluciones para los problemas críticos del país.</v>
          </cell>
          <cell r="E66">
            <v>0</v>
          </cell>
          <cell r="F66">
            <v>0</v>
          </cell>
          <cell r="G66">
            <v>0</v>
          </cell>
          <cell r="H66">
            <v>0</v>
          </cell>
          <cell r="I66">
            <v>0</v>
          </cell>
          <cell r="J66">
            <v>0</v>
          </cell>
          <cell r="K66">
            <v>0</v>
          </cell>
          <cell r="L66" t="str">
            <v>· $10,000 millones al año generados por proyectos que ofrecen una solución a alguno de los problemas críticos del país.</v>
          </cell>
          <cell r="M66">
            <v>0</v>
          </cell>
          <cell r="N66">
            <v>0</v>
          </cell>
          <cell r="O66">
            <v>0</v>
          </cell>
          <cell r="P66">
            <v>0</v>
          </cell>
          <cell r="Q66">
            <v>0</v>
          </cell>
          <cell r="R66">
            <v>0</v>
          </cell>
          <cell r="S66">
            <v>0</v>
          </cell>
          <cell r="T66">
            <v>0</v>
          </cell>
          <cell r="U66">
            <v>0</v>
          </cell>
          <cell r="V66" t="str">
            <v>Participación</v>
          </cell>
          <cell r="W66">
            <v>0</v>
          </cell>
          <cell r="X66">
            <v>1</v>
          </cell>
          <cell r="Y66">
            <v>0</v>
          </cell>
          <cell r="Z66">
            <v>1</v>
          </cell>
          <cell r="AA66">
            <v>0</v>
          </cell>
          <cell r="AB66" t="str">
            <v>6.2</v>
          </cell>
          <cell r="AC66">
            <v>0</v>
          </cell>
        </row>
        <row r="67">
          <cell r="B67" t="str">
            <v>6.2.1</v>
          </cell>
          <cell r="C67" t="str">
            <v>3.2.1</v>
          </cell>
          <cell r="D67" t="str">
            <v>Los grupos de investigación deben realizar proyectos interdisciplinares en las líneas estratégicas de la Facultad</v>
          </cell>
          <cell r="E67">
            <v>40544</v>
          </cell>
          <cell r="F67">
            <v>42339</v>
          </cell>
          <cell r="G67" t="str">
            <v>Grupos de investigación</v>
          </cell>
          <cell r="H67">
            <v>0</v>
          </cell>
          <cell r="I67">
            <v>0</v>
          </cell>
          <cell r="J67" t="str">
            <v>Cumplimiento de Indicador</v>
          </cell>
          <cell r="K67" t="str">
            <v>1 proyecto por grupo</v>
          </cell>
          <cell r="L67">
            <v>0</v>
          </cell>
          <cell r="M67">
            <v>0</v>
          </cell>
          <cell r="N67">
            <v>0</v>
          </cell>
          <cell r="O67">
            <v>0</v>
          </cell>
          <cell r="P67">
            <v>0</v>
          </cell>
          <cell r="Q67">
            <v>0</v>
          </cell>
          <cell r="R67">
            <v>0</v>
          </cell>
          <cell r="S67">
            <v>0</v>
          </cell>
          <cell r="T67">
            <v>0</v>
          </cell>
          <cell r="U67">
            <v>0</v>
          </cell>
          <cell r="V67">
            <v>0</v>
          </cell>
          <cell r="W67">
            <v>0</v>
          </cell>
          <cell r="X67">
            <v>0</v>
          </cell>
          <cell r="Y67" t="str">
            <v>No se trata de una acción</v>
          </cell>
          <cell r="Z67">
            <v>0</v>
          </cell>
          <cell r="AA67">
            <v>1</v>
          </cell>
          <cell r="AB67" t="str">
            <v>6.2.1</v>
          </cell>
          <cell r="AC67">
            <v>0</v>
          </cell>
        </row>
        <row r="68">
          <cell r="B68" t="str">
            <v>6.2.2</v>
          </cell>
          <cell r="C68" t="str">
            <v>3.2.2</v>
          </cell>
          <cell r="D68" t="str">
            <v>Abrir convocatorias para apoyar proyectos de impacto que no se pueden medir por facturación</v>
          </cell>
          <cell r="E68" t="str">
            <v>01/06/2011, 01/06/2012, 01/06/2013, 01/06/2014</v>
          </cell>
          <cell r="F68" t="str">
            <v>01/08/2011, 01/08/2012, 01/08/2013, 01/08/2014</v>
          </cell>
          <cell r="G68" t="str">
            <v>Grupos de investigación, profesores</v>
          </cell>
          <cell r="H68">
            <v>0</v>
          </cell>
          <cell r="I68">
            <v>0</v>
          </cell>
          <cell r="J68" t="str">
            <v>Cumplimiento de Indicador</v>
          </cell>
          <cell r="K68" t="str">
            <v>convocatorias abiertas, convocatorias adjudicadas</v>
          </cell>
          <cell r="L68">
            <v>0</v>
          </cell>
          <cell r="M68">
            <v>0</v>
          </cell>
          <cell r="N68">
            <v>0</v>
          </cell>
          <cell r="O68">
            <v>0</v>
          </cell>
          <cell r="P68">
            <v>0</v>
          </cell>
          <cell r="Q68">
            <v>0</v>
          </cell>
          <cell r="R68">
            <v>0</v>
          </cell>
          <cell r="S68">
            <v>0</v>
          </cell>
          <cell r="T68">
            <v>0</v>
          </cell>
          <cell r="U68">
            <v>0</v>
          </cell>
          <cell r="V68">
            <v>0</v>
          </cell>
          <cell r="W68">
            <v>0</v>
          </cell>
          <cell r="X68">
            <v>0</v>
          </cell>
          <cell r="Y68" t="str">
            <v>No es clara la acción en la necesidad de apoyar proyectos que no se pueden medir por facturación</v>
          </cell>
          <cell r="Z68">
            <v>0</v>
          </cell>
          <cell r="AA68">
            <v>-1</v>
          </cell>
          <cell r="AB68" t="str">
            <v>6.2.2</v>
          </cell>
          <cell r="AC68">
            <v>0</v>
          </cell>
        </row>
        <row r="69">
          <cell r="B69" t="str">
            <v>6.2.2</v>
          </cell>
          <cell r="C69" t="str">
            <v>3.2.3</v>
          </cell>
          <cell r="D69" t="str">
            <v>Hacer seguimiento a los proyectos que resulten de la acción 3.2. 2</v>
          </cell>
          <cell r="E69" t="str">
            <v>15/08/2011, 15/08/2012, 15/08/2013, 15/08/2014</v>
          </cell>
          <cell r="F69" t="str">
            <v>01/08/2012, 01/08/2013, 01/08/2014, 01/08/2015</v>
          </cell>
          <cell r="G69" t="str">
            <v>Grupos de investigación, profesores</v>
          </cell>
          <cell r="H69">
            <v>0</v>
          </cell>
          <cell r="I69">
            <v>0</v>
          </cell>
          <cell r="J69" t="str">
            <v>Cumplimiento de Indicador</v>
          </cell>
          <cell r="K69" t="str">
            <v>resultados de los proyectos acorde a propuestos</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1</v>
          </cell>
          <cell r="AA69">
            <v>1</v>
          </cell>
          <cell r="AB69" t="str">
            <v>6.2.2</v>
          </cell>
          <cell r="AC69">
            <v>0</v>
          </cell>
        </row>
        <row r="70">
          <cell r="B70" t="str">
            <v>6.3</v>
          </cell>
          <cell r="C70" t="str">
            <v>3.3</v>
          </cell>
          <cell r="D70" t="str">
            <v>Subobjetivo 3.3. Generar opinión alrededor de los temas de interés nacional e incidir en las decisiones tecnológicas, sociales, económicas, ambientales y políticas.</v>
          </cell>
          <cell r="E70">
            <v>0</v>
          </cell>
          <cell r="F70">
            <v>0</v>
          </cell>
          <cell r="G70">
            <v>0</v>
          </cell>
          <cell r="H70">
            <v>0</v>
          </cell>
          <cell r="I70">
            <v>94386.136847974412</v>
          </cell>
          <cell r="J70">
            <v>0</v>
          </cell>
          <cell r="K70">
            <v>0</v>
          </cell>
          <cell r="L70" t="str">
            <v>· 6 foros al año con invitados internacionales organizados alrededor de temas de interés nacional.</v>
          </cell>
          <cell r="M70">
            <v>0</v>
          </cell>
          <cell r="N70">
            <v>0</v>
          </cell>
          <cell r="O70">
            <v>0</v>
          </cell>
          <cell r="P70">
            <v>0</v>
          </cell>
          <cell r="Q70">
            <v>0</v>
          </cell>
          <cell r="R70">
            <v>0</v>
          </cell>
          <cell r="S70">
            <v>0</v>
          </cell>
          <cell r="T70">
            <v>0</v>
          </cell>
          <cell r="U70">
            <v>0</v>
          </cell>
          <cell r="V70" t="str">
            <v>Participación</v>
          </cell>
          <cell r="W70">
            <v>0</v>
          </cell>
          <cell r="X70">
            <v>1</v>
          </cell>
          <cell r="Y70">
            <v>0</v>
          </cell>
          <cell r="Z70">
            <v>1</v>
          </cell>
          <cell r="AA70">
            <v>0</v>
          </cell>
          <cell r="AB70" t="str">
            <v>6.3</v>
          </cell>
          <cell r="AC70">
            <v>0</v>
          </cell>
        </row>
        <row r="71">
          <cell r="B71" t="str">
            <v>6.3.1</v>
          </cell>
          <cell r="C71" t="str">
            <v>3.3.1</v>
          </cell>
          <cell r="D71" t="str">
            <v>Los grupos y los profesores, con el apoyo del departamento, deben hacer un foro u otra actividad formal similar al año, con invitados de alta trayectoria nacional e internacional organizados alrededor de temas de interés nacional para el 2015</v>
          </cell>
          <cell r="E71">
            <v>40909</v>
          </cell>
          <cell r="F71">
            <v>42339</v>
          </cell>
          <cell r="G71" t="str">
            <v>Grupos de investigación, profesores</v>
          </cell>
          <cell r="H71">
            <v>0</v>
          </cell>
          <cell r="I71">
            <v>54189.223948288003</v>
          </cell>
          <cell r="J71" t="str">
            <v>Cumplimiento de Indicador</v>
          </cell>
          <cell r="K71" t="str">
            <v>1 foro al año por departamento a partir del 2012</v>
          </cell>
          <cell r="L71">
            <v>0</v>
          </cell>
          <cell r="M71">
            <v>0</v>
          </cell>
          <cell r="N71">
            <v>0</v>
          </cell>
          <cell r="O71">
            <v>0</v>
          </cell>
          <cell r="P71">
            <v>0</v>
          </cell>
          <cell r="Q71">
            <v>0</v>
          </cell>
          <cell r="R71">
            <v>0</v>
          </cell>
          <cell r="S71">
            <v>0</v>
          </cell>
          <cell r="T71">
            <v>0</v>
          </cell>
          <cell r="U71">
            <v>0</v>
          </cell>
          <cell r="V71">
            <v>0</v>
          </cell>
          <cell r="W71">
            <v>0</v>
          </cell>
          <cell r="X71">
            <v>0</v>
          </cell>
          <cell r="Y71" t="str">
            <v>Debería generar costos asociados</v>
          </cell>
          <cell r="Z71">
            <v>1</v>
          </cell>
          <cell r="AA71">
            <v>-1</v>
          </cell>
          <cell r="AB71" t="str">
            <v>6.3.1</v>
          </cell>
          <cell r="AC71">
            <v>0</v>
          </cell>
        </row>
        <row r="72">
          <cell r="B72" t="str">
            <v>6.3.2</v>
          </cell>
          <cell r="C72" t="str">
            <v>3.3.2</v>
          </cell>
          <cell r="D72" t="str">
            <v>Los grupos y los profesores, con el apoyo del departamento, deben participar activamente en foros u otras actividades que tienen impacto sobre los principales temas de interés nacional</v>
          </cell>
          <cell r="E72">
            <v>40544</v>
          </cell>
          <cell r="F72">
            <v>42339</v>
          </cell>
          <cell r="G72" t="str">
            <v>Grupos de investigación, profesores</v>
          </cell>
          <cell r="H72">
            <v>0</v>
          </cell>
          <cell r="I72">
            <v>40196.912899686402</v>
          </cell>
          <cell r="J72" t="str">
            <v>Cumplimiento de Indicador</v>
          </cell>
          <cell r="K72" t="str">
            <v>Evidencia de resultados influyentes de la participación</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1</v>
          </cell>
          <cell r="AA72">
            <v>1</v>
          </cell>
          <cell r="AB72" t="str">
            <v>6.3.2</v>
          </cell>
          <cell r="AC72">
            <v>0</v>
          </cell>
        </row>
        <row r="73">
          <cell r="B73">
            <v>2</v>
          </cell>
          <cell r="C73">
            <v>4</v>
          </cell>
          <cell r="D73" t="str">
            <v>Objetivo 4: Lograr que los profesores sean referentes en sus áreas de trabajo.</v>
          </cell>
          <cell r="E73">
            <v>0</v>
          </cell>
          <cell r="F73">
            <v>0</v>
          </cell>
          <cell r="G73">
            <v>0</v>
          </cell>
          <cell r="H73">
            <v>0</v>
          </cell>
          <cell r="I73">
            <v>0</v>
          </cell>
          <cell r="J73">
            <v>0</v>
          </cell>
          <cell r="K73">
            <v>0</v>
          </cell>
          <cell r="L73">
            <v>0</v>
          </cell>
          <cell r="M73">
            <v>0</v>
          </cell>
          <cell r="N73">
            <v>0</v>
          </cell>
          <cell r="O73" t="str">
            <v>Participación</v>
          </cell>
          <cell r="P73">
            <v>0</v>
          </cell>
          <cell r="Q73">
            <v>0</v>
          </cell>
          <cell r="R73">
            <v>0</v>
          </cell>
          <cell r="S73">
            <v>0</v>
          </cell>
          <cell r="T73">
            <v>0</v>
          </cell>
          <cell r="U73">
            <v>0</v>
          </cell>
          <cell r="V73">
            <v>0</v>
          </cell>
          <cell r="W73">
            <v>0</v>
          </cell>
          <cell r="X73">
            <v>1</v>
          </cell>
          <cell r="Y73">
            <v>0</v>
          </cell>
          <cell r="Z73">
            <v>1</v>
          </cell>
          <cell r="AA73">
            <v>0</v>
          </cell>
          <cell r="AB73">
            <v>2</v>
          </cell>
          <cell r="AC73">
            <v>0</v>
          </cell>
        </row>
        <row r="74">
          <cell r="B74" t="str">
            <v>2.1</v>
          </cell>
          <cell r="C74" t="str">
            <v>4.1.</v>
          </cell>
          <cell r="D74" t="str">
            <v>Objetivo 4.1.: Lograr que los profesores sean referentes en sus áreas de trabajo.</v>
          </cell>
          <cell r="E74">
            <v>0</v>
          </cell>
          <cell r="F74">
            <v>0</v>
          </cell>
          <cell r="G74">
            <v>0</v>
          </cell>
          <cell r="H74">
            <v>0</v>
          </cell>
          <cell r="I74">
            <v>0</v>
          </cell>
          <cell r="J74">
            <v>0</v>
          </cell>
          <cell r="K74">
            <v>0</v>
          </cell>
          <cell r="L74" t="str">
            <v>Definir e incrementar un indicador basado en:</v>
          </cell>
          <cell r="M74">
            <v>0</v>
          </cell>
          <cell r="N74">
            <v>0</v>
          </cell>
          <cell r="O74" t="str">
            <v>Participación</v>
          </cell>
          <cell r="P74">
            <v>0</v>
          </cell>
          <cell r="Q74">
            <v>0</v>
          </cell>
          <cell r="R74">
            <v>0</v>
          </cell>
          <cell r="S74">
            <v>0</v>
          </cell>
          <cell r="T74">
            <v>0</v>
          </cell>
          <cell r="U74">
            <v>0</v>
          </cell>
          <cell r="V74">
            <v>0</v>
          </cell>
          <cell r="W74">
            <v>0</v>
          </cell>
          <cell r="X74">
            <v>1</v>
          </cell>
          <cell r="Y74" t="str">
            <v>El subobjetivo es igual al objetivo</v>
          </cell>
          <cell r="Z74">
            <v>0</v>
          </cell>
          <cell r="AA74">
            <v>0</v>
          </cell>
          <cell r="AB74" t="str">
            <v>2.1</v>
          </cell>
          <cell r="AC74">
            <v>0</v>
          </cell>
        </row>
        <row r="75">
          <cell r="B75" t="str">
            <v>2.1.1</v>
          </cell>
          <cell r="C75" t="str">
            <v>4.1.1</v>
          </cell>
          <cell r="D75" t="str">
            <v>Al participar eficazmente en las acciones del objetivo 2 y del objetivo 3, el profesor será referente en sus areas de trabajo</v>
          </cell>
          <cell r="E75">
            <v>40544</v>
          </cell>
          <cell r="F75">
            <v>42339</v>
          </cell>
          <cell r="G75" t="str">
            <v>profesor</v>
          </cell>
          <cell r="H75">
            <v>0</v>
          </cell>
          <cell r="I75">
            <v>0</v>
          </cell>
          <cell r="J75" t="str">
            <v>Cumplimiento de Indicador</v>
          </cell>
          <cell r="K75" t="str">
            <v>promoción dentro del estatuto profesoral</v>
          </cell>
          <cell r="L75" t="str">
            <v>Participación en Congresos Internacionales como conferencista</v>
          </cell>
          <cell r="M75">
            <v>0</v>
          </cell>
          <cell r="N75">
            <v>0</v>
          </cell>
          <cell r="O75">
            <v>0</v>
          </cell>
          <cell r="P75">
            <v>0</v>
          </cell>
          <cell r="Q75">
            <v>0</v>
          </cell>
          <cell r="R75">
            <v>0</v>
          </cell>
          <cell r="S75">
            <v>0</v>
          </cell>
          <cell r="T75">
            <v>0</v>
          </cell>
          <cell r="U75">
            <v>0</v>
          </cell>
          <cell r="V75">
            <v>0</v>
          </cell>
          <cell r="W75">
            <v>0</v>
          </cell>
          <cell r="X75">
            <v>0</v>
          </cell>
          <cell r="Y75" t="str">
            <v>Puede que no sea necesario definir ésta acción</v>
          </cell>
          <cell r="Z75">
            <v>0</v>
          </cell>
          <cell r="AA75">
            <v>0</v>
          </cell>
          <cell r="AB75" t="str">
            <v>2.1.1</v>
          </cell>
          <cell r="AC75">
            <v>0</v>
          </cell>
        </row>
        <row r="76">
          <cell r="B76" t="str">
            <v>Obj: 3 y 5</v>
          </cell>
          <cell r="C76">
            <v>5</v>
          </cell>
          <cell r="D76" t="str">
            <v>Objetivo 5: Lograr una organización y un tamaño para la Facultad que le permita cumplir la misión.</v>
          </cell>
          <cell r="E76">
            <v>0</v>
          </cell>
          <cell r="F76">
            <v>0</v>
          </cell>
          <cell r="G76">
            <v>0</v>
          </cell>
          <cell r="H76">
            <v>0</v>
          </cell>
          <cell r="I76">
            <v>1016318.2280151288</v>
          </cell>
          <cell r="J76">
            <v>0</v>
          </cell>
          <cell r="K76">
            <v>0</v>
          </cell>
          <cell r="L76">
            <v>0</v>
          </cell>
          <cell r="M76">
            <v>0</v>
          </cell>
          <cell r="N76">
            <v>0</v>
          </cell>
          <cell r="O76">
            <v>0</v>
          </cell>
          <cell r="P76">
            <v>0</v>
          </cell>
          <cell r="Q76">
            <v>0</v>
          </cell>
          <cell r="R76">
            <v>0</v>
          </cell>
          <cell r="S76">
            <v>0</v>
          </cell>
          <cell r="T76">
            <v>0</v>
          </cell>
          <cell r="U76" t="str">
            <v>Estructura organizacional</v>
          </cell>
          <cell r="V76">
            <v>0</v>
          </cell>
          <cell r="W76">
            <v>0</v>
          </cell>
          <cell r="X76">
            <v>1</v>
          </cell>
          <cell r="Y76">
            <v>0</v>
          </cell>
          <cell r="Z76">
            <v>1</v>
          </cell>
          <cell r="AA76">
            <v>0</v>
          </cell>
          <cell r="AB76" t="str">
            <v>Obj: 3 y 5</v>
          </cell>
          <cell r="AC76">
            <v>0</v>
          </cell>
        </row>
        <row r="77">
          <cell r="B77" t="str">
            <v>3.1</v>
          </cell>
          <cell r="C77" t="str">
            <v>5.1</v>
          </cell>
          <cell r="D77" t="str">
            <v xml:space="preserve">Subobjetivo 5.1. Alcanzar las metas de población estudiantil de la Facultad </v>
          </cell>
          <cell r="E77">
            <v>0</v>
          </cell>
          <cell r="F77">
            <v>0</v>
          </cell>
          <cell r="G77">
            <v>0</v>
          </cell>
          <cell r="H77">
            <v>0</v>
          </cell>
          <cell r="I77">
            <v>121734.6084864</v>
          </cell>
          <cell r="J77">
            <v>0</v>
          </cell>
          <cell r="K77">
            <v>0</v>
          </cell>
          <cell r="L77" t="str">
            <v>Metas a 2015:</v>
          </cell>
          <cell r="M77">
            <v>0</v>
          </cell>
          <cell r="N77">
            <v>0</v>
          </cell>
          <cell r="O77">
            <v>0</v>
          </cell>
          <cell r="P77" t="str">
            <v>Variación en Población</v>
          </cell>
          <cell r="Q77">
            <v>0</v>
          </cell>
          <cell r="R77">
            <v>0</v>
          </cell>
          <cell r="S77">
            <v>0</v>
          </cell>
          <cell r="T77">
            <v>0</v>
          </cell>
          <cell r="U77">
            <v>0</v>
          </cell>
          <cell r="V77">
            <v>0</v>
          </cell>
          <cell r="W77">
            <v>0</v>
          </cell>
          <cell r="X77">
            <v>1</v>
          </cell>
          <cell r="Y77">
            <v>0</v>
          </cell>
          <cell r="Z77">
            <v>1</v>
          </cell>
          <cell r="AA77">
            <v>0</v>
          </cell>
          <cell r="AB77" t="str">
            <v>3.1</v>
          </cell>
          <cell r="AC77">
            <v>0</v>
          </cell>
        </row>
        <row r="78">
          <cell r="B78" t="str">
            <v>3.1.1</v>
          </cell>
          <cell r="C78" t="str">
            <v>5.1.1</v>
          </cell>
          <cell r="D78" t="str">
            <v>Investigar las razones por las que el número de estudiantes de pregrado en el programa de ingeniería eléctrica es bajo y proponer soluciones que aumenten significativamente este número</v>
          </cell>
          <cell r="E78">
            <v>40544</v>
          </cell>
          <cell r="F78">
            <v>40695</v>
          </cell>
          <cell r="G78" t="str">
            <v>Comité académico</v>
          </cell>
          <cell r="H78">
            <v>0</v>
          </cell>
          <cell r="I78">
            <v>30433.6521216</v>
          </cell>
          <cell r="J78" t="str">
            <v>Cumplimiento de Indicador</v>
          </cell>
          <cell r="K78" t="str">
            <v>sumado con electrónica llegar a 800 estudiantes en el 2015</v>
          </cell>
          <cell r="L78" t="str">
            <v>Pregrado: 5.500</v>
          </cell>
          <cell r="M78">
            <v>0</v>
          </cell>
          <cell r="N78">
            <v>0</v>
          </cell>
          <cell r="O78">
            <v>0</v>
          </cell>
          <cell r="P78">
            <v>0</v>
          </cell>
          <cell r="Q78">
            <v>0</v>
          </cell>
          <cell r="R78">
            <v>0</v>
          </cell>
          <cell r="S78">
            <v>0</v>
          </cell>
          <cell r="T78">
            <v>0</v>
          </cell>
          <cell r="U78">
            <v>0</v>
          </cell>
          <cell r="V78">
            <v>0</v>
          </cell>
          <cell r="W78">
            <v>0</v>
          </cell>
          <cell r="X78">
            <v>0</v>
          </cell>
          <cell r="Y78">
            <v>0</v>
          </cell>
          <cell r="Z78">
            <v>1</v>
          </cell>
          <cell r="AA78">
            <v>1</v>
          </cell>
          <cell r="AB78" t="str">
            <v>3.1.1</v>
          </cell>
          <cell r="AC78">
            <v>0</v>
          </cell>
        </row>
        <row r="79">
          <cell r="B79" t="str">
            <v>3.1.2 / 3.1.3</v>
          </cell>
          <cell r="C79" t="str">
            <v>5.1.2</v>
          </cell>
          <cell r="D79" t="str">
            <v>Ejecutar esas propuestas.(Las acciones podrían incluir scouting mas continuo, extenso, motivador, etc. junto con hacer el pregrado mas atractivo por medio de más cursos de verano, más pasantías internacionales, más contactos con el sector externo posicionando los egresados, más recursos, mas distinciones, mas proyectos de investigación donde puedan trabajar, mas actividades extracurriculares atractivas, etc.)</v>
          </cell>
          <cell r="E79">
            <v>40725</v>
          </cell>
          <cell r="F79">
            <v>40878</v>
          </cell>
          <cell r="G79" t="str">
            <v>Comité académico</v>
          </cell>
          <cell r="H79">
            <v>0</v>
          </cell>
          <cell r="I79">
            <v>0</v>
          </cell>
          <cell r="J79" t="str">
            <v>Cumplimiento de Indicador</v>
          </cell>
          <cell r="K79" t="str">
            <v>resultados de los proyectos</v>
          </cell>
          <cell r="L79">
            <v>0</v>
          </cell>
          <cell r="M79">
            <v>0</v>
          </cell>
          <cell r="N79">
            <v>0</v>
          </cell>
          <cell r="O79">
            <v>0</v>
          </cell>
          <cell r="P79">
            <v>0</v>
          </cell>
          <cell r="Q79">
            <v>0</v>
          </cell>
          <cell r="R79">
            <v>0</v>
          </cell>
          <cell r="S79">
            <v>0</v>
          </cell>
          <cell r="T79">
            <v>0</v>
          </cell>
          <cell r="U79">
            <v>0</v>
          </cell>
          <cell r="V79">
            <v>0</v>
          </cell>
          <cell r="W79">
            <v>0</v>
          </cell>
          <cell r="X79">
            <v>0</v>
          </cell>
          <cell r="Y79" t="str">
            <v>Debería generar costos asociados</v>
          </cell>
          <cell r="Z79">
            <v>1</v>
          </cell>
          <cell r="AA79">
            <v>-1</v>
          </cell>
          <cell r="AB79" t="str">
            <v>3.1.2 / 3.1.3</v>
          </cell>
          <cell r="AC79">
            <v>0</v>
          </cell>
        </row>
        <row r="80">
          <cell r="B80" t="str">
            <v>3.1.2</v>
          </cell>
          <cell r="C80" t="str">
            <v>5.1.3</v>
          </cell>
          <cell r="D80" t="str">
            <v>Propuestas para aumentar el número de estudiante de ingeniería electrónica</v>
          </cell>
          <cell r="E80">
            <v>40544</v>
          </cell>
          <cell r="F80">
            <v>40695</v>
          </cell>
          <cell r="G80" t="str">
            <v>Comité académico</v>
          </cell>
          <cell r="H80">
            <v>0</v>
          </cell>
          <cell r="I80">
            <v>30433.6521216</v>
          </cell>
          <cell r="J80" t="str">
            <v>Cumplimiento de Indicador</v>
          </cell>
          <cell r="K80" t="str">
            <v>sumado con eléctrica llegar a 800 estudiantes en el 2015</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1</v>
          </cell>
          <cell r="AA80">
            <v>1</v>
          </cell>
          <cell r="AB80" t="str">
            <v>3.1.2</v>
          </cell>
          <cell r="AC80">
            <v>0</v>
          </cell>
        </row>
        <row r="81">
          <cell r="B81" t="str">
            <v>3.1.2</v>
          </cell>
          <cell r="C81" t="str">
            <v>5.1.4</v>
          </cell>
          <cell r="D81" t="str">
            <v>Ejecutar esas propuestas. Acciones similares a 5.1.2</v>
          </cell>
          <cell r="E81">
            <v>40725</v>
          </cell>
          <cell r="F81">
            <v>40878</v>
          </cell>
          <cell r="G81" t="str">
            <v>Comité académico</v>
          </cell>
          <cell r="H81">
            <v>0</v>
          </cell>
          <cell r="I81">
            <v>0</v>
          </cell>
          <cell r="J81" t="str">
            <v>Cumplimiento de Indicador</v>
          </cell>
          <cell r="K81" t="str">
            <v>resultados de los proyectos</v>
          </cell>
          <cell r="L81" t="str">
            <v>Maestría: 1.400</v>
          </cell>
          <cell r="M81">
            <v>0</v>
          </cell>
          <cell r="N81">
            <v>0</v>
          </cell>
          <cell r="O81">
            <v>0</v>
          </cell>
          <cell r="P81">
            <v>0</v>
          </cell>
          <cell r="Q81">
            <v>0</v>
          </cell>
          <cell r="R81">
            <v>0</v>
          </cell>
          <cell r="S81">
            <v>0</v>
          </cell>
          <cell r="T81">
            <v>0</v>
          </cell>
          <cell r="U81">
            <v>0</v>
          </cell>
          <cell r="V81">
            <v>0</v>
          </cell>
          <cell r="W81">
            <v>0</v>
          </cell>
          <cell r="X81">
            <v>0</v>
          </cell>
          <cell r="Y81" t="str">
            <v>Debería generar costos asociados</v>
          </cell>
          <cell r="Z81">
            <v>1</v>
          </cell>
          <cell r="AA81">
            <v>-1</v>
          </cell>
          <cell r="AB81" t="str">
            <v>3.1.2</v>
          </cell>
          <cell r="AC81">
            <v>0</v>
          </cell>
        </row>
        <row r="82">
          <cell r="B82" t="str">
            <v>3.1.4</v>
          </cell>
          <cell r="C82" t="str">
            <v>5.1.5</v>
          </cell>
          <cell r="D82" t="str">
            <v>Poner en marcha acciones innovadoras que reduzcan la deserción</v>
          </cell>
          <cell r="E82">
            <v>40664</v>
          </cell>
          <cell r="F82">
            <v>42339</v>
          </cell>
          <cell r="G82" t="str">
            <v>Comité académico</v>
          </cell>
          <cell r="H82">
            <v>0</v>
          </cell>
          <cell r="I82">
            <v>30433.6521216</v>
          </cell>
          <cell r="J82" t="str">
            <v>Cumplimiento de Indicador</v>
          </cell>
          <cell r="K82" t="str">
            <v>deserción reducida a la mitad</v>
          </cell>
          <cell r="L82" t="str">
            <v>Doctorado: 150</v>
          </cell>
          <cell r="M82">
            <v>0</v>
          </cell>
          <cell r="N82">
            <v>0</v>
          </cell>
          <cell r="O82">
            <v>0</v>
          </cell>
          <cell r="P82">
            <v>0</v>
          </cell>
          <cell r="Q82">
            <v>0</v>
          </cell>
          <cell r="R82">
            <v>0</v>
          </cell>
          <cell r="S82">
            <v>0</v>
          </cell>
          <cell r="T82">
            <v>0</v>
          </cell>
          <cell r="U82">
            <v>0</v>
          </cell>
          <cell r="V82">
            <v>0</v>
          </cell>
          <cell r="W82">
            <v>0</v>
          </cell>
          <cell r="X82">
            <v>0</v>
          </cell>
          <cell r="Y82">
            <v>0</v>
          </cell>
          <cell r="Z82">
            <v>1</v>
          </cell>
          <cell r="AA82">
            <v>1</v>
          </cell>
          <cell r="AB82" t="str">
            <v>3.1.4</v>
          </cell>
          <cell r="AC82">
            <v>0</v>
          </cell>
        </row>
        <row r="83">
          <cell r="B83" t="str">
            <v>3.1.5</v>
          </cell>
          <cell r="C83" t="str">
            <v>5.1.6</v>
          </cell>
          <cell r="D83" t="str">
            <v>Poner en marcha otras acciones que mantengan el número de puestos estudiantes del departamento en los niveles necesarios (ej. Opciones, mas cursos dictados por profesores del depto)</v>
          </cell>
          <cell r="E83">
            <v>40664</v>
          </cell>
          <cell r="F83">
            <v>42339</v>
          </cell>
          <cell r="G83" t="str">
            <v>Comité académico</v>
          </cell>
          <cell r="H83">
            <v>0</v>
          </cell>
          <cell r="I83">
            <v>30433.6521216</v>
          </cell>
          <cell r="J83" t="str">
            <v>Cumplimiento de Indicador</v>
          </cell>
          <cell r="K83" t="str">
            <v>número de puestos estudiantes necesario para el financiamien-to completo del departamen-to</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1</v>
          </cell>
          <cell r="AA83">
            <v>1</v>
          </cell>
          <cell r="AB83" t="str">
            <v>3.1.5</v>
          </cell>
          <cell r="AC83">
            <v>0</v>
          </cell>
        </row>
        <row r="84">
          <cell r="B84" t="str">
            <v>3.2</v>
          </cell>
          <cell r="C84" t="str">
            <v>5.2</v>
          </cell>
          <cell r="D84" t="str">
            <v>Subobjetivo 5.2.Alcanzar las metas en la composición de la planta de profesores</v>
          </cell>
          <cell r="E84">
            <v>0</v>
          </cell>
          <cell r="F84">
            <v>0</v>
          </cell>
          <cell r="G84">
            <v>0</v>
          </cell>
          <cell r="H84">
            <v>0</v>
          </cell>
          <cell r="I84">
            <v>52105.023027200004</v>
          </cell>
          <cell r="J84">
            <v>0</v>
          </cell>
          <cell r="K84">
            <v>0</v>
          </cell>
          <cell r="L84" t="str">
            <v>· 110 profesores de planta vinculados a la Facultad con título de doctorado.</v>
          </cell>
          <cell r="M84">
            <v>0</v>
          </cell>
          <cell r="N84">
            <v>0</v>
          </cell>
          <cell r="O84" t="str">
            <v>Masa Crítica</v>
          </cell>
          <cell r="P84">
            <v>0</v>
          </cell>
          <cell r="Q84">
            <v>0</v>
          </cell>
          <cell r="R84">
            <v>0</v>
          </cell>
          <cell r="S84">
            <v>0</v>
          </cell>
          <cell r="T84">
            <v>0</v>
          </cell>
          <cell r="U84">
            <v>0</v>
          </cell>
          <cell r="V84">
            <v>0</v>
          </cell>
          <cell r="W84">
            <v>0</v>
          </cell>
          <cell r="X84">
            <v>1</v>
          </cell>
          <cell r="Y84">
            <v>0</v>
          </cell>
          <cell r="Z84">
            <v>1</v>
          </cell>
          <cell r="AA84">
            <v>0</v>
          </cell>
          <cell r="AB84" t="str">
            <v>3.2</v>
          </cell>
          <cell r="AC84">
            <v>0</v>
          </cell>
        </row>
        <row r="85">
          <cell r="B85" t="str">
            <v>3.2.1</v>
          </cell>
          <cell r="C85" t="str">
            <v>5.2.1</v>
          </cell>
          <cell r="D85" t="str">
            <v>Convocatoria profesoral internacional competitiva, amplia en areas del departamento y continua en el tiempo.</v>
          </cell>
          <cell r="E85">
            <v>40544</v>
          </cell>
          <cell r="F85">
            <v>42339</v>
          </cell>
          <cell r="G85" t="str">
            <v>jefe de departamento, comité de contrataciones</v>
          </cell>
          <cell r="H85">
            <v>0</v>
          </cell>
          <cell r="I85">
            <v>52105.023027200004</v>
          </cell>
          <cell r="J85" t="str">
            <v>Cumplimiento de Indicador</v>
          </cell>
          <cell r="K85" t="str">
            <v>1 profesor asistente al semestre</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1</v>
          </cell>
          <cell r="AA85">
            <v>1</v>
          </cell>
          <cell r="AB85" t="str">
            <v>3.2.1</v>
          </cell>
          <cell r="AC85">
            <v>0</v>
          </cell>
        </row>
        <row r="86">
          <cell r="B86" t="str">
            <v>3.2.2</v>
          </cell>
          <cell r="C86" t="str">
            <v>5.2.2.</v>
          </cell>
          <cell r="D86" t="str">
            <v>El Departamento debe tomar la decisión de si mantiene la figura de instructor o se apoya en estudiantes doctorales</v>
          </cell>
          <cell r="E86">
            <v>40544</v>
          </cell>
          <cell r="F86">
            <v>0</v>
          </cell>
          <cell r="G86" t="str">
            <v>jefe de departamento, comité de contrataciones</v>
          </cell>
          <cell r="H86">
            <v>0</v>
          </cell>
          <cell r="I86">
            <v>0</v>
          </cell>
          <cell r="J86" t="str">
            <v>Cumplimiento de Indicador</v>
          </cell>
          <cell r="K86" t="str">
            <v>decisión tomada</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11</v>
          </cell>
          <cell r="AA86">
            <v>1</v>
          </cell>
          <cell r="AB86" t="str">
            <v>3.2.2</v>
          </cell>
          <cell r="AC86">
            <v>0</v>
          </cell>
        </row>
        <row r="87">
          <cell r="B87" t="str">
            <v>2.1.2</v>
          </cell>
          <cell r="C87" t="str">
            <v>5.2.3.</v>
          </cell>
          <cell r="D87" t="str">
            <v>Apoyar los planes de promoción de carrera profesoral de cada profesor</v>
          </cell>
          <cell r="E87">
            <v>40544</v>
          </cell>
          <cell r="F87">
            <v>42339</v>
          </cell>
          <cell r="G87" t="str">
            <v>jefe de departamento, profesor comité ordenamiento profesoral</v>
          </cell>
          <cell r="H87">
            <v>0</v>
          </cell>
          <cell r="I87">
            <v>0</v>
          </cell>
          <cell r="J87" t="str">
            <v>Cumplimiento de Indicador</v>
          </cell>
          <cell r="K87" t="str">
            <v>promoción en la carrera profesoral</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1</v>
          </cell>
          <cell r="AA87">
            <v>1</v>
          </cell>
          <cell r="AB87" t="str">
            <v>2.1.2</v>
          </cell>
          <cell r="AC87">
            <v>0</v>
          </cell>
        </row>
        <row r="88">
          <cell r="B88" t="str">
            <v>5.1</v>
          </cell>
          <cell r="C88" t="str">
            <v>5.3.</v>
          </cell>
          <cell r="D88" t="str">
            <v>Subobjetivo 5.3. Definir y alcanzar las metas de Infraestructura física y recursos para soportar el desarrollo de la Facultad.</v>
          </cell>
          <cell r="E88">
            <v>0</v>
          </cell>
          <cell r="F88">
            <v>0</v>
          </cell>
          <cell r="G88">
            <v>0</v>
          </cell>
          <cell r="H88">
            <v>0</v>
          </cell>
          <cell r="I88">
            <v>670081.72688930575</v>
          </cell>
          <cell r="J88">
            <v>0</v>
          </cell>
          <cell r="K88">
            <v>0</v>
          </cell>
          <cell r="L88" t="str">
            <v>· 8% de los ingresos operacionales al año en inversión para desarrollo y adecuación de los laboratorios y mantenimiento.</v>
          </cell>
          <cell r="M88">
            <v>0</v>
          </cell>
          <cell r="N88">
            <v>0</v>
          </cell>
          <cell r="O88">
            <v>0</v>
          </cell>
          <cell r="P88">
            <v>0</v>
          </cell>
          <cell r="Q88">
            <v>0</v>
          </cell>
          <cell r="R88">
            <v>0</v>
          </cell>
          <cell r="S88" t="str">
            <v>Planta Física</v>
          </cell>
          <cell r="T88">
            <v>0</v>
          </cell>
          <cell r="U88">
            <v>0</v>
          </cell>
          <cell r="V88">
            <v>0</v>
          </cell>
          <cell r="W88">
            <v>0</v>
          </cell>
          <cell r="X88">
            <v>1</v>
          </cell>
          <cell r="Y88">
            <v>0</v>
          </cell>
          <cell r="Z88">
            <v>1</v>
          </cell>
          <cell r="AA88">
            <v>0</v>
          </cell>
          <cell r="AB88" t="str">
            <v>5.1</v>
          </cell>
          <cell r="AC88">
            <v>0</v>
          </cell>
        </row>
        <row r="89">
          <cell r="B89" t="str">
            <v>5.1.1</v>
          </cell>
          <cell r="C89" t="str">
            <v>5.3.1</v>
          </cell>
          <cell r="D89" t="str">
            <v>Acción 3.1.3</v>
          </cell>
          <cell r="E89">
            <v>40544</v>
          </cell>
          <cell r="F89">
            <v>42339</v>
          </cell>
          <cell r="G89">
            <v>0</v>
          </cell>
          <cell r="H89">
            <v>0</v>
          </cell>
          <cell r="I89">
            <v>0</v>
          </cell>
          <cell r="J89" t="str">
            <v>Cumplimiento de Indicador</v>
          </cell>
          <cell r="K89" t="str">
            <v>ver 3.1.3</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1</v>
          </cell>
          <cell r="AA89">
            <v>1</v>
          </cell>
          <cell r="AB89" t="str">
            <v>5.1.1</v>
          </cell>
          <cell r="AC89">
            <v>0</v>
          </cell>
        </row>
        <row r="90">
          <cell r="B90" t="str">
            <v>5.1.2</v>
          </cell>
          <cell r="C90" t="str">
            <v>5.3.2</v>
          </cell>
          <cell r="D90" t="str">
            <v>Elaborar plan de crecimiento de la infraestructura física y recursos que requiere el departamento</v>
          </cell>
          <cell r="E90">
            <v>40544</v>
          </cell>
          <cell r="F90">
            <v>40695</v>
          </cell>
          <cell r="G90" t="str">
            <v>Jefe de departamento, coordinador administrativo, coordinador de laboratorios, coordinadores de grupos de investigación</v>
          </cell>
          <cell r="H90">
            <v>0</v>
          </cell>
          <cell r="I90">
            <v>0</v>
          </cell>
          <cell r="J90" t="str">
            <v>Cumplimiento de Indicador</v>
          </cell>
          <cell r="K90" t="str">
            <v>informe con resultados justificados</v>
          </cell>
          <cell r="L90">
            <v>0</v>
          </cell>
          <cell r="M90">
            <v>0</v>
          </cell>
          <cell r="N90">
            <v>0</v>
          </cell>
          <cell r="O90">
            <v>0</v>
          </cell>
          <cell r="P90">
            <v>0</v>
          </cell>
          <cell r="Q90">
            <v>0</v>
          </cell>
          <cell r="R90">
            <v>0</v>
          </cell>
          <cell r="S90">
            <v>0</v>
          </cell>
          <cell r="T90">
            <v>0</v>
          </cell>
          <cell r="U90">
            <v>0</v>
          </cell>
          <cell r="V90">
            <v>0</v>
          </cell>
          <cell r="W90">
            <v>0</v>
          </cell>
          <cell r="X90">
            <v>0</v>
          </cell>
          <cell r="Y90" t="str">
            <v>¿Genera algún costo?</v>
          </cell>
          <cell r="Z90">
            <v>1</v>
          </cell>
          <cell r="AA90">
            <v>0</v>
          </cell>
          <cell r="AB90" t="str">
            <v>5.1.2</v>
          </cell>
          <cell r="AC90">
            <v>0</v>
          </cell>
        </row>
        <row r="91">
          <cell r="B91" t="str">
            <v>5.1.3</v>
          </cell>
          <cell r="C91" t="str">
            <v>5.3.3</v>
          </cell>
          <cell r="D91" t="str">
            <v>Adquirir esa infraestructura</v>
          </cell>
          <cell r="E91">
            <v>40725</v>
          </cell>
          <cell r="F91">
            <v>42339</v>
          </cell>
          <cell r="G91" t="str">
            <v>Jefe de departamento</v>
          </cell>
          <cell r="H91">
            <v>0</v>
          </cell>
          <cell r="I91">
            <v>670081.72688930575</v>
          </cell>
          <cell r="J91" t="str">
            <v>Cumplimiento de Indicador</v>
          </cell>
          <cell r="K91" t="str">
            <v>adquirida</v>
          </cell>
          <cell r="L91">
            <v>0</v>
          </cell>
          <cell r="M91">
            <v>0</v>
          </cell>
          <cell r="N91">
            <v>0</v>
          </cell>
          <cell r="O91">
            <v>0</v>
          </cell>
          <cell r="P91">
            <v>0</v>
          </cell>
          <cell r="Q91">
            <v>0</v>
          </cell>
          <cell r="R91">
            <v>0</v>
          </cell>
          <cell r="S91">
            <v>0</v>
          </cell>
          <cell r="T91">
            <v>0</v>
          </cell>
          <cell r="U91">
            <v>0</v>
          </cell>
          <cell r="V91">
            <v>0</v>
          </cell>
          <cell r="W91">
            <v>0</v>
          </cell>
          <cell r="X91">
            <v>0</v>
          </cell>
          <cell r="Y91" t="str">
            <v>¿El costo de qué forma se calculó?</v>
          </cell>
          <cell r="Z91">
            <v>1</v>
          </cell>
          <cell r="AA91">
            <v>0</v>
          </cell>
          <cell r="AB91" t="str">
            <v>5.1.3</v>
          </cell>
          <cell r="AC91">
            <v>0</v>
          </cell>
        </row>
        <row r="92">
          <cell r="B92" t="str">
            <v>5.2</v>
          </cell>
          <cell r="C92" t="str">
            <v>5.4</v>
          </cell>
          <cell r="D92" t="str">
            <v>Subobjetivo 5.4. Adaptar la organización a los desafíos de su crecimiento.</v>
          </cell>
          <cell r="E92">
            <v>0</v>
          </cell>
          <cell r="F92">
            <v>0</v>
          </cell>
          <cell r="G92">
            <v>0</v>
          </cell>
          <cell r="H92">
            <v>0</v>
          </cell>
          <cell r="I92">
            <v>172396.86961222294</v>
          </cell>
          <cell r="J92">
            <v>0</v>
          </cell>
          <cell r="K92">
            <v>0</v>
          </cell>
          <cell r="L92" t="str">
            <v>· Los gastos administrativos consolidados de la Facultad no superan el 12% de los ingresos totales.</v>
          </cell>
          <cell r="M92">
            <v>0</v>
          </cell>
          <cell r="N92">
            <v>0</v>
          </cell>
          <cell r="O92">
            <v>0</v>
          </cell>
          <cell r="P92" t="str">
            <v>Variación en Población</v>
          </cell>
          <cell r="Q92">
            <v>0</v>
          </cell>
          <cell r="R92">
            <v>0</v>
          </cell>
          <cell r="S92">
            <v>0</v>
          </cell>
          <cell r="T92">
            <v>0</v>
          </cell>
          <cell r="U92" t="str">
            <v>Estructura organizacional</v>
          </cell>
          <cell r="V92">
            <v>0</v>
          </cell>
          <cell r="W92">
            <v>0</v>
          </cell>
          <cell r="X92">
            <v>2</v>
          </cell>
          <cell r="Y92">
            <v>0</v>
          </cell>
          <cell r="Z92">
            <v>1</v>
          </cell>
          <cell r="AA92">
            <v>0</v>
          </cell>
          <cell r="AB92" t="str">
            <v>5.2</v>
          </cell>
          <cell r="AC92">
            <v>0</v>
          </cell>
        </row>
        <row r="93">
          <cell r="B93" t="str">
            <v>5.2.1</v>
          </cell>
          <cell r="C93" t="str">
            <v>5.4.1</v>
          </cell>
          <cell r="D93" t="str">
            <v>Reorganizar la gestión administrativa del departamento (contratación externa de un experto para esta tarea)</v>
          </cell>
          <cell r="E93">
            <v>40544</v>
          </cell>
          <cell r="F93">
            <v>40695</v>
          </cell>
          <cell r="G93" t="str">
            <v>Jefe de departamento, coordinador administrativo, coordinador de laboratorios, coordinadores de grupos de investigación</v>
          </cell>
          <cell r="H93">
            <v>0</v>
          </cell>
          <cell r="I93">
            <v>130796.86961222294</v>
          </cell>
          <cell r="J93" t="str">
            <v>Cumplimiento de Indicador</v>
          </cell>
          <cell r="K93" t="str">
            <v>nueva gestión administrati-va en marcha</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1</v>
          </cell>
          <cell r="AA93">
            <v>1</v>
          </cell>
          <cell r="AB93" t="str">
            <v>5.2.1</v>
          </cell>
          <cell r="AC93">
            <v>0</v>
          </cell>
        </row>
        <row r="94">
          <cell r="B94" t="str">
            <v>5.2.2</v>
          </cell>
          <cell r="C94" t="str">
            <v>5.4.2.</v>
          </cell>
          <cell r="D94" t="str">
            <v>Definir los requerimientos de un sistema de información avanzado para el departamento (incluye paginas web de todos los profesores, grupos, laboratorio, etc)</v>
          </cell>
          <cell r="E94">
            <v>40544</v>
          </cell>
          <cell r="F94">
            <v>40695</v>
          </cell>
          <cell r="G94" t="str">
            <v>Jefe de departamento, coordinador administrativo, coordinador de laboratorios, coordinadores de grupos de investigación</v>
          </cell>
          <cell r="H94">
            <v>0</v>
          </cell>
          <cell r="I94">
            <v>0</v>
          </cell>
          <cell r="J94" t="str">
            <v>Cumplimiento de Indicador</v>
          </cell>
          <cell r="K94" t="str">
            <v>Requerimien-tos definidos</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1</v>
          </cell>
          <cell r="AA94">
            <v>1</v>
          </cell>
          <cell r="AB94" t="str">
            <v>5.2.2</v>
          </cell>
          <cell r="AC94">
            <v>0</v>
          </cell>
        </row>
        <row r="95">
          <cell r="B95" t="str">
            <v>5.2.2</v>
          </cell>
          <cell r="C95" t="str">
            <v>5.4.3.</v>
          </cell>
          <cell r="D95" t="str">
            <v>Desarrollar o comprar este sistema</v>
          </cell>
          <cell r="E95">
            <v>40725</v>
          </cell>
          <cell r="F95">
            <v>40878</v>
          </cell>
          <cell r="G95" t="str">
            <v>Jefe de departamento</v>
          </cell>
          <cell r="H95">
            <v>0</v>
          </cell>
          <cell r="I95">
            <v>41600</v>
          </cell>
          <cell r="J95" t="str">
            <v>Cumplimiento de Indicador</v>
          </cell>
          <cell r="K95" t="str">
            <v>sistema en operación</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1</v>
          </cell>
          <cell r="AA95">
            <v>1</v>
          </cell>
          <cell r="AB95" t="str">
            <v>5.2.2</v>
          </cell>
          <cell r="AC95">
            <v>0</v>
          </cell>
        </row>
      </sheetData>
      <sheetData sheetId="3"/>
      <sheetData sheetId="4">
        <row r="9">
          <cell r="B9">
            <v>1</v>
          </cell>
          <cell r="C9">
            <v>1</v>
          </cell>
          <cell r="D9" t="str">
            <v>Mantener Actualizados y alcanzar los perfiles de formación</v>
          </cell>
          <cell r="E9">
            <v>0</v>
          </cell>
          <cell r="F9">
            <v>0</v>
          </cell>
          <cell r="G9">
            <v>0</v>
          </cell>
          <cell r="H9">
            <v>0</v>
          </cell>
          <cell r="I9">
            <v>993793848.19353604</v>
          </cell>
          <cell r="J9">
            <v>0</v>
          </cell>
          <cell r="K9">
            <v>0</v>
          </cell>
          <cell r="L9">
            <v>0</v>
          </cell>
        </row>
        <row r="10">
          <cell r="B10" t="str">
            <v>1.1</v>
          </cell>
          <cell r="C10" t="str">
            <v>1.1</v>
          </cell>
          <cell r="D10" t="str">
            <v xml:space="preserve">Actualizar los perfiles de formación (pregrado, especialización, maestría y doctorado) teniendo en cuenta las tendencias mundiales, las necesidades nacionales y el contexto </v>
          </cell>
          <cell r="E10">
            <v>0</v>
          </cell>
          <cell r="F10">
            <v>0</v>
          </cell>
          <cell r="G10">
            <v>0</v>
          </cell>
          <cell r="H10">
            <v>0</v>
          </cell>
          <cell r="I10">
            <v>129678699.52</v>
          </cell>
          <cell r="J10">
            <v>0</v>
          </cell>
          <cell r="K10">
            <v>0</v>
          </cell>
          <cell r="L10" t="str">
            <v>Objetivos y outcomes de cada programa (pregrado y posgrado) actualizados en el 2012 y nuevamente en el 2015</v>
          </cell>
        </row>
        <row r="11">
          <cell r="B11" t="str">
            <v>1.1.1</v>
          </cell>
          <cell r="C11" t="str">
            <v>1.1.1</v>
          </cell>
          <cell r="D11" t="str">
            <v>Integrar en cursos específicos actividades de laboratorio, que permitan fusionar la teoría con la practica</v>
          </cell>
          <cell r="E11">
            <v>40544</v>
          </cell>
          <cell r="F11">
            <v>42339</v>
          </cell>
          <cell r="G11" t="str">
            <v>Comité Curricular</v>
          </cell>
          <cell r="H11" t="str">
            <v>Coord.  Administrativo</v>
          </cell>
          <cell r="I11">
            <v>125929499.52</v>
          </cell>
          <cell r="J11">
            <v>0</v>
          </cell>
          <cell r="K11">
            <v>0</v>
          </cell>
          <cell r="L11">
            <v>0</v>
          </cell>
        </row>
        <row r="12">
          <cell r="B12" t="str">
            <v>1.2.1</v>
          </cell>
          <cell r="C12" t="str">
            <v>1.1.2</v>
          </cell>
          <cell r="D12" t="str">
            <v>Revisar los objetivos del programa y crear cursos abiertos a otros departamentos de la Facultad de Ingeniería</v>
          </cell>
          <cell r="E12">
            <v>40544</v>
          </cell>
          <cell r="F12">
            <v>41426</v>
          </cell>
          <cell r="G12" t="str">
            <v>Comité Curricular</v>
          </cell>
          <cell r="H12" t="str">
            <v>Coord.  Administrativo</v>
          </cell>
          <cell r="I12">
            <v>0</v>
          </cell>
          <cell r="J12">
            <v>0</v>
          </cell>
          <cell r="K12">
            <v>0</v>
          </cell>
          <cell r="L12">
            <v>0</v>
          </cell>
        </row>
        <row r="13">
          <cell r="B13" t="str">
            <v>1.2.2</v>
          </cell>
          <cell r="C13" t="str">
            <v>1.1.3</v>
          </cell>
          <cell r="D13" t="str">
            <v>Evaluar logros educativos, revisar y evaluar contenidos de los cursos</v>
          </cell>
          <cell r="E13">
            <v>40544</v>
          </cell>
          <cell r="F13">
            <v>42339</v>
          </cell>
          <cell r="G13" t="str">
            <v>Comité Curricular</v>
          </cell>
          <cell r="H13" t="str">
            <v>Coord.  Administrativo</v>
          </cell>
          <cell r="I13">
            <v>0</v>
          </cell>
          <cell r="J13">
            <v>0</v>
          </cell>
          <cell r="K13">
            <v>0</v>
          </cell>
          <cell r="L13">
            <v>0</v>
          </cell>
        </row>
        <row r="14">
          <cell r="B14" t="str">
            <v>1.3.1</v>
          </cell>
          <cell r="C14" t="str">
            <v>1.1.4</v>
          </cell>
          <cell r="D14" t="str">
            <v>Presentación del documento registro calificado-individual</v>
          </cell>
          <cell r="E14">
            <v>40544</v>
          </cell>
          <cell r="F14">
            <v>40878</v>
          </cell>
          <cell r="G14" t="str">
            <v>Coord.  Administrativo</v>
          </cell>
          <cell r="H14" t="str">
            <v>Director</v>
          </cell>
          <cell r="I14">
            <v>3749200</v>
          </cell>
          <cell r="J14">
            <v>0</v>
          </cell>
          <cell r="K14">
            <v>0</v>
          </cell>
          <cell r="L14">
            <v>0</v>
          </cell>
        </row>
        <row r="15">
          <cell r="B15" t="str">
            <v>3.1.1. 1.2.4. 1.2.5</v>
          </cell>
          <cell r="C15" t="str">
            <v>1.1.5</v>
          </cell>
          <cell r="D15" t="str">
            <v>Aumentar oferta de cursos electivos, fortalecer los programas de los cursos obligatorios, fortalecer el programa universidad empresa, y aumentar la cantidad de alumnos en coterminal</v>
          </cell>
          <cell r="E15">
            <v>40544</v>
          </cell>
          <cell r="F15">
            <v>41426</v>
          </cell>
          <cell r="G15" t="str">
            <v>Coord.  Administrativo</v>
          </cell>
          <cell r="H15" t="str">
            <v>Director</v>
          </cell>
          <cell r="I15">
            <v>0</v>
          </cell>
          <cell r="J15">
            <v>0</v>
          </cell>
          <cell r="K15">
            <v>0</v>
          </cell>
          <cell r="L15">
            <v>0</v>
          </cell>
        </row>
        <row r="16">
          <cell r="B16" t="str">
            <v>4.2.1</v>
          </cell>
          <cell r="C16" t="str">
            <v>1.1.6</v>
          </cell>
          <cell r="D16" t="str">
            <v>Proponer estudiantes en el programa de doctorado de la Facultad</v>
          </cell>
          <cell r="E16">
            <v>42005</v>
          </cell>
          <cell r="F16">
            <v>42339</v>
          </cell>
          <cell r="G16" t="str">
            <v>Planta Profesoral</v>
          </cell>
          <cell r="H16" t="str">
            <v>Director</v>
          </cell>
          <cell r="I16">
            <v>0</v>
          </cell>
          <cell r="J16">
            <v>0</v>
          </cell>
          <cell r="K16">
            <v>0</v>
          </cell>
          <cell r="L16">
            <v>0</v>
          </cell>
        </row>
        <row r="17">
          <cell r="B17" t="str">
            <v>1.2</v>
          </cell>
          <cell r="C17" t="str">
            <v>1.2</v>
          </cell>
          <cell r="D17" t="str">
            <v>Mantener un curriculum innovador que responda a los perfiles deseados para la formación</v>
          </cell>
          <cell r="E17">
            <v>0</v>
          </cell>
          <cell r="F17">
            <v>0</v>
          </cell>
          <cell r="G17">
            <v>0</v>
          </cell>
          <cell r="H17">
            <v>0</v>
          </cell>
          <cell r="I17">
            <v>222069224.96000001</v>
          </cell>
          <cell r="J17">
            <v>0</v>
          </cell>
          <cell r="K17">
            <v>0</v>
          </cell>
          <cell r="L17" t="str">
            <v>En el 2015 innovaciones implementadas y evaluadas</v>
          </cell>
        </row>
        <row r="18">
          <cell r="B18" t="str">
            <v>1.2.6</v>
          </cell>
          <cell r="C18" t="str">
            <v>1.2.1</v>
          </cell>
          <cell r="D18" t="str">
            <v>Implementar el enfoque producto-proceso y múltiples escalas en todos los cursos</v>
          </cell>
          <cell r="E18">
            <v>40544</v>
          </cell>
          <cell r="F18">
            <v>42339</v>
          </cell>
          <cell r="G18" t="str">
            <v>Comité Curricular</v>
          </cell>
          <cell r="H18" t="str">
            <v>Coord. Administrativo</v>
          </cell>
          <cell r="I18">
            <v>5416322.5600000005</v>
          </cell>
          <cell r="J18">
            <v>0</v>
          </cell>
          <cell r="K18">
            <v>0</v>
          </cell>
          <cell r="L18">
            <v>0</v>
          </cell>
        </row>
        <row r="19">
          <cell r="B19" t="str">
            <v>1.2.3</v>
          </cell>
          <cell r="C19" t="str">
            <v>1.2.2</v>
          </cell>
          <cell r="D19" t="str">
            <v>Desarrollo de alianzas con universidades en USA y Francia</v>
          </cell>
          <cell r="E19">
            <v>40544</v>
          </cell>
          <cell r="F19">
            <v>42339</v>
          </cell>
          <cell r="G19" t="str">
            <v>Director</v>
          </cell>
          <cell r="H19" t="str">
            <v>Coord. Investigación</v>
          </cell>
          <cell r="I19">
            <v>216652902.40000001</v>
          </cell>
          <cell r="J19">
            <v>0</v>
          </cell>
          <cell r="K19">
            <v>0</v>
          </cell>
          <cell r="L19">
            <v>0</v>
          </cell>
        </row>
        <row r="20">
          <cell r="B20" t="str">
            <v>1.3</v>
          </cell>
          <cell r="C20">
            <v>1.3</v>
          </cell>
          <cell r="D20" t="str">
            <v>Desarrollar nuevos programas de maestría</v>
          </cell>
          <cell r="E20">
            <v>0</v>
          </cell>
          <cell r="F20">
            <v>0</v>
          </cell>
          <cell r="G20">
            <v>0</v>
          </cell>
          <cell r="H20">
            <v>0</v>
          </cell>
          <cell r="I20">
            <v>9439588.481536001</v>
          </cell>
          <cell r="J20">
            <v>0</v>
          </cell>
          <cell r="K20">
            <v>0</v>
          </cell>
          <cell r="L20" t="str">
            <v>1 nuevo programa de maestría en el 2015</v>
          </cell>
        </row>
        <row r="21">
          <cell r="B21" t="str">
            <v>6.1.1</v>
          </cell>
          <cell r="C21" t="str">
            <v>1.3.1</v>
          </cell>
          <cell r="D21" t="str">
            <v>Establecer necesidades en formación de la industria / Fortalecer la oferta de cursos electivos y de Educación continuada</v>
          </cell>
          <cell r="E21">
            <v>40544</v>
          </cell>
          <cell r="F21">
            <v>42339</v>
          </cell>
          <cell r="G21" t="str">
            <v>Director</v>
          </cell>
          <cell r="H21" t="str">
            <v>Coord. Investigación</v>
          </cell>
          <cell r="I21">
            <v>5690388.481536</v>
          </cell>
          <cell r="J21">
            <v>0</v>
          </cell>
          <cell r="K21">
            <v>0</v>
          </cell>
          <cell r="L21">
            <v>0</v>
          </cell>
        </row>
        <row r="22">
          <cell r="B22" t="str">
            <v>1.3.3</v>
          </cell>
          <cell r="C22" t="str">
            <v>1.3.2</v>
          </cell>
          <cell r="D22" t="str">
            <v>Crear y obtener el registro calificado del programa para las maestrías de profundización</v>
          </cell>
          <cell r="E22">
            <v>42005</v>
          </cell>
          <cell r="F22">
            <v>42339</v>
          </cell>
          <cell r="G22" t="str">
            <v>Coord.  Administrativo</v>
          </cell>
          <cell r="H22" t="str">
            <v>Director</v>
          </cell>
          <cell r="I22">
            <v>3749200</v>
          </cell>
          <cell r="J22">
            <v>0</v>
          </cell>
          <cell r="K22">
            <v>0</v>
          </cell>
          <cell r="L22">
            <v>0</v>
          </cell>
        </row>
        <row r="23">
          <cell r="B23" t="str">
            <v>1.4</v>
          </cell>
          <cell r="C23">
            <v>1.4</v>
          </cell>
          <cell r="D23" t="str">
            <v>Lograr la articulación de los programas de formación</v>
          </cell>
          <cell r="E23">
            <v>0</v>
          </cell>
          <cell r="F23">
            <v>0</v>
          </cell>
          <cell r="G23">
            <v>0</v>
          </cell>
          <cell r="H23">
            <v>0</v>
          </cell>
          <cell r="I23">
            <v>180622787.072</v>
          </cell>
          <cell r="J23">
            <v>0</v>
          </cell>
          <cell r="K23">
            <v>0</v>
          </cell>
          <cell r="L23" t="str">
            <v>Incrementar el número de estudiantes en programa coterminal que ingresen a la maestría (El 50% del incremento se deberá a estudiantes del programa coterminal)</v>
          </cell>
        </row>
        <row r="24">
          <cell r="B24" t="str">
            <v>1.4.1</v>
          </cell>
          <cell r="C24" t="str">
            <v>1.4.1</v>
          </cell>
          <cell r="D24" t="str">
            <v>Aumentar la cantidad de alumnos en el programa coterminal</v>
          </cell>
          <cell r="E24">
            <v>40544</v>
          </cell>
          <cell r="F24">
            <v>41426</v>
          </cell>
          <cell r="G24" t="str">
            <v>Coord.  Administrativo</v>
          </cell>
          <cell r="H24" t="str">
            <v>Director</v>
          </cell>
          <cell r="I24">
            <v>0</v>
          </cell>
          <cell r="J24">
            <v>0</v>
          </cell>
          <cell r="K24">
            <v>0</v>
          </cell>
          <cell r="L24">
            <v>0</v>
          </cell>
        </row>
        <row r="25">
          <cell r="B25" t="str">
            <v>3.1.2</v>
          </cell>
          <cell r="C25" t="str">
            <v>1.4.2</v>
          </cell>
          <cell r="D25" t="str">
            <v xml:space="preserve">Primeros estudiantes en el programa de doctorado </v>
          </cell>
          <cell r="E25">
            <v>41275</v>
          </cell>
          <cell r="F25">
            <v>42005</v>
          </cell>
          <cell r="G25" t="str">
            <v>Planta Profesoral</v>
          </cell>
          <cell r="H25" t="str">
            <v>Director</v>
          </cell>
          <cell r="I25">
            <v>180622787.072</v>
          </cell>
          <cell r="J25">
            <v>0</v>
          </cell>
          <cell r="K25">
            <v>0</v>
          </cell>
          <cell r="L25">
            <v>0</v>
          </cell>
        </row>
        <row r="26">
          <cell r="B26" t="str">
            <v>1.5</v>
          </cell>
          <cell r="C26">
            <v>1.5</v>
          </cell>
          <cell r="D26" t="str">
            <v>Mantener un sistema de calidad</v>
          </cell>
          <cell r="E26">
            <v>0</v>
          </cell>
          <cell r="F26">
            <v>0</v>
          </cell>
          <cell r="G26">
            <v>0</v>
          </cell>
          <cell r="H26">
            <v>0</v>
          </cell>
          <cell r="I26">
            <v>451983548.15999997</v>
          </cell>
          <cell r="J26">
            <v>0</v>
          </cell>
          <cell r="K26">
            <v>0</v>
          </cell>
          <cell r="L26" t="str">
            <v>Todos los programas de pregrado acreditados por ABET en el 2012. Extender la acreditación a los programas de posgrado.</v>
          </cell>
        </row>
        <row r="27">
          <cell r="B27" t="str">
            <v>1.5.1</v>
          </cell>
          <cell r="C27" t="str">
            <v>1.5.1</v>
          </cell>
          <cell r="D27" t="str">
            <v>Implementar y mejorar el sistema de cierre de cursos/ sistema de calidad académica/mejorar las herramientas y el proceso de retroalimentación</v>
          </cell>
          <cell r="E27">
            <v>40544</v>
          </cell>
          <cell r="F27">
            <v>42339</v>
          </cell>
          <cell r="G27" t="str">
            <v>Comité Curricular</v>
          </cell>
          <cell r="H27" t="str">
            <v>Coord.  Administrativo</v>
          </cell>
          <cell r="I27">
            <v>401983548.15999997</v>
          </cell>
          <cell r="J27">
            <v>0</v>
          </cell>
          <cell r="K27">
            <v>0</v>
          </cell>
          <cell r="L27">
            <v>0</v>
          </cell>
        </row>
        <row r="28">
          <cell r="B28" t="str">
            <v>1.5.2</v>
          </cell>
          <cell r="C28" t="str">
            <v>1.5.2</v>
          </cell>
          <cell r="D28" t="str">
            <v>Renovar la acreditación CNA</v>
          </cell>
          <cell r="E28">
            <v>40544</v>
          </cell>
          <cell r="F28">
            <v>42339</v>
          </cell>
          <cell r="G28" t="str">
            <v>Coord.  Administrativo</v>
          </cell>
          <cell r="H28" t="str">
            <v>Director</v>
          </cell>
          <cell r="I28">
            <v>50000000</v>
          </cell>
          <cell r="J28">
            <v>0</v>
          </cell>
          <cell r="K28">
            <v>0</v>
          </cell>
          <cell r="L28">
            <v>0</v>
          </cell>
        </row>
        <row r="29">
          <cell r="B29">
            <v>4</v>
          </cell>
          <cell r="C29">
            <v>2</v>
          </cell>
          <cell r="D29" t="str">
            <v>Fortalecer la Investigación</v>
          </cell>
          <cell r="E29">
            <v>0</v>
          </cell>
          <cell r="F29">
            <v>0</v>
          </cell>
          <cell r="G29">
            <v>0</v>
          </cell>
          <cell r="H29">
            <v>0</v>
          </cell>
          <cell r="I29">
            <v>1789479349.7856002</v>
          </cell>
          <cell r="J29">
            <v>0</v>
          </cell>
          <cell r="K29">
            <v>0</v>
          </cell>
          <cell r="L29">
            <v>0</v>
          </cell>
        </row>
        <row r="30">
          <cell r="B30" t="str">
            <v>4.1</v>
          </cell>
          <cell r="C30" t="str">
            <v>2.1</v>
          </cell>
          <cell r="D30" t="str">
            <v>Desarrollar las Líneas Estratégicas de la Facultad</v>
          </cell>
          <cell r="E30">
            <v>0</v>
          </cell>
          <cell r="F30">
            <v>0</v>
          </cell>
          <cell r="G30">
            <v>0</v>
          </cell>
          <cell r="H30">
            <v>0</v>
          </cell>
          <cell r="I30">
            <v>433305804.80000001</v>
          </cell>
          <cell r="J30">
            <v>0</v>
          </cell>
          <cell r="K30">
            <v>0</v>
          </cell>
          <cell r="L30" t="str">
            <v> 1 línea de investigación consolidada en el 2015</v>
          </cell>
        </row>
        <row r="31">
          <cell r="B31" t="str">
            <v>4.1.1</v>
          </cell>
          <cell r="C31" t="str">
            <v>2.1.1</v>
          </cell>
          <cell r="D31" t="str">
            <v>Desarrollar la línea estratégica de diseño de productos y procesos. Definir escenarios para la consecución de recursos para la financiación de la línea</v>
          </cell>
          <cell r="E31">
            <v>40544</v>
          </cell>
          <cell r="F31">
            <v>42339</v>
          </cell>
          <cell r="G31" t="str">
            <v>Coord. Investigación</v>
          </cell>
          <cell r="H31" t="str">
            <v>Director</v>
          </cell>
          <cell r="I31">
            <v>433305804.80000001</v>
          </cell>
          <cell r="J31">
            <v>0</v>
          </cell>
          <cell r="K31">
            <v>0</v>
          </cell>
          <cell r="L31">
            <v>0</v>
          </cell>
        </row>
        <row r="32">
          <cell r="B32" t="str">
            <v>4.2</v>
          </cell>
          <cell r="C32">
            <v>2.2000000000000002</v>
          </cell>
          <cell r="D32" t="str">
            <v>Fortalecer el doctorado y Fortalecer los grupos de Investigación</v>
          </cell>
          <cell r="E32">
            <v>0</v>
          </cell>
          <cell r="F32">
            <v>0</v>
          </cell>
          <cell r="G32">
            <v>0</v>
          </cell>
          <cell r="H32">
            <v>0</v>
          </cell>
          <cell r="I32">
            <v>0</v>
          </cell>
          <cell r="J32">
            <v>0</v>
          </cell>
          <cell r="K32">
            <v>0</v>
          </cell>
          <cell r="L32" t="str">
            <v>1 Estudiante de Doctorado por profesor asociado, con mas de un año de ser nombrado profesor en esta categoría</v>
          </cell>
        </row>
        <row r="33">
          <cell r="B33" t="str">
            <v>4.2.2</v>
          </cell>
          <cell r="C33" t="str">
            <v>2.2.1</v>
          </cell>
          <cell r="D33" t="str">
            <v>Planteamiento de proyectos donde se involucren estudiantes de doctorado</v>
          </cell>
          <cell r="E33">
            <v>40544</v>
          </cell>
          <cell r="F33">
            <v>42339</v>
          </cell>
          <cell r="G33" t="str">
            <v>Coord. Investigación</v>
          </cell>
          <cell r="H33" t="str">
            <v>Director</v>
          </cell>
          <cell r="I33">
            <v>0</v>
          </cell>
          <cell r="J33">
            <v>0</v>
          </cell>
          <cell r="K33">
            <v>0</v>
          </cell>
          <cell r="L33">
            <v>0</v>
          </cell>
        </row>
        <row r="34">
          <cell r="B34" t="str">
            <v>4.3</v>
          </cell>
          <cell r="C34">
            <v>2.2999999999999998</v>
          </cell>
          <cell r="D34" t="str">
            <v>Incrementar los recursos económicos para las actividades de investigación</v>
          </cell>
          <cell r="E34">
            <v>0</v>
          </cell>
          <cell r="F34">
            <v>0</v>
          </cell>
          <cell r="G34">
            <v>0</v>
          </cell>
          <cell r="H34">
            <v>0</v>
          </cell>
          <cell r="I34">
            <v>173322321.92000002</v>
          </cell>
          <cell r="J34">
            <v>0</v>
          </cell>
          <cell r="K34">
            <v>0</v>
          </cell>
          <cell r="L34" t="str">
            <v> 150 millones de pesos al año generados por proyectos de investigación (financiación externa, que no pagan overhead) diferentes a los ingresos de las líneas estratégicas.</v>
          </cell>
        </row>
        <row r="35">
          <cell r="B35" t="str">
            <v>4.3.1</v>
          </cell>
          <cell r="C35" t="str">
            <v>2.3.1</v>
          </cell>
          <cell r="D35" t="str">
            <v>Participación en convocatorias de entidades del gobierno que financian proyectos de investigación</v>
          </cell>
          <cell r="E35">
            <v>40544</v>
          </cell>
          <cell r="F35">
            <v>42339</v>
          </cell>
          <cell r="G35" t="str">
            <v>Coord. AIChE</v>
          </cell>
          <cell r="H35" t="str">
            <v>Coord. Investigación</v>
          </cell>
          <cell r="I35">
            <v>0</v>
          </cell>
          <cell r="J35">
            <v>0</v>
          </cell>
          <cell r="K35">
            <v>0</v>
          </cell>
          <cell r="L35">
            <v>0</v>
          </cell>
        </row>
        <row r="36">
          <cell r="B36" t="str">
            <v>4.3.2</v>
          </cell>
          <cell r="C36" t="str">
            <v>2.3.2</v>
          </cell>
          <cell r="D36" t="str">
            <v>Desarrollo de proyectos semilla de cofinanciación con la industria</v>
          </cell>
          <cell r="E36">
            <v>40544</v>
          </cell>
          <cell r="F36">
            <v>42339</v>
          </cell>
          <cell r="G36" t="str">
            <v>Cord. Investigación</v>
          </cell>
          <cell r="H36" t="str">
            <v>Director</v>
          </cell>
          <cell r="I36">
            <v>173322321.92000002</v>
          </cell>
          <cell r="J36">
            <v>0</v>
          </cell>
          <cell r="K36">
            <v>0</v>
          </cell>
          <cell r="L36">
            <v>0</v>
          </cell>
        </row>
        <row r="37">
          <cell r="B37" t="str">
            <v>4.4</v>
          </cell>
          <cell r="C37">
            <v>2.4</v>
          </cell>
          <cell r="D37" t="str">
            <v>Artículos publicados en revistas ISI por año (1)</v>
          </cell>
          <cell r="E37">
            <v>0</v>
          </cell>
          <cell r="F37">
            <v>0</v>
          </cell>
          <cell r="G37">
            <v>0</v>
          </cell>
          <cell r="H37">
            <v>0</v>
          </cell>
          <cell r="I37">
            <v>1061796413.8496001</v>
          </cell>
          <cell r="J37">
            <v>0</v>
          </cell>
          <cell r="K37">
            <v>0</v>
          </cell>
          <cell r="L37" t="str">
            <v>1 artículo publicado en revistas ISI por profesor por año.</v>
          </cell>
        </row>
        <row r="38">
          <cell r="B38" t="str">
            <v>4.1.1</v>
          </cell>
          <cell r="C38" t="str">
            <v>2.4.1</v>
          </cell>
          <cell r="D38" t="str">
            <v>Articular plan de trabajo de los profesores con el PDD del Departamento</v>
          </cell>
          <cell r="E38">
            <v>40544</v>
          </cell>
          <cell r="F38">
            <v>40878</v>
          </cell>
          <cell r="G38" t="str">
            <v>Director</v>
          </cell>
          <cell r="H38">
            <v>0</v>
          </cell>
          <cell r="I38">
            <v>0</v>
          </cell>
          <cell r="J38">
            <v>0</v>
          </cell>
          <cell r="K38">
            <v>0</v>
          </cell>
          <cell r="L38">
            <v>0</v>
          </cell>
        </row>
        <row r="39">
          <cell r="B39" t="str">
            <v>4.1.2</v>
          </cell>
          <cell r="C39" t="str">
            <v>2.4.2</v>
          </cell>
          <cell r="D39" t="str">
            <v>Desarrollar estructura sostenible y apoyo a la labor docente</v>
          </cell>
          <cell r="E39">
            <v>40544</v>
          </cell>
          <cell r="F39">
            <v>42339</v>
          </cell>
          <cell r="G39" t="str">
            <v>Director</v>
          </cell>
          <cell r="H39" t="str">
            <v>Coord. Administrativo</v>
          </cell>
          <cell r="I39">
            <v>1061796413.8496001</v>
          </cell>
          <cell r="J39">
            <v>0</v>
          </cell>
          <cell r="K39">
            <v>0</v>
          </cell>
          <cell r="L39">
            <v>0</v>
          </cell>
        </row>
        <row r="40">
          <cell r="B40" t="str">
            <v>4.4.1</v>
          </cell>
          <cell r="C40" t="str">
            <v>2.4.3</v>
          </cell>
          <cell r="D40" t="str">
            <v>Consolidar la maestría de investigación, desarrollando estructura articulando proyectos de grado, tesis y proyectos investigación</v>
          </cell>
          <cell r="E40">
            <v>40544</v>
          </cell>
          <cell r="F40">
            <v>41426</v>
          </cell>
          <cell r="G40" t="str">
            <v>Cord. Investigación</v>
          </cell>
          <cell r="H40" t="str">
            <v>Director</v>
          </cell>
          <cell r="I40">
            <v>0</v>
          </cell>
          <cell r="J40">
            <v>0</v>
          </cell>
          <cell r="K40">
            <v>0</v>
          </cell>
          <cell r="L40">
            <v>0</v>
          </cell>
        </row>
        <row r="41">
          <cell r="B41" t="str">
            <v>4.5</v>
          </cell>
          <cell r="C41">
            <v>2.5</v>
          </cell>
          <cell r="D41" t="str">
            <v>Incrementar la cooperación internacional.</v>
          </cell>
          <cell r="E41">
            <v>0</v>
          </cell>
          <cell r="F41">
            <v>0</v>
          </cell>
          <cell r="G41">
            <v>0</v>
          </cell>
          <cell r="H41">
            <v>0</v>
          </cell>
          <cell r="I41">
            <v>121054809.21600001</v>
          </cell>
          <cell r="J41">
            <v>0</v>
          </cell>
          <cell r="K41">
            <v>0</v>
          </cell>
          <cell r="L41" t="str">
            <v>3 profesores invitados a la escuela de verano por año, 1 profesor en  pasantía en el exterior de un mes por año, 2 estudiantes de maestría en pasantía en el exterior por año</v>
          </cell>
        </row>
        <row r="42">
          <cell r="B42" t="str">
            <v>4.5.1</v>
          </cell>
          <cell r="C42" t="str">
            <v>2.5.1</v>
          </cell>
          <cell r="D42" t="str">
            <v>Consolidar convenios efectivos con 3 universidades en América y 3 en Europa</v>
          </cell>
          <cell r="E42">
            <v>40544</v>
          </cell>
          <cell r="F42">
            <v>42339</v>
          </cell>
          <cell r="G42" t="str">
            <v>Director</v>
          </cell>
          <cell r="H42" t="str">
            <v>Coord. Investigación</v>
          </cell>
          <cell r="I42">
            <v>121054809.21600001</v>
          </cell>
          <cell r="J42">
            <v>0</v>
          </cell>
          <cell r="K42">
            <v>0</v>
          </cell>
          <cell r="L42">
            <v>0</v>
          </cell>
        </row>
        <row r="43">
          <cell r="B43" t="str">
            <v>4.5.2</v>
          </cell>
          <cell r="C43" t="str">
            <v>2.5.2</v>
          </cell>
          <cell r="D43" t="str">
            <v>Activar las pasantías de estudiantes de maestría</v>
          </cell>
          <cell r="E43">
            <v>40544</v>
          </cell>
          <cell r="F43">
            <v>42339</v>
          </cell>
          <cell r="G43" t="str">
            <v>Coord. Administrativo</v>
          </cell>
          <cell r="H43" t="str">
            <v>Coord. Investigación</v>
          </cell>
          <cell r="I43">
            <v>0</v>
          </cell>
          <cell r="J43">
            <v>0</v>
          </cell>
          <cell r="K43">
            <v>0</v>
          </cell>
          <cell r="L43">
            <v>0</v>
          </cell>
        </row>
        <row r="44">
          <cell r="B44">
            <v>6</v>
          </cell>
          <cell r="C44">
            <v>3</v>
          </cell>
          <cell r="D44" t="str">
            <v>Aumentar la contribución de la Facultad al desarrollo del país</v>
          </cell>
          <cell r="E44">
            <v>0</v>
          </cell>
          <cell r="F44">
            <v>0</v>
          </cell>
          <cell r="G44">
            <v>0</v>
          </cell>
          <cell r="H44">
            <v>0</v>
          </cell>
          <cell r="I44">
            <v>97848967.680000007</v>
          </cell>
          <cell r="J44">
            <v>0</v>
          </cell>
          <cell r="K44">
            <v>0</v>
          </cell>
          <cell r="L44">
            <v>0</v>
          </cell>
        </row>
        <row r="45">
          <cell r="B45" t="str">
            <v>6.1</v>
          </cell>
          <cell r="C45" t="str">
            <v>3.1</v>
          </cell>
          <cell r="D45" t="str">
            <v>3.1 Asistir a las empresas en sus esfuerzos por aumentar su competitividad</v>
          </cell>
          <cell r="E45">
            <v>0</v>
          </cell>
          <cell r="F45">
            <v>0</v>
          </cell>
          <cell r="G45">
            <v>0</v>
          </cell>
          <cell r="H45">
            <v>0</v>
          </cell>
          <cell r="I45">
            <v>8124483.8399999999</v>
          </cell>
          <cell r="J45">
            <v>0</v>
          </cell>
          <cell r="K45">
            <v>0</v>
          </cell>
          <cell r="L45" t="str">
            <v>100% de los proyectos tienen un impacto favorable en la competitividad de las empresas, desde la perspectiva de la entidad contratante.</v>
          </cell>
        </row>
        <row r="46">
          <cell r="B46" t="str">
            <v>6.1.3</v>
          </cell>
          <cell r="C46" t="str">
            <v>3.1.1</v>
          </cell>
          <cell r="D46" t="str">
            <v>Integrar las industrias nacionales a la línea de diseño de productos y procesos</v>
          </cell>
          <cell r="E46">
            <v>40544</v>
          </cell>
          <cell r="F46">
            <v>41426</v>
          </cell>
          <cell r="G46" t="str">
            <v>Coord. Investigación</v>
          </cell>
          <cell r="H46" t="str">
            <v>Director</v>
          </cell>
          <cell r="I46">
            <v>0</v>
          </cell>
          <cell r="J46">
            <v>0</v>
          </cell>
          <cell r="K46">
            <v>0</v>
          </cell>
          <cell r="L46">
            <v>0</v>
          </cell>
        </row>
        <row r="47">
          <cell r="B47" t="str">
            <v>6.1.4</v>
          </cell>
          <cell r="C47" t="str">
            <v>3.1.2</v>
          </cell>
          <cell r="D47" t="str">
            <v>Crear un grupo de empresas socias del Departamento y desarrollar espacios de innovación para atraer a las empresas</v>
          </cell>
          <cell r="E47">
            <v>40544</v>
          </cell>
          <cell r="F47">
            <v>42339</v>
          </cell>
          <cell r="G47" t="str">
            <v>Director</v>
          </cell>
          <cell r="H47" t="str">
            <v>Coord. Investigación</v>
          </cell>
          <cell r="I47">
            <v>8124483.8399999999</v>
          </cell>
          <cell r="J47">
            <v>0</v>
          </cell>
          <cell r="K47">
            <v>0</v>
          </cell>
          <cell r="L47">
            <v>0</v>
          </cell>
        </row>
        <row r="48">
          <cell r="B48" t="str">
            <v>6.2</v>
          </cell>
          <cell r="C48" t="str">
            <v>3.2</v>
          </cell>
          <cell r="D48" t="str">
            <v>Contribuir en la construcción de soluciones para los problemas críticos del país</v>
          </cell>
          <cell r="E48">
            <v>0</v>
          </cell>
          <cell r="F48">
            <v>0</v>
          </cell>
          <cell r="G48">
            <v>0</v>
          </cell>
          <cell r="H48">
            <v>0</v>
          </cell>
          <cell r="I48">
            <v>8124483.8399999999</v>
          </cell>
          <cell r="J48">
            <v>0</v>
          </cell>
          <cell r="K48">
            <v>0</v>
          </cell>
          <cell r="L48" t="str">
            <v>$150 millones al año generados por proyectos que ofrecen una solución a alguno de los problemas críticos del país.</v>
          </cell>
        </row>
        <row r="49">
          <cell r="B49" t="str">
            <v>6.2.1</v>
          </cell>
          <cell r="C49" t="str">
            <v>3.2.1</v>
          </cell>
          <cell r="D49" t="str">
            <v>Crear vínculos con egresados que estén en cargos directivos en la industria nacional</v>
          </cell>
          <cell r="E49">
            <v>40544</v>
          </cell>
          <cell r="F49">
            <v>42339</v>
          </cell>
          <cell r="G49" t="str">
            <v>Coord.  Administrativo</v>
          </cell>
          <cell r="H49" t="str">
            <v>Director</v>
          </cell>
          <cell r="I49">
            <v>8124483.8399999999</v>
          </cell>
          <cell r="J49">
            <v>0</v>
          </cell>
          <cell r="K49">
            <v>0</v>
          </cell>
          <cell r="L49">
            <v>0</v>
          </cell>
        </row>
        <row r="50">
          <cell r="B50" t="str">
            <v>6.2.2</v>
          </cell>
          <cell r="C50" t="str">
            <v>3.2.2</v>
          </cell>
          <cell r="D50" t="str">
            <v>Establecer convenios de cooperación con la industria nacional para desarrollar proyectos de grado y tesis de maestría que propongan soluciones problemas puntuales. Crear maestría de profundización</v>
          </cell>
          <cell r="E50">
            <v>40544</v>
          </cell>
          <cell r="F50">
            <v>42339</v>
          </cell>
          <cell r="G50" t="str">
            <v>Director</v>
          </cell>
          <cell r="H50" t="str">
            <v>Coord. Investigación</v>
          </cell>
          <cell r="I50">
            <v>0</v>
          </cell>
          <cell r="J50">
            <v>0</v>
          </cell>
          <cell r="K50">
            <v>0</v>
          </cell>
          <cell r="L50">
            <v>0</v>
          </cell>
        </row>
        <row r="51">
          <cell r="B51" t="str">
            <v>6.3</v>
          </cell>
          <cell r="C51" t="str">
            <v>3.3</v>
          </cell>
          <cell r="D51" t="str">
            <v>Generar opinión alrededor de los temas de interés nacional e incidir en las decisiones tecnológicas, sociales, económicas, ambientales y políticas.</v>
          </cell>
          <cell r="E51">
            <v>0</v>
          </cell>
          <cell r="F51">
            <v>0</v>
          </cell>
          <cell r="G51">
            <v>0</v>
          </cell>
          <cell r="H51">
            <v>0</v>
          </cell>
          <cell r="I51">
            <v>81600000</v>
          </cell>
          <cell r="J51">
            <v>0</v>
          </cell>
          <cell r="K51">
            <v>0</v>
          </cell>
          <cell r="L51" t="str">
            <v>2 foros con invitados internacionales organizados alrededor de temas de interés nacional.</v>
          </cell>
        </row>
        <row r="52">
          <cell r="B52" t="str">
            <v>6.3.1</v>
          </cell>
          <cell r="C52" t="str">
            <v>3.3.1</v>
          </cell>
          <cell r="D52" t="str">
            <v xml:space="preserve">Realizar foros de discusión en el diseño de productos por sector industrial </v>
          </cell>
          <cell r="E52">
            <v>40909</v>
          </cell>
          <cell r="F52">
            <v>41974</v>
          </cell>
          <cell r="G52" t="str">
            <v>Planta Profesoral</v>
          </cell>
          <cell r="H52" t="str">
            <v>Coord. Administrativo</v>
          </cell>
          <cell r="I52">
            <v>81600000</v>
          </cell>
          <cell r="J52">
            <v>0</v>
          </cell>
          <cell r="K52">
            <v>0</v>
          </cell>
          <cell r="L52">
            <v>0</v>
          </cell>
        </row>
        <row r="53">
          <cell r="B53">
            <v>2</v>
          </cell>
          <cell r="C53">
            <v>4</v>
          </cell>
          <cell r="D53" t="str">
            <v>Lograr que los profesores sean referentes en sus áreas de trabajo</v>
          </cell>
          <cell r="E53">
            <v>0</v>
          </cell>
          <cell r="F53">
            <v>0</v>
          </cell>
          <cell r="G53">
            <v>0</v>
          </cell>
          <cell r="H53">
            <v>0</v>
          </cell>
          <cell r="I53">
            <v>218452558.61526856</v>
          </cell>
          <cell r="J53">
            <v>0</v>
          </cell>
          <cell r="K53">
            <v>0</v>
          </cell>
          <cell r="L53">
            <v>0</v>
          </cell>
        </row>
        <row r="54">
          <cell r="B54" t="str">
            <v>2.1</v>
          </cell>
          <cell r="C54">
            <v>4.0999999999999996</v>
          </cell>
          <cell r="D54" t="str">
            <v>Lograr que los profesores sean referentes en sus áreas de trabajo</v>
          </cell>
          <cell r="E54">
            <v>0</v>
          </cell>
          <cell r="F54">
            <v>0</v>
          </cell>
          <cell r="G54">
            <v>0</v>
          </cell>
          <cell r="H54">
            <v>0</v>
          </cell>
          <cell r="I54">
            <v>218452558.61526856</v>
          </cell>
          <cell r="J54">
            <v>0</v>
          </cell>
          <cell r="K54">
            <v>0</v>
          </cell>
          <cell r="L54" t="str">
            <v>Se ajustaran los indicadores al Departamento cuando sean definidos por la Facultad, teniendo como metas las mismas de la facultad.</v>
          </cell>
        </row>
        <row r="55">
          <cell r="B55" t="str">
            <v>2.1.3</v>
          </cell>
          <cell r="C55" t="str">
            <v>4.1.1</v>
          </cell>
          <cell r="D55" t="str">
            <v>Realizar periódicamente reuniones de los grupos de investigación, incluir a los instructores en la investigación liderada por profesores asistentes o asociados, promover la utilización eficiente de los equipos existentes, identificar cuales son los equipos subutilizados</v>
          </cell>
          <cell r="E55">
            <v>40544</v>
          </cell>
          <cell r="F55">
            <v>40878</v>
          </cell>
          <cell r="G55" t="str">
            <v>Coord. Investigación</v>
          </cell>
          <cell r="H55">
            <v>0</v>
          </cell>
          <cell r="I55">
            <v>0</v>
          </cell>
          <cell r="J55">
            <v>0</v>
          </cell>
          <cell r="K55">
            <v>0</v>
          </cell>
          <cell r="L55">
            <v>0</v>
          </cell>
        </row>
        <row r="56">
          <cell r="B56" t="str">
            <v>2.1.4</v>
          </cell>
          <cell r="C56" t="str">
            <v>4.1.2</v>
          </cell>
          <cell r="D56" t="str">
            <v>Realizar capacitaciones internas y externas, realizar pasantías para mejorar el nivel de inglés, realizar actividades extracurriculares y fuera del contexto de la universidad.</v>
          </cell>
          <cell r="E56">
            <v>40544</v>
          </cell>
          <cell r="F56">
            <v>42339</v>
          </cell>
          <cell r="G56" t="str">
            <v>Director</v>
          </cell>
          <cell r="H56" t="str">
            <v>Coord. Administrativo</v>
          </cell>
          <cell r="I56">
            <v>81244838.400000006</v>
          </cell>
          <cell r="J56">
            <v>0</v>
          </cell>
          <cell r="K56">
            <v>0</v>
          </cell>
          <cell r="L56">
            <v>0</v>
          </cell>
        </row>
        <row r="57">
          <cell r="B57" t="str">
            <v>4.4.2</v>
          </cell>
          <cell r="C57" t="str">
            <v>4.1.3</v>
          </cell>
          <cell r="D57" t="str">
            <v>Incentivar las publicaciones de textos, notas de clase y textos docentes, creando una bolsa de recursos</v>
          </cell>
          <cell r="E57">
            <v>40544</v>
          </cell>
          <cell r="F57">
            <v>42339</v>
          </cell>
          <cell r="G57" t="str">
            <v>Director</v>
          </cell>
          <cell r="H57">
            <v>0</v>
          </cell>
          <cell r="I57">
            <v>5791397.6552685574</v>
          </cell>
          <cell r="J57">
            <v>0</v>
          </cell>
          <cell r="K57">
            <v>0</v>
          </cell>
          <cell r="L57">
            <v>0</v>
          </cell>
        </row>
        <row r="58">
          <cell r="B58" t="str">
            <v>6.3.4. 2.1.5. 2.1.6</v>
          </cell>
          <cell r="C58" t="str">
            <v>4.1.4</v>
          </cell>
          <cell r="D58" t="str">
            <v>Promover la afiliación a otras asociaciones internacionales diferentes de la AIChE. Buscar la participación en asociaciones o gremios nacionales y entes de decisión de nacionales. Inclusión de la participación en asociaciones en la evaluación de desempeño, y definir impacto de vinculación de los profesores en las asociaciones.</v>
          </cell>
          <cell r="E58">
            <v>40544</v>
          </cell>
          <cell r="F58">
            <v>41426</v>
          </cell>
          <cell r="G58" t="str">
            <v>Director</v>
          </cell>
          <cell r="H58">
            <v>0</v>
          </cell>
          <cell r="I58">
            <v>0</v>
          </cell>
          <cell r="J58">
            <v>0</v>
          </cell>
          <cell r="K58">
            <v>0</v>
          </cell>
          <cell r="L58">
            <v>0</v>
          </cell>
        </row>
        <row r="59">
          <cell r="B59" t="str">
            <v>2.1.7</v>
          </cell>
          <cell r="C59" t="str">
            <v>4.1.5</v>
          </cell>
          <cell r="D59" t="str">
            <v>Crear página web en inglés (pagina web por profesor)</v>
          </cell>
          <cell r="E59">
            <v>40544</v>
          </cell>
          <cell r="F59">
            <v>40878</v>
          </cell>
          <cell r="G59" t="str">
            <v>Cord. Administrativo</v>
          </cell>
          <cell r="H59" t="str">
            <v>Comité Curricular</v>
          </cell>
          <cell r="I59">
            <v>2000000</v>
          </cell>
          <cell r="J59">
            <v>0</v>
          </cell>
          <cell r="K59">
            <v>0</v>
          </cell>
          <cell r="L59">
            <v>0</v>
          </cell>
        </row>
        <row r="60">
          <cell r="B60" t="str">
            <v>6.3.2</v>
          </cell>
          <cell r="C60" t="str">
            <v>4.1.6</v>
          </cell>
          <cell r="D60" t="str">
            <v>Participar de manera activa en los seminarios de posgrado del Departamento,  divulgación de eventos, y actividades con AIChE</v>
          </cell>
          <cell r="E60">
            <v>40544</v>
          </cell>
          <cell r="F60">
            <v>42339</v>
          </cell>
          <cell r="G60" t="str">
            <v>Planta Profesoral</v>
          </cell>
          <cell r="H60" t="str">
            <v>Cord. AIChE</v>
          </cell>
          <cell r="I60">
            <v>5416322.5600000005</v>
          </cell>
          <cell r="J60">
            <v>0</v>
          </cell>
          <cell r="K60">
            <v>0</v>
          </cell>
          <cell r="L60">
            <v>0</v>
          </cell>
        </row>
        <row r="61">
          <cell r="B61" t="str">
            <v>6.4.1</v>
          </cell>
          <cell r="C61" t="str">
            <v>4.1.7</v>
          </cell>
          <cell r="D61" t="str">
            <v>Crear capítulo de egresados, buscando incrementar comunicación con egresados</v>
          </cell>
          <cell r="E61">
            <v>40909</v>
          </cell>
          <cell r="F61">
            <v>41244</v>
          </cell>
          <cell r="G61" t="str">
            <v>Cord. Administrativo</v>
          </cell>
          <cell r="H61" t="str">
            <v>Director</v>
          </cell>
          <cell r="I61">
            <v>22000000</v>
          </cell>
          <cell r="J61">
            <v>0</v>
          </cell>
          <cell r="K61">
            <v>0</v>
          </cell>
          <cell r="L61">
            <v>0</v>
          </cell>
        </row>
        <row r="62">
          <cell r="B62" t="str">
            <v>4.4.3</v>
          </cell>
          <cell r="C62" t="str">
            <v>4.1.8</v>
          </cell>
          <cell r="D62" t="str">
            <v>Participación en publicaciones de la Universidad, y mecanismos de comunicación a nivel nacional.</v>
          </cell>
          <cell r="E62">
            <v>40544</v>
          </cell>
          <cell r="F62">
            <v>41426</v>
          </cell>
          <cell r="G62" t="str">
            <v>Planta Profesoral</v>
          </cell>
          <cell r="H62">
            <v>0</v>
          </cell>
          <cell r="I62">
            <v>0</v>
          </cell>
          <cell r="J62">
            <v>0</v>
          </cell>
          <cell r="K62">
            <v>0</v>
          </cell>
          <cell r="L62">
            <v>0</v>
          </cell>
        </row>
        <row r="63">
          <cell r="B63" t="str">
            <v>6.3.3</v>
          </cell>
          <cell r="C63" t="str">
            <v>4.1.9</v>
          </cell>
          <cell r="D63" t="str">
            <v>Desarrollar un evento al año de Ingeniería Química con el sector externo y egresados.</v>
          </cell>
          <cell r="E63">
            <v>42005</v>
          </cell>
          <cell r="F63">
            <v>42339</v>
          </cell>
          <cell r="G63" t="str">
            <v>Cord. Administrativo</v>
          </cell>
          <cell r="H63" t="str">
            <v>Director</v>
          </cell>
          <cell r="I63">
            <v>102000000</v>
          </cell>
          <cell r="J63">
            <v>0</v>
          </cell>
          <cell r="K63">
            <v>0</v>
          </cell>
          <cell r="L63">
            <v>0</v>
          </cell>
        </row>
        <row r="64">
          <cell r="B64" t="str">
            <v>3 y 5</v>
          </cell>
          <cell r="C64">
            <v>5</v>
          </cell>
          <cell r="D64" t="str">
            <v>Lograr una organización y un tamaño para la Facultad que le permita cumplir la misión</v>
          </cell>
          <cell r="E64">
            <v>0</v>
          </cell>
          <cell r="F64">
            <v>0</v>
          </cell>
          <cell r="G64">
            <v>0</v>
          </cell>
          <cell r="H64">
            <v>0</v>
          </cell>
          <cell r="I64">
            <v>9890112484.6318645</v>
          </cell>
          <cell r="J64">
            <v>0</v>
          </cell>
          <cell r="K64">
            <v>0</v>
          </cell>
          <cell r="L64">
            <v>0</v>
          </cell>
        </row>
        <row r="65">
          <cell r="B65" t="str">
            <v>3.1</v>
          </cell>
          <cell r="C65">
            <v>5.0999999999999996</v>
          </cell>
          <cell r="D65" t="str">
            <v xml:space="preserve">Alcanzar las metas de población estudiantil de la Facultad </v>
          </cell>
          <cell r="E65">
            <v>0</v>
          </cell>
          <cell r="F65">
            <v>0</v>
          </cell>
          <cell r="G65">
            <v>0</v>
          </cell>
          <cell r="H65">
            <v>0</v>
          </cell>
          <cell r="I65">
            <v>0</v>
          </cell>
          <cell r="J65">
            <v>0</v>
          </cell>
          <cell r="K65">
            <v>0</v>
          </cell>
          <cell r="L65" t="str">
            <v>En 2015: 800 estudiantes de pregrado  30 estudiantes inscritos en la maestría de investigación 30 estudiantes inscritos en la maestría de profundización</v>
          </cell>
        </row>
        <row r="66">
          <cell r="B66" t="str">
            <v>3.1.3</v>
          </cell>
          <cell r="C66" t="str">
            <v>5.1.1</v>
          </cell>
          <cell r="D66" t="str">
            <v>Actividades de scouting que garanticen un crecimiento anual del 5.5% en estudiantes de pregrado.
Asistencias graduadas que garanticen que el 50% de los estudiantes de maestría estén financiados</v>
          </cell>
          <cell r="E66">
            <v>40544</v>
          </cell>
          <cell r="F66">
            <v>42339</v>
          </cell>
          <cell r="G66" t="str">
            <v>Cord. Administrativo</v>
          </cell>
          <cell r="H66" t="str">
            <v>Director</v>
          </cell>
          <cell r="I66">
            <v>0</v>
          </cell>
          <cell r="J66">
            <v>0</v>
          </cell>
          <cell r="K66">
            <v>0</v>
          </cell>
          <cell r="L66">
            <v>0</v>
          </cell>
        </row>
        <row r="67">
          <cell r="B67" t="str">
            <v>3.2</v>
          </cell>
          <cell r="C67">
            <v>5.2</v>
          </cell>
          <cell r="D67" t="str">
            <v>Alcanzar las metas en la composición de la planta de profesores</v>
          </cell>
          <cell r="E67">
            <v>40544</v>
          </cell>
          <cell r="F67">
            <v>42339</v>
          </cell>
          <cell r="G67">
            <v>0</v>
          </cell>
          <cell r="H67">
            <v>0</v>
          </cell>
          <cell r="I67">
            <v>6829054424.6270981</v>
          </cell>
          <cell r="J67">
            <v>0</v>
          </cell>
          <cell r="K67">
            <v>0</v>
          </cell>
          <cell r="L67" t="str">
            <v>8/12 profesores con Doctorado en 2015</v>
          </cell>
        </row>
        <row r="68">
          <cell r="B68" t="str">
            <v>5.1</v>
          </cell>
          <cell r="C68">
            <v>5.3</v>
          </cell>
          <cell r="D68" t="str">
            <v>Definir y alcanzar las metas de Infraestructura física y recursos para soportar el desarrollo de la Facultad</v>
          </cell>
          <cell r="E68">
            <v>40544</v>
          </cell>
          <cell r="F68">
            <v>42339</v>
          </cell>
          <cell r="G68">
            <v>0</v>
          </cell>
          <cell r="H68">
            <v>0</v>
          </cell>
          <cell r="I68">
            <v>1304441395.9940228</v>
          </cell>
          <cell r="J68">
            <v>0</v>
          </cell>
          <cell r="K68">
            <v>0</v>
          </cell>
          <cell r="L68" t="str">
            <v>8% de los ingresos operacionales al año en inversión para desarrollo y adecuación de los laboratorios y mantenimiento</v>
          </cell>
        </row>
        <row r="69">
          <cell r="B69" t="str">
            <v>5.2</v>
          </cell>
          <cell r="C69">
            <v>5.4</v>
          </cell>
          <cell r="D69" t="str">
            <v>Adaptar la organización a los desafíos de su crecimiento</v>
          </cell>
          <cell r="E69">
            <v>0</v>
          </cell>
          <cell r="F69">
            <v>0</v>
          </cell>
          <cell r="G69">
            <v>0</v>
          </cell>
          <cell r="H69">
            <v>0</v>
          </cell>
          <cell r="I69">
            <v>1756616664.0107434</v>
          </cell>
          <cell r="J69">
            <v>0</v>
          </cell>
          <cell r="K69">
            <v>0</v>
          </cell>
          <cell r="L69" t="str">
            <v>30 estudiantes inscritos en la maestría de investigación 30 estudiantes inscritos en la maestría de profundización, Los gastos administrativos consolidados de la Facultad no superan el 12% de los ingresos totales.</v>
          </cell>
        </row>
        <row r="70">
          <cell r="B70" t="str">
            <v>3.1.4</v>
          </cell>
          <cell r="C70" t="str">
            <v>5.4.1</v>
          </cell>
          <cell r="D70" t="str">
            <v>Promoción del programa y del Departamento en colegios y empresas, generando de actividades y estrategias que permitan mostar nuestras diferencias.</v>
          </cell>
          <cell r="E70">
            <v>40544</v>
          </cell>
          <cell r="F70">
            <v>42339</v>
          </cell>
          <cell r="G70" t="str">
            <v>Coord. Administrativo</v>
          </cell>
          <cell r="H70" t="str">
            <v>Comité Scouting</v>
          </cell>
          <cell r="I70">
            <v>229267200</v>
          </cell>
          <cell r="J70">
            <v>0</v>
          </cell>
          <cell r="K70">
            <v>0</v>
          </cell>
          <cell r="L70">
            <v>0</v>
          </cell>
        </row>
        <row r="71">
          <cell r="B71" t="str">
            <v>3.1.5</v>
          </cell>
          <cell r="C71" t="str">
            <v>5.4.2</v>
          </cell>
          <cell r="D71" t="str">
            <v>Promoción del programa de maestría entre los mejores estudiantes de pregrado.</v>
          </cell>
          <cell r="E71">
            <v>40544</v>
          </cell>
          <cell r="F71">
            <v>42339</v>
          </cell>
          <cell r="G71" t="str">
            <v>Coord. Administrativo</v>
          </cell>
          <cell r="H71" t="str">
            <v>Comité Scouting</v>
          </cell>
          <cell r="I71">
            <v>0</v>
          </cell>
          <cell r="J71">
            <v>0</v>
          </cell>
          <cell r="K71">
            <v>0</v>
          </cell>
          <cell r="L71">
            <v>0</v>
          </cell>
        </row>
        <row r="72">
          <cell r="B72" t="str">
            <v>3.1.6</v>
          </cell>
          <cell r="C72" t="str">
            <v>5.4.3</v>
          </cell>
          <cell r="D72" t="str">
            <v>Reestructurar el folleto informativo</v>
          </cell>
          <cell r="E72">
            <v>40544</v>
          </cell>
          <cell r="F72">
            <v>42339</v>
          </cell>
          <cell r="G72" t="str">
            <v>Coord. Administrativo</v>
          </cell>
          <cell r="H72" t="str">
            <v>Comité de Noticias</v>
          </cell>
          <cell r="I72">
            <v>10832645.120000001</v>
          </cell>
          <cell r="J72">
            <v>0</v>
          </cell>
          <cell r="K72">
            <v>0</v>
          </cell>
          <cell r="L72">
            <v>0</v>
          </cell>
        </row>
        <row r="73">
          <cell r="B73" t="str">
            <v>1.1.2</v>
          </cell>
          <cell r="C73" t="str">
            <v>5.4.4</v>
          </cell>
          <cell r="D73" t="str">
            <v>Presentar a las empresas el perfil del Iingeniero Químico Uniandino</v>
          </cell>
          <cell r="E73">
            <v>40544</v>
          </cell>
          <cell r="F73">
            <v>42339</v>
          </cell>
          <cell r="G73" t="str">
            <v>Director</v>
          </cell>
          <cell r="H73" t="str">
            <v>Coord. Administrativo</v>
          </cell>
          <cell r="I73">
            <v>7539554.5600000005</v>
          </cell>
          <cell r="J73">
            <v>0</v>
          </cell>
          <cell r="K73">
            <v>0</v>
          </cell>
          <cell r="L73">
            <v>0</v>
          </cell>
        </row>
        <row r="74">
          <cell r="B74" t="str">
            <v>5.2.1</v>
          </cell>
          <cell r="C74" t="str">
            <v>5.4.5</v>
          </cell>
          <cell r="D74" t="str">
            <v>Definir funciones administrativas para pregrado, maestría, investigación, sector externo y dirección,  buscando agilizar los procesos administrativos.</v>
          </cell>
          <cell r="E74">
            <v>40544</v>
          </cell>
          <cell r="F74">
            <v>42339</v>
          </cell>
          <cell r="G74" t="str">
            <v>Director</v>
          </cell>
          <cell r="H74">
            <v>0</v>
          </cell>
          <cell r="I74">
            <v>1508977264.3307433</v>
          </cell>
          <cell r="J74">
            <v>0</v>
          </cell>
          <cell r="K74">
            <v>0</v>
          </cell>
          <cell r="L74">
            <v>0</v>
          </cell>
        </row>
        <row r="77">
          <cell r="T77" t="str">
            <v>Ingresos</v>
          </cell>
        </row>
        <row r="78">
          <cell r="T78" t="str">
            <v>Fuentes de financiación</v>
          </cell>
        </row>
        <row r="79">
          <cell r="T79" t="str">
            <v>Inversión</v>
          </cell>
        </row>
        <row r="80">
          <cell r="T80" t="str">
            <v>Costos/ Gastos</v>
          </cell>
        </row>
      </sheetData>
      <sheetData sheetId="5"/>
      <sheetData sheetId="6">
        <row r="5">
          <cell r="B5">
            <v>1</v>
          </cell>
          <cell r="C5">
            <v>1</v>
          </cell>
          <cell r="D5" t="str">
            <v>Objetivo 1: Mantener actualizados y alcanzar los perfiles de formación</v>
          </cell>
          <cell r="E5">
            <v>0</v>
          </cell>
          <cell r="F5">
            <v>0</v>
          </cell>
          <cell r="G5">
            <v>0</v>
          </cell>
          <cell r="H5">
            <v>0</v>
          </cell>
          <cell r="I5">
            <v>0</v>
          </cell>
          <cell r="J5">
            <v>0</v>
          </cell>
          <cell r="K5">
            <v>0</v>
          </cell>
          <cell r="L5">
            <v>0</v>
          </cell>
        </row>
        <row r="6">
          <cell r="B6" t="str">
            <v>1.1</v>
          </cell>
          <cell r="C6" t="str">
            <v>1.1</v>
          </cell>
          <cell r="D6" t="str">
            <v>Subobjetivo 1.1. Actualizar los perfiles de formación (pregrado, especialización, maestría y doctorado) teniendo en cuenta las tendencias mundiales, las necesidades nacionales y el contexto educativo del país.</v>
          </cell>
          <cell r="E6">
            <v>0</v>
          </cell>
          <cell r="F6">
            <v>0</v>
          </cell>
          <cell r="G6">
            <v>0</v>
          </cell>
          <cell r="H6">
            <v>0</v>
          </cell>
          <cell r="I6">
            <v>0</v>
          </cell>
          <cell r="J6">
            <v>0</v>
          </cell>
          <cell r="K6">
            <v>0</v>
          </cell>
          <cell r="L6" t="str">
            <v>· Objetivos y outcomes de cada programa (pregrado y posgrado) actualizados en el 2012 y nuevamente en el 2015.</v>
          </cell>
        </row>
        <row r="7">
          <cell r="B7" t="str">
            <v>1.1.1</v>
          </cell>
          <cell r="C7" t="str">
            <v>1.1.1</v>
          </cell>
          <cell r="D7" t="str">
            <v>Crear, para cada programa, un comité académico, con funciones, responsabilidades y procesos bien definidos. Tendrá, entre otras, la responsabilidad de mantener actualizado el perfil de formación.</v>
          </cell>
          <cell r="E7">
            <v>40544</v>
          </cell>
          <cell r="F7">
            <v>40908</v>
          </cell>
          <cell r="G7" t="str">
            <v>Director de Departamento</v>
          </cell>
          <cell r="H7" t="str">
            <v>Coordinador académico</v>
          </cell>
          <cell r="I7">
            <v>0</v>
          </cell>
          <cell r="J7">
            <v>0</v>
          </cell>
          <cell r="K7">
            <v>0</v>
          </cell>
          <cell r="L7">
            <v>0</v>
          </cell>
        </row>
        <row r="8">
          <cell r="B8" t="str">
            <v>Eliminada</v>
          </cell>
          <cell r="C8" t="str">
            <v>1.1.2</v>
          </cell>
          <cell r="D8" t="str">
            <v>Asegurar la adecuada operación de los comités académicos de los distintos programas</v>
          </cell>
          <cell r="E8">
            <v>40544</v>
          </cell>
          <cell r="F8">
            <v>42369</v>
          </cell>
          <cell r="G8" t="str">
            <v>Director de Departamento</v>
          </cell>
          <cell r="H8" t="str">
            <v>Coordinador académico</v>
          </cell>
          <cell r="I8">
            <v>0</v>
          </cell>
          <cell r="J8">
            <v>0</v>
          </cell>
          <cell r="K8">
            <v>0</v>
          </cell>
          <cell r="L8">
            <v>0</v>
          </cell>
        </row>
        <row r="9">
          <cell r="B9" t="str">
            <v>1.2</v>
          </cell>
          <cell r="C9" t="str">
            <v>1.2</v>
          </cell>
          <cell r="D9" t="str">
            <v>Subobjetivo 1.2.  Mantener un curriculum innovador que responda a los perfiles deseados para la formación.</v>
          </cell>
          <cell r="E9">
            <v>0</v>
          </cell>
          <cell r="F9">
            <v>0</v>
          </cell>
          <cell r="G9">
            <v>0</v>
          </cell>
          <cell r="H9">
            <v>0</v>
          </cell>
          <cell r="I9">
            <v>0</v>
          </cell>
          <cell r="J9">
            <v>0</v>
          </cell>
          <cell r="K9">
            <v>0</v>
          </cell>
          <cell r="L9" t="str">
            <v>En el 2015 innovaciones implementadas y evaluadas</v>
          </cell>
        </row>
        <row r="10">
          <cell r="B10" t="str">
            <v>1.2.1</v>
          </cell>
          <cell r="C10" t="str">
            <v>1.2.1</v>
          </cell>
          <cell r="D10" t="str">
            <v>Apoyar a los profesores en la incorporación de estrategias pedagógicas innovadoras, incluyendo aprendizaje activo y aprendizaje basado en proyectos.</v>
          </cell>
          <cell r="E10">
            <v>40544</v>
          </cell>
          <cell r="F10">
            <v>42369</v>
          </cell>
          <cell r="G10" t="str">
            <v>Director de Departamento</v>
          </cell>
          <cell r="H10" t="str">
            <v>Coordinador académico</v>
          </cell>
          <cell r="I10">
            <v>0</v>
          </cell>
          <cell r="J10">
            <v>0</v>
          </cell>
          <cell r="K10">
            <v>0</v>
          </cell>
          <cell r="L10">
            <v>0</v>
          </cell>
        </row>
        <row r="11">
          <cell r="B11" t="str">
            <v>1.3</v>
          </cell>
          <cell r="C11" t="str">
            <v>1.3</v>
          </cell>
          <cell r="D11" t="str">
            <v>Subobjetivo 1.3. Desarrollar nuevos programas de maestría</v>
          </cell>
          <cell r="E11">
            <v>0</v>
          </cell>
          <cell r="F11">
            <v>0</v>
          </cell>
          <cell r="G11">
            <v>0</v>
          </cell>
          <cell r="H11">
            <v>0</v>
          </cell>
          <cell r="I11">
            <v>0</v>
          </cell>
          <cell r="J11">
            <v>0</v>
          </cell>
          <cell r="K11">
            <v>0</v>
          </cell>
          <cell r="L11" t="str">
            <v>10  nuevos programas de maestría en el 2015.</v>
          </cell>
        </row>
        <row r="12">
          <cell r="B12" t="str">
            <v>1.3.1</v>
          </cell>
          <cell r="C12" t="str">
            <v>1.3.1</v>
          </cell>
          <cell r="D12" t="str">
            <v>Diseñar y poner en operación 4 maestrías, con el modelo investigación-profundización enmarcado en ellas</v>
          </cell>
          <cell r="E12">
            <v>40544</v>
          </cell>
          <cell r="F12">
            <v>42369</v>
          </cell>
          <cell r="G12" t="str">
            <v>Director de Departamento</v>
          </cell>
          <cell r="H12" t="str">
            <v>Coordinador académico</v>
          </cell>
          <cell r="I12">
            <v>100000000</v>
          </cell>
          <cell r="J12">
            <v>0</v>
          </cell>
          <cell r="K12">
            <v>0</v>
          </cell>
          <cell r="L12">
            <v>0</v>
          </cell>
        </row>
        <row r="13">
          <cell r="B13" t="str">
            <v>1.4</v>
          </cell>
          <cell r="C13" t="str">
            <v>1.4</v>
          </cell>
          <cell r="D13" t="str">
            <v>Subobjetivo 1.4. Lograr la articulación de los programas de formación.</v>
          </cell>
          <cell r="E13">
            <v>0</v>
          </cell>
          <cell r="F13">
            <v>0</v>
          </cell>
          <cell r="G13">
            <v>0</v>
          </cell>
          <cell r="H13">
            <v>0</v>
          </cell>
          <cell r="I13">
            <v>0</v>
          </cell>
          <cell r="J13">
            <v>0</v>
          </cell>
          <cell r="K13">
            <v>0</v>
          </cell>
          <cell r="L13" t="str">
            <v>Incrementar el número de estudiantes en programa coterminal que ingresen a la maestría (El 50% del incremento se deberá a estudiantes del programa coterminal)</v>
          </cell>
        </row>
        <row r="14">
          <cell r="B14" t="str">
            <v>3.1.2</v>
          </cell>
          <cell r="C14" t="str">
            <v>1.4.1</v>
          </cell>
          <cell r="D14" t="str">
            <v>Aumentar el número de asistencias graduadas disponibles para atraer estudiantes a la maestría</v>
          </cell>
          <cell r="E14">
            <v>40544</v>
          </cell>
          <cell r="F14">
            <v>42369</v>
          </cell>
          <cell r="G14" t="str">
            <v>Director de Departamento</v>
          </cell>
          <cell r="H14" t="str">
            <v>Coordinador académico</v>
          </cell>
          <cell r="I14">
            <v>0</v>
          </cell>
          <cell r="J14">
            <v>0</v>
          </cell>
          <cell r="K14">
            <v>0</v>
          </cell>
          <cell r="L14">
            <v>0</v>
          </cell>
        </row>
        <row r="15">
          <cell r="B15" t="str">
            <v>3.1.3</v>
          </cell>
          <cell r="C15" t="str">
            <v>1.4.2</v>
          </cell>
          <cell r="D15" t="str">
            <v>Mejorar los planes de difusión de las asistencias graduadas y doctorales, para atraer un mayor número de estudiantes</v>
          </cell>
          <cell r="E15">
            <v>40544</v>
          </cell>
          <cell r="F15">
            <v>42369</v>
          </cell>
          <cell r="G15" t="str">
            <v>Director de Departamento</v>
          </cell>
          <cell r="H15" t="str">
            <v>Coordinador académico</v>
          </cell>
          <cell r="I15">
            <v>0</v>
          </cell>
          <cell r="J15">
            <v>0</v>
          </cell>
          <cell r="K15">
            <v>0</v>
          </cell>
          <cell r="L15">
            <v>0</v>
          </cell>
        </row>
        <row r="16">
          <cell r="B16" t="str">
            <v>1.5</v>
          </cell>
          <cell r="C16" t="str">
            <v>1.5</v>
          </cell>
          <cell r="D16" t="str">
            <v>Subobjetivo 1.5. Mantener un sistema de calidad.</v>
          </cell>
          <cell r="E16">
            <v>0</v>
          </cell>
          <cell r="F16">
            <v>0</v>
          </cell>
          <cell r="G16">
            <v>0</v>
          </cell>
          <cell r="H16">
            <v>0</v>
          </cell>
          <cell r="I16">
            <v>0</v>
          </cell>
          <cell r="J16">
            <v>0</v>
          </cell>
          <cell r="K16">
            <v>0</v>
          </cell>
          <cell r="L16" t="str">
            <v>· Todos los programas de pregrado acreditados por ABET en el 2012. Extender la acreditación a los programas de posgrado.</v>
          </cell>
        </row>
        <row r="17">
          <cell r="B17" t="str">
            <v>1.5.1</v>
          </cell>
          <cell r="C17" t="str">
            <v>1.5.1.</v>
          </cell>
          <cell r="D17" t="str">
            <v>Poner en funcionamiento el sistema CALIS para los programas de pregrado y maestría, y montar el soporte informático (SISINFO) para cubrir  todos los procesos asociados.</v>
          </cell>
          <cell r="E17">
            <v>40544</v>
          </cell>
          <cell r="F17">
            <v>41639</v>
          </cell>
          <cell r="G17" t="str">
            <v>Director de Departamento</v>
          </cell>
          <cell r="H17" t="str">
            <v>Coordinador académico</v>
          </cell>
          <cell r="I17">
            <v>0</v>
          </cell>
          <cell r="J17">
            <v>0</v>
          </cell>
          <cell r="K17">
            <v>0</v>
          </cell>
          <cell r="L17">
            <v>0</v>
          </cell>
        </row>
        <row r="18">
          <cell r="B18" t="str">
            <v>1.5.2</v>
          </cell>
          <cell r="C18" t="str">
            <v>1.5.2.</v>
          </cell>
          <cell r="D18" t="str">
            <v>Obtener la acreditación ABET</v>
          </cell>
          <cell r="E18">
            <v>40544</v>
          </cell>
          <cell r="F18" t="str">
            <v>31/06/2012</v>
          </cell>
          <cell r="G18" t="str">
            <v>Director de Departamento</v>
          </cell>
          <cell r="H18" t="str">
            <v>Coordinador académico</v>
          </cell>
          <cell r="I18">
            <v>0</v>
          </cell>
          <cell r="J18">
            <v>0</v>
          </cell>
          <cell r="K18">
            <v>0</v>
          </cell>
          <cell r="L18">
            <v>0</v>
          </cell>
        </row>
        <row r="19">
          <cell r="B19">
            <v>4</v>
          </cell>
          <cell r="C19">
            <v>2</v>
          </cell>
          <cell r="D19" t="str">
            <v>Objetivo 2: Fortalecer la investigación</v>
          </cell>
          <cell r="E19">
            <v>0</v>
          </cell>
          <cell r="F19">
            <v>0</v>
          </cell>
          <cell r="G19">
            <v>0</v>
          </cell>
          <cell r="H19">
            <v>0</v>
          </cell>
          <cell r="I19">
            <v>0</v>
          </cell>
          <cell r="J19">
            <v>0</v>
          </cell>
          <cell r="K19">
            <v>0</v>
          </cell>
          <cell r="L19">
            <v>0</v>
          </cell>
        </row>
        <row r="20">
          <cell r="B20" t="str">
            <v>4.1</v>
          </cell>
          <cell r="C20" t="str">
            <v>2.1</v>
          </cell>
          <cell r="D20" t="str">
            <v>Subobjetivo 2.1. Desarrollar las Líneas Estratégicas de la Facultad</v>
          </cell>
          <cell r="E20">
            <v>0</v>
          </cell>
          <cell r="F20">
            <v>0</v>
          </cell>
          <cell r="G20">
            <v>0</v>
          </cell>
          <cell r="H20">
            <v>0</v>
          </cell>
          <cell r="I20">
            <v>0</v>
          </cell>
          <cell r="J20">
            <v>0</v>
          </cell>
          <cell r="K20">
            <v>0</v>
          </cell>
          <cell r="L20" t="str">
            <v xml:space="preserve">·  Al menos 4 líneas de investigación consolidadas en el 2015. (*) </v>
          </cell>
        </row>
        <row r="21">
          <cell r="B21" t="str">
            <v>4.1.1</v>
          </cell>
          <cell r="C21" t="str">
            <v>2.1.1</v>
          </cell>
          <cell r="D21" t="str">
            <v>Fortalecer los tres grupos de investigación del Departamento (TICSw, COMIT, IMAGINE), buscando que queden  clasificados en categoría A en Colciencias</v>
          </cell>
          <cell r="E21">
            <v>40544</v>
          </cell>
          <cell r="F21">
            <v>42369</v>
          </cell>
          <cell r="G21" t="str">
            <v>Director de Departamento</v>
          </cell>
          <cell r="H21" t="str">
            <v>Coordinadores de grupos de investigación</v>
          </cell>
          <cell r="I21">
            <v>600000000</v>
          </cell>
          <cell r="J21">
            <v>0</v>
          </cell>
          <cell r="K21">
            <v>0</v>
          </cell>
          <cell r="L21">
            <v>0</v>
          </cell>
        </row>
        <row r="22">
          <cell r="B22" t="str">
            <v>4.2</v>
          </cell>
          <cell r="C22" t="str">
            <v>2.2</v>
          </cell>
          <cell r="D22" t="str">
            <v>Subobjetivo 2.2. Fortalecer el doctorado.</v>
          </cell>
          <cell r="E22">
            <v>0</v>
          </cell>
          <cell r="F22">
            <v>0</v>
          </cell>
          <cell r="G22">
            <v>0</v>
          </cell>
          <cell r="H22">
            <v>0</v>
          </cell>
          <cell r="I22">
            <v>0</v>
          </cell>
          <cell r="J22">
            <v>0</v>
          </cell>
          <cell r="K22">
            <v>0</v>
          </cell>
          <cell r="L22" t="str">
            <v>·  Todos los profesores habilitados asesorando al menos 2 estudiantes de doctorado en el 2015.</v>
          </cell>
        </row>
        <row r="23">
          <cell r="B23" t="str">
            <v>4.2.1</v>
          </cell>
          <cell r="C23" t="str">
            <v>2.2.1</v>
          </cell>
          <cell r="D23" t="str">
            <v>Apoyar la búsqueda de fondos para financiar los estudiantes doctorales de los grupos del Departamento</v>
          </cell>
          <cell r="E23">
            <v>40544</v>
          </cell>
          <cell r="F23">
            <v>42369</v>
          </cell>
          <cell r="G23" t="str">
            <v>Director de Departamento</v>
          </cell>
          <cell r="H23" t="str">
            <v>Coordinadores de grupos de investigación</v>
          </cell>
          <cell r="I23">
            <v>0</v>
          </cell>
          <cell r="J23">
            <v>0</v>
          </cell>
          <cell r="K23">
            <v>0</v>
          </cell>
          <cell r="L23">
            <v>0</v>
          </cell>
        </row>
        <row r="24">
          <cell r="B24" t="str">
            <v>4.3</v>
          </cell>
          <cell r="C24" t="str">
            <v>2.3.</v>
          </cell>
          <cell r="D24" t="str">
            <v>Subobjetivo 2.3. Incrementar los recursos económicos para las actividades de investigación.</v>
          </cell>
          <cell r="E24">
            <v>0</v>
          </cell>
          <cell r="F24">
            <v>0</v>
          </cell>
          <cell r="G24">
            <v>0</v>
          </cell>
          <cell r="H24">
            <v>0</v>
          </cell>
          <cell r="I24">
            <v>0</v>
          </cell>
          <cell r="J24">
            <v>0</v>
          </cell>
          <cell r="K24">
            <v>0</v>
          </cell>
          <cell r="L24" t="str">
            <v>·  $5,000 millones de pesos al año generados por proyectos de investigación (financiación externa, que no pagan overhead) diferentes a los ingresos de las líneas estratégicas.</v>
          </cell>
        </row>
        <row r="25">
          <cell r="B25" t="str">
            <v>4.3.1</v>
          </cell>
          <cell r="C25" t="str">
            <v>2.3.1</v>
          </cell>
          <cell r="D25" t="str">
            <v>Apoyar la búsqueda de fondos para financiar las actividades de investigación del Departameto.</v>
          </cell>
          <cell r="E25">
            <v>40544</v>
          </cell>
          <cell r="F25">
            <v>42369</v>
          </cell>
          <cell r="G25" t="str">
            <v>Director de Departamento</v>
          </cell>
          <cell r="H25" t="str">
            <v>Coordinadores de grupos de investigación</v>
          </cell>
          <cell r="I25">
            <v>250000000</v>
          </cell>
          <cell r="J25">
            <v>0</v>
          </cell>
          <cell r="K25">
            <v>0</v>
          </cell>
          <cell r="L25">
            <v>0</v>
          </cell>
        </row>
        <row r="26">
          <cell r="B26" t="str">
            <v>4.4</v>
          </cell>
          <cell r="C26" t="str">
            <v>2.4</v>
          </cell>
          <cell r="D26" t="str">
            <v>Subobjetivo 2.4. Aumentar la producción y la divulgación de nuevo conocimiento (publicaciones, patentes, software, etc.).</v>
          </cell>
          <cell r="E26">
            <v>0</v>
          </cell>
          <cell r="F26">
            <v>0</v>
          </cell>
          <cell r="G26">
            <v>0</v>
          </cell>
          <cell r="H26">
            <v>0</v>
          </cell>
          <cell r="I26">
            <v>0</v>
          </cell>
          <cell r="J26">
            <v>0</v>
          </cell>
          <cell r="K26">
            <v>0</v>
          </cell>
          <cell r="L26" t="str">
            <v>·  1 artículo publicado en revistas ISI por profesor por año.</v>
          </cell>
        </row>
        <row r="27">
          <cell r="B27" t="str">
            <v>4.4.1</v>
          </cell>
          <cell r="C27" t="str">
            <v>2.4.1</v>
          </cell>
          <cell r="D27" t="str">
            <v>Crear fondos internos para apoyar las actividades de publicación de los profesores (traducciones, revisiones, formación, etc.)</v>
          </cell>
          <cell r="E27">
            <v>40544</v>
          </cell>
          <cell r="F27">
            <v>42369</v>
          </cell>
          <cell r="G27" t="str">
            <v>Director de Departamento</v>
          </cell>
          <cell r="H27" t="str">
            <v>Coordinadores de grupos de investigación</v>
          </cell>
          <cell r="I27">
            <v>250000000</v>
          </cell>
          <cell r="J27">
            <v>0</v>
          </cell>
          <cell r="K27">
            <v>0</v>
          </cell>
          <cell r="L27">
            <v>0</v>
          </cell>
        </row>
        <row r="28">
          <cell r="B28" t="str">
            <v>4.5</v>
          </cell>
          <cell r="C28" t="str">
            <v>2.5.</v>
          </cell>
          <cell r="D28" t="str">
            <v>Subobjetivo 2.5. Incrementar la cooperación internacional.</v>
          </cell>
          <cell r="E28">
            <v>0</v>
          </cell>
          <cell r="F28">
            <v>0</v>
          </cell>
          <cell r="G28">
            <v>0</v>
          </cell>
          <cell r="H28">
            <v>0</v>
          </cell>
          <cell r="I28">
            <v>0</v>
          </cell>
          <cell r="J28">
            <v>0</v>
          </cell>
          <cell r="K28">
            <v>0</v>
          </cell>
          <cell r="L28" t="str">
            <v>· El tiempo de permanencia de profesores visitantes en la Facultad debe superar los 70 meses al año.</v>
          </cell>
        </row>
        <row r="29">
          <cell r="B29" t="str">
            <v>4.5.1</v>
          </cell>
          <cell r="C29" t="str">
            <v>2.5.1</v>
          </cell>
          <cell r="D29" t="str">
            <v>Apoyar la participación en redes internacionales de los profesores del Departamento</v>
          </cell>
          <cell r="E29">
            <v>40544</v>
          </cell>
          <cell r="F29">
            <v>42369</v>
          </cell>
          <cell r="G29" t="str">
            <v>Director de Departamento</v>
          </cell>
          <cell r="H29" t="str">
            <v>Coordinadores de grupos de investigación</v>
          </cell>
          <cell r="I29">
            <v>0</v>
          </cell>
          <cell r="J29">
            <v>0</v>
          </cell>
          <cell r="K29">
            <v>0</v>
          </cell>
          <cell r="L29">
            <v>0</v>
          </cell>
        </row>
        <row r="30">
          <cell r="B30">
            <v>6</v>
          </cell>
          <cell r="C30">
            <v>3</v>
          </cell>
          <cell r="D30" t="str">
            <v xml:space="preserve">Objetivo 3: Aumentar la contribución de la Facultad al desarrollo  del país. </v>
          </cell>
          <cell r="E30">
            <v>0</v>
          </cell>
          <cell r="F30">
            <v>0</v>
          </cell>
          <cell r="G30">
            <v>0</v>
          </cell>
          <cell r="H30">
            <v>0</v>
          </cell>
          <cell r="I30">
            <v>0</v>
          </cell>
          <cell r="J30">
            <v>0</v>
          </cell>
          <cell r="K30">
            <v>0</v>
          </cell>
          <cell r="L30">
            <v>0</v>
          </cell>
        </row>
        <row r="31">
          <cell r="B31" t="str">
            <v>6.1</v>
          </cell>
          <cell r="C31" t="str">
            <v>3.1</v>
          </cell>
          <cell r="D31" t="str">
            <v xml:space="preserve">Subobjetivo 3.1:  Asistir a las empresas en sus esfuerzos por aumentar su competitividad. </v>
          </cell>
          <cell r="E31">
            <v>0</v>
          </cell>
          <cell r="F31">
            <v>0</v>
          </cell>
          <cell r="G31">
            <v>0</v>
          </cell>
          <cell r="H31">
            <v>0</v>
          </cell>
          <cell r="I31">
            <v>0</v>
          </cell>
          <cell r="J31">
            <v>0</v>
          </cell>
          <cell r="K31">
            <v>0</v>
          </cell>
          <cell r="L31" t="str">
            <v>· 100% de los proyectos tiene un impacto favorable en la competitividad de las empresas, desde la perspectiva de la entidad contratante.</v>
          </cell>
        </row>
        <row r="32">
          <cell r="B32" t="str">
            <v>6.1.1</v>
          </cell>
          <cell r="C32" t="str">
            <v>3.1.1</v>
          </cell>
          <cell r="D32" t="str">
            <v>Consolidar la colaboración con el CIFI-Informática, involucrando profesores del Departamento en proyectos, logrando que al menos la mitad de los profesores participen en algún proyecto de consultoría especializada.</v>
          </cell>
          <cell r="E32">
            <v>40544</v>
          </cell>
          <cell r="F32">
            <v>42369</v>
          </cell>
          <cell r="G32" t="str">
            <v>Director de Departamento</v>
          </cell>
          <cell r="H32" t="str">
            <v>Coordinador de sector externo</v>
          </cell>
          <cell r="I32">
            <v>0</v>
          </cell>
          <cell r="J32">
            <v>0</v>
          </cell>
          <cell r="K32">
            <v>0</v>
          </cell>
          <cell r="L32">
            <v>0</v>
          </cell>
        </row>
        <row r="33">
          <cell r="B33" t="str">
            <v>6.1.2</v>
          </cell>
          <cell r="C33" t="str">
            <v>3.1.2</v>
          </cell>
          <cell r="D33" t="str">
            <v>Ofrecer un portafolio de cursos de educación continuada corporativa alineado con las necesidades de las empresas.</v>
          </cell>
          <cell r="E33">
            <v>40544</v>
          </cell>
          <cell r="F33">
            <v>42369</v>
          </cell>
          <cell r="G33" t="str">
            <v>Director de Departamento</v>
          </cell>
          <cell r="H33" t="str">
            <v>Coordinador de sector externo</v>
          </cell>
          <cell r="I33">
            <v>150000000</v>
          </cell>
          <cell r="J33">
            <v>0</v>
          </cell>
          <cell r="K33">
            <v>0</v>
          </cell>
          <cell r="L33">
            <v>0</v>
          </cell>
        </row>
        <row r="34">
          <cell r="B34" t="str">
            <v>6.2</v>
          </cell>
          <cell r="C34" t="str">
            <v>3.2</v>
          </cell>
          <cell r="D34" t="str">
            <v>Subobjetivo 3.2: Contribuir en la construcción de soluciones para los problemas críticos del país.</v>
          </cell>
          <cell r="E34">
            <v>0</v>
          </cell>
          <cell r="F34">
            <v>0</v>
          </cell>
          <cell r="G34">
            <v>0</v>
          </cell>
          <cell r="H34">
            <v>0</v>
          </cell>
          <cell r="I34">
            <v>0</v>
          </cell>
          <cell r="J34">
            <v>0</v>
          </cell>
          <cell r="K34">
            <v>0</v>
          </cell>
          <cell r="L34" t="str">
            <v>· $10,000 millones al año generados por proyectos que ofrecen una solución a alguno de los problemas críticos del país.</v>
          </cell>
        </row>
        <row r="35">
          <cell r="B35" t="str">
            <v>6.1.1</v>
          </cell>
          <cell r="C35" t="str">
            <v>3.2.1</v>
          </cell>
          <cell r="D35" t="str">
            <v>Consolidar la colaboración con el CIFI-Informática, involucrando profesores del Departamento en proyectos, logrando que al menos la mitad de los profesores participen en algún proyecto de consultoría especializada.</v>
          </cell>
          <cell r="E35">
            <v>40544</v>
          </cell>
          <cell r="F35">
            <v>42369</v>
          </cell>
          <cell r="G35" t="str">
            <v>Director de Departamento</v>
          </cell>
          <cell r="H35" t="str">
            <v>Coordinador de sector externo</v>
          </cell>
          <cell r="I35">
            <v>0</v>
          </cell>
          <cell r="J35">
            <v>0</v>
          </cell>
          <cell r="K35">
            <v>0</v>
          </cell>
          <cell r="L35">
            <v>0</v>
          </cell>
        </row>
        <row r="36">
          <cell r="B36" t="str">
            <v>6.3</v>
          </cell>
          <cell r="C36" t="str">
            <v>3.3</v>
          </cell>
          <cell r="D36" t="str">
            <v>Subobjetivo 3.3. Generar opinión alrededor de los temas de interés nacional e incidir en las decisiones tecnológicas, sociales, económicas, ambientales y políticas.</v>
          </cell>
          <cell r="E36">
            <v>0</v>
          </cell>
          <cell r="F36">
            <v>0</v>
          </cell>
          <cell r="G36">
            <v>0</v>
          </cell>
          <cell r="H36">
            <v>0</v>
          </cell>
          <cell r="I36">
            <v>0</v>
          </cell>
          <cell r="J36">
            <v>0</v>
          </cell>
          <cell r="K36">
            <v>0</v>
          </cell>
          <cell r="L36" t="str">
            <v>· 6 foros al año con invitados internacionales organizados alrededor de temas de interés nacional.</v>
          </cell>
        </row>
        <row r="37">
          <cell r="B37" t="str">
            <v>6.3.1</v>
          </cell>
          <cell r="C37" t="str">
            <v>3.3.1</v>
          </cell>
          <cell r="D37" t="str">
            <v>Organizar 2 foros al año alrededor de temas de interés nacional</v>
          </cell>
          <cell r="E37">
            <v>40544</v>
          </cell>
          <cell r="F37">
            <v>42369</v>
          </cell>
          <cell r="G37" t="str">
            <v>Director de Departamento</v>
          </cell>
          <cell r="H37" t="str">
            <v>Coordinador de sector externo</v>
          </cell>
          <cell r="I37">
            <v>300000000</v>
          </cell>
          <cell r="J37">
            <v>0</v>
          </cell>
          <cell r="K37">
            <v>0</v>
          </cell>
          <cell r="L37">
            <v>0</v>
          </cell>
        </row>
        <row r="38">
          <cell r="B38" t="str">
            <v>6.3.2</v>
          </cell>
          <cell r="C38" t="str">
            <v>3.3.2</v>
          </cell>
          <cell r="D38" t="str">
            <v>Crear o apoyar la creación de capítulos profesionales en las distintas áreas de trabajo del Departamento.</v>
          </cell>
          <cell r="E38">
            <v>40544</v>
          </cell>
          <cell r="F38">
            <v>42369</v>
          </cell>
          <cell r="G38" t="str">
            <v>Director de Departamento</v>
          </cell>
          <cell r="H38" t="str">
            <v>Coordinador de sector externo</v>
          </cell>
          <cell r="I38">
            <v>0</v>
          </cell>
          <cell r="J38">
            <v>0</v>
          </cell>
          <cell r="K38">
            <v>0</v>
          </cell>
          <cell r="L38">
            <v>0</v>
          </cell>
        </row>
        <row r="39">
          <cell r="B39">
            <v>2</v>
          </cell>
          <cell r="C39">
            <v>4</v>
          </cell>
          <cell r="D39" t="str">
            <v>Objetivo 4: Lograr que los profesores sean referentes en sus áreas de trabajo.</v>
          </cell>
          <cell r="E39">
            <v>0</v>
          </cell>
          <cell r="F39">
            <v>0</v>
          </cell>
          <cell r="G39">
            <v>0</v>
          </cell>
          <cell r="H39">
            <v>0</v>
          </cell>
          <cell r="I39">
            <v>0</v>
          </cell>
          <cell r="J39">
            <v>0</v>
          </cell>
          <cell r="K39">
            <v>0</v>
          </cell>
          <cell r="L39">
            <v>0</v>
          </cell>
        </row>
        <row r="40">
          <cell r="B40" t="str">
            <v>2.1</v>
          </cell>
          <cell r="C40" t="str">
            <v>4.1.</v>
          </cell>
          <cell r="D40" t="str">
            <v>Objetivo 4.1.: Lograr que los profesores sean referentes en sus áreas de trabajo.</v>
          </cell>
          <cell r="E40">
            <v>0</v>
          </cell>
          <cell r="F40">
            <v>0</v>
          </cell>
          <cell r="G40">
            <v>0</v>
          </cell>
          <cell r="H40">
            <v>0</v>
          </cell>
          <cell r="I40">
            <v>0</v>
          </cell>
          <cell r="J40">
            <v>0</v>
          </cell>
          <cell r="K40">
            <v>0</v>
          </cell>
          <cell r="L40" t="str">
            <v>Definir e incrementar un indicador basado en:</v>
          </cell>
        </row>
        <row r="41">
          <cell r="B41" t="str">
            <v>2.1.1</v>
          </cell>
          <cell r="C41" t="str">
            <v>4.1.1</v>
          </cell>
          <cell r="D41" t="str">
            <v>Definir y crear incentivos que permitan aumentar la productividad de los profesores en sus actividades de docencia e investigación.</v>
          </cell>
          <cell r="E41">
            <v>40544</v>
          </cell>
          <cell r="F41">
            <v>42369</v>
          </cell>
          <cell r="G41" t="str">
            <v>Director de Departamento</v>
          </cell>
          <cell r="H41" t="str">
            <v>Coordinador de investigación</v>
          </cell>
          <cell r="I41">
            <v>500000000</v>
          </cell>
          <cell r="J41">
            <v>0</v>
          </cell>
          <cell r="K41">
            <v>0</v>
          </cell>
          <cell r="L41" t="str">
            <v>Participación en Comités de pares evaluadores de programas</v>
          </cell>
        </row>
        <row r="42">
          <cell r="B42" t="str">
            <v>2.1.2</v>
          </cell>
          <cell r="C42" t="str">
            <v>4.1.2.</v>
          </cell>
          <cell r="D42" t="str">
            <v>Definir y financiar un plan de actualización de profesores. Se espera que al año, por lo menos 8 profesores tomen cursos de actualización en sus temas de trabajo</v>
          </cell>
          <cell r="E42">
            <v>40544</v>
          </cell>
          <cell r="F42">
            <v>42369</v>
          </cell>
          <cell r="G42" t="str">
            <v>Director de Departamento</v>
          </cell>
          <cell r="H42" t="str">
            <v>Coordinador de investigación</v>
          </cell>
          <cell r="I42">
            <v>500000000</v>
          </cell>
          <cell r="J42">
            <v>0</v>
          </cell>
          <cell r="K42">
            <v>0</v>
          </cell>
          <cell r="L42" t="str">
            <v xml:space="preserve">Contribución a la formación de profesores/investigadores </v>
          </cell>
        </row>
        <row r="43">
          <cell r="B43" t="str">
            <v>2.1.3</v>
          </cell>
          <cell r="C43" t="str">
            <v>4.1.3.</v>
          </cell>
          <cell r="D43" t="str">
            <v>Apoyar para que los profesores del Departamento participen activamente en al menos una organización profesional o académica, nacional o internacional</v>
          </cell>
          <cell r="E43">
            <v>40544</v>
          </cell>
          <cell r="F43">
            <v>42369</v>
          </cell>
          <cell r="G43" t="str">
            <v>Director de Departamento</v>
          </cell>
          <cell r="H43" t="str">
            <v>Coordinador de investigación</v>
          </cell>
          <cell r="I43">
            <v>0</v>
          </cell>
          <cell r="J43">
            <v>0</v>
          </cell>
          <cell r="K43">
            <v>0</v>
          </cell>
          <cell r="L43" t="str">
            <v>Publicación de Artículos y producción intelectual</v>
          </cell>
        </row>
        <row r="44">
          <cell r="B44" t="str">
            <v>4.4.2</v>
          </cell>
          <cell r="C44" t="str">
            <v>4.1.4</v>
          </cell>
          <cell r="D44" t="str">
            <v>Montar un programa de apoyo a la publicación de libros (virtuales y físicos) por parte de los profesores del Departamento</v>
          </cell>
          <cell r="E44">
            <v>40544</v>
          </cell>
          <cell r="F44">
            <v>42369</v>
          </cell>
          <cell r="G44" t="str">
            <v>Director de Departamento</v>
          </cell>
          <cell r="H44" t="str">
            <v>Coordinador de investigación</v>
          </cell>
          <cell r="I44">
            <v>125000000</v>
          </cell>
          <cell r="J44">
            <v>0</v>
          </cell>
          <cell r="K44">
            <v>0</v>
          </cell>
          <cell r="L44" t="str">
            <v>Participación en Congresos Internacionales como conferencista.
Invitación a conferencias internacionales como conferencista principal.
Realización de pasantías cortas para dirigir seminarios de investigación.
Participación Comités Científicos de congresos nacionales
Participación Comités editoriales
Citaciones de artículos publicados en revistas indexadas
Participación Redes académicas internacionales
Desarrollo de material de cursos
Desarrollo de textos docentes
Participación en Comités directivos de Asociaciones académicas
Participación en Comités directivos de Agremiaciones profesionales
Otros</v>
          </cell>
        </row>
        <row r="45">
          <cell r="B45" t="str">
            <v>Obj: 3 y 5</v>
          </cell>
          <cell r="C45">
            <v>5</v>
          </cell>
          <cell r="D45" t="str">
            <v>Objetivo 5: Lograr una organización y un tamaño para la Facultad que le permita cumplir la misión.</v>
          </cell>
          <cell r="E45">
            <v>0</v>
          </cell>
          <cell r="F45">
            <v>0</v>
          </cell>
          <cell r="G45">
            <v>0</v>
          </cell>
          <cell r="H45">
            <v>0</v>
          </cell>
          <cell r="I45">
            <v>0</v>
          </cell>
          <cell r="J45">
            <v>0</v>
          </cell>
          <cell r="K45">
            <v>0</v>
          </cell>
          <cell r="L45">
            <v>0</v>
          </cell>
        </row>
        <row r="46">
          <cell r="B46" t="str">
            <v>3.1</v>
          </cell>
          <cell r="C46" t="str">
            <v>5.1</v>
          </cell>
          <cell r="D46" t="str">
            <v xml:space="preserve">Subobjetivo 5.1. Alcanzar las metas de población estudiantil de la Facultad </v>
          </cell>
          <cell r="E46">
            <v>0</v>
          </cell>
          <cell r="F46">
            <v>0</v>
          </cell>
          <cell r="G46">
            <v>0</v>
          </cell>
          <cell r="H46">
            <v>0</v>
          </cell>
          <cell r="I46">
            <v>0</v>
          </cell>
          <cell r="J46">
            <v>0</v>
          </cell>
          <cell r="K46">
            <v>0</v>
          </cell>
          <cell r="L46" t="str">
            <v>Metas a 2015:</v>
          </cell>
        </row>
        <row r="47">
          <cell r="B47" t="str">
            <v>3.1.1</v>
          </cell>
          <cell r="C47" t="str">
            <v>5.1.1</v>
          </cell>
          <cell r="D47" t="str">
            <v>Continuar  la implementación del plan de scouting y comunicaciones del Departamento, para aumentar la demanda por los distintos programas ofrecidos por el Departamento</v>
          </cell>
          <cell r="E47">
            <v>40544</v>
          </cell>
          <cell r="F47">
            <v>42369</v>
          </cell>
          <cell r="G47" t="str">
            <v>Director de Departamento</v>
          </cell>
          <cell r="H47" t="str">
            <v>Coordinador de scouting y comunicaciones</v>
          </cell>
          <cell r="I47">
            <v>375000000</v>
          </cell>
          <cell r="J47">
            <v>0</v>
          </cell>
          <cell r="K47">
            <v>0</v>
          </cell>
          <cell r="L47" t="str">
            <v>Pregrado: 5.500
Maestría: 1.400
Doctorado: 150</v>
          </cell>
        </row>
        <row r="48">
          <cell r="B48" t="str">
            <v>3.2</v>
          </cell>
          <cell r="C48" t="str">
            <v>5.2</v>
          </cell>
          <cell r="D48" t="str">
            <v>Subobjetivo 5.2.Alcanzar las metas en la composición de la planta de profesores</v>
          </cell>
          <cell r="E48">
            <v>0</v>
          </cell>
          <cell r="F48">
            <v>0</v>
          </cell>
          <cell r="G48">
            <v>0</v>
          </cell>
          <cell r="H48">
            <v>0</v>
          </cell>
          <cell r="I48">
            <v>0</v>
          </cell>
          <cell r="J48">
            <v>0</v>
          </cell>
          <cell r="K48">
            <v>0</v>
          </cell>
          <cell r="L48" t="str">
            <v>· 110 profesores de planta vinculados a la Facultad con título de doctorado.</v>
          </cell>
        </row>
        <row r="49">
          <cell r="B49" t="str">
            <v>3.2.1</v>
          </cell>
          <cell r="C49" t="str">
            <v>5.2.1</v>
          </cell>
          <cell r="D49" t="str">
            <v>Hacer las convocatorias nacionales e internacionales necesarias para llegar a 25 profesores de planta vinculados al Departamento con título de doctorado.</v>
          </cell>
          <cell r="E49">
            <v>40544</v>
          </cell>
          <cell r="F49">
            <v>42369</v>
          </cell>
          <cell r="G49" t="str">
            <v>Director de Departamento</v>
          </cell>
          <cell r="H49" t="str">
            <v>Coordinador académico</v>
          </cell>
          <cell r="I49">
            <v>0</v>
          </cell>
          <cell r="J49">
            <v>0</v>
          </cell>
          <cell r="K49">
            <v>0</v>
          </cell>
          <cell r="L49">
            <v>0</v>
          </cell>
        </row>
        <row r="50">
          <cell r="B50" t="str">
            <v>5.1</v>
          </cell>
          <cell r="C50" t="str">
            <v>5.3.</v>
          </cell>
          <cell r="D50" t="str">
            <v>Subobjetivo 5.3. Definir y alcanzar las metas de Infraestructura física y recursos para soportar el desarrollo de la Facultad.</v>
          </cell>
          <cell r="E50">
            <v>0</v>
          </cell>
          <cell r="F50">
            <v>0</v>
          </cell>
          <cell r="G50">
            <v>0</v>
          </cell>
          <cell r="H50">
            <v>0</v>
          </cell>
          <cell r="I50">
            <v>0</v>
          </cell>
          <cell r="J50">
            <v>0</v>
          </cell>
          <cell r="K50">
            <v>0</v>
          </cell>
          <cell r="L50" t="str">
            <v>· 8% de los ingresos operacionales al año en inversión para desarrollo y adecuación de los laboratorios y mantenimiento.</v>
          </cell>
        </row>
        <row r="51">
          <cell r="B51" t="str">
            <v>5.1.1</v>
          </cell>
          <cell r="C51" t="str">
            <v>5.3.1</v>
          </cell>
          <cell r="D51" t="str">
            <v>Poner en funcionamiento el Centro de Computación Avanzada en el Departamento, con una inversión anual cercana a los $500 millones. Como parte de dicho centro se tendrá un comité de dirección que fijará el rumbo de dicho centro.</v>
          </cell>
          <cell r="E51">
            <v>40544</v>
          </cell>
          <cell r="F51">
            <v>42369</v>
          </cell>
          <cell r="G51" t="str">
            <v>Director de Departamento</v>
          </cell>
          <cell r="H51" t="str">
            <v>Coordinador datacenter</v>
          </cell>
          <cell r="I51">
            <v>2500000000</v>
          </cell>
          <cell r="J51">
            <v>0</v>
          </cell>
          <cell r="K51">
            <v>0</v>
          </cell>
          <cell r="L51">
            <v>0</v>
          </cell>
        </row>
        <row r="52">
          <cell r="B52" t="str">
            <v>5.1.2</v>
          </cell>
          <cell r="C52" t="str">
            <v>5.3.2.</v>
          </cell>
          <cell r="D52" t="str">
            <v>Mantener a la vanguardia los laboratorios (físicos y virtuales) del Departamento, asegurando una inversión anual cercana a los $500 millones, con el supuesto de que cada laboratorio tiene un plan de auto-sostenimiento.</v>
          </cell>
          <cell r="E52">
            <v>40544</v>
          </cell>
          <cell r="F52">
            <v>42369</v>
          </cell>
          <cell r="G52" t="str">
            <v>Director de Departamento</v>
          </cell>
          <cell r="H52" t="str">
            <v>Coordinador datacenter</v>
          </cell>
          <cell r="I52">
            <v>2500000000</v>
          </cell>
          <cell r="J52">
            <v>0</v>
          </cell>
          <cell r="K52">
            <v>0</v>
          </cell>
          <cell r="L52">
            <v>0</v>
          </cell>
        </row>
        <row r="53">
          <cell r="B53" t="str">
            <v>5.2</v>
          </cell>
          <cell r="C53" t="str">
            <v>5.4</v>
          </cell>
          <cell r="D53" t="str">
            <v>Subobjetivo 5.4. Adaptar la organización a los desafíos de su crecimiento.</v>
          </cell>
          <cell r="E53">
            <v>0</v>
          </cell>
          <cell r="F53">
            <v>0</v>
          </cell>
          <cell r="G53">
            <v>0</v>
          </cell>
          <cell r="H53">
            <v>0</v>
          </cell>
          <cell r="I53">
            <v>0</v>
          </cell>
          <cell r="J53">
            <v>0</v>
          </cell>
          <cell r="K53">
            <v>0</v>
          </cell>
          <cell r="L53" t="str">
            <v>· Los gastos administrativos consolidados de la Facultad no superan el 12% de los ingresos totales.</v>
          </cell>
        </row>
        <row r="54">
          <cell r="B54" t="str">
            <v>5.2.1</v>
          </cell>
          <cell r="C54" t="str">
            <v>5.4.1</v>
          </cell>
          <cell r="D54" t="str">
            <v>Extender el sistema SISINFO de manera que sea capaz de cubrir todos los procesos del Departamento, integrándose de manera adecuada con los sistemas de información de la Facultad y de la Universidad.</v>
          </cell>
          <cell r="E54">
            <v>40544</v>
          </cell>
          <cell r="F54">
            <v>42369</v>
          </cell>
          <cell r="G54" t="str">
            <v>Director de Departamento</v>
          </cell>
          <cell r="H54" t="str">
            <v>Coordinador académico</v>
          </cell>
          <cell r="I54">
            <v>500000000</v>
          </cell>
          <cell r="J54">
            <v>0</v>
          </cell>
          <cell r="K54">
            <v>0</v>
          </cell>
          <cell r="L54">
            <v>0</v>
          </cell>
        </row>
        <row r="55">
          <cell r="B55" t="str">
            <v>5.2.2</v>
          </cell>
          <cell r="C55" t="str">
            <v>5.4.2.</v>
          </cell>
          <cell r="D55" t="str">
            <v>Adquirir y mantener en operación las plataformas tecnológicas necesarias para soportar eficazmente el trabajo colaborativo entre los distintos miembros del Departamento.</v>
          </cell>
          <cell r="E55">
            <v>40544</v>
          </cell>
          <cell r="F55">
            <v>42369</v>
          </cell>
          <cell r="G55" t="str">
            <v>Director de Departamento</v>
          </cell>
          <cell r="H55" t="str">
            <v>Coordinador datacenter</v>
          </cell>
          <cell r="I55">
            <v>120000000</v>
          </cell>
          <cell r="J55">
            <v>0</v>
          </cell>
          <cell r="K55">
            <v>0</v>
          </cell>
          <cell r="L55">
            <v>0</v>
          </cell>
        </row>
      </sheetData>
      <sheetData sheetId="7"/>
      <sheetData sheetId="8">
        <row r="5">
          <cell r="B5">
            <v>1</v>
          </cell>
          <cell r="C5">
            <v>1</v>
          </cell>
          <cell r="D5" t="str">
            <v>Objetivo 1: Mantener actualizados y alcanzar los perfiles de formación</v>
          </cell>
          <cell r="E5">
            <v>0</v>
          </cell>
          <cell r="F5">
            <v>0</v>
          </cell>
          <cell r="G5">
            <v>0</v>
          </cell>
          <cell r="H5">
            <v>0</v>
          </cell>
          <cell r="I5">
            <v>0</v>
          </cell>
          <cell r="J5">
            <v>0</v>
          </cell>
          <cell r="K5">
            <v>0</v>
          </cell>
          <cell r="L5">
            <v>0</v>
          </cell>
        </row>
        <row r="6">
          <cell r="B6" t="str">
            <v>1.1</v>
          </cell>
          <cell r="C6" t="str">
            <v>1.1</v>
          </cell>
          <cell r="D6" t="str">
            <v>Subobjetivo 1.1. Actualizar los perfiles de formación (pregrado, especialización, maestría y doctorado) teniendo en cuenta las tendencias mundiales, las necesidades nacionales y el contexto educativo del país.</v>
          </cell>
          <cell r="E6">
            <v>0</v>
          </cell>
          <cell r="F6">
            <v>0</v>
          </cell>
          <cell r="G6">
            <v>0</v>
          </cell>
          <cell r="H6">
            <v>0</v>
          </cell>
          <cell r="I6">
            <v>0</v>
          </cell>
          <cell r="J6">
            <v>0</v>
          </cell>
          <cell r="K6">
            <v>0</v>
          </cell>
          <cell r="L6" t="str">
            <v>· Objetivos y outcomes de cada programa (pregrado y posgrado) actualizados en el 2012 y nuevamente en el 2015.</v>
          </cell>
        </row>
        <row r="7">
          <cell r="B7" t="str">
            <v>1.1.1</v>
          </cell>
          <cell r="C7" t="str">
            <v>1.1.1</v>
          </cell>
          <cell r="D7" t="str">
            <v>Análisis de mercado y competencia dentro del contexto socio económico y tecnológico del páís y de la región latinoamericana de pregrado, maestría y doctorado.</v>
          </cell>
          <cell r="E7">
            <v>40544</v>
          </cell>
          <cell r="F7">
            <v>40549</v>
          </cell>
          <cell r="G7" t="str">
            <v>Comité Académico del Departamento</v>
          </cell>
          <cell r="H7" t="str">
            <v>Director de Departamento</v>
          </cell>
          <cell r="I7">
            <v>150000000</v>
          </cell>
          <cell r="J7">
            <v>0</v>
          </cell>
          <cell r="K7">
            <v>0</v>
          </cell>
          <cell r="L7" t="str">
            <v>Determinar los perfiles deseados de los estudiantes nuevos y egresados para los proximos 20 años. Adicionalmente, determinar las áreas de de investigación y desarrollo en las cuales los programas de Mecánica puedan contribuir significativamente.</v>
          </cell>
        </row>
        <row r="8">
          <cell r="B8" t="str">
            <v>1.2</v>
          </cell>
          <cell r="C8" t="str">
            <v>1.2</v>
          </cell>
          <cell r="D8" t="str">
            <v>Subobjetivo 1.2.  Mantener un curriculum innovador que responda a los perfiles deseados para la formación.</v>
          </cell>
          <cell r="E8">
            <v>0</v>
          </cell>
          <cell r="F8">
            <v>0</v>
          </cell>
          <cell r="G8">
            <v>0</v>
          </cell>
          <cell r="H8">
            <v>0</v>
          </cell>
          <cell r="I8">
            <v>0</v>
          </cell>
          <cell r="J8">
            <v>0</v>
          </cell>
          <cell r="K8">
            <v>0</v>
          </cell>
          <cell r="L8" t="str">
            <v>En el 2015 innovaciones implementadas y evaluadas</v>
          </cell>
        </row>
        <row r="9">
          <cell r="B9">
            <v>0</v>
          </cell>
          <cell r="C9" t="str">
            <v>1.2.1</v>
          </cell>
          <cell r="D9">
            <v>0</v>
          </cell>
          <cell r="E9">
            <v>0</v>
          </cell>
          <cell r="F9">
            <v>0</v>
          </cell>
          <cell r="G9">
            <v>0</v>
          </cell>
          <cell r="H9">
            <v>0</v>
          </cell>
          <cell r="I9">
            <v>0</v>
          </cell>
          <cell r="J9">
            <v>0</v>
          </cell>
          <cell r="K9">
            <v>0</v>
          </cell>
          <cell r="L9" t="str">
            <v>Determinar los perfiles deseados de los estudiantes nuevos y egresados para los proximos 20 años. Adicionalmente, determinar las áreas de de investigación y desarrollo en las cuales los programas de Mecánica puedan contribuir significativamente.</v>
          </cell>
        </row>
        <row r="10">
          <cell r="B10" t="str">
            <v>1.3</v>
          </cell>
          <cell r="C10" t="str">
            <v>1.3</v>
          </cell>
          <cell r="D10" t="str">
            <v>Subobjetivo 1.3. Desarrollar nuevos programas de maestría</v>
          </cell>
          <cell r="E10">
            <v>0</v>
          </cell>
          <cell r="F10">
            <v>0</v>
          </cell>
          <cell r="G10">
            <v>0</v>
          </cell>
          <cell r="H10">
            <v>0</v>
          </cell>
          <cell r="I10">
            <v>0</v>
          </cell>
          <cell r="J10">
            <v>0</v>
          </cell>
          <cell r="K10">
            <v>0</v>
          </cell>
          <cell r="L10" t="str">
            <v>10  nuevos programas de maestría en el 2015.</v>
          </cell>
        </row>
        <row r="11">
          <cell r="B11" t="str">
            <v>1.3.1</v>
          </cell>
          <cell r="C11" t="str">
            <v>1.3.2</v>
          </cell>
          <cell r="D11" t="str">
            <v>De acuerdo al item 1.1.1, identificar dos (2) posibles áreas de investigación, innovación y desarrollo en el páis, que permitan la creación de dos programas específicos de Maestría.</v>
          </cell>
          <cell r="E11">
            <v>40544</v>
          </cell>
          <cell r="F11">
            <v>40549</v>
          </cell>
          <cell r="G11" t="str">
            <v>Comité Académico del Departamento</v>
          </cell>
          <cell r="H11" t="str">
            <v>Director de Departamento</v>
          </cell>
          <cell r="I11">
            <v>30000000</v>
          </cell>
          <cell r="J11">
            <v>0</v>
          </cell>
          <cell r="K11">
            <v>0</v>
          </cell>
          <cell r="L11" t="str">
            <v>Crear dos programas específicos de maestría en ingeniería mecánica.</v>
          </cell>
        </row>
        <row r="12">
          <cell r="B12" t="str">
            <v>1.4</v>
          </cell>
          <cell r="C12" t="str">
            <v>1.4</v>
          </cell>
          <cell r="D12" t="str">
            <v>Subobjetivo 1.4. Lograr la articulación de los programas de formación.</v>
          </cell>
          <cell r="E12">
            <v>0</v>
          </cell>
          <cell r="F12">
            <v>0</v>
          </cell>
          <cell r="G12">
            <v>0</v>
          </cell>
          <cell r="H12">
            <v>0</v>
          </cell>
          <cell r="I12">
            <v>0</v>
          </cell>
          <cell r="J12">
            <v>0</v>
          </cell>
          <cell r="K12">
            <v>0</v>
          </cell>
          <cell r="L12" t="str">
            <v>Incrementar el número de estudiantes en programa coterminal que ingresen a la maestría (El 50% del incremento se deberá a estudiantes del programa coterminal)</v>
          </cell>
        </row>
        <row r="13">
          <cell r="B13" t="str">
            <v>1.4.1</v>
          </cell>
          <cell r="C13" t="str">
            <v>1.4.1</v>
          </cell>
          <cell r="D13" t="str">
            <v>De acuerdo al item 1.1.1, diseñar planes de estudios  que permitan la integración de los programas de  pregrado - maestría - doctorado, a través de coterminales.</v>
          </cell>
          <cell r="E13">
            <v>40544</v>
          </cell>
          <cell r="F13">
            <v>40549</v>
          </cell>
          <cell r="G13" t="str">
            <v>Comité Académico del Departamento</v>
          </cell>
          <cell r="H13" t="str">
            <v>Director de Departamento</v>
          </cell>
          <cell r="I13">
            <v>100000000</v>
          </cell>
          <cell r="J13">
            <v>0</v>
          </cell>
          <cell r="K13">
            <v>0</v>
          </cell>
          <cell r="L13" t="str">
            <v>Plan de estudios coherente que permita la integración de los programas del Departamento.</v>
          </cell>
        </row>
        <row r="14">
          <cell r="B14" t="str">
            <v>1.5</v>
          </cell>
          <cell r="C14" t="str">
            <v>1.5</v>
          </cell>
          <cell r="D14" t="str">
            <v>Subobjetivo 1.5. Mantener un sistema de calidad.</v>
          </cell>
          <cell r="E14">
            <v>0</v>
          </cell>
          <cell r="F14">
            <v>0</v>
          </cell>
          <cell r="G14">
            <v>0</v>
          </cell>
          <cell r="H14">
            <v>0</v>
          </cell>
          <cell r="I14">
            <v>0</v>
          </cell>
          <cell r="J14">
            <v>0</v>
          </cell>
          <cell r="K14">
            <v>0</v>
          </cell>
          <cell r="L14" t="str">
            <v>· Todos los programas de pregrado acreditados por ABET en el 2012. Extender la acreditación a los programas de posgrado.</v>
          </cell>
        </row>
        <row r="15">
          <cell r="B15" t="str">
            <v>1.5.1</v>
          </cell>
          <cell r="C15" t="str">
            <v>1.5.1.</v>
          </cell>
          <cell r="D15" t="str">
            <v>Concluir la implementación del sistema de calidad ABET para pregrado</v>
          </cell>
          <cell r="E15">
            <v>40544</v>
          </cell>
          <cell r="F15">
            <v>40549</v>
          </cell>
          <cell r="G15" t="str">
            <v>Comité Académico del Departamento</v>
          </cell>
          <cell r="H15" t="str">
            <v>Director</v>
          </cell>
          <cell r="I15">
            <v>50000000</v>
          </cell>
          <cell r="J15">
            <v>0</v>
          </cell>
          <cell r="K15">
            <v>0</v>
          </cell>
          <cell r="L15" t="str">
            <v>Acreditación del programa de pregrado en Mecánica para el 2012.</v>
          </cell>
        </row>
        <row r="16">
          <cell r="B16" t="str">
            <v>1.5.2</v>
          </cell>
          <cell r="C16" t="str">
            <v>1.5.2.</v>
          </cell>
          <cell r="D16" t="str">
            <v>Implementar el sistema de calidad ABET para maestría.</v>
          </cell>
          <cell r="E16">
            <v>40909</v>
          </cell>
          <cell r="F16">
            <v>41645</v>
          </cell>
          <cell r="G16" t="str">
            <v>Comité Académico del Departamento</v>
          </cell>
          <cell r="H16" t="str">
            <v>Director</v>
          </cell>
          <cell r="I16">
            <v>50000000</v>
          </cell>
          <cell r="J16">
            <v>0</v>
          </cell>
          <cell r="K16">
            <v>0</v>
          </cell>
          <cell r="L16" t="str">
            <v>Acreditación de los programas de maestría para el 2015</v>
          </cell>
        </row>
        <row r="17">
          <cell r="B17">
            <v>4</v>
          </cell>
          <cell r="C17">
            <v>2</v>
          </cell>
          <cell r="D17" t="str">
            <v>Objetivo 2: Fortalecer la investigación</v>
          </cell>
          <cell r="E17">
            <v>0</v>
          </cell>
          <cell r="F17">
            <v>0</v>
          </cell>
          <cell r="G17">
            <v>0</v>
          </cell>
          <cell r="H17">
            <v>0</v>
          </cell>
          <cell r="I17">
            <v>0</v>
          </cell>
          <cell r="J17">
            <v>0</v>
          </cell>
          <cell r="K17">
            <v>0</v>
          </cell>
          <cell r="L17">
            <v>0</v>
          </cell>
        </row>
        <row r="18">
          <cell r="B18" t="str">
            <v>4.1</v>
          </cell>
          <cell r="C18" t="str">
            <v>2.1</v>
          </cell>
          <cell r="D18" t="str">
            <v>Subobjetivo 2.1. Desarrollar las Líneas Estratégicas de la Facultad</v>
          </cell>
          <cell r="E18">
            <v>0</v>
          </cell>
          <cell r="F18">
            <v>0</v>
          </cell>
          <cell r="G18">
            <v>0</v>
          </cell>
          <cell r="H18">
            <v>0</v>
          </cell>
          <cell r="I18">
            <v>0</v>
          </cell>
          <cell r="J18">
            <v>0</v>
          </cell>
          <cell r="K18">
            <v>0</v>
          </cell>
          <cell r="L18" t="str">
            <v xml:space="preserve">·  Al menos 4 líneas de investigación consolidadas en el 2015. (*) </v>
          </cell>
        </row>
        <row r="19">
          <cell r="B19" t="str">
            <v>4.1.1</v>
          </cell>
          <cell r="C19" t="str">
            <v>2.1.1</v>
          </cell>
          <cell r="D19" t="str">
            <v>Concentrar a los profesores alrededor de las líneas de investigación</v>
          </cell>
          <cell r="E19">
            <v>40544</v>
          </cell>
          <cell r="F19">
            <v>40908</v>
          </cell>
          <cell r="G19" t="str">
            <v>Directores de Línea</v>
          </cell>
          <cell r="H19" t="str">
            <v>Director</v>
          </cell>
          <cell r="I19">
            <v>200000000</v>
          </cell>
          <cell r="J19">
            <v>0</v>
          </cell>
          <cell r="K19">
            <v>0</v>
          </cell>
          <cell r="L19" t="str">
            <v>Crear cuatro (4) lineas de investigación dentro del Departamento, de las cuales al menos dos (2) correspondan a líneas de investigación estratégica de la facultad.</v>
          </cell>
        </row>
        <row r="20">
          <cell r="B20" t="str">
            <v>4.2</v>
          </cell>
          <cell r="C20" t="str">
            <v>2.2</v>
          </cell>
          <cell r="D20" t="str">
            <v>Subobjetivo 2.2. Fortalecer el doctorado.</v>
          </cell>
          <cell r="E20">
            <v>0</v>
          </cell>
          <cell r="F20">
            <v>0</v>
          </cell>
          <cell r="G20">
            <v>0</v>
          </cell>
          <cell r="H20">
            <v>0</v>
          </cell>
          <cell r="I20">
            <v>0</v>
          </cell>
          <cell r="J20">
            <v>0</v>
          </cell>
          <cell r="K20">
            <v>0</v>
          </cell>
          <cell r="L20" t="str">
            <v>·  Todos los profesores habilitados asesorando al menos 2 estudiantes de doctorado en el 2015.</v>
          </cell>
        </row>
        <row r="21">
          <cell r="B21" t="str">
            <v>4.2.1</v>
          </cell>
          <cell r="C21" t="str">
            <v>2.2.1</v>
          </cell>
          <cell r="D21" t="str">
            <v>Diseño del plan estratégico de desarrollo y de divulgación del Programa de Doctorado en Mecánica</v>
          </cell>
          <cell r="E21">
            <v>40603</v>
          </cell>
          <cell r="F21">
            <v>40663</v>
          </cell>
          <cell r="G21" t="str">
            <v>Comité de Investigación del Departamento</v>
          </cell>
          <cell r="H21" t="str">
            <v>Profesores</v>
          </cell>
          <cell r="I21">
            <v>100000000</v>
          </cell>
          <cell r="J21">
            <v>0</v>
          </cell>
          <cell r="K21">
            <v>0</v>
          </cell>
          <cell r="L21" t="str">
            <v>Divulgación del programa doctoral en america latina en el 2015</v>
          </cell>
        </row>
        <row r="22">
          <cell r="B22" t="str">
            <v>4.2.2</v>
          </cell>
          <cell r="C22" t="str">
            <v>2.2.2.</v>
          </cell>
          <cell r="D22" t="str">
            <v>Incrementar la población de estudiantes de doctorado en el Departamento</v>
          </cell>
          <cell r="E22">
            <v>40756</v>
          </cell>
          <cell r="F22">
            <v>42369</v>
          </cell>
          <cell r="G22" t="str">
            <v>Comité de Investigación del Departamento</v>
          </cell>
          <cell r="H22" t="str">
            <v>Director</v>
          </cell>
          <cell r="I22">
            <v>2000000000</v>
          </cell>
          <cell r="J22">
            <v>0</v>
          </cell>
          <cell r="K22">
            <v>0</v>
          </cell>
          <cell r="L22" t="str">
            <v>Treinta (30) estudiantes en el programa doctoral en el 2015.</v>
          </cell>
        </row>
        <row r="23">
          <cell r="B23" t="str">
            <v>4.3</v>
          </cell>
          <cell r="C23" t="str">
            <v>2.3.</v>
          </cell>
          <cell r="D23" t="str">
            <v>Subobjetivo 2.3. Incrementar los recursos económicos para las actividades de investigación.</v>
          </cell>
          <cell r="E23">
            <v>0</v>
          </cell>
          <cell r="F23">
            <v>0</v>
          </cell>
          <cell r="G23">
            <v>0</v>
          </cell>
          <cell r="H23">
            <v>0</v>
          </cell>
          <cell r="I23">
            <v>0</v>
          </cell>
          <cell r="J23">
            <v>0</v>
          </cell>
          <cell r="K23">
            <v>0</v>
          </cell>
          <cell r="L23" t="str">
            <v>·  $5,000 millones de pesos al año generados por proyectos de investigación (financiación externa, que no pagan overhead) diferentes a los ingresos de las líneas estratégicas.</v>
          </cell>
        </row>
        <row r="24">
          <cell r="B24" t="str">
            <v>4.3.1</v>
          </cell>
          <cell r="C24" t="str">
            <v>2.3.1</v>
          </cell>
          <cell r="D24" t="str">
            <v>Incrementar ingresos por proyectos financiados por la industria y colciencias</v>
          </cell>
          <cell r="E24">
            <v>40544</v>
          </cell>
          <cell r="F24">
            <v>42369</v>
          </cell>
          <cell r="G24" t="str">
            <v>Comité de Investigación del Departamento</v>
          </cell>
          <cell r="H24" t="str">
            <v>Director</v>
          </cell>
          <cell r="I24">
            <v>100000000</v>
          </cell>
          <cell r="J24">
            <v>0</v>
          </cell>
          <cell r="K24">
            <v>0</v>
          </cell>
          <cell r="L24" t="str">
            <v>$ 2,000 millones de pesos al año generados por proyectos de investigación en el Departamento.</v>
          </cell>
        </row>
        <row r="25">
          <cell r="B25" t="str">
            <v>4.4</v>
          </cell>
          <cell r="C25" t="str">
            <v>2.4</v>
          </cell>
          <cell r="D25" t="str">
            <v>Subobjetivo 2.4. Aumentar la producción y la divulgación de nuevo conocimiento (publicaciones, patentes, software, etc.).</v>
          </cell>
          <cell r="E25">
            <v>0</v>
          </cell>
          <cell r="F25">
            <v>0</v>
          </cell>
          <cell r="G25">
            <v>0</v>
          </cell>
          <cell r="H25">
            <v>0</v>
          </cell>
          <cell r="I25">
            <v>0</v>
          </cell>
          <cell r="J25">
            <v>0</v>
          </cell>
          <cell r="K25">
            <v>0</v>
          </cell>
          <cell r="L25" t="str">
            <v>·  1 artículo publicado en revistas ISI por profesor por año.</v>
          </cell>
        </row>
        <row r="26">
          <cell r="B26" t="str">
            <v>4.4.1</v>
          </cell>
          <cell r="C26" t="str">
            <v>2.4.1</v>
          </cell>
          <cell r="D26" t="str">
            <v>Apoyar la publicación de articulos tipo ISI por parte de los profesores del Departamento.</v>
          </cell>
          <cell r="E26">
            <v>40544</v>
          </cell>
          <cell r="F26">
            <v>42369</v>
          </cell>
          <cell r="G26" t="str">
            <v>Comité de Investigación del Departamento</v>
          </cell>
          <cell r="H26" t="str">
            <v>Director</v>
          </cell>
          <cell r="I26">
            <v>500000000</v>
          </cell>
          <cell r="J26">
            <v>0</v>
          </cell>
          <cell r="K26">
            <v>0</v>
          </cell>
          <cell r="L26" t="str">
            <v> 1 artículo publicado en revistas ISI por profesor por año.</v>
          </cell>
        </row>
        <row r="27">
          <cell r="B27" t="str">
            <v>4.5</v>
          </cell>
          <cell r="C27" t="str">
            <v>2.5.</v>
          </cell>
          <cell r="D27" t="str">
            <v>Subobjetivo 2.5. Incrementar la cooperación internacional.</v>
          </cell>
          <cell r="E27">
            <v>0</v>
          </cell>
          <cell r="F27">
            <v>0</v>
          </cell>
          <cell r="G27">
            <v>0</v>
          </cell>
          <cell r="H27">
            <v>0</v>
          </cell>
          <cell r="I27">
            <v>0</v>
          </cell>
          <cell r="J27">
            <v>0</v>
          </cell>
          <cell r="K27">
            <v>0</v>
          </cell>
          <cell r="L27" t="str">
            <v>· El tiempo de permanencia de profesores visitantes en la Facultad debe superar los 70 meses al año.</v>
          </cell>
        </row>
        <row r="28">
          <cell r="B28" t="str">
            <v>4.5.1</v>
          </cell>
          <cell r="C28" t="str">
            <v>2.5.1</v>
          </cell>
          <cell r="D28" t="str">
            <v>Aumentar la cooperación con otras universidades a través de coasesoria de tesis de maestría y doctorado</v>
          </cell>
          <cell r="E28">
            <v>40544</v>
          </cell>
          <cell r="F28">
            <v>42369</v>
          </cell>
          <cell r="G28" t="str">
            <v>Comité de Investigación del Departamento</v>
          </cell>
          <cell r="H28" t="str">
            <v>Director</v>
          </cell>
          <cell r="I28">
            <v>1000000000</v>
          </cell>
          <cell r="J28">
            <v>0</v>
          </cell>
          <cell r="K28">
            <v>0</v>
          </cell>
          <cell r="L28" t="str">
            <v>Todos los profesores de carrera del Departamento llevarán a cabo estancias de 1 mes (periodo intersemestral) en instituciones universitarias de Europa, Estados Unidos, Canada, Australia y Nueva Zelanda a partir del 2012.</v>
          </cell>
        </row>
        <row r="29">
          <cell r="B29">
            <v>6</v>
          </cell>
          <cell r="C29">
            <v>3</v>
          </cell>
          <cell r="D29" t="str">
            <v xml:space="preserve">Objetivo 3: Aumentar la contribución de la Facultad al desarrollo  del país. </v>
          </cell>
          <cell r="E29">
            <v>0</v>
          </cell>
          <cell r="F29">
            <v>0</v>
          </cell>
          <cell r="G29">
            <v>0</v>
          </cell>
          <cell r="H29">
            <v>0</v>
          </cell>
          <cell r="I29">
            <v>0</v>
          </cell>
          <cell r="J29">
            <v>0</v>
          </cell>
          <cell r="K29">
            <v>0</v>
          </cell>
          <cell r="L29">
            <v>0</v>
          </cell>
        </row>
        <row r="30">
          <cell r="B30" t="str">
            <v>6.1</v>
          </cell>
          <cell r="C30" t="str">
            <v>3.1</v>
          </cell>
          <cell r="D30" t="str">
            <v xml:space="preserve">Subobjetivo 3.1:  Asistir a las empresas en sus esfuerzos por aumentar su competitividad. </v>
          </cell>
          <cell r="E30">
            <v>0</v>
          </cell>
          <cell r="F30">
            <v>0</v>
          </cell>
          <cell r="G30">
            <v>0</v>
          </cell>
          <cell r="H30">
            <v>0</v>
          </cell>
          <cell r="I30">
            <v>0</v>
          </cell>
          <cell r="J30">
            <v>0</v>
          </cell>
          <cell r="K30">
            <v>0</v>
          </cell>
          <cell r="L30" t="str">
            <v>· 100% de los proyectos tiene un impacto favorable en la competitividad de las empresas, desde la perspectiva de la entidad contratante.</v>
          </cell>
        </row>
        <row r="31">
          <cell r="B31" t="str">
            <v>6.1.1</v>
          </cell>
          <cell r="C31" t="str">
            <v>3.1.1</v>
          </cell>
          <cell r="D31" t="str">
            <v xml:space="preserve">Incentivar y fomentar el desarrollo de proyectos de investigación aplicada por parte de los profesores. </v>
          </cell>
          <cell r="E31">
            <v>40544</v>
          </cell>
          <cell r="F31">
            <v>42369</v>
          </cell>
          <cell r="G31" t="str">
            <v>Comité de Investigación del Departamento</v>
          </cell>
          <cell r="H31" t="str">
            <v>Director</v>
          </cell>
          <cell r="I31">
            <v>0</v>
          </cell>
          <cell r="J31">
            <v>0</v>
          </cell>
          <cell r="K31">
            <v>0</v>
          </cell>
          <cell r="L31" t="str">
            <v>100% de los proyectos contratados con la industria tiene un impacto faborable en la competitividad de las empresas, desde la perspectiva de la entidad.</v>
          </cell>
        </row>
        <row r="32">
          <cell r="B32" t="str">
            <v>6.2</v>
          </cell>
          <cell r="C32" t="str">
            <v>3.2</v>
          </cell>
          <cell r="D32" t="str">
            <v>Subobjetivo 3.2: Contribuir en la construcción de soluciones para los problemas críticos del país.</v>
          </cell>
          <cell r="E32">
            <v>0</v>
          </cell>
          <cell r="F32">
            <v>0</v>
          </cell>
          <cell r="G32">
            <v>0</v>
          </cell>
          <cell r="H32">
            <v>0</v>
          </cell>
          <cell r="I32">
            <v>0</v>
          </cell>
          <cell r="J32">
            <v>0</v>
          </cell>
          <cell r="K32">
            <v>0</v>
          </cell>
          <cell r="L32" t="str">
            <v>· $10,000 millones al año generados por proyectos que ofrecen una solución a alguno de los problemas críticos del país.</v>
          </cell>
        </row>
        <row r="33">
          <cell r="B33" t="str">
            <v>6.3</v>
          </cell>
          <cell r="C33" t="str">
            <v>3.3</v>
          </cell>
          <cell r="D33" t="str">
            <v>Subobjetivo 3.3. Generar opinión alrededor de los temas de interés nacional e incidir en las decisiones tecnológicas, sociales, económicas, ambientales y políticas.</v>
          </cell>
          <cell r="E33">
            <v>0</v>
          </cell>
          <cell r="F33">
            <v>0</v>
          </cell>
          <cell r="G33">
            <v>0</v>
          </cell>
          <cell r="H33">
            <v>0</v>
          </cell>
          <cell r="I33">
            <v>0</v>
          </cell>
          <cell r="J33">
            <v>0</v>
          </cell>
          <cell r="K33">
            <v>0</v>
          </cell>
          <cell r="L33" t="str">
            <v>· 6 foros al año con invitados internacionales organizados alrededor de temas de interés nacional.</v>
          </cell>
        </row>
        <row r="34">
          <cell r="B34">
            <v>2</v>
          </cell>
          <cell r="C34">
            <v>4</v>
          </cell>
          <cell r="D34" t="str">
            <v>Objetivo 4: Lograr que los profesores sean referentes en sus áreas de trabajo.</v>
          </cell>
          <cell r="E34">
            <v>0</v>
          </cell>
          <cell r="F34">
            <v>0</v>
          </cell>
          <cell r="G34">
            <v>0</v>
          </cell>
          <cell r="H34">
            <v>0</v>
          </cell>
          <cell r="I34">
            <v>0</v>
          </cell>
          <cell r="J34">
            <v>0</v>
          </cell>
          <cell r="K34">
            <v>0</v>
          </cell>
          <cell r="L34">
            <v>0</v>
          </cell>
        </row>
        <row r="35">
          <cell r="B35" t="str">
            <v>2.1</v>
          </cell>
          <cell r="C35" t="str">
            <v>4.1.</v>
          </cell>
          <cell r="D35" t="str">
            <v>Objetivo 4.1.: Lograr que los profesores sean referentes en sus áreas de trabajo.</v>
          </cell>
          <cell r="E35">
            <v>0</v>
          </cell>
          <cell r="F35">
            <v>0</v>
          </cell>
          <cell r="G35">
            <v>0</v>
          </cell>
          <cell r="H35">
            <v>0</v>
          </cell>
          <cell r="I35">
            <v>0</v>
          </cell>
          <cell r="J35">
            <v>0</v>
          </cell>
          <cell r="K35">
            <v>0</v>
          </cell>
          <cell r="L35" t="str">
            <v>Definir e incrementar un indicador basado en:</v>
          </cell>
        </row>
        <row r="36">
          <cell r="B36" t="str">
            <v>4.4.1</v>
          </cell>
          <cell r="C36" t="str">
            <v>4.1.1</v>
          </cell>
          <cell r="D36" t="str">
            <v>Divulgación de las actividades de docencia e investigación de los profesores.</v>
          </cell>
          <cell r="E36">
            <v>40544</v>
          </cell>
          <cell r="F36">
            <v>42369</v>
          </cell>
          <cell r="G36" t="str">
            <v>Comité de Investigación del Departamento</v>
          </cell>
          <cell r="H36" t="str">
            <v>Director</v>
          </cell>
          <cell r="I36">
            <v>300000000</v>
          </cell>
          <cell r="J36">
            <v>0</v>
          </cell>
          <cell r="K36">
            <v>0</v>
          </cell>
          <cell r="L36" t="str">
            <v>Publicación trimestral de la revista "Mecánica al Día".</v>
          </cell>
        </row>
        <row r="37">
          <cell r="B37" t="str">
            <v>2.1.1</v>
          </cell>
          <cell r="C37" t="str">
            <v>4.1.2.</v>
          </cell>
          <cell r="D37" t="str">
            <v>Brindar apoyo a los profesores para visitas y estancias cortas en otras universidades de Colombía y America latina.</v>
          </cell>
          <cell r="E37">
            <v>40544</v>
          </cell>
          <cell r="F37">
            <v>42369</v>
          </cell>
          <cell r="G37" t="str">
            <v>Comité de Investigación del Departamento</v>
          </cell>
          <cell r="H37" t="str">
            <v>Director</v>
          </cell>
          <cell r="I37">
            <v>300000000</v>
          </cell>
          <cell r="J37">
            <v>0</v>
          </cell>
          <cell r="K37">
            <v>0</v>
          </cell>
          <cell r="L37" t="str">
            <v>El 100% de los profesores de carrera llevan a cabo estancias cortas (1 semana) en universidades de Colombia y Ameríca Latina.</v>
          </cell>
        </row>
        <row r="38">
          <cell r="B38">
            <v>3</v>
          </cell>
          <cell r="C38">
            <v>5</v>
          </cell>
          <cell r="D38" t="str">
            <v>Objetivo 5: Lograr una organización y un tamaño para la Facultad que le permita cumplir la misión.</v>
          </cell>
          <cell r="E38">
            <v>0</v>
          </cell>
          <cell r="F38">
            <v>0</v>
          </cell>
          <cell r="G38">
            <v>0</v>
          </cell>
          <cell r="H38">
            <v>0</v>
          </cell>
          <cell r="I38">
            <v>0</v>
          </cell>
          <cell r="J38">
            <v>0</v>
          </cell>
          <cell r="K38">
            <v>0</v>
          </cell>
          <cell r="L38">
            <v>0</v>
          </cell>
        </row>
        <row r="39">
          <cell r="B39" t="str">
            <v>3.1</v>
          </cell>
          <cell r="C39" t="str">
            <v>5.1</v>
          </cell>
          <cell r="D39" t="str">
            <v xml:space="preserve">Subobjetivo 5.1. Alcanzar las metas de población estudiantil de la Facultad </v>
          </cell>
          <cell r="E39">
            <v>0</v>
          </cell>
          <cell r="F39">
            <v>0</v>
          </cell>
          <cell r="G39">
            <v>0</v>
          </cell>
          <cell r="H39">
            <v>0</v>
          </cell>
          <cell r="I39">
            <v>0</v>
          </cell>
          <cell r="J39">
            <v>0</v>
          </cell>
          <cell r="K39">
            <v>0</v>
          </cell>
          <cell r="L39" t="str">
            <v>Metas a 2015:</v>
          </cell>
        </row>
        <row r="40">
          <cell r="B40" t="str">
            <v>3.1.1</v>
          </cell>
          <cell r="C40" t="str">
            <v>5.1.1</v>
          </cell>
          <cell r="D40" t="str">
            <v>Mantener estable la población de pregrado</v>
          </cell>
          <cell r="E40">
            <v>40544</v>
          </cell>
          <cell r="F40">
            <v>42369</v>
          </cell>
          <cell r="G40" t="str">
            <v>Director</v>
          </cell>
          <cell r="H40" t="str">
            <v>Comité Académico de Departamento</v>
          </cell>
          <cell r="I40">
            <v>0</v>
          </cell>
          <cell r="J40">
            <v>0</v>
          </cell>
          <cell r="K40">
            <v>0</v>
          </cell>
          <cell r="L40" t="str">
            <v>Pregrado: 750</v>
          </cell>
        </row>
        <row r="41">
          <cell r="B41" t="str">
            <v>3.1.2</v>
          </cell>
          <cell r="C41" t="str">
            <v>5.1.2</v>
          </cell>
          <cell r="D41" t="str">
            <v>Incrementar la población de estudiantes de maestría</v>
          </cell>
          <cell r="E41">
            <v>40544</v>
          </cell>
          <cell r="F41">
            <v>42369</v>
          </cell>
          <cell r="G41" t="str">
            <v>Director</v>
          </cell>
          <cell r="H41" t="str">
            <v>Comité Académico de Departamento</v>
          </cell>
          <cell r="I41">
            <v>0</v>
          </cell>
          <cell r="J41">
            <v>0</v>
          </cell>
          <cell r="K41">
            <v>0</v>
          </cell>
          <cell r="L41" t="str">
            <v>Maestría: 100</v>
          </cell>
        </row>
        <row r="42">
          <cell r="B42" t="str">
            <v>3.1.2</v>
          </cell>
          <cell r="C42" t="str">
            <v>5.1.3.</v>
          </cell>
          <cell r="D42" t="str">
            <v>Incrementar la población de estudiantes de doctorado</v>
          </cell>
          <cell r="E42">
            <v>40544</v>
          </cell>
          <cell r="F42">
            <v>42369</v>
          </cell>
          <cell r="G42" t="str">
            <v>Director</v>
          </cell>
          <cell r="H42" t="str">
            <v>Comité Académico de Departamento</v>
          </cell>
          <cell r="I42">
            <v>0</v>
          </cell>
          <cell r="J42">
            <v>0</v>
          </cell>
          <cell r="K42">
            <v>0</v>
          </cell>
          <cell r="L42" t="str">
            <v>Doctorado: 30</v>
          </cell>
        </row>
        <row r="43">
          <cell r="B43" t="str">
            <v>3.2</v>
          </cell>
          <cell r="C43" t="str">
            <v>5.2</v>
          </cell>
          <cell r="D43" t="str">
            <v>Subobjetivo 5.2.Alcanzar las metas en la composición de la planta de profesores</v>
          </cell>
          <cell r="E43">
            <v>0</v>
          </cell>
          <cell r="F43">
            <v>0</v>
          </cell>
          <cell r="G43">
            <v>0</v>
          </cell>
          <cell r="H43">
            <v>0</v>
          </cell>
          <cell r="I43">
            <v>0</v>
          </cell>
          <cell r="J43">
            <v>0</v>
          </cell>
          <cell r="K43">
            <v>0</v>
          </cell>
          <cell r="L43" t="str">
            <v>· 110 profesores de planta vinculados a la Facultad con título de doctorado.</v>
          </cell>
        </row>
        <row r="44">
          <cell r="B44" t="str">
            <v>3.2.1</v>
          </cell>
          <cell r="C44" t="str">
            <v>5.2.1</v>
          </cell>
          <cell r="D44" t="str">
            <v>Fortalecer las líneas de investigación en Energía y Dinamica con la contratación de dos nuevos profesores</v>
          </cell>
          <cell r="E44">
            <v>40544</v>
          </cell>
          <cell r="F44">
            <v>40724</v>
          </cell>
          <cell r="G44" t="str">
            <v>Director</v>
          </cell>
          <cell r="H44" t="str">
            <v>Directores de Línea</v>
          </cell>
          <cell r="I44">
            <v>900000000</v>
          </cell>
          <cell r="J44">
            <v>0</v>
          </cell>
          <cell r="K44">
            <v>0</v>
          </cell>
          <cell r="L44" t="str">
            <v>Dos nuevos profesores con PhD para el 2015.</v>
          </cell>
        </row>
        <row r="45">
          <cell r="B45" t="str">
            <v>5.1</v>
          </cell>
          <cell r="C45" t="str">
            <v>5.3.</v>
          </cell>
          <cell r="D45" t="str">
            <v>Subobjetivo 5.3. Definir y alcanzar las metas de Infraestructura física y recursos para soportar el desarrollo de la Facultad.</v>
          </cell>
          <cell r="E45">
            <v>0</v>
          </cell>
          <cell r="F45">
            <v>0</v>
          </cell>
          <cell r="G45">
            <v>0</v>
          </cell>
          <cell r="H45">
            <v>0</v>
          </cell>
          <cell r="I45">
            <v>0</v>
          </cell>
          <cell r="J45">
            <v>0</v>
          </cell>
          <cell r="K45">
            <v>0</v>
          </cell>
          <cell r="L45" t="str">
            <v>· 8% de los ingresos operacionales al año en inversión para desarrollo y adecuación de los laboratorios y mantenimiento.</v>
          </cell>
        </row>
        <row r="46">
          <cell r="B46" t="str">
            <v>5.2</v>
          </cell>
          <cell r="C46" t="str">
            <v>5.4</v>
          </cell>
          <cell r="D46" t="str">
            <v>Subobjetivo 5.4. Adaptar la organización a los desafíos de su crecimiento.</v>
          </cell>
          <cell r="E46">
            <v>0</v>
          </cell>
          <cell r="F46">
            <v>0</v>
          </cell>
          <cell r="G46">
            <v>0</v>
          </cell>
          <cell r="H46">
            <v>0</v>
          </cell>
          <cell r="I46">
            <v>0</v>
          </cell>
          <cell r="J46">
            <v>0</v>
          </cell>
          <cell r="K46">
            <v>0</v>
          </cell>
          <cell r="L46" t="str">
            <v>· Los gastos administrativos consolidados de la Facultad no superan el 12% de los ingresos totales.</v>
          </cell>
        </row>
      </sheetData>
      <sheetData sheetId="9"/>
      <sheetData sheetId="10">
        <row r="9">
          <cell r="B9">
            <v>1</v>
          </cell>
          <cell r="C9">
            <v>1</v>
          </cell>
          <cell r="D9" t="str">
            <v>Mantener actualizados y alcanzar los perfiles de formación</v>
          </cell>
          <cell r="E9">
            <v>0</v>
          </cell>
          <cell r="F9">
            <v>0</v>
          </cell>
          <cell r="G9">
            <v>0</v>
          </cell>
          <cell r="H9">
            <v>0</v>
          </cell>
          <cell r="I9">
            <v>2282933950.6700516</v>
          </cell>
          <cell r="J9">
            <v>0</v>
          </cell>
          <cell r="K9">
            <v>0</v>
          </cell>
        </row>
        <row r="10">
          <cell r="B10" t="str">
            <v>1.1</v>
          </cell>
          <cell r="C10" t="str">
            <v>1.1</v>
          </cell>
          <cell r="D10" t="str">
            <v>Actualizar los perfiles de formación (pregrado, especialización, maestría y doctorado) de los egresados del Departamento teniendo en cuenta las tendencias mundiales, las necesidades nacionales y el contexto educativo del país, buscando elementos diferenciadores y de valor agregado</v>
          </cell>
          <cell r="E10">
            <v>0</v>
          </cell>
          <cell r="F10">
            <v>0</v>
          </cell>
          <cell r="G10" t="str">
            <v>Director del Departamento</v>
          </cell>
          <cell r="H10" t="str">
            <v>-</v>
          </cell>
          <cell r="I10">
            <v>54230751.920000002</v>
          </cell>
          <cell r="J10">
            <v>0</v>
          </cell>
          <cell r="K10">
            <v>0</v>
          </cell>
        </row>
        <row r="11">
          <cell r="B11" t="str">
            <v>1.1.1</v>
          </cell>
          <cell r="C11" t="str">
            <v>1.1.1</v>
          </cell>
          <cell r="D11" t="str">
            <v>Conformar comité asesor del Departamento</v>
          </cell>
          <cell r="E11">
            <v>40544</v>
          </cell>
          <cell r="F11">
            <v>42005</v>
          </cell>
          <cell r="G11" t="str">
            <v>Director del Departamento</v>
          </cell>
          <cell r="H11" t="str">
            <v>-</v>
          </cell>
          <cell r="I11">
            <v>500000</v>
          </cell>
          <cell r="J11">
            <v>0</v>
          </cell>
          <cell r="K11">
            <v>0</v>
          </cell>
        </row>
        <row r="12">
          <cell r="B12" t="str">
            <v>1.1.1</v>
          </cell>
          <cell r="C12" t="str">
            <v>1.1.2</v>
          </cell>
          <cell r="D12" t="str">
            <v>Reuniones con comité asesor</v>
          </cell>
          <cell r="E12">
            <v>40603</v>
          </cell>
          <cell r="F12">
            <v>41883</v>
          </cell>
          <cell r="G12" t="str">
            <v>Director del Departamento</v>
          </cell>
          <cell r="H12" t="str">
            <v>-</v>
          </cell>
          <cell r="I12">
            <v>21545679.050000001</v>
          </cell>
          <cell r="J12">
            <v>0</v>
          </cell>
          <cell r="K12">
            <v>0</v>
          </cell>
        </row>
        <row r="13">
          <cell r="B13" t="str">
            <v>1.1.1</v>
          </cell>
          <cell r="C13" t="str">
            <v>1.1.3</v>
          </cell>
          <cell r="D13" t="str">
            <v>Reuniones de Departamento con tema del subobjetivo</v>
          </cell>
          <cell r="E13">
            <v>40544</v>
          </cell>
          <cell r="F13">
            <v>41671</v>
          </cell>
          <cell r="G13" t="str">
            <v>Director del Departamento</v>
          </cell>
          <cell r="H13" t="str">
            <v>-</v>
          </cell>
          <cell r="I13">
            <v>2971817.8</v>
          </cell>
          <cell r="J13">
            <v>0</v>
          </cell>
          <cell r="K13">
            <v>0</v>
          </cell>
        </row>
        <row r="14">
          <cell r="B14" t="str">
            <v>1.1.1</v>
          </cell>
          <cell r="C14" t="str">
            <v>1.1.4</v>
          </cell>
          <cell r="D14" t="str">
            <v>Reuniones con empresas del sector público y privado</v>
          </cell>
          <cell r="E14">
            <v>40664</v>
          </cell>
          <cell r="F14">
            <v>41760</v>
          </cell>
          <cell r="G14" t="str">
            <v>Director del Departamento</v>
          </cell>
          <cell r="H14" t="str">
            <v>-</v>
          </cell>
          <cell r="I14">
            <v>6368181</v>
          </cell>
          <cell r="J14">
            <v>0</v>
          </cell>
          <cell r="K14">
            <v>0</v>
          </cell>
        </row>
        <row r="15">
          <cell r="B15" t="str">
            <v>1.1.1</v>
          </cell>
          <cell r="C15" t="str">
            <v>1.1.5</v>
          </cell>
          <cell r="D15" t="str">
            <v>Reunión con invitados de la ASCE o VDI u otro para discutir sobre tendencias mundiales de la Ingeniería Civil y Ambiental</v>
          </cell>
          <cell r="E15">
            <v>40695</v>
          </cell>
          <cell r="F15">
            <v>41791</v>
          </cell>
          <cell r="G15" t="str">
            <v>Profesor designado por la reunión de Departamento</v>
          </cell>
          <cell r="H15" t="str">
            <v>-</v>
          </cell>
          <cell r="I15">
            <v>19852029</v>
          </cell>
          <cell r="J15">
            <v>0</v>
          </cell>
          <cell r="K15">
            <v>0</v>
          </cell>
        </row>
        <row r="16">
          <cell r="B16" t="str">
            <v>1.1.1</v>
          </cell>
          <cell r="C16" t="str">
            <v>1.1.6</v>
          </cell>
          <cell r="D16" t="str">
            <v>Primer borrador de discusión</v>
          </cell>
          <cell r="E16">
            <v>40695</v>
          </cell>
          <cell r="F16">
            <v>41791</v>
          </cell>
          <cell r="G16" t="str">
            <v>Comité de dos profesores</v>
          </cell>
          <cell r="H16" t="str">
            <v>-</v>
          </cell>
          <cell r="I16">
            <v>382090.86</v>
          </cell>
          <cell r="J16">
            <v>0</v>
          </cell>
          <cell r="K16">
            <v>0</v>
          </cell>
        </row>
        <row r="17">
          <cell r="B17" t="str">
            <v>1.1.1</v>
          </cell>
          <cell r="C17" t="str">
            <v>1.1.7</v>
          </cell>
          <cell r="D17" t="str">
            <v>Revisar objetivos y outcomes de los programas del Departamento con base en el borrador de discusión</v>
          </cell>
          <cell r="E17">
            <v>40787</v>
          </cell>
          <cell r="F17">
            <v>41913</v>
          </cell>
          <cell r="G17" t="str">
            <v>Director y profesores del Departamento</v>
          </cell>
          <cell r="H17" t="str">
            <v>-</v>
          </cell>
          <cell r="I17">
            <v>2228863.35</v>
          </cell>
          <cell r="J17">
            <v>0</v>
          </cell>
          <cell r="K17">
            <v>0</v>
          </cell>
        </row>
        <row r="18">
          <cell r="B18" t="str">
            <v>1.1.1</v>
          </cell>
          <cell r="C18" t="str">
            <v>1.1.8</v>
          </cell>
          <cell r="D18" t="str">
            <v>Documento definitivo con perfil actualizado del egresado del Departamento y con objetivos y outcomes actualizados</v>
          </cell>
          <cell r="E18">
            <v>40878</v>
          </cell>
          <cell r="F18">
            <v>41974</v>
          </cell>
          <cell r="G18" t="str">
            <v>Comité de dos profesores</v>
          </cell>
          <cell r="H18" t="str">
            <v>-</v>
          </cell>
          <cell r="I18">
            <v>382090.86</v>
          </cell>
          <cell r="J18">
            <v>0</v>
          </cell>
          <cell r="K18">
            <v>0</v>
          </cell>
        </row>
        <row r="19">
          <cell r="B19" t="str">
            <v>1.2</v>
          </cell>
          <cell r="C19" t="str">
            <v>1.2</v>
          </cell>
          <cell r="D19" t="str">
            <v>Mantener un curriculum innovador que responda a los perfiles deseados para la formación de los egresados del Departamento</v>
          </cell>
          <cell r="E19">
            <v>0</v>
          </cell>
          <cell r="F19">
            <v>0</v>
          </cell>
          <cell r="G19" t="str">
            <v>Director del Departamento</v>
          </cell>
          <cell r="H19" t="str">
            <v>-</v>
          </cell>
          <cell r="I19">
            <v>1067986833.3333334</v>
          </cell>
          <cell r="J19">
            <v>0</v>
          </cell>
          <cell r="K19">
            <v>0</v>
          </cell>
        </row>
        <row r="20">
          <cell r="B20" t="str">
            <v>1.2.1</v>
          </cell>
          <cell r="C20" t="str">
            <v>1.2.1</v>
          </cell>
          <cell r="D20" t="str">
            <v>Discusión y precisión de los términos innovación y emprendimiento en reunión de Departamento con invitados</v>
          </cell>
          <cell r="E20">
            <v>40603</v>
          </cell>
          <cell r="F20">
            <v>40603</v>
          </cell>
          <cell r="G20" t="str">
            <v>Director del Departamento</v>
          </cell>
          <cell r="H20" t="str">
            <v>-</v>
          </cell>
          <cell r="I20">
            <v>360500</v>
          </cell>
          <cell r="J20">
            <v>0</v>
          </cell>
          <cell r="K20">
            <v>0</v>
          </cell>
        </row>
        <row r="21">
          <cell r="B21" t="str">
            <v>1.2.1</v>
          </cell>
          <cell r="C21" t="str">
            <v>1.2.2</v>
          </cell>
          <cell r="D21" t="str">
            <v>Discusión y precisión sobre los pasos a seguir para implementar innovaciones en los programas del Departamento. Elaboración de propuesta</v>
          </cell>
          <cell r="E21">
            <v>40603</v>
          </cell>
          <cell r="F21">
            <v>40695</v>
          </cell>
          <cell r="G21" t="str">
            <v>Director de Departamento</v>
          </cell>
          <cell r="H21" t="str">
            <v>Comité de dos profesores</v>
          </cell>
          <cell r="I21">
            <v>422300</v>
          </cell>
          <cell r="J21">
            <v>0</v>
          </cell>
          <cell r="K21">
            <v>0</v>
          </cell>
        </row>
        <row r="22">
          <cell r="B22" t="str">
            <v>1.2.3</v>
          </cell>
          <cell r="C22" t="str">
            <v>1.2.3</v>
          </cell>
          <cell r="D22" t="str">
            <v>Elaboración de propuesta de integración de los programas del Departamento (Pregrado-Especialización-Maestría-Doctorado); programa coterminal pregrado-maestría; programa coterminal maestría-doctorado</v>
          </cell>
          <cell r="E22">
            <v>40634</v>
          </cell>
          <cell r="F22">
            <v>40634</v>
          </cell>
          <cell r="G22" t="str">
            <v>Comité de 3 profesores</v>
          </cell>
          <cell r="H22" t="str">
            <v>-</v>
          </cell>
          <cell r="I22">
            <v>92700</v>
          </cell>
          <cell r="J22">
            <v>0</v>
          </cell>
          <cell r="K22">
            <v>0</v>
          </cell>
        </row>
        <row r="23">
          <cell r="B23" t="str">
            <v>1.2.3</v>
          </cell>
          <cell r="C23" t="str">
            <v>1.2.4</v>
          </cell>
          <cell r="D23" t="str">
            <v>Discusión y probación de la propuesta de integración en Reunión de Departamento</v>
          </cell>
          <cell r="E23">
            <v>40664</v>
          </cell>
          <cell r="F23">
            <v>40664</v>
          </cell>
          <cell r="G23" t="str">
            <v>Director de Departamento</v>
          </cell>
          <cell r="H23" t="str">
            <v>-</v>
          </cell>
          <cell r="I23">
            <v>360500</v>
          </cell>
          <cell r="J23">
            <v>0</v>
          </cell>
          <cell r="K23">
            <v>0</v>
          </cell>
        </row>
        <row r="24">
          <cell r="B24" t="str">
            <v>1.2.4</v>
          </cell>
          <cell r="C24" t="str">
            <v>1.2.5</v>
          </cell>
          <cell r="D24" t="str">
            <v>Implementación y divulgación de la integración de programas. Inicio de los programas académicos integrados del Departamento.</v>
          </cell>
          <cell r="E24">
            <v>40695</v>
          </cell>
          <cell r="F24">
            <v>40756</v>
          </cell>
          <cell r="G24" t="str">
            <v>Director de Departamento</v>
          </cell>
          <cell r="H24" t="str">
            <v>Coordinador Administrativo</v>
          </cell>
          <cell r="I24">
            <v>7000000</v>
          </cell>
          <cell r="J24">
            <v>0</v>
          </cell>
          <cell r="K24">
            <v>0</v>
          </cell>
        </row>
        <row r="25">
          <cell r="B25" t="str">
            <v>1.2.5</v>
          </cell>
          <cell r="C25" t="str">
            <v>1.2.6</v>
          </cell>
          <cell r="D25" t="str">
            <v>Revisión de los currículos del Departamento y nueva definición de contenidos curriculares innovadores, teniendo en cuenta los objetivos y outcomes definidos para cada programa y teniendo como referente programas de ingeniería civil y ambiental de 4 universidades de prestigio mundial</v>
          </cell>
          <cell r="E25" t="str">
            <v>Primer semestre 2011</v>
          </cell>
          <cell r="F25" t="str">
            <v>Segundo semestre de 2011</v>
          </cell>
          <cell r="G25" t="str">
            <v>Comité de dos profesores; Reporta a Reuniones de Departamento</v>
          </cell>
          <cell r="H25" t="str">
            <v>-</v>
          </cell>
          <cell r="I25">
            <v>494400</v>
          </cell>
          <cell r="J25">
            <v>0</v>
          </cell>
          <cell r="K25">
            <v>0</v>
          </cell>
        </row>
        <row r="26">
          <cell r="B26" t="str">
            <v>1.2.6</v>
          </cell>
          <cell r="C26" t="str">
            <v>1.2.7</v>
          </cell>
          <cell r="D26" t="str">
            <v>Política de movilidad para los estudiantes del Departamento (con participación de la Facultad)</v>
          </cell>
          <cell r="E26">
            <v>40603</v>
          </cell>
          <cell r="F26">
            <v>40603</v>
          </cell>
          <cell r="G26" t="str">
            <v>Comité de dos profesores</v>
          </cell>
          <cell r="H26" t="str">
            <v>-</v>
          </cell>
          <cell r="I26">
            <v>123600</v>
          </cell>
          <cell r="J26">
            <v>0</v>
          </cell>
          <cell r="K26">
            <v>0</v>
          </cell>
        </row>
        <row r="27">
          <cell r="B27" t="str">
            <v>1.2.6</v>
          </cell>
          <cell r="C27" t="str">
            <v>1.2.8</v>
          </cell>
          <cell r="D27" t="str">
            <v>Discusión y aprobación de la política de movilidad de estudiantes</v>
          </cell>
          <cell r="E27">
            <v>40634</v>
          </cell>
          <cell r="F27">
            <v>40634</v>
          </cell>
          <cell r="G27" t="str">
            <v>Director de Departamento</v>
          </cell>
          <cell r="H27" t="str">
            <v>Reunión de Departamento</v>
          </cell>
          <cell r="I27">
            <v>360500</v>
          </cell>
          <cell r="J27">
            <v>0</v>
          </cell>
          <cell r="K27">
            <v>0</v>
          </cell>
        </row>
        <row r="28">
          <cell r="B28" t="str">
            <v>1.2.6</v>
          </cell>
          <cell r="C28" t="str">
            <v>1.2.9</v>
          </cell>
          <cell r="D28" t="str">
            <v>Inicio de la política de movilidad de estudiantes (presupuesto a 2015)</v>
          </cell>
          <cell r="E28">
            <v>40756</v>
          </cell>
          <cell r="F28">
            <v>40756</v>
          </cell>
          <cell r="G28" t="str">
            <v>Director de Departamento</v>
          </cell>
          <cell r="H28" t="str">
            <v>Coordinador Administrativo</v>
          </cell>
          <cell r="I28">
            <v>810000000</v>
          </cell>
          <cell r="J28">
            <v>0</v>
          </cell>
          <cell r="K28">
            <v>0</v>
          </cell>
        </row>
        <row r="29">
          <cell r="B29" t="str">
            <v>1.2.7</v>
          </cell>
          <cell r="C29" t="str">
            <v>1.2.10</v>
          </cell>
          <cell r="D29" t="str">
            <v>Suscripción de convenios para realización de pasantías de estudiantes del Departamento con 6 Universidades de EEUU, 2 canadienses, 4 francesas, 4 alemanas, 2 italianas, 2 Suizas, 2 austriacas, 1 belga, 1 danesa, 4 del Reino Unido, 4 australianas, 1 de Singapur y 2 de Japón</v>
          </cell>
          <cell r="E29">
            <v>40544</v>
          </cell>
          <cell r="F29">
            <v>41244</v>
          </cell>
          <cell r="G29" t="str">
            <v>Comité de 3 profesores</v>
          </cell>
          <cell r="H29" t="str">
            <v>Director de Departamento</v>
          </cell>
          <cell r="I29">
            <v>192000000</v>
          </cell>
          <cell r="J29">
            <v>0</v>
          </cell>
          <cell r="K29">
            <v>0</v>
          </cell>
        </row>
        <row r="30">
          <cell r="B30" t="str">
            <v>1.2.8</v>
          </cell>
          <cell r="C30" t="str">
            <v>1.2.11</v>
          </cell>
          <cell r="D30" t="str">
            <v>Creación del programa de Bioingeniería</v>
          </cell>
          <cell r="E30">
            <v>40878</v>
          </cell>
          <cell r="F30">
            <v>40878</v>
          </cell>
          <cell r="G30" t="str">
            <v>Juan Manuel Corodovez</v>
          </cell>
          <cell r="H30" t="str">
            <v>-</v>
          </cell>
          <cell r="I30">
            <v>53854000</v>
          </cell>
          <cell r="J30">
            <v>0</v>
          </cell>
          <cell r="K30">
            <v>0</v>
          </cell>
        </row>
        <row r="31">
          <cell r="B31" t="str">
            <v>1.2.2</v>
          </cell>
          <cell r="C31" t="str">
            <v>1.2.12</v>
          </cell>
          <cell r="D31" t="str">
            <v>Evaluación de las innovaciones introducidas a los programas académicos del Departamento</v>
          </cell>
          <cell r="E31">
            <v>41244</v>
          </cell>
          <cell r="F31">
            <v>41244</v>
          </cell>
          <cell r="G31" t="str">
            <v>Director Departamento</v>
          </cell>
          <cell r="H31" t="str">
            <v>-</v>
          </cell>
          <cell r="I31">
            <v>2918333.3333333335</v>
          </cell>
          <cell r="J31">
            <v>0</v>
          </cell>
          <cell r="K31">
            <v>0</v>
          </cell>
        </row>
        <row r="32">
          <cell r="B32" t="str">
            <v>1.3</v>
          </cell>
          <cell r="C32">
            <v>1.3</v>
          </cell>
          <cell r="D32" t="str">
            <v xml:space="preserve"> Desarrollar nuevos programas de maestría</v>
          </cell>
          <cell r="E32">
            <v>0</v>
          </cell>
          <cell r="F32">
            <v>0</v>
          </cell>
          <cell r="G32" t="str">
            <v>Director del Departamento</v>
          </cell>
          <cell r="H32">
            <v>0</v>
          </cell>
          <cell r="I32">
            <v>151181800</v>
          </cell>
          <cell r="J32">
            <v>0</v>
          </cell>
          <cell r="K32">
            <v>0</v>
          </cell>
        </row>
        <row r="33">
          <cell r="B33" t="str">
            <v>1.3.1</v>
          </cell>
          <cell r="C33" t="str">
            <v>1.3.1</v>
          </cell>
          <cell r="D33" t="str">
            <v>Discusión y definición sobre el nuevo programa interdepartamental: su importancia (estudio de mercadeo), su estructuración curricular, su publico objetivo, su relación con los otros porgramas del Departamento y de la Facultad, el proceso y los criterios de admisión, los recursos disponibles y requeridos, su estructuración administrativa, etc.</v>
          </cell>
          <cell r="E33">
            <v>40544</v>
          </cell>
          <cell r="F33">
            <v>41244</v>
          </cell>
          <cell r="G33" t="str">
            <v>Fernando Ramirez</v>
          </cell>
          <cell r="H33" t="str">
            <v>Arcesio Lizcano</v>
          </cell>
          <cell r="I33">
            <v>148854000</v>
          </cell>
          <cell r="J33">
            <v>0</v>
          </cell>
          <cell r="K33">
            <v>0</v>
          </cell>
        </row>
        <row r="34">
          <cell r="B34" t="str">
            <v>1.3.2</v>
          </cell>
          <cell r="C34" t="str">
            <v>1.3.2</v>
          </cell>
          <cell r="D34" t="str">
            <v>Discusión y definición sobre las maestrías de profundización: su importancia, su estructuración, su publico objetivo, su relación con las especializaciones del Departamento, el proceso y los criterios de admisión, los recursos disponibles y requeridos, etc</v>
          </cell>
          <cell r="E34">
            <v>40544</v>
          </cell>
          <cell r="F34">
            <v>40787</v>
          </cell>
          <cell r="G34" t="str">
            <v>Director de Departamento</v>
          </cell>
          <cell r="H34" t="str">
            <v xml:space="preserve"> Coordinadores de áreas</v>
          </cell>
          <cell r="I34">
            <v>865200</v>
          </cell>
          <cell r="J34">
            <v>0</v>
          </cell>
          <cell r="K34">
            <v>0</v>
          </cell>
        </row>
        <row r="35">
          <cell r="B35" t="str">
            <v>1.3.3</v>
          </cell>
          <cell r="C35" t="str">
            <v>1.3.3</v>
          </cell>
          <cell r="D35" t="str">
            <v>Definición de los contenidos de las maestrías de profundización en las áreas de Estructuras, Transportes, Construcción e Infraestructura Vial</v>
          </cell>
          <cell r="E35">
            <v>40575</v>
          </cell>
          <cell r="F35">
            <v>40575</v>
          </cell>
          <cell r="G35" t="str">
            <v>Las áreas del Departamento</v>
          </cell>
          <cell r="H35" t="str">
            <v>-</v>
          </cell>
          <cell r="I35">
            <v>185400</v>
          </cell>
          <cell r="J35">
            <v>0</v>
          </cell>
          <cell r="K35">
            <v>0</v>
          </cell>
        </row>
        <row r="36">
          <cell r="B36" t="str">
            <v>1.3.3</v>
          </cell>
          <cell r="C36" t="str">
            <v>1.3.4</v>
          </cell>
          <cell r="D36" t="str">
            <v>Aprobación en reunión de Departamento de las maestrías de profundización en las áreas de Estructuras, Transportes, Construcción e Infraestructura Vial</v>
          </cell>
          <cell r="E36">
            <v>40575</v>
          </cell>
          <cell r="F36">
            <v>40575</v>
          </cell>
          <cell r="G36" t="str">
            <v>Director de Departamento</v>
          </cell>
          <cell r="H36" t="str">
            <v>-</v>
          </cell>
          <cell r="I36">
            <v>360500</v>
          </cell>
          <cell r="J36">
            <v>0</v>
          </cell>
          <cell r="K36">
            <v>0</v>
          </cell>
        </row>
        <row r="37">
          <cell r="B37" t="str">
            <v>1.3.3</v>
          </cell>
          <cell r="C37" t="str">
            <v>1.3.5</v>
          </cell>
          <cell r="D37" t="str">
            <v>Definición de las necesidades de profesores de estas áreas; definición de perfiles; costos</v>
          </cell>
          <cell r="E37">
            <v>40603</v>
          </cell>
          <cell r="F37">
            <v>40603</v>
          </cell>
          <cell r="G37" t="str">
            <v>Las áreas del Departamento</v>
          </cell>
          <cell r="H37" t="str">
            <v>-</v>
          </cell>
          <cell r="I37">
            <v>185400</v>
          </cell>
          <cell r="J37">
            <v>0</v>
          </cell>
          <cell r="K37">
            <v>0</v>
          </cell>
        </row>
        <row r="38">
          <cell r="B38" t="str">
            <v>3.2.1</v>
          </cell>
          <cell r="C38" t="str">
            <v>1.3.6</v>
          </cell>
          <cell r="D38" t="str">
            <v>Proceso de Vinculación de profesores</v>
          </cell>
          <cell r="E38">
            <v>40634</v>
          </cell>
          <cell r="F38">
            <v>40695</v>
          </cell>
          <cell r="G38" t="str">
            <v>Director de Departamento</v>
          </cell>
          <cell r="H38" t="str">
            <v>-</v>
          </cell>
          <cell r="I38" t="str">
            <v>-</v>
          </cell>
          <cell r="J38">
            <v>0</v>
          </cell>
          <cell r="K38">
            <v>0</v>
          </cell>
        </row>
        <row r="39">
          <cell r="B39" t="str">
            <v>1.2.9</v>
          </cell>
          <cell r="C39" t="str">
            <v>1.3.7</v>
          </cell>
          <cell r="D39" t="str">
            <v>Definición de los contenidos de las maestrías de profundización en las áreas de Geotecnia, Recursos Hídricos y Ambiental</v>
          </cell>
          <cell r="E39">
            <v>40756</v>
          </cell>
          <cell r="F39">
            <v>40756</v>
          </cell>
          <cell r="G39" t="str">
            <v>Las áreas del Departamento</v>
          </cell>
          <cell r="H39" t="str">
            <v>-</v>
          </cell>
          <cell r="I39">
            <v>185400</v>
          </cell>
          <cell r="J39">
            <v>0</v>
          </cell>
          <cell r="K39">
            <v>0</v>
          </cell>
        </row>
        <row r="40">
          <cell r="B40" t="str">
            <v>1.2.9</v>
          </cell>
          <cell r="C40" t="str">
            <v>1.3.8</v>
          </cell>
          <cell r="D40" t="str">
            <v>Aprobación en reunión de Departamento de las maestrías de profundización en las áreas de Geotecnia, Recursos Hídricos y Ambiental</v>
          </cell>
          <cell r="E40">
            <v>40787</v>
          </cell>
          <cell r="F40">
            <v>40787</v>
          </cell>
          <cell r="G40" t="str">
            <v>Director de Departamento</v>
          </cell>
          <cell r="H40" t="str">
            <v>-</v>
          </cell>
          <cell r="I40">
            <v>360500</v>
          </cell>
          <cell r="J40">
            <v>0</v>
          </cell>
          <cell r="K40">
            <v>0</v>
          </cell>
        </row>
        <row r="41">
          <cell r="B41" t="str">
            <v>3.2.2</v>
          </cell>
          <cell r="C41" t="str">
            <v>1.3.9</v>
          </cell>
          <cell r="D41" t="str">
            <v>Definición de las necesidades de profesores de estas áreas; definición de perfiles; costos</v>
          </cell>
          <cell r="E41">
            <v>40817</v>
          </cell>
          <cell r="F41">
            <v>40817</v>
          </cell>
          <cell r="G41" t="str">
            <v>Las áreas del Departamento</v>
          </cell>
          <cell r="H41" t="str">
            <v>-</v>
          </cell>
          <cell r="I41">
            <v>185400</v>
          </cell>
          <cell r="J41">
            <v>0</v>
          </cell>
          <cell r="K41">
            <v>0</v>
          </cell>
        </row>
        <row r="42">
          <cell r="B42" t="str">
            <v>2.2.2</v>
          </cell>
          <cell r="C42" t="str">
            <v>1.3.10</v>
          </cell>
          <cell r="D42" t="str">
            <v>Proceso de Vinculación de profesores</v>
          </cell>
          <cell r="E42">
            <v>40848</v>
          </cell>
          <cell r="F42">
            <v>40848</v>
          </cell>
          <cell r="G42" t="str">
            <v>Director de Departamento</v>
          </cell>
          <cell r="H42" t="str">
            <v>-</v>
          </cell>
          <cell r="I42" t="str">
            <v>-</v>
          </cell>
          <cell r="J42">
            <v>0</v>
          </cell>
          <cell r="K42">
            <v>0</v>
          </cell>
        </row>
        <row r="43">
          <cell r="B43" t="str">
            <v>1.4</v>
          </cell>
          <cell r="C43">
            <v>1.4</v>
          </cell>
          <cell r="D43" t="str">
            <v>Mantener un sistema de calidad.</v>
          </cell>
          <cell r="E43">
            <v>0</v>
          </cell>
          <cell r="F43">
            <v>0</v>
          </cell>
          <cell r="G43">
            <v>0</v>
          </cell>
          <cell r="H43">
            <v>0</v>
          </cell>
          <cell r="I43">
            <v>1009534565</v>
          </cell>
          <cell r="J43">
            <v>0</v>
          </cell>
          <cell r="K43">
            <v>0</v>
          </cell>
        </row>
        <row r="44">
          <cell r="B44" t="str">
            <v>Eliminada</v>
          </cell>
          <cell r="C44" t="str">
            <v>1.4.1</v>
          </cell>
          <cell r="D44" t="str">
            <v>Concluir la implementación del sistema de calidad del proceso de formación.</v>
          </cell>
          <cell r="E44">
            <v>0</v>
          </cell>
          <cell r="F44">
            <v>0</v>
          </cell>
          <cell r="G44">
            <v>0</v>
          </cell>
          <cell r="H44">
            <v>0</v>
          </cell>
          <cell r="I44">
            <v>0</v>
          </cell>
          <cell r="J44">
            <v>0</v>
          </cell>
          <cell r="K44">
            <v>0</v>
          </cell>
        </row>
        <row r="45">
          <cell r="B45" t="str">
            <v>1.4.1</v>
          </cell>
          <cell r="C45" t="str">
            <v>1.4.1.1</v>
          </cell>
          <cell r="D45" t="str">
            <v>Documento que describe el sistema de calidad de los programas de pregrado (procedimientos y actividades académicos periódicos para el pregrado). Revisión anual.2</v>
          </cell>
          <cell r="E45">
            <v>40603</v>
          </cell>
          <cell r="F45">
            <v>42064</v>
          </cell>
          <cell r="G45" t="str">
            <v>Profesor responsable del sistema de Calidad academica.</v>
          </cell>
          <cell r="H45" t="str">
            <v>Comité Académico</v>
          </cell>
          <cell r="I45">
            <v>2283318.7182740001</v>
          </cell>
          <cell r="J45">
            <v>0</v>
          </cell>
          <cell r="K45">
            <v>0</v>
          </cell>
        </row>
        <row r="46">
          <cell r="B46" t="str">
            <v>1.4.2</v>
          </cell>
          <cell r="C46" t="str">
            <v>1.4.1.2</v>
          </cell>
          <cell r="D46" t="str">
            <v>Documento que describe el sistema de calidad de los programas de posgrado (procedimientos y actividades académicos periódicos para el pregrado). Revisión anual.</v>
          </cell>
          <cell r="E46">
            <v>41000</v>
          </cell>
          <cell r="F46">
            <v>42095</v>
          </cell>
          <cell r="G46" t="str">
            <v>Profesor responsable del sistema de Calidad academica</v>
          </cell>
          <cell r="H46" t="str">
            <v>Comité Académico</v>
          </cell>
          <cell r="I46">
            <v>2009368.7182740001</v>
          </cell>
          <cell r="J46">
            <v>0</v>
          </cell>
          <cell r="K46">
            <v>0</v>
          </cell>
        </row>
        <row r="47">
          <cell r="B47" t="str">
            <v>1.4.3</v>
          </cell>
          <cell r="C47" t="str">
            <v>1.4.1.3</v>
          </cell>
          <cell r="D47" t="str">
            <v>Documento de acreditación ABET
Documento de acreditación SACS</v>
          </cell>
          <cell r="E47">
            <v>40664</v>
          </cell>
          <cell r="F47">
            <v>41760</v>
          </cell>
          <cell r="G47" t="str">
            <v>Profesor responsable del sistema de Calidad academica</v>
          </cell>
          <cell r="H47" t="str">
            <v>Comité Académico</v>
          </cell>
          <cell r="I47">
            <v>2839474.6823999998</v>
          </cell>
          <cell r="J47">
            <v>0</v>
          </cell>
          <cell r="K47">
            <v>0</v>
          </cell>
        </row>
        <row r="48">
          <cell r="B48" t="str">
            <v>Eliminada</v>
          </cell>
          <cell r="C48" t="str">
            <v>1.4.2</v>
          </cell>
          <cell r="D48" t="str">
            <v>Institucionalizar el sistema de calidad: Políticas, recursos, entrenamiento, coherencia de procesos y políticas.</v>
          </cell>
          <cell r="E48">
            <v>0</v>
          </cell>
          <cell r="F48">
            <v>0</v>
          </cell>
          <cell r="G48">
            <v>0</v>
          </cell>
          <cell r="H48">
            <v>0</v>
          </cell>
          <cell r="I48">
            <v>0</v>
          </cell>
          <cell r="J48">
            <v>0</v>
          </cell>
          <cell r="K48">
            <v>0</v>
          </cell>
        </row>
        <row r="49">
          <cell r="B49" t="str">
            <v>1.4.4</v>
          </cell>
          <cell r="C49" t="str">
            <v>1.4.2.1</v>
          </cell>
          <cell r="D49" t="str">
            <v>Herramienta terminada</v>
          </cell>
          <cell r="E49">
            <v>0</v>
          </cell>
          <cell r="F49">
            <v>40574</v>
          </cell>
          <cell r="G49" t="str">
            <v xml:space="preserve">Profesor responsable del sistema de Calidad academica
</v>
          </cell>
          <cell r="H49" t="str">
            <v>Director Departamento</v>
          </cell>
          <cell r="I49">
            <v>6110000</v>
          </cell>
          <cell r="J49">
            <v>0</v>
          </cell>
          <cell r="K49">
            <v>0</v>
          </cell>
        </row>
        <row r="50">
          <cell r="B50" t="str">
            <v>1.4.5</v>
          </cell>
          <cell r="C50" t="str">
            <v>1.4.2.2</v>
          </cell>
          <cell r="D50" t="str">
            <v>---</v>
          </cell>
          <cell r="E50" t="str">
            <v>---</v>
          </cell>
          <cell r="F50" t="str">
            <v>---</v>
          </cell>
          <cell r="G50" t="str">
            <v>Facultad</v>
          </cell>
          <cell r="H50" t="str">
            <v>-</v>
          </cell>
          <cell r="I50" t="str">
            <v>---</v>
          </cell>
          <cell r="J50">
            <v>0</v>
          </cell>
          <cell r="K50">
            <v>0</v>
          </cell>
        </row>
        <row r="51">
          <cell r="B51" t="str">
            <v>1.4.6</v>
          </cell>
          <cell r="C51" t="str">
            <v>1.4.2.3</v>
          </cell>
          <cell r="D51" t="str">
            <v>Plan de capacitación (contenido, actividades) terminado y listo para ejecutar.</v>
          </cell>
          <cell r="E51">
            <v>0</v>
          </cell>
          <cell r="F51">
            <v>40695</v>
          </cell>
          <cell r="G51" t="str">
            <v xml:space="preserve">Profesor responsable del sistema de Calidad academica
</v>
          </cell>
          <cell r="H51" t="str">
            <v>Vicedecano de Pregrado</v>
          </cell>
          <cell r="I51">
            <v>1000000</v>
          </cell>
          <cell r="J51">
            <v>0</v>
          </cell>
          <cell r="K51">
            <v>0</v>
          </cell>
        </row>
        <row r="52">
          <cell r="B52" t="str">
            <v>1.4.6</v>
          </cell>
          <cell r="C52" t="str">
            <v>1.4.2.4</v>
          </cell>
          <cell r="D52" t="str">
            <v>Ejecución del pan</v>
          </cell>
          <cell r="E52">
            <v>40756</v>
          </cell>
          <cell r="F52">
            <v>40878</v>
          </cell>
          <cell r="G52" t="str">
            <v xml:space="preserve">Profesor responsable del sistema de Calidad academica
</v>
          </cell>
          <cell r="H52" t="str">
            <v>Vicedecano de Pregrado</v>
          </cell>
          <cell r="I52">
            <v>1500000</v>
          </cell>
          <cell r="J52">
            <v>0</v>
          </cell>
          <cell r="K52">
            <v>0</v>
          </cell>
        </row>
        <row r="53">
          <cell r="B53" t="str">
            <v>6.4</v>
          </cell>
          <cell r="C53" t="str">
            <v>1.4.3</v>
          </cell>
          <cell r="D53" t="str">
            <v>Hacer seguimiento al desempeño de los egresados en cuanto a su impacto y aporte al desarrollo del país.</v>
          </cell>
          <cell r="E53">
            <v>0</v>
          </cell>
          <cell r="F53">
            <v>0</v>
          </cell>
          <cell r="G53">
            <v>0</v>
          </cell>
          <cell r="H53">
            <v>0</v>
          </cell>
          <cell r="I53">
            <v>106250000</v>
          </cell>
          <cell r="J53">
            <v>0</v>
          </cell>
          <cell r="K53">
            <v>0</v>
          </cell>
        </row>
        <row r="54">
          <cell r="B54" t="str">
            <v>6.4.1</v>
          </cell>
          <cell r="C54" t="str">
            <v>1.4.3.1</v>
          </cell>
          <cell r="D54" t="str">
            <v>Actualización de la base de datos de exalumnos y empleadores</v>
          </cell>
          <cell r="E54">
            <v>40725</v>
          </cell>
          <cell r="F54">
            <v>42186</v>
          </cell>
          <cell r="G54" t="str">
            <v>Coordinador</v>
          </cell>
          <cell r="H54" t="str">
            <v>Director Departamento</v>
          </cell>
          <cell r="I54">
            <v>6250000</v>
          </cell>
          <cell r="J54">
            <v>0</v>
          </cell>
          <cell r="K54">
            <v>0</v>
          </cell>
        </row>
        <row r="55">
          <cell r="B55" t="str">
            <v>6.4.2</v>
          </cell>
          <cell r="C55" t="str">
            <v>1.4.3.2</v>
          </cell>
          <cell r="D55" t="str">
            <v>Encuestas a Exalumnos y a Empresarios</v>
          </cell>
          <cell r="E55">
            <v>40725</v>
          </cell>
          <cell r="F55">
            <v>42309</v>
          </cell>
          <cell r="G55" t="str">
            <v>Coordinador</v>
          </cell>
          <cell r="H55" t="str">
            <v>Director Departamento</v>
          </cell>
          <cell r="I55">
            <v>100000000</v>
          </cell>
          <cell r="J55">
            <v>0</v>
          </cell>
          <cell r="K55">
            <v>0</v>
          </cell>
        </row>
        <row r="56">
          <cell r="B56" t="str">
            <v>Eliminada</v>
          </cell>
          <cell r="C56" t="str">
            <v>1.4.3.3</v>
          </cell>
          <cell r="D56" t="str">
            <v>Resultados, análisis y conclusiones anuales</v>
          </cell>
          <cell r="E56">
            <v>40878</v>
          </cell>
          <cell r="F56">
            <v>42339</v>
          </cell>
          <cell r="G56" t="str">
            <v xml:space="preserve">Firma especializada
</v>
          </cell>
          <cell r="H56" t="str">
            <v>Director Departamento</v>
          </cell>
          <cell r="I56">
            <v>0</v>
          </cell>
          <cell r="J56">
            <v>0</v>
          </cell>
          <cell r="K56">
            <v>0</v>
          </cell>
        </row>
        <row r="57">
          <cell r="B57" t="str">
            <v>Eliminada</v>
          </cell>
          <cell r="C57" t="str">
            <v>1.4.4</v>
          </cell>
          <cell r="D57" t="str">
            <v>Identificar la influencia que tienen nuestros programas en programas hermanos de otras unversidades</v>
          </cell>
          <cell r="E57">
            <v>0</v>
          </cell>
          <cell r="F57">
            <v>0</v>
          </cell>
          <cell r="G57">
            <v>0</v>
          </cell>
          <cell r="H57">
            <v>0</v>
          </cell>
          <cell r="I57">
            <v>25000000</v>
          </cell>
          <cell r="J57">
            <v>0</v>
          </cell>
          <cell r="K57">
            <v>0</v>
          </cell>
        </row>
        <row r="58">
          <cell r="B58" t="str">
            <v>1.4.7</v>
          </cell>
          <cell r="C58" t="str">
            <v>1.4.4.1</v>
          </cell>
          <cell r="D58" t="str">
            <v>Contratación de Firma</v>
          </cell>
          <cell r="E58">
            <v>40603</v>
          </cell>
          <cell r="F58">
            <v>40695</v>
          </cell>
          <cell r="G58" t="str">
            <v>Director de Departamento</v>
          </cell>
          <cell r="H58">
            <v>0</v>
          </cell>
          <cell r="I58">
            <v>25000000</v>
          </cell>
          <cell r="J58">
            <v>0</v>
          </cell>
          <cell r="K58">
            <v>0</v>
          </cell>
        </row>
        <row r="59">
          <cell r="B59" t="str">
            <v>1.4.7</v>
          </cell>
          <cell r="C59" t="str">
            <v>1.4.4.2</v>
          </cell>
          <cell r="D59" t="str">
            <v>Resultados, análisis, conclusiones y acciones a emprender</v>
          </cell>
          <cell r="E59">
            <v>40878</v>
          </cell>
          <cell r="F59">
            <v>40878</v>
          </cell>
          <cell r="G59" t="str">
            <v>Firma especializada</v>
          </cell>
          <cell r="H59" t="str">
            <v>Director Departamento</v>
          </cell>
          <cell r="I59">
            <v>0</v>
          </cell>
          <cell r="J59">
            <v>0</v>
          </cell>
          <cell r="K59">
            <v>0</v>
          </cell>
        </row>
        <row r="60">
          <cell r="B60" t="str">
            <v>Eliminada}</v>
          </cell>
          <cell r="C60" t="str">
            <v>1.4.5</v>
          </cell>
          <cell r="D60" t="str">
            <v>·  Atraer y retener estudiantes de excelentes calidades académicas                                                                                      ·  Mejorar la relación Admitidos/inscritos</v>
          </cell>
          <cell r="E60">
            <v>0</v>
          </cell>
          <cell r="F60">
            <v>0</v>
          </cell>
          <cell r="G60">
            <v>0</v>
          </cell>
          <cell r="H60">
            <v>0</v>
          </cell>
          <cell r="I60">
            <v>432880815.27777046</v>
          </cell>
          <cell r="J60">
            <v>0</v>
          </cell>
          <cell r="K60">
            <v>0</v>
          </cell>
        </row>
        <row r="61">
          <cell r="B61" t="str">
            <v>3.1.1</v>
          </cell>
          <cell r="C61" t="str">
            <v>1.4.5.1</v>
          </cell>
          <cell r="D61" t="str">
            <v>Realización de scouting de promoción de nuestros programas académicos con el fin de incrementar el número de inscritos a nuestros programas, que garantice el mejoramiento en la calidad de los estudiantes</v>
          </cell>
          <cell r="E61">
            <v>40603</v>
          </cell>
          <cell r="F61">
            <v>41944</v>
          </cell>
          <cell r="G61" t="str">
            <v>Director Departamento</v>
          </cell>
          <cell r="H61" t="str">
            <v>Coordiandor</v>
          </cell>
          <cell r="I61">
            <v>240000000</v>
          </cell>
          <cell r="J61">
            <v>0</v>
          </cell>
          <cell r="K61">
            <v>0</v>
          </cell>
        </row>
        <row r="62">
          <cell r="B62" t="str">
            <v>3.1.2</v>
          </cell>
          <cell r="C62" t="str">
            <v>1.4.5.2</v>
          </cell>
          <cell r="D62" t="str">
            <v>Propuesta (que incluya nuevas estrategias  y seguimiento) de los criterios de admisión de estudiantes a los diferentes programas del Departamento, cuyo objetivo es mejorar la calidad académica de los estudiantes</v>
          </cell>
          <cell r="E62">
            <v>40634</v>
          </cell>
          <cell r="F62">
            <v>40634</v>
          </cell>
          <cell r="G62" t="str">
            <v>Director Departamento</v>
          </cell>
          <cell r="H62" t="str">
            <v xml:space="preserve"> Coordinador</v>
          </cell>
          <cell r="I62">
            <v>3544375</v>
          </cell>
          <cell r="J62">
            <v>0</v>
          </cell>
          <cell r="K62">
            <v>0</v>
          </cell>
        </row>
        <row r="63">
          <cell r="B63" t="str">
            <v>3.1.3</v>
          </cell>
          <cell r="C63" t="str">
            <v>1.4.5.3</v>
          </cell>
          <cell r="D63" t="str">
            <v>Estrategías --elaboradas con participación de la Facultad-- para incidir a nivel de Universidad en el proceso de selección de estudiantes de los programas de pregrado del Departamento</v>
          </cell>
          <cell r="E63">
            <v>40787</v>
          </cell>
          <cell r="F63">
            <v>40787</v>
          </cell>
          <cell r="G63" t="str">
            <v>Comité de dos profesores</v>
          </cell>
          <cell r="H63" t="str">
            <v>-</v>
          </cell>
          <cell r="I63">
            <v>2610116.6666666665</v>
          </cell>
          <cell r="J63">
            <v>0</v>
          </cell>
          <cell r="K63">
            <v>0</v>
          </cell>
        </row>
        <row r="64">
          <cell r="B64" t="str">
            <v>1.2.10</v>
          </cell>
          <cell r="C64" t="str">
            <v>1.4.5.4</v>
          </cell>
          <cell r="D64" t="str">
            <v>Elaboración de propuesta para las actividades de acompañamiento a estudiantes, buscando nuevos espacios que contribuyan a suplir falencias académicas y de actitud de los estudiantes del Departamento</v>
          </cell>
          <cell r="E64">
            <v>40603</v>
          </cell>
          <cell r="F64">
            <v>40603</v>
          </cell>
          <cell r="G64" t="str">
            <v>Comité de tres profesores</v>
          </cell>
          <cell r="H64" t="str">
            <v>-</v>
          </cell>
          <cell r="I64">
            <v>556200</v>
          </cell>
          <cell r="J64">
            <v>0</v>
          </cell>
          <cell r="K64">
            <v>0</v>
          </cell>
        </row>
        <row r="65">
          <cell r="B65" t="str">
            <v>1.2.10</v>
          </cell>
          <cell r="C65" t="str">
            <v>1.4.5.5</v>
          </cell>
          <cell r="D65" t="str">
            <v>Propuesta de acompañamiento aprobada en Reunión de Departamento</v>
          </cell>
          <cell r="E65">
            <v>40634</v>
          </cell>
          <cell r="F65">
            <v>40634</v>
          </cell>
          <cell r="G65" t="str">
            <v>Director de Departamento</v>
          </cell>
          <cell r="H65" t="str">
            <v>-</v>
          </cell>
          <cell r="I65">
            <v>360500</v>
          </cell>
          <cell r="J65">
            <v>0</v>
          </cell>
          <cell r="K65">
            <v>0</v>
          </cell>
        </row>
        <row r="66">
          <cell r="B66" t="str">
            <v>1.2.10</v>
          </cell>
          <cell r="C66" t="str">
            <v>1.4.5.6</v>
          </cell>
          <cell r="D66" t="str">
            <v>Nuevo programa de acompañamiento</v>
          </cell>
          <cell r="E66">
            <v>40756</v>
          </cell>
          <cell r="F66">
            <v>42217</v>
          </cell>
          <cell r="G66" t="str">
            <v xml:space="preserve">Director Departamento </v>
          </cell>
          <cell r="H66" t="str">
            <v>Coordinador</v>
          </cell>
          <cell r="I66">
            <v>50005096.350720003</v>
          </cell>
          <cell r="J66">
            <v>0</v>
          </cell>
          <cell r="K66">
            <v>0</v>
          </cell>
        </row>
        <row r="67">
          <cell r="B67" t="str">
            <v>1.2.10</v>
          </cell>
          <cell r="C67" t="str">
            <v>1.4.5.7</v>
          </cell>
          <cell r="D67" t="str">
            <v>Revision, ajustes y modificaciones a las políticas de acompañamiento</v>
          </cell>
          <cell r="E67">
            <v>41153</v>
          </cell>
          <cell r="F67">
            <v>41883</v>
          </cell>
          <cell r="G67" t="str">
            <v>Director de Departamento</v>
          </cell>
          <cell r="H67" t="str">
            <v>Comité de dos Profesores</v>
          </cell>
          <cell r="I67">
            <v>12661228.419486001</v>
          </cell>
          <cell r="J67">
            <v>0</v>
          </cell>
          <cell r="K67">
            <v>0</v>
          </cell>
        </row>
        <row r="68">
          <cell r="B68" t="str">
            <v>1.2.10</v>
          </cell>
          <cell r="C68" t="str">
            <v>1.4.5.8</v>
          </cell>
          <cell r="D68" t="str">
            <v>Política y reglamento de becas y asistencias graduadas para incrementar el número de beneficiarios con esta financiación en el Departamento</v>
          </cell>
          <cell r="E68">
            <v>40634</v>
          </cell>
          <cell r="F68">
            <v>40634</v>
          </cell>
          <cell r="G68" t="str">
            <v>Comité de tres Profesores</v>
          </cell>
          <cell r="H68" t="str">
            <v>-</v>
          </cell>
          <cell r="I68">
            <v>2205409</v>
          </cell>
          <cell r="J68">
            <v>0</v>
          </cell>
          <cell r="K68">
            <v>0</v>
          </cell>
        </row>
        <row r="69">
          <cell r="B69" t="str">
            <v>3.1.4</v>
          </cell>
          <cell r="C69" t="str">
            <v>1.4.5.9</v>
          </cell>
          <cell r="D69" t="str">
            <v>Discusión y Aprobación de la política y la reglamentación de Becas y Asistencias Graduadas del Departamento en reunión de Departamento</v>
          </cell>
          <cell r="E69">
            <v>40664</v>
          </cell>
          <cell r="F69">
            <v>40664</v>
          </cell>
          <cell r="G69" t="str">
            <v>Director de Departamento</v>
          </cell>
          <cell r="H69" t="str">
            <v>-</v>
          </cell>
          <cell r="I69">
            <v>360500</v>
          </cell>
          <cell r="J69">
            <v>0</v>
          </cell>
          <cell r="K69">
            <v>0</v>
          </cell>
        </row>
        <row r="70">
          <cell r="B70" t="str">
            <v>3.1.5</v>
          </cell>
          <cell r="C70" t="str">
            <v>1.4.5.10</v>
          </cell>
          <cell r="D70" t="str">
            <v>Otorgamiento de Becas y asistencias graduadas del Departamento</v>
          </cell>
          <cell r="E70">
            <v>40756</v>
          </cell>
          <cell r="F70">
            <v>42217</v>
          </cell>
          <cell r="G70" t="str">
            <v>Coordinador</v>
          </cell>
          <cell r="H70" t="str">
            <v>-</v>
          </cell>
          <cell r="I70">
            <v>111224288.74602351</v>
          </cell>
          <cell r="J70">
            <v>0</v>
          </cell>
          <cell r="K70">
            <v>0</v>
          </cell>
        </row>
        <row r="71">
          <cell r="B71" t="str">
            <v>3.1.6</v>
          </cell>
          <cell r="C71" t="str">
            <v>1.4.5.11</v>
          </cell>
          <cell r="D71" t="str">
            <v>Evaluación y modificaciones a la política y la reglamenta de becas y aistencias graduadas del Departamento</v>
          </cell>
          <cell r="E71">
            <v>41091</v>
          </cell>
          <cell r="F71">
            <v>42186</v>
          </cell>
          <cell r="G71" t="str">
            <v xml:space="preserve">Comité de dos Profesores
</v>
          </cell>
          <cell r="H71" t="str">
            <v>Director Departamento</v>
          </cell>
          <cell r="I71">
            <v>9353101.0948743504</v>
          </cell>
          <cell r="J71">
            <v>0</v>
          </cell>
          <cell r="K71">
            <v>0</v>
          </cell>
        </row>
        <row r="72">
          <cell r="B72" t="str">
            <v>Eliminada</v>
          </cell>
          <cell r="C72" t="str">
            <v>1.4.6</v>
          </cell>
          <cell r="D72" t="str">
            <v> Mejorar las prácticas docentes de los profesores del Departamento</v>
          </cell>
          <cell r="E72">
            <v>0</v>
          </cell>
          <cell r="F72">
            <v>0</v>
          </cell>
          <cell r="G72">
            <v>0</v>
          </cell>
          <cell r="H72">
            <v>0</v>
          </cell>
          <cell r="I72">
            <v>378061588.01999998</v>
          </cell>
          <cell r="J72">
            <v>0</v>
          </cell>
          <cell r="K72">
            <v>0</v>
          </cell>
        </row>
        <row r="73">
          <cell r="B73" t="str">
            <v>2.1.1</v>
          </cell>
          <cell r="C73" t="str">
            <v>1.4.6.1</v>
          </cell>
          <cell r="D73" t="str">
            <v>Definición y Divulgación del Programa de Acompañamiento a Profesores</v>
          </cell>
          <cell r="E73">
            <v>40575</v>
          </cell>
          <cell r="F73">
            <v>40664</v>
          </cell>
          <cell r="G73" t="str">
            <v xml:space="preserve">Director de Departamento
</v>
          </cell>
          <cell r="H73" t="str">
            <v>CIFE</v>
          </cell>
          <cell r="I73">
            <v>45000000</v>
          </cell>
          <cell r="J73">
            <v>0</v>
          </cell>
          <cell r="K73">
            <v>0</v>
          </cell>
        </row>
        <row r="74">
          <cell r="B74" t="str">
            <v>2.1.1</v>
          </cell>
          <cell r="C74" t="str">
            <v>1.4.6.2</v>
          </cell>
          <cell r="D74" t="str">
            <v>Inicio del Programa de Acompañamiento a Instructores y Profesores</v>
          </cell>
          <cell r="E74">
            <v>40756</v>
          </cell>
          <cell r="F74">
            <v>40756</v>
          </cell>
          <cell r="G74" t="str">
            <v xml:space="preserve">CIFE
</v>
          </cell>
          <cell r="H74" t="str">
            <v>Coordinador</v>
          </cell>
          <cell r="I74">
            <v>0</v>
          </cell>
          <cell r="J74">
            <v>0</v>
          </cell>
          <cell r="K74">
            <v>0</v>
          </cell>
        </row>
        <row r="75">
          <cell r="B75" t="str">
            <v>2.1.2</v>
          </cell>
          <cell r="C75" t="str">
            <v>1.4.6.3</v>
          </cell>
          <cell r="D75" t="str">
            <v>Todos los Instructores y todos los profesores Asitentes del Departamento con contrato vigente en el 2011 participan en un Programa de acompañamiento del CIFE.</v>
          </cell>
          <cell r="E75">
            <v>40878</v>
          </cell>
          <cell r="F75">
            <v>40878</v>
          </cell>
          <cell r="G75" t="str">
            <v xml:space="preserve">CIFE
</v>
          </cell>
          <cell r="H75" t="str">
            <v>Coordinador</v>
          </cell>
          <cell r="I75">
            <v>0</v>
          </cell>
          <cell r="J75">
            <v>0</v>
          </cell>
          <cell r="K75">
            <v>0</v>
          </cell>
        </row>
        <row r="76">
          <cell r="B76" t="str">
            <v>2.1.2</v>
          </cell>
          <cell r="C76" t="str">
            <v>1.4.6.4</v>
          </cell>
          <cell r="D76" t="str">
            <v>Acompañamiento semestral para los Instructores o Profesores (Asistente o Asociado) contratados a partir de Enero 2012</v>
          </cell>
          <cell r="E76">
            <v>2012</v>
          </cell>
          <cell r="F76">
            <v>2015</v>
          </cell>
          <cell r="G76" t="str">
            <v xml:space="preserve">CIFE
</v>
          </cell>
          <cell r="H76" t="str">
            <v>Coordinador</v>
          </cell>
          <cell r="I76">
            <v>77564444.579999998</v>
          </cell>
          <cell r="J76">
            <v>0</v>
          </cell>
          <cell r="K76">
            <v>0</v>
          </cell>
        </row>
        <row r="77">
          <cell r="B77" t="str">
            <v>2.1.2</v>
          </cell>
          <cell r="C77" t="str">
            <v>1.4.6.5</v>
          </cell>
          <cell r="D77" t="str">
            <v>Propuesta y plan de evaluación</v>
          </cell>
          <cell r="E77">
            <v>40695</v>
          </cell>
          <cell r="F77">
            <v>40695</v>
          </cell>
          <cell r="G77" t="str">
            <v xml:space="preserve">CIFE
</v>
          </cell>
          <cell r="H77" t="str">
            <v>Coordinador</v>
          </cell>
          <cell r="I77">
            <v>6750000</v>
          </cell>
          <cell r="J77">
            <v>0</v>
          </cell>
          <cell r="K77">
            <v>0</v>
          </cell>
        </row>
        <row r="78">
          <cell r="B78" t="str">
            <v>2.1.2</v>
          </cell>
          <cell r="C78" t="str">
            <v>1.4.6.6</v>
          </cell>
          <cell r="D78" t="str">
            <v>Evaluación</v>
          </cell>
          <cell r="E78">
            <v>40756</v>
          </cell>
          <cell r="F78">
            <v>41091</v>
          </cell>
          <cell r="G78" t="str">
            <v xml:space="preserve">CIFE
</v>
          </cell>
          <cell r="H78" t="str">
            <v>Coordinador</v>
          </cell>
          <cell r="I78">
            <v>27405000.000000004</v>
          </cell>
          <cell r="J78">
            <v>0</v>
          </cell>
          <cell r="K78">
            <v>0</v>
          </cell>
        </row>
        <row r="79">
          <cell r="B79" t="str">
            <v>2.1.3</v>
          </cell>
          <cell r="C79" t="str">
            <v>1.4.6.7</v>
          </cell>
          <cell r="D79" t="str">
            <v>Inicio de programa de mejoramiento de la parte oral en Agosto 2012. Seguimiento anual</v>
          </cell>
          <cell r="E79">
            <v>41122</v>
          </cell>
          <cell r="F79">
            <v>42156</v>
          </cell>
          <cell r="G79" t="str">
            <v xml:space="preserve">CIFE
</v>
          </cell>
          <cell r="H79" t="str">
            <v>Coordinador</v>
          </cell>
          <cell r="I79">
            <v>41715000</v>
          </cell>
          <cell r="J79">
            <v>0</v>
          </cell>
          <cell r="K79">
            <v>0</v>
          </cell>
        </row>
        <row r="80">
          <cell r="B80" t="str">
            <v>2.1.4</v>
          </cell>
          <cell r="C80" t="str">
            <v>1.4.6.8</v>
          </cell>
          <cell r="D80" t="str">
            <v>Elaboración e inicio de plan de ejecución y de seguimiento para cada uno de los cursos del Departamento</v>
          </cell>
          <cell r="E80">
            <v>40756</v>
          </cell>
          <cell r="F80">
            <v>41944</v>
          </cell>
          <cell r="G80" t="str">
            <v xml:space="preserve">CIFE
</v>
          </cell>
          <cell r="H80" t="str">
            <v>Coordinadores de área y Director de Departamento</v>
          </cell>
          <cell r="I80">
            <v>179627143.44</v>
          </cell>
          <cell r="J80">
            <v>0</v>
          </cell>
          <cell r="K80">
            <v>0</v>
          </cell>
        </row>
        <row r="81">
          <cell r="B81" t="str">
            <v>2.1.4</v>
          </cell>
          <cell r="C81" t="str">
            <v>1.4.6.9</v>
          </cell>
          <cell r="D81" t="str">
            <v>Elaboración e inicio de plan de ejecución y de seguimiento para cada uno de los cursos del Departamento</v>
          </cell>
          <cell r="E81">
            <v>40756</v>
          </cell>
          <cell r="F81">
            <v>41821</v>
          </cell>
          <cell r="G81" t="str">
            <v xml:space="preserve">Coordinadores de área </v>
          </cell>
          <cell r="H81" t="str">
            <v>Director de Departamento</v>
          </cell>
          <cell r="I81">
            <v>0</v>
          </cell>
          <cell r="J81">
            <v>0</v>
          </cell>
          <cell r="K81">
            <v>0</v>
          </cell>
        </row>
        <row r="82">
          <cell r="B82" t="str">
            <v>5.5.</v>
          </cell>
          <cell r="C82" t="str">
            <v>1.4.7</v>
          </cell>
          <cell r="D82" t="str">
            <v>Contar con un plan de posicionamiento de nuestros egresados</v>
          </cell>
          <cell r="E82">
            <v>0</v>
          </cell>
          <cell r="F82">
            <v>0</v>
          </cell>
          <cell r="G82">
            <v>0</v>
          </cell>
          <cell r="H82">
            <v>0</v>
          </cell>
          <cell r="I82">
            <v>51600000</v>
          </cell>
          <cell r="J82">
            <v>0</v>
          </cell>
          <cell r="K82">
            <v>0</v>
          </cell>
        </row>
        <row r="83">
          <cell r="B83" t="str">
            <v>Eliminada</v>
          </cell>
          <cell r="C83" t="str">
            <v>1.4.7.1</v>
          </cell>
          <cell r="D83" t="str">
            <v>Contratación de firma externa</v>
          </cell>
          <cell r="E83">
            <v>40575</v>
          </cell>
          <cell r="F83">
            <v>40575</v>
          </cell>
          <cell r="G83" t="str">
            <v>Director de Departamento</v>
          </cell>
          <cell r="H83" t="str">
            <v>-</v>
          </cell>
          <cell r="I83">
            <v>25000000</v>
          </cell>
          <cell r="J83">
            <v>0</v>
          </cell>
          <cell r="K83">
            <v>0</v>
          </cell>
        </row>
        <row r="84">
          <cell r="B84" t="str">
            <v>6.5.1</v>
          </cell>
          <cell r="C84" t="str">
            <v>1.4.7.2</v>
          </cell>
          <cell r="D84" t="str">
            <v>Inicio del Plan; evaluación anual</v>
          </cell>
          <cell r="E84">
            <v>40756</v>
          </cell>
          <cell r="F84">
            <v>42248</v>
          </cell>
          <cell r="G84" t="str">
            <v>Director de Departamento</v>
          </cell>
          <cell r="H84" t="str">
            <v>-</v>
          </cell>
          <cell r="I84">
            <v>26600000</v>
          </cell>
          <cell r="J84">
            <v>0</v>
          </cell>
          <cell r="K84">
            <v>0</v>
          </cell>
        </row>
        <row r="85">
          <cell r="B85">
            <v>4</v>
          </cell>
          <cell r="C85">
            <v>2</v>
          </cell>
          <cell r="D85" t="str">
            <v>Fortalecer la Investigación</v>
          </cell>
          <cell r="E85">
            <v>0</v>
          </cell>
          <cell r="F85">
            <v>0</v>
          </cell>
          <cell r="G85">
            <v>0</v>
          </cell>
          <cell r="H85">
            <v>0</v>
          </cell>
          <cell r="I85">
            <v>10432064697</v>
          </cell>
          <cell r="J85">
            <v>0</v>
          </cell>
          <cell r="K85">
            <v>0</v>
          </cell>
        </row>
        <row r="86">
          <cell r="B86" t="str">
            <v>4.1</v>
          </cell>
          <cell r="C86">
            <v>2.1</v>
          </cell>
          <cell r="D86" t="str">
            <v xml:space="preserve"> Fortalecer las maestrías de investigación del Departamento.</v>
          </cell>
          <cell r="E86">
            <v>0</v>
          </cell>
          <cell r="F86">
            <v>0</v>
          </cell>
          <cell r="G86">
            <v>0</v>
          </cell>
          <cell r="H86">
            <v>0</v>
          </cell>
          <cell r="I86">
            <v>649031959.48000002</v>
          </cell>
          <cell r="J86">
            <v>0</v>
          </cell>
          <cell r="K86">
            <v>0</v>
          </cell>
        </row>
        <row r="87">
          <cell r="B87" t="str">
            <v>4.1.1</v>
          </cell>
          <cell r="C87" t="str">
            <v>2.1.1</v>
          </cell>
          <cell r="D87" t="str">
            <v xml:space="preserve">Plan Financiamiento estudiantes maestría extranjeros (terminado) </v>
          </cell>
          <cell r="E87">
            <v>40787</v>
          </cell>
          <cell r="F87">
            <v>40787</v>
          </cell>
          <cell r="G87" t="str">
            <v>Comité 3 profesores</v>
          </cell>
          <cell r="H87" t="str">
            <v>Director del Departamento</v>
          </cell>
          <cell r="I87">
            <v>731300</v>
          </cell>
          <cell r="J87">
            <v>0</v>
          </cell>
          <cell r="K87">
            <v>0</v>
          </cell>
        </row>
        <row r="88">
          <cell r="B88" t="str">
            <v>4.1.1</v>
          </cell>
          <cell r="C88" t="str">
            <v>2.1.2</v>
          </cell>
          <cell r="D88" t="str">
            <v>Ejecucíon del Plan</v>
          </cell>
          <cell r="E88">
            <v>40909</v>
          </cell>
          <cell r="F88">
            <v>42339</v>
          </cell>
          <cell r="G88" t="str">
            <v>Comité 3 profesores</v>
          </cell>
          <cell r="H88" t="str">
            <v>Director del Departamento</v>
          </cell>
          <cell r="I88">
            <v>643181559.48000002</v>
          </cell>
          <cell r="J88">
            <v>0</v>
          </cell>
          <cell r="K88">
            <v>0</v>
          </cell>
        </row>
        <row r="89">
          <cell r="B89" t="str">
            <v>4.1.1</v>
          </cell>
          <cell r="C89" t="str">
            <v>2.1.3</v>
          </cell>
          <cell r="D89" t="str">
            <v>Evaluación/Seguimiento/Ajuste del Plan</v>
          </cell>
          <cell r="E89">
            <v>41275</v>
          </cell>
          <cell r="F89">
            <v>42036</v>
          </cell>
          <cell r="G89" t="str">
            <v>Comité 3 profesores</v>
          </cell>
          <cell r="H89" t="str">
            <v>Director del Departamento</v>
          </cell>
          <cell r="I89">
            <v>2193900</v>
          </cell>
          <cell r="J89">
            <v>0</v>
          </cell>
          <cell r="K89">
            <v>0</v>
          </cell>
        </row>
        <row r="90">
          <cell r="B90" t="str">
            <v>4.1.2</v>
          </cell>
          <cell r="C90" t="str">
            <v>2.1.4</v>
          </cell>
          <cell r="D90" t="str">
            <v xml:space="preserve">Plan Financiamiento estudiantes maestría investigación (terminado) </v>
          </cell>
          <cell r="E90">
            <v>40725</v>
          </cell>
          <cell r="F90">
            <v>40725</v>
          </cell>
          <cell r="G90" t="str">
            <v>Comité 3 profesores</v>
          </cell>
          <cell r="H90" t="str">
            <v>Director del Departamento</v>
          </cell>
          <cell r="I90">
            <v>731300</v>
          </cell>
          <cell r="J90">
            <v>0</v>
          </cell>
          <cell r="K90">
            <v>0</v>
          </cell>
        </row>
        <row r="91">
          <cell r="B91" t="str">
            <v>4.1.2</v>
          </cell>
          <cell r="C91" t="str">
            <v>2.1.5</v>
          </cell>
          <cell r="D91" t="str">
            <v>Ejecucíon del Plan</v>
          </cell>
          <cell r="E91">
            <v>40756</v>
          </cell>
          <cell r="F91">
            <v>42339</v>
          </cell>
          <cell r="G91" t="str">
            <v>Comité 3 profesores</v>
          </cell>
          <cell r="H91" t="str">
            <v>Director del Departamento</v>
          </cell>
          <cell r="I91" t="str">
            <v>--</v>
          </cell>
          <cell r="J91">
            <v>0</v>
          </cell>
          <cell r="K91">
            <v>0</v>
          </cell>
        </row>
        <row r="92">
          <cell r="B92" t="str">
            <v>4.1.2</v>
          </cell>
          <cell r="C92" t="str">
            <v>2.1.6</v>
          </cell>
          <cell r="D92" t="str">
            <v>Evaluación/Seguimiento/Ajuste del Plan</v>
          </cell>
          <cell r="E92">
            <v>41275</v>
          </cell>
          <cell r="F92">
            <v>42036</v>
          </cell>
          <cell r="G92" t="str">
            <v>Comité 3 profesores</v>
          </cell>
          <cell r="H92" t="str">
            <v>Director del Departamento</v>
          </cell>
          <cell r="I92">
            <v>2193900</v>
          </cell>
          <cell r="J92">
            <v>0</v>
          </cell>
          <cell r="K92">
            <v>0</v>
          </cell>
        </row>
        <row r="93">
          <cell r="B93" t="str">
            <v>Eliminada</v>
          </cell>
          <cell r="C93" t="str">
            <v>2.1.7</v>
          </cell>
          <cell r="D93" t="str">
            <v>(Ver actividades del subobjetivo 1.2 relacionadas con esta meta)</v>
          </cell>
          <cell r="E93" t="str">
            <v>(Ver fecha del subobjetivo 1.2 relacionado con esta meta)</v>
          </cell>
          <cell r="F93" t="str">
            <v>(Ver fecha del subobjetivo 1.2 relacionado con esta meta)</v>
          </cell>
          <cell r="G93" t="str">
            <v>(Ver responsable del subobjetivo 1.2 relacionado con esta meta)</v>
          </cell>
          <cell r="H93" t="str">
            <v>-</v>
          </cell>
          <cell r="I93" t="str">
            <v>(Ver presupuesto del subobjetivo 1.2 relacionado con esta meta)</v>
          </cell>
          <cell r="J93" t="str">
            <v xml:space="preserve"> </v>
          </cell>
          <cell r="K93">
            <v>0</v>
          </cell>
        </row>
        <row r="94">
          <cell r="B94" t="str">
            <v>4.2</v>
          </cell>
          <cell r="C94">
            <v>2.2000000000000002</v>
          </cell>
          <cell r="D94" t="str">
            <v xml:space="preserve"> Fortalecer el Doctorado</v>
          </cell>
          <cell r="E94">
            <v>0</v>
          </cell>
          <cell r="F94">
            <v>0</v>
          </cell>
          <cell r="G94">
            <v>0</v>
          </cell>
          <cell r="H94">
            <v>0</v>
          </cell>
          <cell r="I94">
            <v>2619407867.7982907</v>
          </cell>
          <cell r="J94">
            <v>0</v>
          </cell>
          <cell r="K94">
            <v>0</v>
          </cell>
        </row>
        <row r="95">
          <cell r="B95" t="str">
            <v>2.1.5</v>
          </cell>
          <cell r="C95" t="str">
            <v>2.2.1</v>
          </cell>
          <cell r="D95" t="str">
            <v>Elaboración de plan de apoyo del departamento a profesores asistentes</v>
          </cell>
          <cell r="E95">
            <v>40544</v>
          </cell>
          <cell r="F95">
            <v>40603</v>
          </cell>
          <cell r="G95" t="str">
            <v xml:space="preserve">Representante del Departamento al Comité de Ordenamiento de la Facultad
</v>
          </cell>
          <cell r="H95" t="str">
            <v>Director de Departamento</v>
          </cell>
          <cell r="I95">
            <v>370800</v>
          </cell>
          <cell r="J95">
            <v>0</v>
          </cell>
          <cell r="K95">
            <v>0</v>
          </cell>
        </row>
        <row r="96">
          <cell r="B96" t="str">
            <v>2.1.5</v>
          </cell>
          <cell r="C96" t="str">
            <v>2.2.2</v>
          </cell>
          <cell r="D96" t="str">
            <v>Ejecucíon del Plan</v>
          </cell>
          <cell r="E96">
            <v>40756</v>
          </cell>
          <cell r="F96">
            <v>42339</v>
          </cell>
          <cell r="G96" t="str">
            <v xml:space="preserve">Representante del Departamento al Comité de Ordenamiento de la Facultad
</v>
          </cell>
          <cell r="H96" t="str">
            <v>Director de Departamento</v>
          </cell>
          <cell r="I96">
            <v>8563584.3774352893</v>
          </cell>
          <cell r="J96">
            <v>0</v>
          </cell>
          <cell r="K96">
            <v>0</v>
          </cell>
        </row>
        <row r="97">
          <cell r="B97" t="str">
            <v>2.1.5</v>
          </cell>
          <cell r="C97" t="str">
            <v>2.2.3</v>
          </cell>
          <cell r="D97" t="str">
            <v>Evaluación/Seguimiento/Ajuste del Plan</v>
          </cell>
          <cell r="E97">
            <v>41214</v>
          </cell>
          <cell r="F97">
            <v>42309</v>
          </cell>
          <cell r="G97" t="str">
            <v xml:space="preserve">Representante del Departamento al Comité de Ordenamiento de la Facultad
</v>
          </cell>
          <cell r="H97" t="str">
            <v>Director de Departamento</v>
          </cell>
          <cell r="I97">
            <v>4411066.2630176451</v>
          </cell>
          <cell r="J97">
            <v>0</v>
          </cell>
          <cell r="K97">
            <v>0</v>
          </cell>
        </row>
        <row r="98">
          <cell r="B98" t="str">
            <v>4.2.1</v>
          </cell>
          <cell r="C98" t="str">
            <v>2.2.4</v>
          </cell>
          <cell r="D98" t="str">
            <v>Revisión de los planes de los profesores habilitados e inclusión en estos planes de estrategias para vinculación de estudiantes doctorales, articuladas a las actividades de los objetivos 1 y 2, relacionado con vinculaciones de estudiantes doctorales, becas, asistencias, programa coterminal, etc</v>
          </cell>
          <cell r="E98">
            <v>40544</v>
          </cell>
          <cell r="F98">
            <v>40725</v>
          </cell>
          <cell r="G98" t="str">
            <v xml:space="preserve">Profesores habilitados
</v>
          </cell>
          <cell r="H98" t="str">
            <v>Director de Departamento</v>
          </cell>
          <cell r="I98" t="str">
            <v>--</v>
          </cell>
          <cell r="J98">
            <v>0</v>
          </cell>
          <cell r="K98">
            <v>0</v>
          </cell>
        </row>
        <row r="99">
          <cell r="B99" t="str">
            <v>4.2.1</v>
          </cell>
          <cell r="C99" t="str">
            <v>2.2.5</v>
          </cell>
          <cell r="D99" t="str">
            <v>Ejecucíon del Plan</v>
          </cell>
          <cell r="E99">
            <v>40756</v>
          </cell>
          <cell r="F99">
            <v>42339</v>
          </cell>
          <cell r="G99" t="str">
            <v xml:space="preserve">Profesores habilitados
</v>
          </cell>
          <cell r="H99" t="str">
            <v>Director de Departamento</v>
          </cell>
          <cell r="I99">
            <v>923174776.67571902</v>
          </cell>
          <cell r="J99">
            <v>0</v>
          </cell>
          <cell r="K99">
            <v>0</v>
          </cell>
        </row>
        <row r="100">
          <cell r="B100" t="str">
            <v>4.2.1</v>
          </cell>
          <cell r="C100" t="str">
            <v>2.2.6</v>
          </cell>
          <cell r="D100" t="str">
            <v>Evaluación/Seguimiento/Ajuste del Plan en lo relacionado con vinculación de estudiantes doctorales</v>
          </cell>
          <cell r="E100">
            <v>41183</v>
          </cell>
          <cell r="F100">
            <v>42278</v>
          </cell>
          <cell r="G100" t="str">
            <v xml:space="preserve">Profesores habilitados
</v>
          </cell>
          <cell r="H100" t="str">
            <v>Director de Departamento</v>
          </cell>
          <cell r="I100">
            <v>1292740.743</v>
          </cell>
          <cell r="J100">
            <v>0</v>
          </cell>
          <cell r="K100">
            <v>0</v>
          </cell>
        </row>
        <row r="101">
          <cell r="B101" t="str">
            <v>3.1.8</v>
          </cell>
          <cell r="C101" t="str">
            <v>2.2.7</v>
          </cell>
          <cell r="D101" t="str">
            <v>Plan para financiar estudiante extranjero de doctorado</v>
          </cell>
          <cell r="E101">
            <v>40725</v>
          </cell>
          <cell r="F101">
            <v>40725</v>
          </cell>
          <cell r="G101" t="str">
            <v xml:space="preserve">Comité de 2 Profesores
</v>
          </cell>
          <cell r="H101" t="str">
            <v>Director de Departamento</v>
          </cell>
          <cell r="I101">
            <v>270000</v>
          </cell>
          <cell r="J101">
            <v>0</v>
          </cell>
          <cell r="K101">
            <v>0</v>
          </cell>
        </row>
        <row r="102">
          <cell r="B102" t="str">
            <v>3.1.8</v>
          </cell>
          <cell r="C102" t="str">
            <v>2.2.8</v>
          </cell>
          <cell r="D102" t="str">
            <v>Ejecucíon del Plan</v>
          </cell>
          <cell r="E102">
            <v>40756</v>
          </cell>
          <cell r="F102">
            <v>42339</v>
          </cell>
          <cell r="G102" t="str">
            <v xml:space="preserve">Comité de 2 Profesores
</v>
          </cell>
          <cell r="H102" t="str">
            <v>Director de Departamento</v>
          </cell>
          <cell r="I102">
            <v>138824626.65921837</v>
          </cell>
          <cell r="J102">
            <v>0</v>
          </cell>
          <cell r="K102">
            <v>0</v>
          </cell>
        </row>
        <row r="103">
          <cell r="B103" t="str">
            <v>3.1.8</v>
          </cell>
          <cell r="C103" t="str">
            <v>2.2.9</v>
          </cell>
          <cell r="D103" t="str">
            <v>Evaluación/Seguimiento/Ajuste del Plan</v>
          </cell>
          <cell r="E103" t="str">
            <v>Enero - Febrero 2013</v>
          </cell>
          <cell r="F103" t="str">
            <v>Enero - Febrero 2015</v>
          </cell>
          <cell r="G103" t="str">
            <v xml:space="preserve">Comité de 2 Profesores
</v>
          </cell>
          <cell r="H103" t="str">
            <v>Director de Departamento</v>
          </cell>
          <cell r="I103">
            <v>1770733.3374000001</v>
          </cell>
          <cell r="J103">
            <v>0</v>
          </cell>
          <cell r="K103">
            <v>0</v>
          </cell>
        </row>
        <row r="104">
          <cell r="B104" t="str">
            <v>3.2.3</v>
          </cell>
          <cell r="C104" t="str">
            <v>2.2.10</v>
          </cell>
          <cell r="D104" t="str">
            <v>Plan para financiar Profesor visitante por una año</v>
          </cell>
          <cell r="E104">
            <v>40725</v>
          </cell>
          <cell r="F104">
            <v>40725</v>
          </cell>
          <cell r="G104" t="str">
            <v xml:space="preserve">Comité de 3 Profesores
</v>
          </cell>
          <cell r="H104" t="str">
            <v>Director de Departamento</v>
          </cell>
          <cell r="I104">
            <v>270000</v>
          </cell>
          <cell r="J104">
            <v>0</v>
          </cell>
          <cell r="K104">
            <v>0</v>
          </cell>
        </row>
        <row r="105">
          <cell r="B105" t="str">
            <v>3.2.3</v>
          </cell>
          <cell r="C105" t="str">
            <v>2.2.11</v>
          </cell>
          <cell r="D105" t="str">
            <v>Ejecucíon del Plan</v>
          </cell>
          <cell r="E105">
            <v>40756</v>
          </cell>
          <cell r="F105">
            <v>42339</v>
          </cell>
          <cell r="G105" t="str">
            <v xml:space="preserve">Comité de 3 Profesores
</v>
          </cell>
          <cell r="H105" t="str">
            <v>Director de Departamento</v>
          </cell>
          <cell r="I105">
            <v>1537432639.7363999</v>
          </cell>
          <cell r="J105">
            <v>0</v>
          </cell>
          <cell r="K105">
            <v>0</v>
          </cell>
        </row>
        <row r="106">
          <cell r="B106" t="str">
            <v>3.2.3</v>
          </cell>
          <cell r="C106" t="str">
            <v>2.2.12</v>
          </cell>
          <cell r="D106" t="str">
            <v>Evaluación/Seguimiento/Ajuste del Plan</v>
          </cell>
          <cell r="E106">
            <v>41091</v>
          </cell>
          <cell r="F106">
            <v>42186</v>
          </cell>
          <cell r="G106" t="str">
            <v xml:space="preserve">Comité de 3 Profesores
</v>
          </cell>
          <cell r="H106" t="str">
            <v>Director de Departamento</v>
          </cell>
          <cell r="I106">
            <v>2656100.0060999999</v>
          </cell>
          <cell r="J106">
            <v>0</v>
          </cell>
          <cell r="K106">
            <v>0</v>
          </cell>
        </row>
        <row r="107">
          <cell r="B107" t="str">
            <v>4.2.2</v>
          </cell>
          <cell r="C107" t="str">
            <v>2.2.13</v>
          </cell>
          <cell r="D107" t="str">
            <v>Propuesta de cursos</v>
          </cell>
          <cell r="E107">
            <v>41091</v>
          </cell>
          <cell r="F107">
            <v>41091</v>
          </cell>
          <cell r="G107" t="str">
            <v xml:space="preserve">Comité de 3 Profesores
</v>
          </cell>
          <cell r="H107" t="str">
            <v>Director de Departamento</v>
          </cell>
          <cell r="I107">
            <v>370800</v>
          </cell>
          <cell r="J107">
            <v>0</v>
          </cell>
          <cell r="K107">
            <v>0</v>
          </cell>
        </row>
        <row r="108">
          <cell r="B108" t="str">
            <v>4.2.2</v>
          </cell>
          <cell r="C108" t="str">
            <v>2.2.14</v>
          </cell>
          <cell r="D108" t="str">
            <v>Inicio de cursos</v>
          </cell>
          <cell r="E108">
            <v>41275</v>
          </cell>
          <cell r="F108">
            <v>41275</v>
          </cell>
          <cell r="G108" t="str">
            <v xml:space="preserve">Comité de 3 Profesores
</v>
          </cell>
          <cell r="H108" t="str">
            <v>Director de Departamento</v>
          </cell>
          <cell r="I108" t="str">
            <v>--</v>
          </cell>
          <cell r="J108">
            <v>0</v>
          </cell>
          <cell r="K108">
            <v>0</v>
          </cell>
        </row>
        <row r="109">
          <cell r="B109" t="str">
            <v>4.3</v>
          </cell>
          <cell r="C109">
            <v>2.2999999999999998</v>
          </cell>
          <cell r="D109" t="str">
            <v>Fortalecer los grupos de investigación del Departamento</v>
          </cell>
          <cell r="E109">
            <v>0</v>
          </cell>
          <cell r="F109">
            <v>0</v>
          </cell>
          <cell r="G109">
            <v>0</v>
          </cell>
          <cell r="H109">
            <v>0</v>
          </cell>
          <cell r="I109">
            <v>1918266508</v>
          </cell>
          <cell r="J109">
            <v>0</v>
          </cell>
          <cell r="K109">
            <v>0</v>
          </cell>
        </row>
        <row r="110">
          <cell r="B110" t="str">
            <v>4.3.1</v>
          </cell>
          <cell r="C110" t="str">
            <v>2.3.1</v>
          </cell>
          <cell r="D110" t="str">
            <v>Evaluación/Seguimiento/Ajuste del Diagnóstico y del Plan de actividades de los Grupos de investigación del Departamento</v>
          </cell>
          <cell r="E110">
            <v>40695</v>
          </cell>
          <cell r="F110">
            <v>42156</v>
          </cell>
          <cell r="G110" t="str">
            <v xml:space="preserve">Coordinadores de Grupos
</v>
          </cell>
          <cell r="H110" t="str">
            <v>Director de Departamento</v>
          </cell>
          <cell r="I110">
            <v>2320831.2592080003</v>
          </cell>
          <cell r="J110">
            <v>0</v>
          </cell>
          <cell r="K110">
            <v>0</v>
          </cell>
        </row>
        <row r="111">
          <cell r="B111" t="str">
            <v>4.3.2</v>
          </cell>
          <cell r="C111" t="str">
            <v>2.3.2</v>
          </cell>
          <cell r="D111" t="str">
            <v>Plan para vincular posdoctorantes a los Grupos de investigación (Acorde con actividades del objetivo 1 y 2; y con el plan de actividades de los Grupos)</v>
          </cell>
          <cell r="E111">
            <v>40725</v>
          </cell>
          <cell r="F111">
            <v>40725</v>
          </cell>
          <cell r="G111" t="str">
            <v xml:space="preserve">Coordinadores de Grupos
</v>
          </cell>
          <cell r="H111" t="str">
            <v>Director de Departamento</v>
          </cell>
          <cell r="I111">
            <v>432600</v>
          </cell>
          <cell r="J111">
            <v>0</v>
          </cell>
          <cell r="K111">
            <v>0</v>
          </cell>
        </row>
        <row r="112">
          <cell r="B112" t="str">
            <v>4.3.2</v>
          </cell>
          <cell r="C112" t="str">
            <v>2.3.3</v>
          </cell>
          <cell r="D112" t="str">
            <v>Ejecucíon del Plan</v>
          </cell>
          <cell r="E112">
            <v>40756</v>
          </cell>
          <cell r="F112">
            <v>42339</v>
          </cell>
          <cell r="G112" t="str">
            <v xml:space="preserve">Coordinadores de Grupos
</v>
          </cell>
          <cell r="H112" t="str">
            <v>Director de Departamento</v>
          </cell>
          <cell r="I112">
            <v>316225206.27521998</v>
          </cell>
          <cell r="J112">
            <v>0</v>
          </cell>
          <cell r="K112">
            <v>0</v>
          </cell>
        </row>
        <row r="113">
          <cell r="B113" t="str">
            <v>4.3.2</v>
          </cell>
          <cell r="C113" t="str">
            <v>2.3.4</v>
          </cell>
          <cell r="D113" t="str">
            <v>Evaluación/Seguimiento/Ajuste del Plan para vinculación de posdoctorantes a los Grupos de Investigación</v>
          </cell>
          <cell r="E113">
            <v>41091</v>
          </cell>
          <cell r="F113">
            <v>42186</v>
          </cell>
          <cell r="G113" t="str">
            <v xml:space="preserve">Coordinadores de Grupos
</v>
          </cell>
          <cell r="H113" t="str">
            <v>Director de Departamento</v>
          </cell>
          <cell r="I113">
            <v>1888231.2592080003</v>
          </cell>
          <cell r="J113">
            <v>0</v>
          </cell>
          <cell r="K113">
            <v>0</v>
          </cell>
        </row>
        <row r="114">
          <cell r="B114" t="str">
            <v>4.3.3</v>
          </cell>
          <cell r="C114" t="str">
            <v>2.3.5</v>
          </cell>
          <cell r="D114" t="str">
            <v xml:space="preserve">Plan para contar anualmente con  estudiantes de doctorado o investigadores, articulado al plan de actividades de los Grupos </v>
          </cell>
          <cell r="E114">
            <v>40725</v>
          </cell>
          <cell r="F114">
            <v>40725</v>
          </cell>
          <cell r="G114" t="str">
            <v xml:space="preserve">Coordinadores de Grupos
</v>
          </cell>
          <cell r="H114" t="str">
            <v>Director de Departamento</v>
          </cell>
          <cell r="I114">
            <v>432600</v>
          </cell>
          <cell r="J114">
            <v>0</v>
          </cell>
          <cell r="K114">
            <v>0</v>
          </cell>
        </row>
        <row r="115">
          <cell r="B115" t="str">
            <v>4.3.3</v>
          </cell>
          <cell r="C115" t="str">
            <v>2.3.6</v>
          </cell>
          <cell r="D115" t="str">
            <v>Ejecucíon del Plan</v>
          </cell>
          <cell r="E115">
            <v>40756</v>
          </cell>
          <cell r="F115">
            <v>42339</v>
          </cell>
          <cell r="G115" t="str">
            <v xml:space="preserve">Coordinadores de Grupos
</v>
          </cell>
          <cell r="H115" t="str">
            <v>Director de Departamento</v>
          </cell>
          <cell r="I115">
            <v>1213150573.675719</v>
          </cell>
          <cell r="J115">
            <v>0</v>
          </cell>
          <cell r="K115">
            <v>0</v>
          </cell>
        </row>
        <row r="116">
          <cell r="B116" t="str">
            <v>4.3.3</v>
          </cell>
          <cell r="C116" t="str">
            <v>2.3.7</v>
          </cell>
          <cell r="D116" t="str">
            <v>Evaluación/Seguimiento/Ajuste del Plan</v>
          </cell>
          <cell r="E116">
            <v>41091</v>
          </cell>
          <cell r="F116">
            <v>42186</v>
          </cell>
          <cell r="G116" t="str">
            <v xml:space="preserve">Coordinadores de Grupos
</v>
          </cell>
          <cell r="H116" t="str">
            <v>Director de Departamento</v>
          </cell>
          <cell r="I116">
            <v>1888231.2592080003</v>
          </cell>
          <cell r="J116">
            <v>0</v>
          </cell>
          <cell r="K116">
            <v>0</v>
          </cell>
        </row>
        <row r="117">
          <cell r="B117" t="str">
            <v>4.3.4</v>
          </cell>
          <cell r="C117" t="str">
            <v>2.3.8</v>
          </cell>
          <cell r="D117" t="str">
            <v xml:space="preserve">Plan para generar proyectos de colaboración y cooperación científica  con Universidades del exterior, articulado con el plan de actividades de los Grupos </v>
          </cell>
          <cell r="E117">
            <v>40725</v>
          </cell>
          <cell r="F117">
            <v>40725</v>
          </cell>
          <cell r="G117" t="str">
            <v xml:space="preserve">Coordinadores de Grupos
</v>
          </cell>
          <cell r="H117" t="str">
            <v>Director de Departamento</v>
          </cell>
          <cell r="I117">
            <v>432600</v>
          </cell>
          <cell r="J117">
            <v>0</v>
          </cell>
          <cell r="K117">
            <v>0</v>
          </cell>
        </row>
        <row r="118">
          <cell r="B118" t="str">
            <v>4.3.4</v>
          </cell>
          <cell r="C118" t="str">
            <v>2.3.9</v>
          </cell>
          <cell r="D118" t="str">
            <v>Ejecucíon del Plan</v>
          </cell>
          <cell r="E118">
            <v>40756</v>
          </cell>
          <cell r="F118">
            <v>42339</v>
          </cell>
          <cell r="G118" t="str">
            <v xml:space="preserve">Coordinadores de Grupos
</v>
          </cell>
          <cell r="H118" t="str">
            <v>Director de Departamento</v>
          </cell>
          <cell r="I118">
            <v>157440000</v>
          </cell>
          <cell r="J118">
            <v>0</v>
          </cell>
          <cell r="K118">
            <v>0</v>
          </cell>
        </row>
        <row r="119">
          <cell r="B119" t="str">
            <v>4.3.4</v>
          </cell>
          <cell r="C119" t="str">
            <v>2.3.10</v>
          </cell>
          <cell r="D119" t="str">
            <v>Evaluación/Seguimiento/Ajuste del Plan</v>
          </cell>
          <cell r="E119">
            <v>41091</v>
          </cell>
          <cell r="F119">
            <v>42186</v>
          </cell>
          <cell r="G119" t="str">
            <v xml:space="preserve">Coordinadores de Grupos
</v>
          </cell>
          <cell r="H119" t="str">
            <v>Director de Departamento</v>
          </cell>
          <cell r="I119">
            <v>1888231.2592080003</v>
          </cell>
          <cell r="J119">
            <v>0</v>
          </cell>
          <cell r="K119">
            <v>0</v>
          </cell>
        </row>
        <row r="120">
          <cell r="B120" t="str">
            <v>4.3.5</v>
          </cell>
          <cell r="C120" t="str">
            <v>2.3.11</v>
          </cell>
          <cell r="D120" t="str">
            <v xml:space="preserve">Plan de apoyo del Departamento a los Grupos de Investigación del Departamento, articulado al plan de actividades de los Grupos de investigación del Departamento </v>
          </cell>
          <cell r="E120">
            <v>40725</v>
          </cell>
          <cell r="F120">
            <v>40725</v>
          </cell>
          <cell r="G120" t="str">
            <v xml:space="preserve">Coordinadores de Grupos
</v>
          </cell>
          <cell r="H120" t="str">
            <v>Director de Departamento</v>
          </cell>
          <cell r="I120" t="str">
            <v>--</v>
          </cell>
          <cell r="J120">
            <v>0</v>
          </cell>
          <cell r="K120">
            <v>0</v>
          </cell>
        </row>
        <row r="121">
          <cell r="B121" t="str">
            <v>4.3.5</v>
          </cell>
          <cell r="C121" t="str">
            <v>2.3.12</v>
          </cell>
          <cell r="D121" t="str">
            <v>Ejecucíon del Plan</v>
          </cell>
          <cell r="E121">
            <v>40756</v>
          </cell>
          <cell r="F121">
            <v>42339</v>
          </cell>
          <cell r="G121" t="str">
            <v>Coordinadores de Grupos</v>
          </cell>
          <cell r="H121" t="str">
            <v>Director de Departamento</v>
          </cell>
          <cell r="I121">
            <v>218779172.22946119</v>
          </cell>
          <cell r="J121">
            <v>0</v>
          </cell>
          <cell r="K121">
            <v>0</v>
          </cell>
        </row>
        <row r="122">
          <cell r="B122" t="str">
            <v>4.3.5</v>
          </cell>
          <cell r="C122" t="str">
            <v>2.3.13</v>
          </cell>
          <cell r="D122" t="str">
            <v>Evaluación/Seguimiento/Ajuste del Plan</v>
          </cell>
          <cell r="E122">
            <v>41183</v>
          </cell>
          <cell r="F122">
            <v>42278</v>
          </cell>
          <cell r="G122" t="str">
            <v>Coordinadores de Grupos</v>
          </cell>
          <cell r="H122" t="str">
            <v>Director de Departamento</v>
          </cell>
          <cell r="I122">
            <v>1888231.2592080003</v>
          </cell>
          <cell r="J122">
            <v>0</v>
          </cell>
          <cell r="K122">
            <v>0</v>
          </cell>
        </row>
        <row r="123">
          <cell r="B123" t="str">
            <v>4.3.6</v>
          </cell>
          <cell r="C123" t="str">
            <v>2.3.14</v>
          </cell>
          <cell r="D123" t="str">
            <v>Plan de Inversión</v>
          </cell>
          <cell r="E123">
            <v>40544</v>
          </cell>
          <cell r="F123">
            <v>42339</v>
          </cell>
          <cell r="G123" t="str">
            <v>Director del Departamento</v>
          </cell>
          <cell r="H123">
            <v>0</v>
          </cell>
          <cell r="I123">
            <v>1500000</v>
          </cell>
          <cell r="J123">
            <v>0</v>
          </cell>
          <cell r="K123">
            <v>0</v>
          </cell>
        </row>
        <row r="124">
          <cell r="B124" t="str">
            <v>4.4</v>
          </cell>
          <cell r="C124">
            <v>2.4</v>
          </cell>
          <cell r="D124" t="str">
            <v>Incrementar los recursos económicos para las actividades de investigación.</v>
          </cell>
          <cell r="E124">
            <v>0</v>
          </cell>
          <cell r="F124">
            <v>0</v>
          </cell>
          <cell r="G124">
            <v>0</v>
          </cell>
          <cell r="H124">
            <v>0</v>
          </cell>
          <cell r="I124">
            <v>101888231.25920799</v>
          </cell>
          <cell r="J124">
            <v>0</v>
          </cell>
          <cell r="K124">
            <v>0</v>
          </cell>
        </row>
        <row r="125">
          <cell r="B125" t="str">
            <v>4.4.1</v>
          </cell>
          <cell r="C125" t="str">
            <v>2.4.1</v>
          </cell>
          <cell r="D125" t="str">
            <v>Plan de consecusión de recursos económicos para labores de investigación</v>
          </cell>
          <cell r="E125">
            <v>40725</v>
          </cell>
          <cell r="F125">
            <v>40725</v>
          </cell>
          <cell r="G125" t="str">
            <v>Coordinadores de Grupos</v>
          </cell>
          <cell r="H125" t="str">
            <v>Director del Departamento</v>
          </cell>
          <cell r="I125" t="str">
            <v>--</v>
          </cell>
          <cell r="J125">
            <v>0</v>
          </cell>
          <cell r="K125">
            <v>0</v>
          </cell>
        </row>
        <row r="126">
          <cell r="B126" t="str">
            <v>4.4.1</v>
          </cell>
          <cell r="C126" t="str">
            <v>2.4.2</v>
          </cell>
          <cell r="D126" t="str">
            <v>Ejecución del Plan</v>
          </cell>
          <cell r="E126">
            <v>40756</v>
          </cell>
          <cell r="F126">
            <v>42339</v>
          </cell>
          <cell r="G126" t="str">
            <v>Coordinadores de Grupos</v>
          </cell>
          <cell r="H126" t="str">
            <v>Director del Departamento</v>
          </cell>
          <cell r="I126">
            <v>100000000</v>
          </cell>
          <cell r="J126">
            <v>0</v>
          </cell>
          <cell r="K126">
            <v>0</v>
          </cell>
        </row>
        <row r="127">
          <cell r="B127" t="str">
            <v>4.4.1</v>
          </cell>
          <cell r="C127" t="str">
            <v>2.4.3</v>
          </cell>
          <cell r="D127" t="str">
            <v>Evaluación/Seguimiento/Ajuste del Plan</v>
          </cell>
          <cell r="E127">
            <v>41091</v>
          </cell>
          <cell r="F127">
            <v>42186</v>
          </cell>
          <cell r="G127" t="str">
            <v>Coordinadores de Grupos</v>
          </cell>
          <cell r="H127" t="str">
            <v>Director del Departamento</v>
          </cell>
          <cell r="I127">
            <v>1888231.2592080003</v>
          </cell>
          <cell r="J127">
            <v>0</v>
          </cell>
          <cell r="K127">
            <v>0</v>
          </cell>
        </row>
        <row r="128">
          <cell r="B128" t="str">
            <v>4.5</v>
          </cell>
          <cell r="C128">
            <v>2.5</v>
          </cell>
          <cell r="D128" t="str">
            <v>Aumentar la producción y la divulgación de nuevo conocimiento (publicaciones, patentes, software, etc.) del Departamento</v>
          </cell>
          <cell r="E128">
            <v>0</v>
          </cell>
          <cell r="F128">
            <v>0</v>
          </cell>
          <cell r="G128">
            <v>0</v>
          </cell>
          <cell r="H128">
            <v>0</v>
          </cell>
          <cell r="I128">
            <v>3800000000</v>
          </cell>
          <cell r="J128">
            <v>0</v>
          </cell>
          <cell r="K128">
            <v>0</v>
          </cell>
        </row>
        <row r="129">
          <cell r="B129" t="str">
            <v>4.5.1</v>
          </cell>
          <cell r="C129" t="str">
            <v>2.5.1</v>
          </cell>
          <cell r="D129" t="str">
            <v xml:space="preserve">Plan de publicaciones de artículos ISI articulado al plan de acciones de los grupos, al plan de los profesores  y a los planes de financiación de investigación, movilidad, becas, etc. de los otros objetivos </v>
          </cell>
          <cell r="E129">
            <v>40725</v>
          </cell>
          <cell r="F129">
            <v>40725</v>
          </cell>
          <cell r="G129" t="str">
            <v>Profesores</v>
          </cell>
          <cell r="H129" t="str">
            <v>Director del Departamento</v>
          </cell>
          <cell r="I129" t="str">
            <v>--</v>
          </cell>
          <cell r="J129">
            <v>0</v>
          </cell>
          <cell r="K129">
            <v>0</v>
          </cell>
        </row>
        <row r="130">
          <cell r="B130" t="str">
            <v>4.5.1</v>
          </cell>
          <cell r="C130" t="str">
            <v>2.5.2</v>
          </cell>
          <cell r="D130" t="str">
            <v>Ejecución del Plan</v>
          </cell>
          <cell r="E130">
            <v>40756</v>
          </cell>
          <cell r="F130">
            <v>42339</v>
          </cell>
          <cell r="G130" t="str">
            <v>Profesores</v>
          </cell>
          <cell r="H130" t="str">
            <v>Director del Departamento</v>
          </cell>
          <cell r="I130">
            <v>3000000000</v>
          </cell>
          <cell r="J130">
            <v>0</v>
          </cell>
          <cell r="K130">
            <v>0</v>
          </cell>
        </row>
        <row r="131">
          <cell r="B131" t="str">
            <v>4.5.1</v>
          </cell>
          <cell r="C131" t="str">
            <v>2.5.3</v>
          </cell>
          <cell r="D131" t="str">
            <v>Evaluación/Seguimiento/Ajuste del Plan</v>
          </cell>
          <cell r="E131">
            <v>41153</v>
          </cell>
          <cell r="F131">
            <v>42248</v>
          </cell>
          <cell r="G131" t="str">
            <v>Profesores</v>
          </cell>
          <cell r="H131" t="str">
            <v>Director del Departamento</v>
          </cell>
          <cell r="I131" t="str">
            <v>--</v>
          </cell>
          <cell r="J131">
            <v>0</v>
          </cell>
          <cell r="K131">
            <v>0</v>
          </cell>
        </row>
        <row r="132">
          <cell r="B132" t="str">
            <v>4.5.2</v>
          </cell>
          <cell r="C132" t="str">
            <v>2.5.4</v>
          </cell>
          <cell r="D132" t="str">
            <v xml:space="preserve">Plan de publicaciones de artículos en conferencias internacionales articulado al plan de acciones de los grupos, al plan de los profesores  y a los planes de financiación de investigación, movilidad, becas, etc. de los otros objetivos </v>
          </cell>
          <cell r="E132">
            <v>40725</v>
          </cell>
          <cell r="F132">
            <v>40725</v>
          </cell>
          <cell r="G132" t="str">
            <v>Profesores</v>
          </cell>
          <cell r="H132" t="str">
            <v>Director del Departamento</v>
          </cell>
          <cell r="I132" t="str">
            <v>--</v>
          </cell>
          <cell r="J132">
            <v>0</v>
          </cell>
          <cell r="K132">
            <v>0</v>
          </cell>
        </row>
        <row r="133">
          <cell r="B133" t="str">
            <v>4.5.2</v>
          </cell>
          <cell r="C133" t="str">
            <v>2.5.5</v>
          </cell>
          <cell r="D133" t="str">
            <v>Ejecución del Plan</v>
          </cell>
          <cell r="E133">
            <v>40756</v>
          </cell>
          <cell r="F133">
            <v>42339</v>
          </cell>
          <cell r="G133" t="str">
            <v>Profesores</v>
          </cell>
          <cell r="H133" t="str">
            <v>Director del Departamento</v>
          </cell>
          <cell r="I133">
            <v>688000000</v>
          </cell>
          <cell r="J133">
            <v>0</v>
          </cell>
          <cell r="K133">
            <v>0</v>
          </cell>
        </row>
        <row r="134">
          <cell r="B134" t="str">
            <v>4.5.2</v>
          </cell>
          <cell r="C134" t="str">
            <v>2.5.6</v>
          </cell>
          <cell r="D134" t="str">
            <v>Evaluación/Seguimiento/Ajuste del Plan</v>
          </cell>
          <cell r="E134">
            <v>41153</v>
          </cell>
          <cell r="F134">
            <v>42248</v>
          </cell>
          <cell r="G134" t="str">
            <v>Profesores</v>
          </cell>
          <cell r="H134" t="str">
            <v>Director del Departamento</v>
          </cell>
          <cell r="I134" t="str">
            <v>--</v>
          </cell>
          <cell r="J134">
            <v>0</v>
          </cell>
          <cell r="K134">
            <v>0</v>
          </cell>
        </row>
        <row r="135">
          <cell r="B135" t="str">
            <v>4.5.3</v>
          </cell>
          <cell r="C135" t="str">
            <v>2.5.7</v>
          </cell>
          <cell r="D135" t="str">
            <v xml:space="preserve">Plan de publicaciones de artículos en conferencias nacionales articulado al plan de acciones de los grupos, al plan de los profesores  y a los planes de financiación de investigación, movilidad, becas, etc. de los otros objetivos </v>
          </cell>
          <cell r="E135">
            <v>40725</v>
          </cell>
          <cell r="F135">
            <v>40725</v>
          </cell>
          <cell r="G135" t="str">
            <v>Profesores</v>
          </cell>
          <cell r="H135" t="str">
            <v>Director del Departamento</v>
          </cell>
          <cell r="I135" t="str">
            <v>--</v>
          </cell>
          <cell r="J135">
            <v>0</v>
          </cell>
          <cell r="K135">
            <v>0</v>
          </cell>
        </row>
        <row r="136">
          <cell r="B136" t="str">
            <v>4.5.3</v>
          </cell>
          <cell r="C136" t="str">
            <v>2.5.8</v>
          </cell>
          <cell r="D136" t="str">
            <v>Ejecución del Plan</v>
          </cell>
          <cell r="E136">
            <v>40756</v>
          </cell>
          <cell r="F136">
            <v>42339</v>
          </cell>
          <cell r="G136" t="str">
            <v>Profesores</v>
          </cell>
          <cell r="H136" t="str">
            <v>Director del Departamento</v>
          </cell>
          <cell r="I136">
            <v>112000000</v>
          </cell>
          <cell r="J136">
            <v>0</v>
          </cell>
          <cell r="K136">
            <v>0</v>
          </cell>
        </row>
        <row r="137">
          <cell r="B137" t="str">
            <v>4.5.3</v>
          </cell>
          <cell r="C137" t="str">
            <v>2.5.9</v>
          </cell>
          <cell r="D137" t="str">
            <v>Evaluación/Seguimiento/Ajuste del Plan</v>
          </cell>
          <cell r="E137">
            <v>41153</v>
          </cell>
          <cell r="F137">
            <v>42248</v>
          </cell>
          <cell r="G137" t="str">
            <v>Profesores</v>
          </cell>
          <cell r="H137" t="str">
            <v>Director del Departamento</v>
          </cell>
          <cell r="I137" t="str">
            <v>--</v>
          </cell>
          <cell r="J137">
            <v>0</v>
          </cell>
          <cell r="K137">
            <v>0</v>
          </cell>
        </row>
        <row r="138">
          <cell r="B138" t="str">
            <v>4.6</v>
          </cell>
          <cell r="C138">
            <v>2.6</v>
          </cell>
          <cell r="D138" t="str">
            <v>Incrementar la presencia, la cooperación y la colaboración  internacional.</v>
          </cell>
          <cell r="E138">
            <v>0</v>
          </cell>
          <cell r="F138">
            <v>0</v>
          </cell>
          <cell r="G138">
            <v>0</v>
          </cell>
          <cell r="H138">
            <v>0</v>
          </cell>
          <cell r="I138">
            <v>1343470130</v>
          </cell>
          <cell r="J138">
            <v>0</v>
          </cell>
          <cell r="K138">
            <v>0</v>
          </cell>
        </row>
        <row r="139">
          <cell r="B139" t="str">
            <v>4.6.1</v>
          </cell>
          <cell r="C139" t="str">
            <v>2.6.1</v>
          </cell>
          <cell r="D139" t="str">
            <v>Elaboración de estrategia para participar en proyectos de cooperació/colaboración en investigación liderados por Universidades del exterior</v>
          </cell>
          <cell r="E139">
            <v>40878</v>
          </cell>
          <cell r="F139">
            <v>40878</v>
          </cell>
          <cell r="G139" t="str">
            <v xml:space="preserve">Coordinadores de Grupos de Investigación
</v>
          </cell>
          <cell r="H139" t="str">
            <v>Director Departamento</v>
          </cell>
          <cell r="I139">
            <v>1081500</v>
          </cell>
          <cell r="J139">
            <v>0</v>
          </cell>
          <cell r="K139">
            <v>0</v>
          </cell>
        </row>
        <row r="140">
          <cell r="B140" t="str">
            <v>4.6.1</v>
          </cell>
          <cell r="C140" t="str">
            <v>2.6.2</v>
          </cell>
          <cell r="D140" t="str">
            <v>Ejecución de la estrategia</v>
          </cell>
          <cell r="E140">
            <v>40909</v>
          </cell>
          <cell r="F140">
            <v>42339</v>
          </cell>
          <cell r="G140" t="str">
            <v xml:space="preserve">Coordinadores de Grupos de Investigación
</v>
          </cell>
          <cell r="H140" t="str">
            <v>Director Departamento</v>
          </cell>
          <cell r="I140">
            <v>216000000</v>
          </cell>
          <cell r="J140">
            <v>0</v>
          </cell>
          <cell r="K140">
            <v>0</v>
          </cell>
        </row>
        <row r="141">
          <cell r="B141" t="str">
            <v>4.6.1</v>
          </cell>
          <cell r="C141" t="str">
            <v>2.6.3</v>
          </cell>
          <cell r="D141" t="str">
            <v>Evaluación/Seguimiento/Ajuste de la estrategia</v>
          </cell>
          <cell r="E141">
            <v>41214</v>
          </cell>
          <cell r="F141">
            <v>42309</v>
          </cell>
          <cell r="G141" t="str">
            <v xml:space="preserve">Coordinadores de Grupos de Investigación
</v>
          </cell>
          <cell r="H141" t="str">
            <v>Director Departamento</v>
          </cell>
          <cell r="I141">
            <v>9237102</v>
          </cell>
          <cell r="J141">
            <v>0</v>
          </cell>
          <cell r="K141">
            <v>0</v>
          </cell>
        </row>
        <row r="142">
          <cell r="B142" t="str">
            <v>4.6.2</v>
          </cell>
          <cell r="C142" t="str">
            <v>2.6.4</v>
          </cell>
          <cell r="D142" t="str">
            <v>Elaboración de estrategia para participar como coasesores doctorales en Universidades del exterior</v>
          </cell>
          <cell r="E142">
            <v>40878</v>
          </cell>
          <cell r="F142">
            <v>40878</v>
          </cell>
          <cell r="G142" t="str">
            <v xml:space="preserve">Coordinadores de Grupos de Investigación
</v>
          </cell>
          <cell r="H142" t="str">
            <v>Director Departamento</v>
          </cell>
          <cell r="I142">
            <v>1081500</v>
          </cell>
          <cell r="J142">
            <v>0</v>
          </cell>
          <cell r="K142">
            <v>0</v>
          </cell>
        </row>
        <row r="143">
          <cell r="B143" t="str">
            <v>4.6.2</v>
          </cell>
          <cell r="C143" t="str">
            <v>2.6.5</v>
          </cell>
          <cell r="D143" t="str">
            <v>Ejecución de la estrategia</v>
          </cell>
          <cell r="E143">
            <v>40909</v>
          </cell>
          <cell r="F143">
            <v>42339</v>
          </cell>
          <cell r="G143" t="str">
            <v xml:space="preserve">Coordinadores de Grupos de Investigación
</v>
          </cell>
          <cell r="H143" t="str">
            <v>Director Departamento</v>
          </cell>
          <cell r="I143">
            <v>216000000</v>
          </cell>
          <cell r="J143">
            <v>0</v>
          </cell>
          <cell r="K143">
            <v>0</v>
          </cell>
        </row>
        <row r="144">
          <cell r="B144" t="str">
            <v>4.6.2</v>
          </cell>
          <cell r="C144" t="str">
            <v>2.6.6</v>
          </cell>
          <cell r="D144" t="str">
            <v>Evaluación/Seguimiento/Ajuste de la estrategia</v>
          </cell>
          <cell r="E144">
            <v>41214</v>
          </cell>
          <cell r="F144">
            <v>42309</v>
          </cell>
          <cell r="G144" t="str">
            <v xml:space="preserve">Coordinadores de Grupos de Investigación
</v>
          </cell>
          <cell r="H144" t="str">
            <v>Director Departamento</v>
          </cell>
          <cell r="I144">
            <v>9237102</v>
          </cell>
          <cell r="J144">
            <v>0</v>
          </cell>
          <cell r="K144">
            <v>0</v>
          </cell>
        </row>
        <row r="145">
          <cell r="B145" t="str">
            <v>6.3.4</v>
          </cell>
          <cell r="C145" t="str">
            <v>2.6.7</v>
          </cell>
          <cell r="D145" t="str">
            <v>Plan para postular a la Universidad para la realización de eventos internacionales en asocio con Universidades del exterior</v>
          </cell>
          <cell r="E145">
            <v>40725</v>
          </cell>
          <cell r="F145">
            <v>40725</v>
          </cell>
          <cell r="G145" t="str">
            <v xml:space="preserve">Coordinadores de Grupos de Investigación
</v>
          </cell>
          <cell r="H145" t="str">
            <v>Director Departamento</v>
          </cell>
          <cell r="I145">
            <v>1081500</v>
          </cell>
          <cell r="J145">
            <v>0</v>
          </cell>
          <cell r="K145">
            <v>0</v>
          </cell>
        </row>
        <row r="146">
          <cell r="B146" t="str">
            <v>6.3.4</v>
          </cell>
          <cell r="C146" t="str">
            <v>2.6.8</v>
          </cell>
          <cell r="D146" t="str">
            <v>Ejecucíon del Plan</v>
          </cell>
          <cell r="E146">
            <v>40756</v>
          </cell>
          <cell r="F146">
            <v>42339</v>
          </cell>
          <cell r="G146" t="str">
            <v xml:space="preserve">Coordinadores de Grupos de Investigación
</v>
          </cell>
          <cell r="H146" t="str">
            <v>Director Departamento</v>
          </cell>
          <cell r="I146">
            <v>160000000</v>
          </cell>
          <cell r="J146">
            <v>0</v>
          </cell>
          <cell r="K146">
            <v>0</v>
          </cell>
        </row>
        <row r="147">
          <cell r="B147" t="str">
            <v>6.3.4</v>
          </cell>
          <cell r="C147" t="str">
            <v>2.6.9</v>
          </cell>
          <cell r="D147" t="str">
            <v>Evaluación/Seguimiento/Ajuste del Plan</v>
          </cell>
          <cell r="E147">
            <v>41153</v>
          </cell>
          <cell r="F147">
            <v>42248</v>
          </cell>
          <cell r="G147" t="str">
            <v xml:space="preserve">Coordinadores de Grupos de Investigación
</v>
          </cell>
          <cell r="H147" t="str">
            <v>Director Departamento</v>
          </cell>
          <cell r="I147">
            <v>9237102</v>
          </cell>
          <cell r="J147">
            <v>0</v>
          </cell>
          <cell r="K147">
            <v>0</v>
          </cell>
        </row>
        <row r="148">
          <cell r="B148" t="str">
            <v>4.6.3</v>
          </cell>
          <cell r="C148" t="str">
            <v>2.6.10</v>
          </cell>
          <cell r="D148" t="str">
            <v>Plan para posicionar dos profesores del Departamento en el comité editprial de revistas pertenecientes a la base de datos</v>
          </cell>
          <cell r="E148">
            <v>40878</v>
          </cell>
          <cell r="F148">
            <v>40878</v>
          </cell>
          <cell r="G148" t="str">
            <v xml:space="preserve">Comité de dos Profesores
</v>
          </cell>
          <cell r="H148" t="str">
            <v>Director de Departamento</v>
          </cell>
          <cell r="I148">
            <v>92700</v>
          </cell>
          <cell r="J148">
            <v>0</v>
          </cell>
          <cell r="K148">
            <v>0</v>
          </cell>
        </row>
        <row r="149">
          <cell r="B149" t="str">
            <v>4.6.3</v>
          </cell>
          <cell r="C149" t="str">
            <v>2.6.11</v>
          </cell>
          <cell r="D149" t="str">
            <v>Ejecución del plan</v>
          </cell>
          <cell r="E149">
            <v>40909</v>
          </cell>
          <cell r="F149">
            <v>42339</v>
          </cell>
          <cell r="G149" t="str">
            <v xml:space="preserve">Comité de dos Profesores
</v>
          </cell>
          <cell r="H149" t="str">
            <v>Director de Departamento</v>
          </cell>
          <cell r="I149">
            <v>66000000</v>
          </cell>
          <cell r="J149">
            <v>0</v>
          </cell>
          <cell r="K149">
            <v>0</v>
          </cell>
        </row>
        <row r="150">
          <cell r="B150" t="str">
            <v>4.6.3</v>
          </cell>
          <cell r="C150" t="str">
            <v>2.6.12</v>
          </cell>
          <cell r="D150" t="str">
            <v>Evaluación/Seguimiento/Ajuste del Plan</v>
          </cell>
          <cell r="E150">
            <v>41214</v>
          </cell>
          <cell r="F150">
            <v>42309</v>
          </cell>
          <cell r="G150" t="str">
            <v xml:space="preserve">Comité de dos Profesores
</v>
          </cell>
          <cell r="H150" t="str">
            <v>Director de Departamento</v>
          </cell>
          <cell r="I150">
            <v>399457</v>
          </cell>
          <cell r="J150">
            <v>0</v>
          </cell>
          <cell r="K150">
            <v>0</v>
          </cell>
        </row>
        <row r="151">
          <cell r="B151" t="str">
            <v>4.6.4</v>
          </cell>
          <cell r="C151" t="str">
            <v>2.6.13</v>
          </cell>
          <cell r="D151" t="str">
            <v>Plan de visitas corats de profesores</v>
          </cell>
          <cell r="E151">
            <v>40878</v>
          </cell>
          <cell r="F151">
            <v>40878</v>
          </cell>
          <cell r="G151" t="str">
            <v>Coordinadores de Grupos de Investigación</v>
          </cell>
          <cell r="H151" t="str">
            <v>Director del Departamento</v>
          </cell>
          <cell r="I151">
            <v>216300</v>
          </cell>
          <cell r="J151">
            <v>0</v>
          </cell>
          <cell r="K151">
            <v>0</v>
          </cell>
        </row>
        <row r="152">
          <cell r="B152" t="str">
            <v>4.6.4</v>
          </cell>
          <cell r="C152" t="str">
            <v>2.6.14</v>
          </cell>
          <cell r="D152" t="str">
            <v>Ejecución del plan</v>
          </cell>
          <cell r="E152">
            <v>40909</v>
          </cell>
          <cell r="F152">
            <v>42339</v>
          </cell>
          <cell r="G152" t="str">
            <v>Coordinadores de Grupos de Investigación</v>
          </cell>
          <cell r="H152" t="str">
            <v>Director del Departamento</v>
          </cell>
          <cell r="I152">
            <v>310500000</v>
          </cell>
          <cell r="J152">
            <v>0</v>
          </cell>
          <cell r="K152">
            <v>0</v>
          </cell>
        </row>
        <row r="153">
          <cell r="B153" t="str">
            <v>4.6.4</v>
          </cell>
          <cell r="C153" t="str">
            <v>2.6.15</v>
          </cell>
          <cell r="D153" t="str">
            <v>Evaluación/Seguimiento/Ajuste del Plan</v>
          </cell>
          <cell r="E153">
            <v>41214</v>
          </cell>
          <cell r="F153">
            <v>42309</v>
          </cell>
          <cell r="G153" t="str">
            <v>Coordinadores de Grupos de Investigación</v>
          </cell>
          <cell r="H153" t="str">
            <v>Director del Departamento</v>
          </cell>
          <cell r="I153">
            <v>1148366</v>
          </cell>
          <cell r="J153">
            <v>0</v>
          </cell>
          <cell r="K153">
            <v>0</v>
          </cell>
        </row>
        <row r="154">
          <cell r="B154" t="str">
            <v>1.2.11</v>
          </cell>
          <cell r="C154" t="str">
            <v>2.6.16</v>
          </cell>
          <cell r="D154" t="str">
            <v>Programa de cursos de verano anual en cada una de las áreas</v>
          </cell>
          <cell r="E154">
            <v>40725</v>
          </cell>
          <cell r="F154">
            <v>42186</v>
          </cell>
          <cell r="G154" t="str">
            <v xml:space="preserve">Coordinador
</v>
          </cell>
          <cell r="H154" t="str">
            <v>Director de Grupo</v>
          </cell>
          <cell r="I154">
            <v>342157500</v>
          </cell>
          <cell r="J154">
            <v>0</v>
          </cell>
          <cell r="K154">
            <v>0</v>
          </cell>
        </row>
        <row r="155">
          <cell r="B155">
            <v>6</v>
          </cell>
          <cell r="C155">
            <v>3</v>
          </cell>
          <cell r="D155" t="str">
            <v>Aumentar la contribución de la Facultad en el desarrollo del País</v>
          </cell>
          <cell r="E155">
            <v>0</v>
          </cell>
          <cell r="F155">
            <v>0</v>
          </cell>
          <cell r="G155">
            <v>0</v>
          </cell>
          <cell r="H155">
            <v>0</v>
          </cell>
          <cell r="I155">
            <v>331912949</v>
          </cell>
          <cell r="J155">
            <v>0</v>
          </cell>
          <cell r="K155">
            <v>0</v>
          </cell>
        </row>
        <row r="156">
          <cell r="B156" t="str">
            <v>6.1</v>
          </cell>
          <cell r="C156" t="str">
            <v>3.1</v>
          </cell>
          <cell r="D156" t="str">
            <v xml:space="preserve">Asistir a las empresas en sus esfuerzos por aumentar su competitividad
</v>
          </cell>
          <cell r="E156">
            <v>0</v>
          </cell>
          <cell r="F156">
            <v>0</v>
          </cell>
          <cell r="G156">
            <v>0</v>
          </cell>
          <cell r="H156">
            <v>0</v>
          </cell>
          <cell r="I156">
            <v>55859600</v>
          </cell>
          <cell r="J156">
            <v>0</v>
          </cell>
          <cell r="K156">
            <v>0</v>
          </cell>
        </row>
        <row r="157">
          <cell r="B157" t="str">
            <v>6.1.1</v>
          </cell>
          <cell r="C157" t="str">
            <v>3.1.1</v>
          </cell>
          <cell r="D157" t="str">
            <v xml:space="preserve">Elaboración de Plan </v>
          </cell>
          <cell r="E157">
            <v>40544</v>
          </cell>
          <cell r="F157">
            <v>40603</v>
          </cell>
          <cell r="G157" t="str">
            <v>Comité de 3 profesores</v>
          </cell>
          <cell r="H157" t="str">
            <v>Director del Departamento</v>
          </cell>
          <cell r="I157">
            <v>370800</v>
          </cell>
          <cell r="J157">
            <v>0</v>
          </cell>
          <cell r="K157">
            <v>0</v>
          </cell>
        </row>
        <row r="158">
          <cell r="B158" t="str">
            <v>6.1.1</v>
          </cell>
          <cell r="C158" t="str">
            <v>3.1.2</v>
          </cell>
          <cell r="D158" t="str">
            <v>Ejecucíon del Plan</v>
          </cell>
          <cell r="E158">
            <v>40603</v>
          </cell>
          <cell r="F158">
            <v>42339</v>
          </cell>
          <cell r="G158" t="str">
            <v>Profesores</v>
          </cell>
          <cell r="H158" t="str">
            <v>Director del Departamento</v>
          </cell>
          <cell r="I158">
            <v>29500000</v>
          </cell>
          <cell r="J158">
            <v>0</v>
          </cell>
          <cell r="K158">
            <v>0</v>
          </cell>
        </row>
        <row r="159">
          <cell r="B159" t="str">
            <v>6.1.1</v>
          </cell>
          <cell r="C159" t="str">
            <v>3.1.3</v>
          </cell>
          <cell r="D159" t="str">
            <v>Evaluación/Seguimiento/Ajuste del Plan</v>
          </cell>
          <cell r="E159">
            <v>40909</v>
          </cell>
          <cell r="F159">
            <v>42036</v>
          </cell>
          <cell r="G159" t="str">
            <v>Comité de 3 profesores</v>
          </cell>
          <cell r="H159" t="str">
            <v>Director del Departamento</v>
          </cell>
          <cell r="I159">
            <v>25988800</v>
          </cell>
          <cell r="J159">
            <v>0</v>
          </cell>
          <cell r="K159">
            <v>0</v>
          </cell>
        </row>
        <row r="160">
          <cell r="B160" t="str">
            <v>6.2</v>
          </cell>
          <cell r="C160" t="str">
            <v>3.2</v>
          </cell>
          <cell r="D160" t="str">
            <v>Contribuir en la construcción de soluciones para los problemas críticos del país.</v>
          </cell>
          <cell r="E160">
            <v>0</v>
          </cell>
          <cell r="F160">
            <v>0</v>
          </cell>
          <cell r="G160">
            <v>0</v>
          </cell>
          <cell r="H160">
            <v>0</v>
          </cell>
          <cell r="I160">
            <v>55859600</v>
          </cell>
          <cell r="J160">
            <v>0</v>
          </cell>
          <cell r="K160">
            <v>0</v>
          </cell>
        </row>
        <row r="161">
          <cell r="B161" t="str">
            <v>6.2.1</v>
          </cell>
          <cell r="C161" t="str">
            <v>3.2.1</v>
          </cell>
          <cell r="D161" t="str">
            <v xml:space="preserve">Elaboración de Plan </v>
          </cell>
          <cell r="E161">
            <v>40544</v>
          </cell>
          <cell r="F161">
            <v>40603</v>
          </cell>
          <cell r="G161" t="str">
            <v>Comité de 3 profesores</v>
          </cell>
          <cell r="H161" t="str">
            <v>Director del Departamento</v>
          </cell>
          <cell r="I161">
            <v>370800</v>
          </cell>
          <cell r="J161">
            <v>0</v>
          </cell>
          <cell r="K161">
            <v>0</v>
          </cell>
        </row>
        <row r="162">
          <cell r="B162" t="str">
            <v>6.2.1</v>
          </cell>
          <cell r="C162" t="str">
            <v>3.2.2</v>
          </cell>
          <cell r="D162" t="str">
            <v>Ejecucíon del Plan</v>
          </cell>
          <cell r="E162">
            <v>40603</v>
          </cell>
          <cell r="F162">
            <v>40878</v>
          </cell>
          <cell r="G162" t="str">
            <v>Profesores</v>
          </cell>
          <cell r="H162" t="str">
            <v>Director del Departamento</v>
          </cell>
          <cell r="I162">
            <v>29500000</v>
          </cell>
          <cell r="J162">
            <v>0</v>
          </cell>
          <cell r="K162">
            <v>0</v>
          </cell>
        </row>
        <row r="163">
          <cell r="B163" t="str">
            <v>6.2.1</v>
          </cell>
          <cell r="C163" t="str">
            <v>3.2.3</v>
          </cell>
          <cell r="D163" t="str">
            <v>Evaluación/Seguimiento/Ajuste del Plan</v>
          </cell>
          <cell r="E163">
            <v>40909</v>
          </cell>
          <cell r="F163">
            <v>42036</v>
          </cell>
          <cell r="G163" t="str">
            <v>Comité de 3 profesores</v>
          </cell>
          <cell r="H163" t="str">
            <v>Director del Departamento</v>
          </cell>
          <cell r="I163">
            <v>25988800</v>
          </cell>
          <cell r="J163">
            <v>0</v>
          </cell>
          <cell r="K163">
            <v>0</v>
          </cell>
        </row>
        <row r="164">
          <cell r="B164" t="str">
            <v>6.3</v>
          </cell>
          <cell r="C164" t="str">
            <v>3.3</v>
          </cell>
          <cell r="D164" t="str">
            <v>Generar opinión alrededor de los temas de interés nacional e incidir en las decisiones tecnológicas, sociales, económicas, ambientales y políticas.</v>
          </cell>
          <cell r="E164">
            <v>0</v>
          </cell>
          <cell r="F164">
            <v>0</v>
          </cell>
          <cell r="G164">
            <v>0</v>
          </cell>
          <cell r="H164">
            <v>0</v>
          </cell>
          <cell r="I164">
            <v>220193749</v>
          </cell>
          <cell r="J164">
            <v>0</v>
          </cell>
          <cell r="K164">
            <v>0</v>
          </cell>
        </row>
        <row r="165">
          <cell r="B165" t="str">
            <v>6.3.1</v>
          </cell>
          <cell r="C165" t="str">
            <v>3.3.1</v>
          </cell>
          <cell r="D165" t="str">
            <v xml:space="preserve">Elaboración de Plan </v>
          </cell>
          <cell r="E165">
            <v>40544</v>
          </cell>
          <cell r="F165">
            <v>40603</v>
          </cell>
          <cell r="G165" t="str">
            <v>Coordinadores de Área</v>
          </cell>
          <cell r="H165" t="str">
            <v>Director del Departamento</v>
          </cell>
          <cell r="I165" t="str">
            <v>--</v>
          </cell>
          <cell r="J165">
            <v>0</v>
          </cell>
          <cell r="K165">
            <v>0</v>
          </cell>
        </row>
        <row r="166">
          <cell r="B166" t="str">
            <v>6.3.1</v>
          </cell>
          <cell r="C166" t="str">
            <v>3.3.2</v>
          </cell>
          <cell r="D166" t="str">
            <v>Ejecucíon del Plan</v>
          </cell>
          <cell r="E166">
            <v>40603</v>
          </cell>
          <cell r="F166">
            <v>40878</v>
          </cell>
          <cell r="G166" t="str">
            <v>Coordinadores de Área</v>
          </cell>
          <cell r="H166" t="str">
            <v>Director del Departamento</v>
          </cell>
          <cell r="I166">
            <v>150000000</v>
          </cell>
          <cell r="J166">
            <v>0</v>
          </cell>
          <cell r="K166">
            <v>0</v>
          </cell>
        </row>
        <row r="167">
          <cell r="B167" t="str">
            <v>6.3.1</v>
          </cell>
          <cell r="C167" t="str">
            <v>3.3.3</v>
          </cell>
          <cell r="D167" t="str">
            <v>Evaluación/Seguimiento/Ajuste del Plan</v>
          </cell>
          <cell r="E167">
            <v>40909</v>
          </cell>
          <cell r="F167">
            <v>42036</v>
          </cell>
          <cell r="G167" t="str">
            <v>Coordinadores de Área</v>
          </cell>
          <cell r="H167" t="str">
            <v>Director del Departamento</v>
          </cell>
          <cell r="I167">
            <v>3619674</v>
          </cell>
          <cell r="J167">
            <v>0</v>
          </cell>
          <cell r="K167">
            <v>0</v>
          </cell>
        </row>
        <row r="168">
          <cell r="B168" t="str">
            <v>6.3.2</v>
          </cell>
          <cell r="C168" t="str">
            <v>3.3.4</v>
          </cell>
          <cell r="D168" t="str">
            <v xml:space="preserve">Elaboración de Plan </v>
          </cell>
          <cell r="E168">
            <v>40544</v>
          </cell>
          <cell r="F168">
            <v>40603</v>
          </cell>
          <cell r="G168" t="str">
            <v>Coordinadores de Área</v>
          </cell>
          <cell r="H168" t="str">
            <v>Director del Departamento</v>
          </cell>
          <cell r="I168" t="str">
            <v>--</v>
          </cell>
          <cell r="J168">
            <v>0</v>
          </cell>
          <cell r="K168">
            <v>0</v>
          </cell>
        </row>
        <row r="169">
          <cell r="B169" t="str">
            <v>6.3.2</v>
          </cell>
          <cell r="C169" t="str">
            <v>3.3.5</v>
          </cell>
          <cell r="D169" t="str">
            <v>Ejecucíon del Plan</v>
          </cell>
          <cell r="E169">
            <v>40603</v>
          </cell>
          <cell r="F169">
            <v>40878</v>
          </cell>
          <cell r="G169" t="str">
            <v>Coordinadores de Área</v>
          </cell>
          <cell r="H169" t="str">
            <v>Director del Departamento</v>
          </cell>
          <cell r="I169">
            <v>49830217</v>
          </cell>
          <cell r="J169">
            <v>0</v>
          </cell>
          <cell r="K169">
            <v>0</v>
          </cell>
        </row>
        <row r="170">
          <cell r="B170" t="str">
            <v>6.3.2</v>
          </cell>
          <cell r="C170" t="str">
            <v>3.3.6</v>
          </cell>
          <cell r="D170" t="str">
            <v>Evaluación/Seguimiento/Ajuste del Plan</v>
          </cell>
          <cell r="E170">
            <v>40909</v>
          </cell>
          <cell r="F170">
            <v>42036</v>
          </cell>
          <cell r="G170" t="str">
            <v>Coordinadores de Área</v>
          </cell>
          <cell r="H170" t="str">
            <v>Director del Departamento</v>
          </cell>
          <cell r="I170">
            <v>3619674</v>
          </cell>
          <cell r="J170">
            <v>0</v>
          </cell>
          <cell r="K170">
            <v>0</v>
          </cell>
        </row>
        <row r="171">
          <cell r="B171" t="str">
            <v>6.3.3</v>
          </cell>
          <cell r="C171" t="str">
            <v>3.3.7</v>
          </cell>
          <cell r="D171" t="str">
            <v xml:space="preserve">Elaboración de Plan </v>
          </cell>
          <cell r="E171">
            <v>40544</v>
          </cell>
          <cell r="F171">
            <v>40603</v>
          </cell>
          <cell r="G171" t="str">
            <v>Coordinadores de Área</v>
          </cell>
          <cell r="H171" t="str">
            <v>Director del Departamento</v>
          </cell>
          <cell r="I171" t="str">
            <v>--</v>
          </cell>
          <cell r="J171">
            <v>0</v>
          </cell>
          <cell r="K171">
            <v>0</v>
          </cell>
        </row>
        <row r="172">
          <cell r="B172" t="str">
            <v>6.3.3</v>
          </cell>
          <cell r="C172" t="str">
            <v>3.3.8</v>
          </cell>
          <cell r="D172" t="str">
            <v>Ejecucíon del Plan</v>
          </cell>
          <cell r="E172">
            <v>40603</v>
          </cell>
          <cell r="F172">
            <v>40878</v>
          </cell>
          <cell r="G172" t="str">
            <v>Coordinadores de Área</v>
          </cell>
          <cell r="H172" t="str">
            <v>Director del Departamento</v>
          </cell>
          <cell r="I172">
            <v>13124184</v>
          </cell>
          <cell r="J172">
            <v>0</v>
          </cell>
          <cell r="K172">
            <v>0</v>
          </cell>
        </row>
        <row r="173">
          <cell r="B173" t="str">
            <v>6.3.3</v>
          </cell>
          <cell r="C173" t="str">
            <v>3.3.9</v>
          </cell>
          <cell r="D173" t="str">
            <v>Evaluación/Seguimiento/Ajuste del Plan</v>
          </cell>
          <cell r="E173">
            <v>40909</v>
          </cell>
          <cell r="F173">
            <v>42036</v>
          </cell>
          <cell r="G173" t="str">
            <v>Coordinadores de Área</v>
          </cell>
          <cell r="H173" t="str">
            <v>Director del Departamento</v>
          </cell>
          <cell r="I173" t="str">
            <v>--</v>
          </cell>
          <cell r="J173">
            <v>0</v>
          </cell>
          <cell r="K173">
            <v>0</v>
          </cell>
        </row>
        <row r="174">
          <cell r="B174">
            <v>2</v>
          </cell>
          <cell r="C174">
            <v>4</v>
          </cell>
          <cell r="D174" t="str">
            <v>Lograr que los profesores, individual y colectivamente, sean referentes en sus áreas de trabajo</v>
          </cell>
          <cell r="E174">
            <v>0</v>
          </cell>
          <cell r="F174">
            <v>0</v>
          </cell>
          <cell r="G174">
            <v>0</v>
          </cell>
          <cell r="H174">
            <v>0</v>
          </cell>
          <cell r="I174">
            <v>1594566956</v>
          </cell>
          <cell r="J174">
            <v>0</v>
          </cell>
          <cell r="K174">
            <v>0</v>
          </cell>
        </row>
        <row r="175">
          <cell r="B175" t="str">
            <v>2.1</v>
          </cell>
          <cell r="C175">
            <v>4.0999999999999996</v>
          </cell>
          <cell r="D175" t="str">
            <v>Lograr que los profesores sean referentes en sus áreas de trabajo.</v>
          </cell>
          <cell r="E175">
            <v>0</v>
          </cell>
          <cell r="F175">
            <v>0</v>
          </cell>
          <cell r="G175">
            <v>0</v>
          </cell>
          <cell r="H175">
            <v>0</v>
          </cell>
          <cell r="I175">
            <v>1594566956</v>
          </cell>
          <cell r="J175">
            <v>0</v>
          </cell>
          <cell r="K175">
            <v>0</v>
          </cell>
        </row>
        <row r="176">
          <cell r="B176" t="str">
            <v>1.2.12</v>
          </cell>
          <cell r="C176" t="str">
            <v>4.1.1</v>
          </cell>
          <cell r="D176" t="str">
            <v xml:space="preserve">Elaboración de Plan </v>
          </cell>
          <cell r="E176">
            <v>40544</v>
          </cell>
          <cell r="F176">
            <v>40603</v>
          </cell>
          <cell r="G176" t="str">
            <v>Profesores</v>
          </cell>
          <cell r="H176" t="str">
            <v>Director del Departamento</v>
          </cell>
          <cell r="I176" t="str">
            <v>--</v>
          </cell>
          <cell r="J176">
            <v>0</v>
          </cell>
          <cell r="K176">
            <v>0</v>
          </cell>
        </row>
        <row r="177">
          <cell r="B177" t="str">
            <v>1.2.12</v>
          </cell>
          <cell r="C177" t="str">
            <v>4.1.2</v>
          </cell>
          <cell r="D177" t="str">
            <v>Ejecucíon del Plan</v>
          </cell>
          <cell r="E177">
            <v>40603</v>
          </cell>
          <cell r="F177">
            <v>41609</v>
          </cell>
          <cell r="G177" t="str">
            <v>Profesores</v>
          </cell>
          <cell r="H177" t="str">
            <v>Director del Departamento</v>
          </cell>
          <cell r="I177">
            <v>797283478</v>
          </cell>
          <cell r="J177">
            <v>0</v>
          </cell>
          <cell r="K177">
            <v>0</v>
          </cell>
        </row>
        <row r="178">
          <cell r="B178" t="str">
            <v>1.2.12</v>
          </cell>
          <cell r="C178" t="str">
            <v>4.1.3</v>
          </cell>
          <cell r="D178" t="str">
            <v>Evaluación/Seguimiento/Ajuste del Plan</v>
          </cell>
          <cell r="E178">
            <v>40909</v>
          </cell>
          <cell r="F178">
            <v>42036</v>
          </cell>
          <cell r="G178" t="str">
            <v>Profesores</v>
          </cell>
          <cell r="H178" t="str">
            <v>Director del Departamento</v>
          </cell>
          <cell r="I178" t="str">
            <v>--</v>
          </cell>
          <cell r="J178">
            <v>0</v>
          </cell>
          <cell r="K178">
            <v>0</v>
          </cell>
        </row>
        <row r="179">
          <cell r="B179" t="str">
            <v>1.2.12</v>
          </cell>
          <cell r="C179" t="str">
            <v>4.1.4</v>
          </cell>
          <cell r="D179" t="str">
            <v xml:space="preserve">Elaboración de Plan </v>
          </cell>
          <cell r="E179">
            <v>40544</v>
          </cell>
          <cell r="F179">
            <v>40603</v>
          </cell>
          <cell r="G179" t="str">
            <v>Profesores</v>
          </cell>
          <cell r="H179" t="str">
            <v>Director del Departamento</v>
          </cell>
          <cell r="I179" t="str">
            <v>--</v>
          </cell>
          <cell r="J179">
            <v>0</v>
          </cell>
          <cell r="K179">
            <v>0</v>
          </cell>
        </row>
        <row r="180">
          <cell r="B180" t="str">
            <v>1.2.12</v>
          </cell>
          <cell r="C180" t="str">
            <v>4.1.5</v>
          </cell>
          <cell r="D180" t="str">
            <v>Ejecucíon del Plan</v>
          </cell>
          <cell r="E180">
            <v>40603</v>
          </cell>
          <cell r="F180">
            <v>41609</v>
          </cell>
          <cell r="G180" t="str">
            <v>Profesores</v>
          </cell>
          <cell r="H180" t="str">
            <v>Director del Departamento</v>
          </cell>
          <cell r="I180">
            <v>797283478</v>
          </cell>
          <cell r="J180">
            <v>0</v>
          </cell>
          <cell r="K180">
            <v>0</v>
          </cell>
        </row>
        <row r="181">
          <cell r="B181" t="str">
            <v>1.2.12</v>
          </cell>
          <cell r="C181" t="str">
            <v>4.1.6</v>
          </cell>
          <cell r="D181" t="str">
            <v>Evaluación/Seguimiento/Ajuste del Plan</v>
          </cell>
          <cell r="E181">
            <v>40909</v>
          </cell>
          <cell r="F181">
            <v>42036</v>
          </cell>
          <cell r="G181" t="str">
            <v>Profesores</v>
          </cell>
          <cell r="H181" t="str">
            <v>Director del Departamento</v>
          </cell>
          <cell r="I181" t="str">
            <v>--</v>
          </cell>
          <cell r="J181">
            <v>0</v>
          </cell>
          <cell r="K181">
            <v>0</v>
          </cell>
        </row>
        <row r="182">
          <cell r="B182">
            <v>3</v>
          </cell>
          <cell r="C182">
            <v>5</v>
          </cell>
          <cell r="D182" t="str">
            <v>Lograr una organización y un tamaño para la Facultad que le permita cumplir la misión</v>
          </cell>
          <cell r="E182">
            <v>0</v>
          </cell>
          <cell r="F182">
            <v>0</v>
          </cell>
          <cell r="G182">
            <v>0</v>
          </cell>
          <cell r="H182">
            <v>0</v>
          </cell>
          <cell r="I182">
            <v>7130003580</v>
          </cell>
          <cell r="J182">
            <v>0</v>
          </cell>
          <cell r="K182">
            <v>0</v>
          </cell>
        </row>
        <row r="183">
          <cell r="B183" t="str">
            <v>3.1</v>
          </cell>
          <cell r="C183">
            <v>5.0999999999999996</v>
          </cell>
          <cell r="D183" t="str">
            <v>Alcanzar las metas de población estudiantil de la Facultad</v>
          </cell>
          <cell r="E183">
            <v>0</v>
          </cell>
          <cell r="F183">
            <v>0</v>
          </cell>
          <cell r="G183">
            <v>0</v>
          </cell>
          <cell r="H183">
            <v>0</v>
          </cell>
          <cell r="I183">
            <v>205107111</v>
          </cell>
          <cell r="J183">
            <v>0</v>
          </cell>
          <cell r="K183">
            <v>0</v>
          </cell>
        </row>
        <row r="184">
          <cell r="B184" t="str">
            <v>3.1.7</v>
          </cell>
          <cell r="C184" t="str">
            <v>5.1.1</v>
          </cell>
          <cell r="D184" t="str">
            <v>Plan para contar con un crecimiento moderado de los estudiantes de pregrado del Departamento basado en calidad de los estudiantes admitidos</v>
          </cell>
          <cell r="E184">
            <v>40544</v>
          </cell>
          <cell r="F184">
            <v>40603</v>
          </cell>
          <cell r="G184" t="str">
            <v>Coordinador</v>
          </cell>
          <cell r="H184" t="str">
            <v>Director del Departamento</v>
          </cell>
          <cell r="I184">
            <v>2890964</v>
          </cell>
          <cell r="J184">
            <v>0</v>
          </cell>
          <cell r="K184">
            <v>0</v>
          </cell>
        </row>
        <row r="185">
          <cell r="B185" t="str">
            <v>3.1.7</v>
          </cell>
          <cell r="C185" t="str">
            <v>5.1.2</v>
          </cell>
          <cell r="D185" t="str">
            <v>Ejecucíon del Plan (Scouting)</v>
          </cell>
          <cell r="E185">
            <v>40603</v>
          </cell>
          <cell r="F185">
            <v>42339</v>
          </cell>
          <cell r="G185" t="str">
            <v>Coordinador</v>
          </cell>
          <cell r="H185" t="str">
            <v>Director del Departamento</v>
          </cell>
          <cell r="I185">
            <v>64637037</v>
          </cell>
          <cell r="J185">
            <v>0</v>
          </cell>
          <cell r="K185">
            <v>0</v>
          </cell>
        </row>
        <row r="186">
          <cell r="B186" t="str">
            <v>3.1.7</v>
          </cell>
          <cell r="C186" t="str">
            <v>5.1.3</v>
          </cell>
          <cell r="D186" t="str">
            <v>Evaluación/Seguimiento/Ajuste del Plan</v>
          </cell>
          <cell r="E186">
            <v>40909</v>
          </cell>
          <cell r="F186">
            <v>42036</v>
          </cell>
          <cell r="G186" t="str">
            <v>Coordianador</v>
          </cell>
          <cell r="H186" t="str">
            <v>Director del Departamento</v>
          </cell>
          <cell r="I186">
            <v>8305036</v>
          </cell>
          <cell r="J186">
            <v>0</v>
          </cell>
          <cell r="K186">
            <v>0</v>
          </cell>
        </row>
        <row r="187">
          <cell r="B187" t="str">
            <v>Eliminada</v>
          </cell>
          <cell r="C187" t="str">
            <v>5.1.4</v>
          </cell>
          <cell r="D187" t="str">
            <v>Scouting</v>
          </cell>
          <cell r="E187">
            <v>40544</v>
          </cell>
          <cell r="F187">
            <v>42339</v>
          </cell>
          <cell r="G187" t="str">
            <v>Coordinador</v>
          </cell>
          <cell r="H187" t="str">
            <v>Director del Departamento</v>
          </cell>
          <cell r="I187">
            <v>64637037</v>
          </cell>
          <cell r="J187">
            <v>0</v>
          </cell>
          <cell r="K187">
            <v>0</v>
          </cell>
        </row>
        <row r="188">
          <cell r="B188" t="str">
            <v>Eliminada</v>
          </cell>
          <cell r="C188" t="str">
            <v>5.1.5</v>
          </cell>
          <cell r="D188" t="str">
            <v>Scouting</v>
          </cell>
          <cell r="E188">
            <v>40544</v>
          </cell>
          <cell r="F188">
            <v>42339</v>
          </cell>
          <cell r="G188" t="str">
            <v>Coordinador</v>
          </cell>
          <cell r="H188" t="str">
            <v>Director del Departamento</v>
          </cell>
          <cell r="I188">
            <v>64637037</v>
          </cell>
          <cell r="J188">
            <v>0</v>
          </cell>
          <cell r="K188">
            <v>0</v>
          </cell>
        </row>
        <row r="189">
          <cell r="B189" t="str">
            <v>3.2</v>
          </cell>
          <cell r="C189">
            <v>5.2</v>
          </cell>
          <cell r="D189" t="str">
            <v xml:space="preserve">Alcanzar las metas en la composición de la planta de profesores
</v>
          </cell>
          <cell r="E189">
            <v>0</v>
          </cell>
          <cell r="F189">
            <v>0</v>
          </cell>
          <cell r="G189">
            <v>0</v>
          </cell>
          <cell r="H189">
            <v>0</v>
          </cell>
          <cell r="I189">
            <v>6924896469</v>
          </cell>
          <cell r="J189">
            <v>0</v>
          </cell>
          <cell r="K189">
            <v>0</v>
          </cell>
        </row>
        <row r="190">
          <cell r="B190" t="str">
            <v>3.2.1 / 3.2.2</v>
          </cell>
          <cell r="C190" t="str">
            <v>5.2.1</v>
          </cell>
          <cell r="D190" t="str">
            <v>Planes de las áreas</v>
          </cell>
          <cell r="E190">
            <v>40544</v>
          </cell>
          <cell r="F190">
            <v>40603</v>
          </cell>
          <cell r="G190" t="str">
            <v>Coordinadores de las Áreas</v>
          </cell>
          <cell r="H190" t="str">
            <v>Director del Departamento</v>
          </cell>
          <cell r="I190">
            <v>1483200</v>
          </cell>
          <cell r="J190">
            <v>0</v>
          </cell>
          <cell r="K190">
            <v>0</v>
          </cell>
        </row>
        <row r="191">
          <cell r="B191" t="str">
            <v>3.2.1 / 3.2.2</v>
          </cell>
          <cell r="C191" t="str">
            <v>5.2.2</v>
          </cell>
          <cell r="D191" t="str">
            <v>Ejecución del Plan</v>
          </cell>
          <cell r="E191">
            <v>40603</v>
          </cell>
          <cell r="F191">
            <v>42339</v>
          </cell>
          <cell r="G191" t="str">
            <v>Coordinadores de las Áreas
Comité ad hoc</v>
          </cell>
          <cell r="H191" t="str">
            <v>Director del Departamento</v>
          </cell>
          <cell r="I191">
            <v>6919458069</v>
          </cell>
          <cell r="J191">
            <v>0</v>
          </cell>
          <cell r="K191">
            <v>0</v>
          </cell>
        </row>
        <row r="192">
          <cell r="B192" t="str">
            <v>3.2.1 / 3.2.2</v>
          </cell>
          <cell r="C192" t="str">
            <v>5.2.3</v>
          </cell>
          <cell r="D192" t="str">
            <v>Evaluación/seguimiento/Ajuste del Plan</v>
          </cell>
          <cell r="E192">
            <v>40909</v>
          </cell>
          <cell r="F192">
            <v>42036</v>
          </cell>
          <cell r="G192" t="str">
            <v>Coordinadores de las Áreas
Comité ad hoc</v>
          </cell>
          <cell r="H192" t="str">
            <v>Director del Departamento</v>
          </cell>
          <cell r="I192">
            <v>3955200</v>
          </cell>
          <cell r="J192">
            <v>0</v>
          </cell>
          <cell r="K192">
            <v>0</v>
          </cell>
        </row>
      </sheetData>
      <sheetData sheetId="11">
        <row r="9">
          <cell r="B9">
            <v>1</v>
          </cell>
          <cell r="C9">
            <v>1</v>
          </cell>
          <cell r="D9" t="str">
            <v>Objetivo 1: Mantener actualizados y alcanzar los perfiles de formación</v>
          </cell>
          <cell r="E9">
            <v>0</v>
          </cell>
          <cell r="F9">
            <v>0</v>
          </cell>
          <cell r="G9">
            <v>0</v>
          </cell>
          <cell r="H9">
            <v>0</v>
          </cell>
          <cell r="I9">
            <v>0</v>
          </cell>
          <cell r="J9">
            <v>0</v>
          </cell>
          <cell r="K9">
            <v>0</v>
          </cell>
          <cell r="L9">
            <v>0</v>
          </cell>
          <cell r="M9">
            <v>0</v>
          </cell>
        </row>
        <row r="10">
          <cell r="B10" t="str">
            <v>1.1</v>
          </cell>
          <cell r="C10">
            <v>1.1000000000000001</v>
          </cell>
          <cell r="D10" t="str">
            <v>Subobjetivo 1.1. Actualizar los perfiles de formación (pregrado, especialización, maestría y doctorado) teniendo en cuenta las tendencias mundiales, las necesidades nacionales y el contexto educativo del país.</v>
          </cell>
          <cell r="E10">
            <v>2011</v>
          </cell>
          <cell r="F10">
            <v>2015</v>
          </cell>
          <cell r="G10" t="str">
            <v xml:space="preserve">Director Departamento </v>
          </cell>
          <cell r="H10" t="str">
            <v>Sub- Director Académico</v>
          </cell>
          <cell r="I10">
            <v>1625454649.22368</v>
          </cell>
          <cell r="J10">
            <v>0</v>
          </cell>
          <cell r="K10">
            <v>0</v>
          </cell>
          <cell r="L10" t="str">
            <v>Porcentaje de Objetivos y outcomes  actualizados de pregrado.</v>
          </cell>
          <cell r="M10" t="str">
            <v>· Objetivos y outcomes de cada programa (pregrado y posgrado) actualizados en el 2012 y nuevamente en el 2015.</v>
          </cell>
        </row>
        <row r="11">
          <cell r="B11">
            <v>0</v>
          </cell>
          <cell r="C11">
            <v>0</v>
          </cell>
          <cell r="D11">
            <v>0</v>
          </cell>
          <cell r="E11">
            <v>0</v>
          </cell>
          <cell r="F11">
            <v>0</v>
          </cell>
          <cell r="G11">
            <v>0</v>
          </cell>
          <cell r="H11">
            <v>0</v>
          </cell>
          <cell r="I11">
            <v>0</v>
          </cell>
          <cell r="J11">
            <v>0</v>
          </cell>
          <cell r="K11">
            <v>0</v>
          </cell>
          <cell r="L11" t="str">
            <v>Porcentaje de Objetivos y outcomes  actualizados de posgrado.</v>
          </cell>
          <cell r="M11">
            <v>0</v>
          </cell>
        </row>
        <row r="12">
          <cell r="B12" t="str">
            <v>1.1.1</v>
          </cell>
          <cell r="C12" t="str">
            <v>1.1.1</v>
          </cell>
          <cell r="D12" t="str">
            <v>Actualizar el perfil del Ingeniero Industrial y articularlo con el  proceso de mejoramiento continuo de los cursos.</v>
          </cell>
          <cell r="E12">
            <v>2011</v>
          </cell>
          <cell r="F12">
            <v>2015</v>
          </cell>
          <cell r="G12" t="str">
            <v>Director Departamento y Comité E</v>
          </cell>
          <cell r="H12" t="str">
            <v>Sub- Director Académico y Comité E</v>
          </cell>
          <cell r="I12">
            <v>270816128</v>
          </cell>
          <cell r="J12" t="str">
            <v>Mediciones directas</v>
          </cell>
          <cell r="K12" t="str">
            <v>Actualización del perfil del ingeniero industrial</v>
          </cell>
          <cell r="L12">
            <v>0</v>
          </cell>
          <cell r="M12">
            <v>0</v>
          </cell>
        </row>
        <row r="13">
          <cell r="B13" t="str">
            <v>1.2.11</v>
          </cell>
          <cell r="C13" t="str">
            <v>1.1.2</v>
          </cell>
          <cell r="D13" t="str">
            <v xml:space="preserve">Estudiar la posibilidad de la creación de nuevos programas de pregrado como el de ingeniería de producción de acuerdo con la disponibilidad de profesores y planta física, principalmente. </v>
          </cell>
          <cell r="E13">
            <v>2011</v>
          </cell>
          <cell r="F13">
            <v>2015</v>
          </cell>
          <cell r="G13" t="str">
            <v>Director Departamento y Comité A</v>
          </cell>
          <cell r="H13" t="str">
            <v>Sub- Director Académico</v>
          </cell>
          <cell r="I13">
            <v>650516588.42368007</v>
          </cell>
          <cell r="J13" t="str">
            <v>Encuestas</v>
          </cell>
          <cell r="K13" t="str">
            <v xml:space="preserve">Impacto de creación de nuevos programas </v>
          </cell>
          <cell r="L13">
            <v>0</v>
          </cell>
          <cell r="M13">
            <v>0</v>
          </cell>
        </row>
        <row r="14">
          <cell r="B14" t="str">
            <v>1.5.1</v>
          </cell>
          <cell r="C14" t="str">
            <v>1.1.3</v>
          </cell>
          <cell r="D14" t="str">
            <v>Aplicar anualmente el proceso de mejoramiento continuo en los cursos obligatorios del programa.</v>
          </cell>
          <cell r="E14">
            <v>2011</v>
          </cell>
          <cell r="F14">
            <v>2015</v>
          </cell>
          <cell r="G14" t="str">
            <v>Director Departamento y Comité D</v>
          </cell>
          <cell r="H14" t="str">
            <v>Sub- Director Académico y Comité D</v>
          </cell>
          <cell r="I14">
            <v>433305804.80000001</v>
          </cell>
          <cell r="J14" t="str">
            <v>Mediciones directasen los cursos</v>
          </cell>
          <cell r="K14" t="str">
            <v>Número de cursos aplicando el proceso de mejoramiento continuo / Total de cursos Obligatorios</v>
          </cell>
          <cell r="L14">
            <v>0</v>
          </cell>
          <cell r="M14">
            <v>0</v>
          </cell>
        </row>
        <row r="15">
          <cell r="B15" t="str">
            <v>2.1.1</v>
          </cell>
          <cell r="C15" t="str">
            <v>1.1.4</v>
          </cell>
          <cell r="D15" t="str">
            <v>Buscar que la planta profesoral del Departamento se convierta en un elemento importante para la obtención de acreditación internacional</v>
          </cell>
          <cell r="E15">
            <v>2011</v>
          </cell>
          <cell r="F15">
            <v>2015</v>
          </cell>
          <cell r="G15" t="str">
            <v>Director Departamento y Comité D</v>
          </cell>
          <cell r="H15" t="str">
            <v>Sub- Director Académico y Comité D</v>
          </cell>
          <cell r="I15">
            <v>270816128</v>
          </cell>
          <cell r="J15" t="str">
            <v>Datos primarios</v>
          </cell>
          <cell r="K15" t="str">
            <v>Número de profesores trabajando en la acreditación / Total de Profesores</v>
          </cell>
          <cell r="L15">
            <v>0</v>
          </cell>
          <cell r="M15">
            <v>0</v>
          </cell>
        </row>
        <row r="16">
          <cell r="B16" t="str">
            <v>1.1.3</v>
          </cell>
          <cell r="C16" t="str">
            <v>1.1.5</v>
          </cell>
          <cell r="D16" t="str">
            <v>Identificar los retos y oportunidades para el ingeniero industrial del siglo XXI</v>
          </cell>
          <cell r="E16">
            <v>2011</v>
          </cell>
          <cell r="F16">
            <v>2015</v>
          </cell>
          <cell r="G16" t="str">
            <v>Director Departamento y Comité D</v>
          </cell>
          <cell r="H16" t="str">
            <v>Sub- Director Académico y Comité D</v>
          </cell>
          <cell r="I16">
            <v>0</v>
          </cell>
          <cell r="J16" t="str">
            <v>Datos secundarios</v>
          </cell>
          <cell r="K16">
            <v>0</v>
          </cell>
          <cell r="L16">
            <v>0</v>
          </cell>
          <cell r="M16">
            <v>0</v>
          </cell>
        </row>
        <row r="17">
          <cell r="B17" t="str">
            <v>1.2</v>
          </cell>
          <cell r="C17">
            <v>1.2</v>
          </cell>
          <cell r="D17" t="str">
            <v>Subobjetivo 1.2.  Mantener un curriculum innovador que responda a los perfiles deseados para la formación.</v>
          </cell>
          <cell r="E17">
            <v>2011</v>
          </cell>
          <cell r="F17">
            <v>2015</v>
          </cell>
          <cell r="G17" t="str">
            <v>Director Departamento</v>
          </cell>
          <cell r="H17" t="str">
            <v>Sub- Director Académico</v>
          </cell>
          <cell r="I17">
            <v>2708161279.9999995</v>
          </cell>
          <cell r="J17">
            <v>0</v>
          </cell>
          <cell r="K17">
            <v>0</v>
          </cell>
          <cell r="L17" t="str">
            <v>Número de innovaciones implementadas y evaluadas</v>
          </cell>
          <cell r="M17" t="str">
            <v>En el 2015 innovaciones implementadas y evaluadas</v>
          </cell>
        </row>
        <row r="18">
          <cell r="B18" t="str">
            <v>1.5.2</v>
          </cell>
          <cell r="C18" t="str">
            <v>1.2.1</v>
          </cell>
          <cell r="D18" t="str">
            <v>Realizar estudios en profundidad con los 20 mejores estudiantes de cada cohorte y los 20 que obtuvieron los más bajos resultados. Determinar cuáles fueron los factores que influyeron en estos resultados. Mostrar  los factores  que afectan la efectividad .</v>
          </cell>
          <cell r="E18">
            <v>2011</v>
          </cell>
          <cell r="F18">
            <v>2015</v>
          </cell>
          <cell r="G18" t="str">
            <v>Director Departamento y Comité D</v>
          </cell>
          <cell r="H18" t="str">
            <v>Cordinador de Programa y Comité D</v>
          </cell>
          <cell r="I18">
            <v>108326451.2</v>
          </cell>
          <cell r="J18" t="str">
            <v>Estadisticas datos secundarios</v>
          </cell>
          <cell r="K18" t="str">
            <v>Varianza entrre los 20 mejores y los 20 peores</v>
          </cell>
          <cell r="L18">
            <v>0</v>
          </cell>
          <cell r="M18">
            <v>0</v>
          </cell>
        </row>
        <row r="19">
          <cell r="B19" t="str">
            <v>3.2.2</v>
          </cell>
          <cell r="C19" t="str">
            <v>1.2.2</v>
          </cell>
          <cell r="D19" t="str">
            <v>Vincular profesores visitantes que trabajen temas de emprendimiento e innovación contar con empresarios exitosos que puedan trasmitir los conocimientos adquiridos en el sector externo.</v>
          </cell>
          <cell r="E19">
            <v>2011</v>
          </cell>
          <cell r="F19">
            <v>2015</v>
          </cell>
          <cell r="G19" t="str">
            <v>Director Departamento y Comité C</v>
          </cell>
          <cell r="H19" t="str">
            <v>Sub- Director Académico y Comité C</v>
          </cell>
          <cell r="I19">
            <v>812448384</v>
          </cell>
          <cell r="J19" t="str">
            <v>Datos primarios</v>
          </cell>
          <cell r="K19" t="str">
            <v>Profesores que trabajan temas de emprendimiento e innovación / Total de profesores</v>
          </cell>
          <cell r="L19">
            <v>0</v>
          </cell>
          <cell r="M19">
            <v>0</v>
          </cell>
        </row>
        <row r="20">
          <cell r="B20" t="str">
            <v>1.5.4</v>
          </cell>
          <cell r="C20" t="str">
            <v>1.2.3</v>
          </cell>
          <cell r="D20" t="str">
            <v>Participar anualmente en el CIDEAH y hacer un Benchmark del programa con universidades de primer nivel.</v>
          </cell>
          <cell r="E20">
            <v>2011</v>
          </cell>
          <cell r="F20">
            <v>2015</v>
          </cell>
          <cell r="G20" t="str">
            <v>Director Departamento y Comité D</v>
          </cell>
          <cell r="H20" t="str">
            <v>Cordinador - ABET y Comité D</v>
          </cell>
          <cell r="I20">
            <v>162489676.80000001</v>
          </cell>
          <cell r="J20" t="str">
            <v>Datos primarios</v>
          </cell>
          <cell r="K20" t="str">
            <v xml:space="preserve">Número de profesores que participan en Cideah / Total de profesores </v>
          </cell>
          <cell r="L20">
            <v>0</v>
          </cell>
          <cell r="M20">
            <v>0</v>
          </cell>
        </row>
        <row r="21">
          <cell r="B21" t="str">
            <v>1.1.1</v>
          </cell>
          <cell r="C21" t="str">
            <v>1.2.4</v>
          </cell>
          <cell r="D21" t="str">
            <v>Actualizar el perfil del Ingeniero Industrial y articularlo con el  proceso de mejoramiento continuo de los cursos.</v>
          </cell>
          <cell r="E21">
            <v>2011</v>
          </cell>
          <cell r="F21">
            <v>2015</v>
          </cell>
          <cell r="G21" t="str">
            <v>Director Departamento y Comité E</v>
          </cell>
          <cell r="H21" t="str">
            <v>Sub- Director Académico y Comité E</v>
          </cell>
          <cell r="I21">
            <v>0</v>
          </cell>
          <cell r="J21" t="str">
            <v>Mediciones directas</v>
          </cell>
          <cell r="K21" t="str">
            <v>Actualización del perfil del ingeniero industrial</v>
          </cell>
          <cell r="L21">
            <v>0</v>
          </cell>
          <cell r="M21">
            <v>0</v>
          </cell>
        </row>
        <row r="22">
          <cell r="B22" t="str">
            <v>1.5.4</v>
          </cell>
          <cell r="C22" t="str">
            <v>1.2.5</v>
          </cell>
          <cell r="D22" t="str">
            <v>Desarrollar mecanismos para la evaluar la efectividad del aprendizaje antes que la eficiencia de los mismos.</v>
          </cell>
          <cell r="E22">
            <v>2011</v>
          </cell>
          <cell r="F22">
            <v>2015</v>
          </cell>
          <cell r="G22" t="str">
            <v>Director Departamento y Comité D</v>
          </cell>
          <cell r="H22" t="str">
            <v>Sub- Director Académico y Comité D</v>
          </cell>
          <cell r="I22">
            <v>108326451.2</v>
          </cell>
          <cell r="J22" t="str">
            <v>Mediciones estadisticas</v>
          </cell>
          <cell r="K22" t="str">
            <v>Resultados en las medidas de desempeño de los mecanismos</v>
          </cell>
          <cell r="L22">
            <v>0</v>
          </cell>
          <cell r="M22">
            <v>0</v>
          </cell>
        </row>
        <row r="23">
          <cell r="B23" t="str">
            <v>1.5.5</v>
          </cell>
          <cell r="C23" t="str">
            <v>1.2.6</v>
          </cell>
          <cell r="D23" t="str">
            <v>Lograr explicitar unos principios metodológicos de enseñanza que estén de acuerdo con los profesores. Definir los posibles protocolos.</v>
          </cell>
          <cell r="E23">
            <v>2011</v>
          </cell>
          <cell r="F23">
            <v>2015</v>
          </cell>
          <cell r="G23" t="str">
            <v>Director Departamento y Comité D</v>
          </cell>
          <cell r="H23" t="str">
            <v>Sub- Director Académico y Comité D</v>
          </cell>
          <cell r="I23">
            <v>0</v>
          </cell>
          <cell r="J23" t="str">
            <v>Mediciones directas</v>
          </cell>
          <cell r="K23" t="str">
            <v>Innovaciones realizada en las metodologias de enseñanza</v>
          </cell>
          <cell r="L23">
            <v>0</v>
          </cell>
          <cell r="M23">
            <v>0</v>
          </cell>
        </row>
        <row r="24">
          <cell r="B24" t="str">
            <v>1.2.1</v>
          </cell>
          <cell r="C24" t="str">
            <v>1.2.7</v>
          </cell>
          <cell r="D24" t="str">
            <v>Desarrollar competencias básicas en los diferentes niveles: leer, hablar, escribir.</v>
          </cell>
          <cell r="E24">
            <v>2011</v>
          </cell>
          <cell r="F24">
            <v>2015</v>
          </cell>
          <cell r="G24" t="str">
            <v>Director Departamento y Comité D</v>
          </cell>
          <cell r="H24" t="str">
            <v>Cordinador de Programa y Comité D</v>
          </cell>
          <cell r="I24">
            <v>54163225.600000001</v>
          </cell>
          <cell r="J24" t="str">
            <v>Mediciones estadisticas</v>
          </cell>
          <cell r="K24" t="str">
            <v xml:space="preserve">Resultados en las Evaluaciones </v>
          </cell>
          <cell r="L24">
            <v>0</v>
          </cell>
          <cell r="M24">
            <v>0</v>
          </cell>
        </row>
        <row r="25">
          <cell r="B25" t="str">
            <v>Eliminada</v>
          </cell>
          <cell r="C25" t="str">
            <v>1.2.8</v>
          </cell>
          <cell r="D25" t="str">
            <v xml:space="preserve">Generar las condiciones para desarrollar un compromiso de aprendizaje permanente, autonomo( Sin necesidad de presiones) y ético. </v>
          </cell>
          <cell r="E25">
            <v>2011</v>
          </cell>
          <cell r="F25">
            <v>2015</v>
          </cell>
          <cell r="G25" t="str">
            <v>Director Departamento y Comité D</v>
          </cell>
          <cell r="H25" t="str">
            <v>Sub- Director Académico y Comité D</v>
          </cell>
          <cell r="I25">
            <v>0</v>
          </cell>
          <cell r="J25" t="str">
            <v>Mediciones directas</v>
          </cell>
          <cell r="K25" t="str">
            <v>Número de programas implementados y resultados de los mismos</v>
          </cell>
          <cell r="L25">
            <v>0</v>
          </cell>
          <cell r="M25">
            <v>0</v>
          </cell>
        </row>
        <row r="26">
          <cell r="B26" t="str">
            <v>1.2.2</v>
          </cell>
          <cell r="C26" t="str">
            <v>1.2.9</v>
          </cell>
          <cell r="D26" t="str">
            <v>Adelantar revisiones previas al desarrollo de los cursos, contando con profesores pares que revisen los contenidos, el material, las metodologías, los exámenes etc.</v>
          </cell>
          <cell r="E26">
            <v>2011</v>
          </cell>
          <cell r="F26">
            <v>2015</v>
          </cell>
          <cell r="G26" t="str">
            <v>Director Departamento y Comité B</v>
          </cell>
          <cell r="H26" t="str">
            <v>Sub- Director Académico y Comité B</v>
          </cell>
          <cell r="I26">
            <v>0</v>
          </cell>
          <cell r="J26" t="str">
            <v>Mediciones directas en los cursos</v>
          </cell>
          <cell r="K26" t="str">
            <v>Cursos que siguen el proceso de mejoramiento continuo / total de los cursos</v>
          </cell>
          <cell r="L26">
            <v>0</v>
          </cell>
          <cell r="M26">
            <v>0</v>
          </cell>
        </row>
        <row r="27">
          <cell r="B27" t="str">
            <v>1.2.3</v>
          </cell>
          <cell r="C27" t="str">
            <v>1.2.10</v>
          </cell>
          <cell r="D27" t="str">
            <v xml:space="preserve">Desarrollar entre los estudiantes mecanismos de aprendizaje "Entre Pares", hacer una planeación y disposición de espacios, proyectos, recursos e incentivos para esto. </v>
          </cell>
          <cell r="E27">
            <v>2011</v>
          </cell>
          <cell r="F27">
            <v>2015</v>
          </cell>
          <cell r="G27" t="str">
            <v>Director Departamento y Comité D</v>
          </cell>
          <cell r="H27" t="str">
            <v>Sub- Director Académico y Comité D</v>
          </cell>
          <cell r="I27">
            <v>54163225.600000001</v>
          </cell>
          <cell r="J27" t="str">
            <v>Estduios y datos secundarios</v>
          </cell>
          <cell r="K27" t="str">
            <v>Número de cursos que inviolucran trabajos entre pares / total de cursos</v>
          </cell>
          <cell r="L27">
            <v>0</v>
          </cell>
          <cell r="M27">
            <v>0</v>
          </cell>
        </row>
        <row r="28">
          <cell r="B28" t="str">
            <v>1.5.6</v>
          </cell>
          <cell r="C28" t="str">
            <v>1.2.11</v>
          </cell>
          <cell r="D28" t="str">
            <v>Conocer en profundidad la forma de aprender de los estudiantes. ¿Cómo estudian?, ¿cómo aprenden?, ¿qué es efectivo?. Esto debe ser un objeto de investigación permanente para el Departamento. Problematizar los inconvenientes que se tengan y documentarlas</v>
          </cell>
          <cell r="E28">
            <v>2011</v>
          </cell>
          <cell r="F28">
            <v>2015</v>
          </cell>
          <cell r="G28" t="str">
            <v>Director Departamento y Comité D</v>
          </cell>
          <cell r="H28" t="str">
            <v>Sub- Director Académico y Comité D</v>
          </cell>
          <cell r="I28">
            <v>0</v>
          </cell>
          <cell r="J28" t="str">
            <v>Mediciones directas</v>
          </cell>
          <cell r="K28" t="str">
            <v>Número de mejoras identificadas y implementadas en los cursos</v>
          </cell>
          <cell r="L28">
            <v>0</v>
          </cell>
          <cell r="M28">
            <v>0</v>
          </cell>
        </row>
        <row r="29">
          <cell r="B29" t="str">
            <v>1.5.7</v>
          </cell>
          <cell r="C29" t="str">
            <v>1.2.12</v>
          </cell>
          <cell r="D29" t="str">
            <v xml:space="preserve">Colocar algunos de los cursos y actividades de apoyo a la docencia en el OPENCOURSEWARE de MIT y relacionarlo con el proceso de mejoramiento continuo. </v>
          </cell>
          <cell r="E29">
            <v>2011</v>
          </cell>
          <cell r="F29">
            <v>2015</v>
          </cell>
          <cell r="G29" t="str">
            <v>Director Departamento y Comité C</v>
          </cell>
          <cell r="H29" t="str">
            <v>Sub- Director Académico y Comité C</v>
          </cell>
          <cell r="I29">
            <v>162489676.80000001</v>
          </cell>
          <cell r="J29" t="str">
            <v>Estudios y estadisticas en los cursos</v>
          </cell>
          <cell r="K29" t="str">
            <v>Desarrollos en los cursos mediante la colcación de algunos cursos en el OPEN COURSEWARE DE MIT</v>
          </cell>
          <cell r="L29">
            <v>0</v>
          </cell>
          <cell r="M29">
            <v>0</v>
          </cell>
        </row>
        <row r="30">
          <cell r="B30" t="str">
            <v>1.5.8</v>
          </cell>
          <cell r="C30" t="str">
            <v>1.2.13</v>
          </cell>
          <cell r="D30" t="str">
            <v>Realizar informes sobre el desarrollo de los cursos. Compartir experiencias en la relación alumno - profesor. Estos documentos pueden servir como insumo para los procesos de investigación del departamento</v>
          </cell>
          <cell r="E30">
            <v>2011</v>
          </cell>
          <cell r="F30">
            <v>2015</v>
          </cell>
          <cell r="G30" t="str">
            <v>Director Departamento y Comité D</v>
          </cell>
          <cell r="H30" t="str">
            <v>Sub- Director Académico y Comité D</v>
          </cell>
          <cell r="I30">
            <v>54163225.600000001</v>
          </cell>
          <cell r="J30" t="str">
            <v>Encuestas</v>
          </cell>
          <cell r="K30" t="str">
            <v>Desarrollos en la metodología de aprendizaje y enseñanza</v>
          </cell>
          <cell r="L30">
            <v>0</v>
          </cell>
          <cell r="M30">
            <v>0</v>
          </cell>
        </row>
        <row r="31">
          <cell r="B31" t="str">
            <v>1.2.5</v>
          </cell>
          <cell r="C31" t="str">
            <v>1.2.14</v>
          </cell>
          <cell r="D31" t="str">
            <v>Construir metologias y cursos basados en los procesos de comunicación y aprendizaje en estudiantes del siglo XXI</v>
          </cell>
          <cell r="E31">
            <v>2011</v>
          </cell>
          <cell r="F31">
            <v>2015</v>
          </cell>
          <cell r="G31" t="str">
            <v>Director Departamento y Comité D</v>
          </cell>
          <cell r="H31" t="str">
            <v>Sub- Director Académico y Comité D</v>
          </cell>
          <cell r="I31">
            <v>0</v>
          </cell>
          <cell r="J31" t="str">
            <v>Estudios en cu¿rso y Carpetas Abet</v>
          </cell>
          <cell r="K31" t="str">
            <v xml:space="preserve">Porcentaje de desarrollo metodologico de cursos </v>
          </cell>
          <cell r="L31">
            <v>0</v>
          </cell>
          <cell r="M31">
            <v>0</v>
          </cell>
        </row>
        <row r="32">
          <cell r="B32" t="str">
            <v>1.2.4</v>
          </cell>
          <cell r="C32" t="str">
            <v>1.2.15</v>
          </cell>
          <cell r="D32" t="str">
            <v>Desarrollar una mejor comprensión de los procesos de comunicación y aprendizaje en estudiantes del siglo XXI</v>
          </cell>
          <cell r="E32">
            <v>2011</v>
          </cell>
          <cell r="F32">
            <v>2015</v>
          </cell>
          <cell r="G32" t="str">
            <v>Director Departamento y Comités D, E</v>
          </cell>
          <cell r="H32" t="str">
            <v>Sub- Director Académico y Comites D y E</v>
          </cell>
          <cell r="I32">
            <v>0</v>
          </cell>
          <cell r="J32" t="str">
            <v>Carpetas Abet y estadisticas.</v>
          </cell>
          <cell r="K32" t="str">
            <v xml:space="preserve">Porcentaje de desarrollo metodologico de cursos </v>
          </cell>
          <cell r="L32">
            <v>0</v>
          </cell>
          <cell r="M32">
            <v>0</v>
          </cell>
        </row>
        <row r="33">
          <cell r="B33">
            <v>0</v>
          </cell>
          <cell r="C33" t="str">
            <v>1.2.16</v>
          </cell>
          <cell r="D33" t="str">
            <v>Implantar un pensum acorde con los principales cambios tecnológicos en los campos de la Ingeniería Industrial</v>
          </cell>
          <cell r="E33">
            <v>2011</v>
          </cell>
          <cell r="F33">
            <v>2015</v>
          </cell>
          <cell r="G33" t="str">
            <v>Director Departamento y Comité D</v>
          </cell>
          <cell r="H33" t="str">
            <v>Cordinador de Programa y Comité D</v>
          </cell>
          <cell r="I33">
            <v>541632256</v>
          </cell>
          <cell r="J33" t="str">
            <v>Esduios preliminares datos y estadisticas.</v>
          </cell>
          <cell r="K33" t="str">
            <v>Reformas desarrolladas  de acuerdos a los estudios realizados</v>
          </cell>
          <cell r="L33">
            <v>0</v>
          </cell>
          <cell r="M33">
            <v>0</v>
          </cell>
        </row>
        <row r="34">
          <cell r="B34" t="str">
            <v>4.2.1</v>
          </cell>
          <cell r="C34" t="str">
            <v>1.2.17</v>
          </cell>
          <cell r="D34" t="str">
            <v>Adoptar esquemas en donde las opciones se generan entre grupos de investigación.</v>
          </cell>
          <cell r="E34">
            <v>2011</v>
          </cell>
          <cell r="F34">
            <v>2015</v>
          </cell>
          <cell r="G34" t="str">
            <v>Director Departamento y Comité C</v>
          </cell>
          <cell r="H34" t="str">
            <v>Cordinador de Programa y Comité C</v>
          </cell>
          <cell r="I34">
            <v>0</v>
          </cell>
          <cell r="J34" t="str">
            <v>Estadisticas anuales</v>
          </cell>
          <cell r="K34" t="str">
            <v>Desarrollo implementados con los grupos de investigacón</v>
          </cell>
          <cell r="L34">
            <v>0</v>
          </cell>
          <cell r="M34">
            <v>0</v>
          </cell>
        </row>
        <row r="35">
          <cell r="B35" t="str">
            <v>1.2.12</v>
          </cell>
          <cell r="C35" t="str">
            <v>1.2.18</v>
          </cell>
          <cell r="D35" t="str">
            <v>Identificar las áreas de investigación con mayor fortaleza en el departamento y hacer un estudio de nuevas opciones con el fin de diversificar los programas que ofrece el Departamento y los perfiles de estudiantes.</v>
          </cell>
          <cell r="E35">
            <v>2011</v>
          </cell>
          <cell r="F35">
            <v>2015</v>
          </cell>
          <cell r="G35" t="str">
            <v>Director Departamento y Comité C</v>
          </cell>
          <cell r="H35" t="str">
            <v>Cordinador - ABET y Comité C</v>
          </cell>
          <cell r="I35">
            <v>108326451.2</v>
          </cell>
          <cell r="J35" t="str">
            <v>Por Definir</v>
          </cell>
          <cell r="K35" t="str">
            <v>Por Definir</v>
          </cell>
          <cell r="L35">
            <v>0</v>
          </cell>
          <cell r="M35">
            <v>0</v>
          </cell>
        </row>
        <row r="36">
          <cell r="B36" t="str">
            <v>1.2.7</v>
          </cell>
          <cell r="C36" t="str">
            <v>1.2.19</v>
          </cell>
          <cell r="D36" t="str">
            <v xml:space="preserve"> Integrar los conocimientos de los distintos cursos. Orientar algunos esfuerzos en el diseño de los cursos integradores. </v>
          </cell>
          <cell r="E36">
            <v>2011</v>
          </cell>
          <cell r="F36">
            <v>2015</v>
          </cell>
          <cell r="G36" t="str">
            <v>Director Departamento y Comité B</v>
          </cell>
          <cell r="H36" t="str">
            <v>Sub- Director de Investigación y Comité B</v>
          </cell>
          <cell r="I36">
            <v>0</v>
          </cell>
          <cell r="J36" t="str">
            <v>Por Definir</v>
          </cell>
          <cell r="K36" t="str">
            <v>Por Definir</v>
          </cell>
          <cell r="L36">
            <v>0</v>
          </cell>
          <cell r="M36">
            <v>0</v>
          </cell>
        </row>
        <row r="37">
          <cell r="B37" t="str">
            <v>4.4.1</v>
          </cell>
          <cell r="C37" t="str">
            <v>1.2.20</v>
          </cell>
          <cell r="D37" t="str">
            <v>Vincular la docencia con la investigación a través de la generación y publicación de material académico (libros de texto, casos, etc.) desde los procesos de investigación que se adelantan en los grupos.</v>
          </cell>
          <cell r="E37">
            <v>2011</v>
          </cell>
          <cell r="F37">
            <v>2015</v>
          </cell>
          <cell r="G37" t="str">
            <v>Director Departamento y Comites B y C</v>
          </cell>
          <cell r="H37" t="str">
            <v>Sub- Director de Investigación y Comites  B y C</v>
          </cell>
          <cell r="I37">
            <v>541632256</v>
          </cell>
          <cell r="J37" t="str">
            <v>Carpetas y reportes semestrales ABET</v>
          </cell>
          <cell r="K37" t="str">
            <v>Material docente desarrollado por curso y programa</v>
          </cell>
          <cell r="L37">
            <v>0</v>
          </cell>
          <cell r="M37">
            <v>0</v>
          </cell>
        </row>
        <row r="38">
          <cell r="B38" t="str">
            <v>1.3</v>
          </cell>
          <cell r="C38">
            <v>1.3</v>
          </cell>
          <cell r="D38" t="str">
            <v>Subobjetivo 1.3. Desarrollar nuevos programas de maestría</v>
          </cell>
          <cell r="E38">
            <v>2011</v>
          </cell>
          <cell r="F38">
            <v>2015</v>
          </cell>
          <cell r="G38" t="str">
            <v>Director Departamento</v>
          </cell>
          <cell r="H38" t="str">
            <v>Sub- Director Académico</v>
          </cell>
          <cell r="I38">
            <v>3303956761.5999999</v>
          </cell>
          <cell r="J38">
            <v>0</v>
          </cell>
          <cell r="K38">
            <v>0</v>
          </cell>
          <cell r="L38" t="str">
            <v>Número de estudiantes en maestria</v>
          </cell>
          <cell r="M38" t="str">
            <v>10  nuevos programas de maestría en el 2015.</v>
          </cell>
        </row>
        <row r="39">
          <cell r="B39" t="str">
            <v>1.3.1</v>
          </cell>
          <cell r="C39" t="str">
            <v>1.3.1</v>
          </cell>
          <cell r="D39" t="str">
            <v>Apartir del 2011 extender el proceso de mejoramiento continuo a la maestría.</v>
          </cell>
          <cell r="E39">
            <v>2011</v>
          </cell>
          <cell r="F39">
            <v>2015</v>
          </cell>
          <cell r="G39" t="str">
            <v>Director Departamento y Comité D</v>
          </cell>
          <cell r="H39" t="str">
            <v>Sub- Director Académico y Comité D</v>
          </cell>
          <cell r="I39">
            <v>541632256</v>
          </cell>
          <cell r="J39" t="str">
            <v>Mediciones Directas</v>
          </cell>
          <cell r="K39" t="str">
            <v>Programas con proceso de mejoramiento continuo</v>
          </cell>
          <cell r="L39">
            <v>0</v>
          </cell>
          <cell r="M39">
            <v>0</v>
          </cell>
        </row>
        <row r="40">
          <cell r="B40" t="str">
            <v>1.2.8</v>
          </cell>
          <cell r="C40" t="str">
            <v>1.3.2</v>
          </cell>
          <cell r="D40" t="str">
            <v>Aumentar los convenios (3x2) con universidades nacionales e internacionales para doble titulación como el de la universidad de Ibagué.</v>
          </cell>
          <cell r="E40">
            <v>2011</v>
          </cell>
          <cell r="F40">
            <v>2015</v>
          </cell>
          <cell r="G40" t="str">
            <v>Director Departamento y Comité A</v>
          </cell>
          <cell r="H40" t="str">
            <v>Sub- Director Académico</v>
          </cell>
          <cell r="I40">
            <v>812448384</v>
          </cell>
          <cell r="J40" t="str">
            <v>Datos directos</v>
          </cell>
          <cell r="K40" t="str">
            <v xml:space="preserve">Número de estudiantes vinculados a los convenios establecidos </v>
          </cell>
          <cell r="L40">
            <v>0</v>
          </cell>
          <cell r="M40">
            <v>0</v>
          </cell>
        </row>
        <row r="41">
          <cell r="B41" t="str">
            <v>3.1.1</v>
          </cell>
          <cell r="C41" t="str">
            <v>1.3.3</v>
          </cell>
          <cell r="D41" t="str">
            <v xml:space="preserve">Crecer en el número de estudiantes de las Maestrías de Profundización  de acuerdo con la disponibilidad de profesores y planta física principalmente. </v>
          </cell>
          <cell r="E41">
            <v>2011</v>
          </cell>
          <cell r="F41">
            <v>2015</v>
          </cell>
          <cell r="G41" t="str">
            <v>Director Departamento y Comité A</v>
          </cell>
          <cell r="H41" t="str">
            <v>Sub- Director Académico</v>
          </cell>
          <cell r="I41">
            <v>0</v>
          </cell>
          <cell r="J41" t="str">
            <v>Datos primarios y secundarios</v>
          </cell>
          <cell r="K41" t="str">
            <v>Número de estudiantes</v>
          </cell>
          <cell r="L41">
            <v>0</v>
          </cell>
          <cell r="M41">
            <v>0</v>
          </cell>
        </row>
        <row r="42">
          <cell r="B42" t="str">
            <v>1.3.2</v>
          </cell>
          <cell r="C42" t="str">
            <v>1.3.4</v>
          </cell>
          <cell r="D42" t="str">
            <v>Desarrollar maestrías combinadas ofrecidas conjuntamente con otros departamentos y facultades.</v>
          </cell>
          <cell r="E42">
            <v>2011</v>
          </cell>
          <cell r="F42">
            <v>2015</v>
          </cell>
          <cell r="G42" t="str">
            <v>Director Departamento y Comité A</v>
          </cell>
          <cell r="H42" t="str">
            <v>Sub- Director Académico</v>
          </cell>
          <cell r="I42">
            <v>0</v>
          </cell>
          <cell r="J42" t="str">
            <v>Datos primarios y secundarios</v>
          </cell>
          <cell r="K42" t="str">
            <v>Número de estudiantes</v>
          </cell>
          <cell r="L42">
            <v>0</v>
          </cell>
          <cell r="M42">
            <v>0</v>
          </cell>
        </row>
        <row r="43">
          <cell r="B43" t="str">
            <v>1.4.1</v>
          </cell>
          <cell r="C43" t="str">
            <v>1.3.5</v>
          </cell>
          <cell r="D43" t="str">
            <v>Analizar los programas de pregrado con el fin de definir núcleos sólidos, de tal manera que los estudiantes salgan con una opción certificada ligada con la maestría</v>
          </cell>
          <cell r="E43">
            <v>2011</v>
          </cell>
          <cell r="F43">
            <v>2015</v>
          </cell>
          <cell r="G43" t="str">
            <v>Director Departamento y Comites A y D</v>
          </cell>
          <cell r="H43" t="str">
            <v>Sub- Director Académico y Comites A y D</v>
          </cell>
          <cell r="I43">
            <v>0</v>
          </cell>
          <cell r="J43" t="str">
            <v>Mediciones directas</v>
          </cell>
          <cell r="K43" t="str">
            <v>Número  de convenios y opciones desarrolladas de acuerdo al perfil deseado en el ingeniero del siglo XXI</v>
          </cell>
          <cell r="L43">
            <v>0</v>
          </cell>
          <cell r="M43">
            <v>0</v>
          </cell>
        </row>
        <row r="44">
          <cell r="B44" t="str">
            <v>4.4.2</v>
          </cell>
          <cell r="C44" t="str">
            <v>1.3.6</v>
          </cell>
          <cell r="D44" t="str">
            <v>Incrementar la participación de estudiantes de maestría en la realización de trabajos de investigación que tengan un mayor impacto sobre la proyección social garantizando la generación de conocimiento socialmente nuevo.</v>
          </cell>
          <cell r="E44">
            <v>2011</v>
          </cell>
          <cell r="F44">
            <v>2015</v>
          </cell>
          <cell r="G44" t="str">
            <v>Director Departamento y Comité C</v>
          </cell>
          <cell r="H44" t="str">
            <v>Sub- Director Académico y Comité C</v>
          </cell>
          <cell r="I44">
            <v>324979353.60000002</v>
          </cell>
          <cell r="J44" t="str">
            <v>Mediciones directas</v>
          </cell>
          <cell r="K44" t="str">
            <v>Tesis de Maestría con un Impacto Social / Total de Tesis de Maestría</v>
          </cell>
          <cell r="L44">
            <v>0</v>
          </cell>
          <cell r="M44">
            <v>0</v>
          </cell>
        </row>
        <row r="45">
          <cell r="B45" t="str">
            <v>4.2.3</v>
          </cell>
          <cell r="C45" t="str">
            <v>1.3.7</v>
          </cell>
          <cell r="D45" t="str">
            <v xml:space="preserve">Incrementar el trabajo inter-grupos, inter-departamentos e inter-instituciones. Para incentivar el trabajo tanto individual como grupal. </v>
          </cell>
          <cell r="E45">
            <v>2011</v>
          </cell>
          <cell r="F45">
            <v>2015</v>
          </cell>
          <cell r="G45" t="str">
            <v>Director Departamento y Comité C</v>
          </cell>
          <cell r="H45" t="str">
            <v>Sub- Director de Investigación</v>
          </cell>
          <cell r="I45">
            <v>270816128</v>
          </cell>
          <cell r="J45" t="str">
            <v>Por Definir</v>
          </cell>
          <cell r="K45" t="str">
            <v>Por Definir</v>
          </cell>
          <cell r="L45">
            <v>0</v>
          </cell>
          <cell r="M45">
            <v>0</v>
          </cell>
        </row>
        <row r="46">
          <cell r="B46" t="str">
            <v>1.2.9</v>
          </cell>
          <cell r="C46" t="str">
            <v>1.3.8</v>
          </cell>
          <cell r="D46" t="str">
            <v>Fortalecer y mantener los programas de Maestría</v>
          </cell>
          <cell r="E46">
            <v>2011</v>
          </cell>
          <cell r="F46">
            <v>2015</v>
          </cell>
          <cell r="G46" t="str">
            <v>Director Departamento y Comité A</v>
          </cell>
          <cell r="H46" t="str">
            <v>Sub- Director Académico</v>
          </cell>
          <cell r="I46">
            <v>270816128</v>
          </cell>
          <cell r="J46" t="str">
            <v>Datos de estudiantes</v>
          </cell>
          <cell r="K46" t="str">
            <v>Número de estudiantes en Maestría</v>
          </cell>
          <cell r="L46">
            <v>0</v>
          </cell>
          <cell r="M46">
            <v>0</v>
          </cell>
        </row>
        <row r="47">
          <cell r="B47" t="str">
            <v>1.2.13</v>
          </cell>
          <cell r="C47" t="str">
            <v>1.3.9</v>
          </cell>
          <cell r="D47" t="str">
            <v>Mantener y desarrollar convenios con universidades que permitan a los estudiantes de pregrado y maestría certificaciones como Seis Sigma, Proyect Managment.</v>
          </cell>
          <cell r="E47">
            <v>2011</v>
          </cell>
          <cell r="F47">
            <v>2015</v>
          </cell>
          <cell r="G47" t="str">
            <v xml:space="preserve">Director Departamento y Comités A, C y  D </v>
          </cell>
          <cell r="H47" t="str">
            <v xml:space="preserve">Sub- Director Académico  y Comités A, C y  D </v>
          </cell>
          <cell r="I47">
            <v>1083264512</v>
          </cell>
          <cell r="J47" t="str">
            <v>Datos archivo y Jruidica</v>
          </cell>
          <cell r="K47" t="str">
            <v xml:space="preserve">Número de convenios que permitan certificaciones </v>
          </cell>
          <cell r="L47">
            <v>0</v>
          </cell>
          <cell r="M47">
            <v>0</v>
          </cell>
        </row>
        <row r="48">
          <cell r="B48" t="str">
            <v>1.4</v>
          </cell>
          <cell r="C48">
            <v>1.4</v>
          </cell>
          <cell r="D48" t="str">
            <v>Subobjetivo 1.4. Lograr la articulación de los programas de formación.</v>
          </cell>
          <cell r="E48">
            <v>2011</v>
          </cell>
          <cell r="F48">
            <v>2015</v>
          </cell>
          <cell r="G48" t="str">
            <v>Director Departamento</v>
          </cell>
          <cell r="H48" t="str">
            <v>Sub- Director Académico</v>
          </cell>
          <cell r="I48">
            <v>3060222246.4000001</v>
          </cell>
          <cell r="J48">
            <v>0</v>
          </cell>
          <cell r="K48">
            <v>0</v>
          </cell>
          <cell r="L48" t="str">
            <v>Número de estudiantes que ingresan por programa coterminal a la maestría / Total de estudiantes</v>
          </cell>
          <cell r="M48" t="str">
            <v>Incrementar el número de estudiantes en programa coterminal que ingresen a la maestría (El 50% del incremento se deberá a estudiantes del programa coterminal)</v>
          </cell>
        </row>
        <row r="49">
          <cell r="B49" t="str">
            <v>3.2.1</v>
          </cell>
          <cell r="C49" t="str">
            <v>1.4.1</v>
          </cell>
          <cell r="D49" t="str">
            <v>Lograr una composición más balanceada del profesorado por categoría (Asistente, Asociado y Titular), reducir el número de instructores y aumentar el número de estudiantes doctorales</v>
          </cell>
          <cell r="E49">
            <v>2011</v>
          </cell>
          <cell r="F49">
            <v>2015</v>
          </cell>
          <cell r="G49" t="str">
            <v>Director Departamento y Comites A, C</v>
          </cell>
          <cell r="H49" t="str">
            <v>Sub- Director Académico y Comites A, C</v>
          </cell>
          <cell r="I49">
            <v>1895712896</v>
          </cell>
          <cell r="J49" t="str">
            <v>Datos directos RH</v>
          </cell>
          <cell r="K49" t="str">
            <v>Número de profesores por categoría</v>
          </cell>
          <cell r="L49">
            <v>0</v>
          </cell>
          <cell r="M49">
            <v>0</v>
          </cell>
        </row>
        <row r="50">
          <cell r="B50" t="str">
            <v>1.3.2</v>
          </cell>
          <cell r="C50" t="str">
            <v>1.4.2</v>
          </cell>
          <cell r="D50" t="str">
            <v>Desarrollar maestrías combinadas ofrecidas conjuntamente con otros departamentos y facultades.</v>
          </cell>
          <cell r="E50">
            <v>2011</v>
          </cell>
          <cell r="F50">
            <v>2015</v>
          </cell>
          <cell r="G50" t="str">
            <v>Director Departamento y Comité A</v>
          </cell>
          <cell r="H50" t="str">
            <v>Sub- Director Académico</v>
          </cell>
          <cell r="I50">
            <v>0</v>
          </cell>
          <cell r="J50" t="str">
            <v>Datos primarios y secundarios</v>
          </cell>
          <cell r="K50" t="str">
            <v>Número de estudiantes</v>
          </cell>
          <cell r="L50">
            <v>0</v>
          </cell>
          <cell r="M50">
            <v>0</v>
          </cell>
        </row>
        <row r="51">
          <cell r="B51" t="str">
            <v>1.4.1</v>
          </cell>
          <cell r="C51" t="str">
            <v>1.4.3</v>
          </cell>
          <cell r="D51" t="str">
            <v>Analizar los programas de pregrado con el fin de definir núcleos sólidos, de tal manera que los estudiantes salgan con una opción certificada ligada con la maestría</v>
          </cell>
          <cell r="E51">
            <v>2011</v>
          </cell>
          <cell r="F51">
            <v>2015</v>
          </cell>
          <cell r="G51" t="str">
            <v>Director Departamento y Comites A y D</v>
          </cell>
          <cell r="H51" t="str">
            <v>Sub- Director Académico y Comites A y D</v>
          </cell>
          <cell r="I51">
            <v>0</v>
          </cell>
          <cell r="J51" t="str">
            <v>Mediciones directas</v>
          </cell>
          <cell r="K51" t="str">
            <v>Número  de convenios y opciones desarrolladas de acuerdo al perfil deseado en el ingeniero del siglo XXI</v>
          </cell>
          <cell r="L51">
            <v>0</v>
          </cell>
          <cell r="M51">
            <v>0</v>
          </cell>
        </row>
        <row r="52">
          <cell r="B52" t="str">
            <v>4.4.2</v>
          </cell>
          <cell r="C52" t="str">
            <v>1.4.4</v>
          </cell>
          <cell r="D52" t="str">
            <v>Incrementar la participación de estudiantes de maestría en la realización de trabajos de investigación que tengan un mayor impacto sobre la proyección social garantizando la generación de conocimiento socialmente nuevo.</v>
          </cell>
          <cell r="E52">
            <v>2011</v>
          </cell>
          <cell r="F52">
            <v>2015</v>
          </cell>
          <cell r="G52" t="str">
            <v>Director Departamento y Comité C</v>
          </cell>
          <cell r="H52" t="str">
            <v>Sub- Director Académico y Comité C</v>
          </cell>
          <cell r="I52">
            <v>0</v>
          </cell>
          <cell r="J52" t="str">
            <v>Mediciones directas</v>
          </cell>
          <cell r="K52" t="str">
            <v>Trabajos de grado con impacto social / Total de trabajos de grado</v>
          </cell>
          <cell r="L52">
            <v>0</v>
          </cell>
          <cell r="M52">
            <v>0</v>
          </cell>
        </row>
        <row r="53">
          <cell r="B53" t="str">
            <v>4.4.3</v>
          </cell>
          <cell r="C53" t="str">
            <v>1.4.5</v>
          </cell>
          <cell r="D53" t="str">
            <v xml:space="preserve">Fortalecer trabajos, académicos  donde se incentive la realización de problemas abiertos(Como la tesis) y supervisarlos con el apoyo docente. </v>
          </cell>
          <cell r="E53">
            <v>2011</v>
          </cell>
          <cell r="F53">
            <v>2015</v>
          </cell>
          <cell r="G53" t="str">
            <v>Director Departamento y Comités C y D</v>
          </cell>
          <cell r="H53" t="str">
            <v>Sub- Director Académico y Comités C y D</v>
          </cell>
          <cell r="I53">
            <v>81244838.400000006</v>
          </cell>
          <cell r="J53" t="str">
            <v>Por Definir</v>
          </cell>
          <cell r="K53" t="str">
            <v>Por Definir</v>
          </cell>
          <cell r="L53">
            <v>0</v>
          </cell>
          <cell r="M53">
            <v>0</v>
          </cell>
        </row>
        <row r="54">
          <cell r="B54" t="str">
            <v>3.1.2</v>
          </cell>
          <cell r="C54" t="str">
            <v>1.4.6</v>
          </cell>
          <cell r="D54" t="str">
            <v>Atraer estudiantes de la maestría para que realicen su doctorado con profesores del departamento</v>
          </cell>
          <cell r="E54">
            <v>2011</v>
          </cell>
          <cell r="F54">
            <v>2015</v>
          </cell>
          <cell r="G54" t="str">
            <v>Director Departamento y Comité A</v>
          </cell>
          <cell r="H54" t="str">
            <v>Sub- Director Académico</v>
          </cell>
          <cell r="I54">
            <v>541632256</v>
          </cell>
          <cell r="J54" t="str">
            <v>Datos internos</v>
          </cell>
          <cell r="K54" t="str">
            <v>Porcentaje de Estudiantes de Doctorado que Vienen de la Maestría</v>
          </cell>
          <cell r="L54">
            <v>0</v>
          </cell>
          <cell r="M54">
            <v>0</v>
          </cell>
        </row>
        <row r="55">
          <cell r="B55" t="str">
            <v>1.4.2</v>
          </cell>
          <cell r="C55" t="str">
            <v>1.4.7</v>
          </cell>
          <cell r="D55" t="str">
            <v>Adoptar esquemas en donde  los doctorados se generan entre universidades.</v>
          </cell>
          <cell r="E55">
            <v>2011</v>
          </cell>
          <cell r="F55">
            <v>2015</v>
          </cell>
          <cell r="G55" t="str">
            <v>Director Departamento y Comité A</v>
          </cell>
          <cell r="H55" t="str">
            <v>Sub- Director Académico</v>
          </cell>
          <cell r="I55">
            <v>541632256</v>
          </cell>
          <cell r="J55" t="str">
            <v>Mediciones Directas</v>
          </cell>
          <cell r="K55" t="str">
            <v>Número de estduiantes de doctorado que vienen de la maestría/ Total de estudiantes</v>
          </cell>
          <cell r="L55">
            <v>0</v>
          </cell>
          <cell r="M55">
            <v>0</v>
          </cell>
        </row>
        <row r="56">
          <cell r="B56" t="str">
            <v>1.5</v>
          </cell>
          <cell r="C56">
            <v>1.5</v>
          </cell>
          <cell r="D56" t="str">
            <v>Subobjetivo 1.5. Mantener un sistema de calidad.</v>
          </cell>
          <cell r="E56">
            <v>2011</v>
          </cell>
          <cell r="F56">
            <v>2015</v>
          </cell>
          <cell r="G56" t="str">
            <v>Director Departamento</v>
          </cell>
          <cell r="H56" t="str">
            <v>Cordinador - ABET</v>
          </cell>
          <cell r="I56">
            <v>1354080640</v>
          </cell>
          <cell r="J56">
            <v>0</v>
          </cell>
          <cell r="K56">
            <v>0</v>
          </cell>
          <cell r="L56" t="str">
            <v>Programas de pregrado Acreditados por ABET</v>
          </cell>
          <cell r="M56" t="str">
            <v> Todos los programas de pregrado acreditados por ABET en el 2012. Extender la acreditación a los programas de posgrado.</v>
          </cell>
        </row>
        <row r="57">
          <cell r="B57" t="str">
            <v>1.5.9</v>
          </cell>
          <cell r="C57" t="str">
            <v>1.5.1</v>
          </cell>
          <cell r="D57" t="str">
            <v>Aplicar anualmente el proceso de mejoramiento continuo en los cursos obligatorios del programa.</v>
          </cell>
          <cell r="E57">
            <v>2011</v>
          </cell>
          <cell r="F57">
            <v>2015</v>
          </cell>
          <cell r="G57" t="str">
            <v>Director Departamento y Comité D</v>
          </cell>
          <cell r="H57" t="str">
            <v>Cordinador - ABET y Comité D</v>
          </cell>
          <cell r="I57">
            <v>0</v>
          </cell>
          <cell r="J57" t="str">
            <v>Mediciones directasen los cursos</v>
          </cell>
          <cell r="K57" t="str">
            <v>Número de cursos aplicando el proceso de mejoramiento continuo / Total de cursos Obligatorios</v>
          </cell>
          <cell r="L57">
            <v>0</v>
          </cell>
          <cell r="M57">
            <v>0</v>
          </cell>
        </row>
        <row r="58">
          <cell r="B58" t="str">
            <v>1.5.10</v>
          </cell>
          <cell r="C58" t="str">
            <v>1.5.2</v>
          </cell>
          <cell r="D58" t="str">
            <v>Apartir del 2011 extender el proceso de mejoramiento continuo a la maestría.</v>
          </cell>
          <cell r="E58">
            <v>2011</v>
          </cell>
          <cell r="F58">
            <v>2015</v>
          </cell>
          <cell r="G58" t="str">
            <v>Director Departamento y Comité D</v>
          </cell>
          <cell r="H58" t="str">
            <v>Cordinador - ABET y Comité D</v>
          </cell>
          <cell r="I58">
            <v>0</v>
          </cell>
          <cell r="J58" t="str">
            <v>Mediciones Directas</v>
          </cell>
          <cell r="K58" t="str">
            <v>Programas con proceso de mejoramiento continuo</v>
          </cell>
          <cell r="L58">
            <v>0</v>
          </cell>
          <cell r="M58">
            <v>0</v>
          </cell>
        </row>
        <row r="59">
          <cell r="B59" t="str">
            <v>2.1.2</v>
          </cell>
          <cell r="C59" t="str">
            <v>1.5.3</v>
          </cell>
          <cell r="D59" t="str">
            <v>Apoyar la presencia de los profesores en eventos y seminarios sobre educación superior</v>
          </cell>
          <cell r="E59">
            <v>2011</v>
          </cell>
          <cell r="F59">
            <v>2015</v>
          </cell>
          <cell r="G59" t="str">
            <v>Director Departamento y Comité C</v>
          </cell>
          <cell r="H59" t="str">
            <v>Cordinador - ABET y Comité C</v>
          </cell>
          <cell r="I59">
            <v>324979353.60000002</v>
          </cell>
          <cell r="J59" t="str">
            <v>Mediciones Directas</v>
          </cell>
          <cell r="K59" t="str">
            <v>Número de eventos en los que participan los profes / total de profesores</v>
          </cell>
          <cell r="L59">
            <v>0</v>
          </cell>
          <cell r="M59">
            <v>0</v>
          </cell>
        </row>
        <row r="60">
          <cell r="B60" t="str">
            <v>2.1.3</v>
          </cell>
          <cell r="C60" t="str">
            <v>1.5.4</v>
          </cell>
          <cell r="D60" t="str">
            <v>Apoyar a la planta profesoral del Departamento se convierta en un elemento importante para la obtención de acreditación nacional</v>
          </cell>
          <cell r="E60">
            <v>2011</v>
          </cell>
          <cell r="F60">
            <v>2015</v>
          </cell>
          <cell r="G60" t="str">
            <v>Director Departamento y Comités D, E</v>
          </cell>
          <cell r="H60" t="str">
            <v xml:space="preserve">Cordinador - ABET y Comites D y E </v>
          </cell>
          <cell r="I60">
            <v>270816128</v>
          </cell>
          <cell r="J60" t="str">
            <v>Mediciones directas</v>
          </cell>
          <cell r="K60" t="str">
            <v>Porcentaje de profesores participando en el proceso de acreditación</v>
          </cell>
          <cell r="L60">
            <v>0</v>
          </cell>
          <cell r="M60">
            <v>0</v>
          </cell>
        </row>
        <row r="61">
          <cell r="B61" t="str">
            <v>2.1.1</v>
          </cell>
          <cell r="C61" t="str">
            <v>1.5.5</v>
          </cell>
          <cell r="D61" t="str">
            <v>Apoyar a la planta profesoral del Departamento se convierta en un elemento importante para la obtención de acreditación internacional.</v>
          </cell>
          <cell r="E61">
            <v>2011</v>
          </cell>
          <cell r="F61">
            <v>2015</v>
          </cell>
          <cell r="G61" t="str">
            <v>Director Departamento y Comité C</v>
          </cell>
          <cell r="H61" t="str">
            <v>Cordinador - ABET y Comité C</v>
          </cell>
          <cell r="I61">
            <v>270816128</v>
          </cell>
          <cell r="J61" t="str">
            <v>Datos primarios</v>
          </cell>
          <cell r="K61" t="str">
            <v>Porcentaje de profesores participando en el proceso de acreditación</v>
          </cell>
          <cell r="L61">
            <v>0</v>
          </cell>
          <cell r="M61">
            <v>0</v>
          </cell>
        </row>
        <row r="62">
          <cell r="B62" t="str">
            <v>Eliminada</v>
          </cell>
          <cell r="C62" t="str">
            <v>1.5.6</v>
          </cell>
          <cell r="D62" t="str">
            <v>En el 2016 presentarse a la acretación conjunta de los programas de pregrado y maestría</v>
          </cell>
          <cell r="E62">
            <v>2011</v>
          </cell>
          <cell r="F62">
            <v>2015</v>
          </cell>
          <cell r="G62" t="str">
            <v>Director Departamento y Comité A</v>
          </cell>
          <cell r="H62" t="str">
            <v>Cordinador - ABET y Comité A</v>
          </cell>
          <cell r="I62">
            <v>0</v>
          </cell>
          <cell r="J62" t="str">
            <v>Por Definir</v>
          </cell>
          <cell r="K62" t="str">
            <v>Por Definir</v>
          </cell>
          <cell r="L62">
            <v>0</v>
          </cell>
          <cell r="M62">
            <v>0</v>
          </cell>
        </row>
        <row r="63">
          <cell r="B63" t="str">
            <v>1.5.3</v>
          </cell>
          <cell r="C63" t="str">
            <v>1.5.7</v>
          </cell>
          <cell r="D63" t="str">
            <v>Participar anualmente en el CIDEAH y hacer un Benchmark del programa con universidades de primer nivel.</v>
          </cell>
          <cell r="E63">
            <v>2011</v>
          </cell>
          <cell r="F63">
            <v>2015</v>
          </cell>
          <cell r="G63" t="str">
            <v>Director Departamento y Comité D</v>
          </cell>
          <cell r="H63" t="str">
            <v>Cordinador - ABET y Comité D</v>
          </cell>
          <cell r="I63">
            <v>0</v>
          </cell>
          <cell r="J63" t="str">
            <v>Datos primarios</v>
          </cell>
          <cell r="K63" t="str">
            <v xml:space="preserve">Número de profesores que participan en Cideah / Total de profesores </v>
          </cell>
          <cell r="L63">
            <v>0</v>
          </cell>
          <cell r="M63">
            <v>0</v>
          </cell>
        </row>
        <row r="64">
          <cell r="B64" t="str">
            <v>1.5.11</v>
          </cell>
          <cell r="C64" t="str">
            <v>1.5.8</v>
          </cell>
          <cell r="D64" t="str">
            <v>Medir el impacto de las maestrias de profundización para las empresas</v>
          </cell>
          <cell r="E64">
            <v>2011</v>
          </cell>
          <cell r="F64">
            <v>2015</v>
          </cell>
          <cell r="G64" t="str">
            <v>Director Departamento</v>
          </cell>
          <cell r="H64" t="str">
            <v>Sub- Director de Investigación</v>
          </cell>
          <cell r="I64">
            <v>216652902.40000001</v>
          </cell>
          <cell r="J64" t="str">
            <v>Datos Graduando y estadisticas</v>
          </cell>
          <cell r="K64" t="str">
            <v>Número de proyectos de grado  con impacto en el sector externo / total de proyectos</v>
          </cell>
          <cell r="L64">
            <v>0</v>
          </cell>
          <cell r="M64">
            <v>0</v>
          </cell>
        </row>
        <row r="65">
          <cell r="B65" t="str">
            <v>1.2.12</v>
          </cell>
          <cell r="C65" t="str">
            <v>1.5.9</v>
          </cell>
          <cell r="D65" t="str">
            <v>Identificar las áreas de investigación con mayor fortaleza en el departamento y hacer un estudio de nuevas opciones con el fin de diversificar los programas que ofrece el Departamento y los perfiles de estudiantes.</v>
          </cell>
          <cell r="E65">
            <v>2011</v>
          </cell>
          <cell r="F65">
            <v>2015</v>
          </cell>
          <cell r="G65" t="str">
            <v>Director Departamento y Comité C</v>
          </cell>
          <cell r="H65" t="str">
            <v>Cordinador - ABET y Comité C</v>
          </cell>
          <cell r="I65">
            <v>0</v>
          </cell>
          <cell r="J65" t="str">
            <v>Por Definir</v>
          </cell>
          <cell r="K65" t="str">
            <v>Por Definir</v>
          </cell>
          <cell r="L65">
            <v>0</v>
          </cell>
          <cell r="M65">
            <v>0</v>
          </cell>
        </row>
        <row r="66">
          <cell r="B66" t="str">
            <v>2.1.4</v>
          </cell>
          <cell r="C66" t="str">
            <v>1.5.10</v>
          </cell>
          <cell r="D66" t="str">
            <v>Capacitar un profesor por año para que sea par evaluador de ABET</v>
          </cell>
          <cell r="E66">
            <v>2011</v>
          </cell>
          <cell r="F66">
            <v>2015</v>
          </cell>
          <cell r="G66" t="str">
            <v>Director Departamento y Comités A, B, C, D, y E</v>
          </cell>
          <cell r="H66" t="str">
            <v>Cordinador - ABET y Comités A, B, C, D, y E</v>
          </cell>
          <cell r="I66">
            <v>270816128</v>
          </cell>
          <cell r="J66" t="str">
            <v>Mediciones Directas</v>
          </cell>
          <cell r="K66" t="str">
            <v>Número de profesores capacitados por año</v>
          </cell>
          <cell r="L66">
            <v>0</v>
          </cell>
          <cell r="M66">
            <v>0</v>
          </cell>
        </row>
        <row r="67">
          <cell r="B67">
            <v>4</v>
          </cell>
          <cell r="C67">
            <v>2</v>
          </cell>
          <cell r="D67" t="str">
            <v>Objetivo 2: Fortalecer la investigación</v>
          </cell>
          <cell r="E67">
            <v>2011</v>
          </cell>
          <cell r="F67">
            <v>2015</v>
          </cell>
          <cell r="G67" t="str">
            <v>Director Departamento</v>
          </cell>
          <cell r="H67" t="str">
            <v>Sub- Director de Investigación</v>
          </cell>
          <cell r="I67">
            <v>0</v>
          </cell>
          <cell r="J67">
            <v>0</v>
          </cell>
          <cell r="K67">
            <v>0</v>
          </cell>
          <cell r="L67">
            <v>0</v>
          </cell>
          <cell r="M67">
            <v>0</v>
          </cell>
        </row>
        <row r="68">
          <cell r="B68" t="str">
            <v>4.1</v>
          </cell>
          <cell r="C68">
            <v>2.1</v>
          </cell>
          <cell r="D68" t="str">
            <v>Subobjetivo 2.1. Desarrollar las Líneas Estratégicas de la Facultad</v>
          </cell>
          <cell r="E68">
            <v>2011</v>
          </cell>
          <cell r="F68">
            <v>2015</v>
          </cell>
          <cell r="G68" t="str">
            <v>Director Departamento</v>
          </cell>
          <cell r="H68" t="str">
            <v>Sub- Director de Investigación</v>
          </cell>
          <cell r="I68">
            <v>2332903742.3111272</v>
          </cell>
          <cell r="J68">
            <v>0</v>
          </cell>
          <cell r="K68">
            <v>0</v>
          </cell>
          <cell r="L68" t="str">
            <v>Porcentaje de profesores reconocidos en investigación</v>
          </cell>
          <cell r="M68" t="str">
            <v xml:space="preserve">·  Al menos 4 líneas de investigación consolidadas en el 2015. (*) </v>
          </cell>
        </row>
        <row r="69">
          <cell r="B69" t="str">
            <v>6.1.1</v>
          </cell>
          <cell r="C69" t="str">
            <v>2.1.1</v>
          </cell>
          <cell r="D69" t="str">
            <v>Medir el impacto de las maestrias de profundización para las empresas</v>
          </cell>
          <cell r="E69">
            <v>2011</v>
          </cell>
          <cell r="F69">
            <v>2015</v>
          </cell>
          <cell r="G69" t="str">
            <v>Director Departamento</v>
          </cell>
          <cell r="H69" t="str">
            <v>Sub- Director de Investigación</v>
          </cell>
          <cell r="I69">
            <v>0</v>
          </cell>
          <cell r="J69" t="str">
            <v>Datos Graduando y estadisticas</v>
          </cell>
          <cell r="K69" t="str">
            <v>Número de proyectos de grado  con impacto en el sector externo / total de proyectos</v>
          </cell>
          <cell r="L69">
            <v>0</v>
          </cell>
          <cell r="M69">
            <v>0</v>
          </cell>
        </row>
        <row r="70">
          <cell r="B70" t="str">
            <v>4.1.1</v>
          </cell>
          <cell r="C70" t="str">
            <v>2.1.2</v>
          </cell>
          <cell r="D70" t="str">
            <v xml:space="preserve">Establecer una política de consultoría enfocada a la investigación por procesos y no por resultados. Además buscar alianzas con entes internacionales para complementarla. </v>
          </cell>
          <cell r="E70">
            <v>2011</v>
          </cell>
          <cell r="F70">
            <v>2015</v>
          </cell>
          <cell r="G70" t="str">
            <v>Director Departamento y Comité C</v>
          </cell>
          <cell r="H70" t="str">
            <v>Sub- Director de Investigación y Comité C</v>
          </cell>
          <cell r="I70">
            <v>0</v>
          </cell>
          <cell r="J70" t="str">
            <v>Por Definir</v>
          </cell>
          <cell r="K70" t="str">
            <v>Por Definir</v>
          </cell>
          <cell r="L70">
            <v>0</v>
          </cell>
          <cell r="M70">
            <v>0</v>
          </cell>
        </row>
        <row r="71">
          <cell r="B71" t="str">
            <v>4.2.2</v>
          </cell>
          <cell r="C71" t="str">
            <v>2.1.3</v>
          </cell>
          <cell r="D71" t="str">
            <v>Adoptar esquemas en donde los doctorados se generan entre universidades.</v>
          </cell>
          <cell r="E71">
            <v>2011</v>
          </cell>
          <cell r="F71">
            <v>2015</v>
          </cell>
          <cell r="G71" t="str">
            <v>Director Departamento y Comité A</v>
          </cell>
          <cell r="H71" t="str">
            <v>Sub- Director de Investigación</v>
          </cell>
          <cell r="I71">
            <v>0</v>
          </cell>
          <cell r="J71" t="str">
            <v>Mediciones Directas</v>
          </cell>
          <cell r="K71" t="str">
            <v>Número de estduiantes de doctorado que vienen de la maestría/ Total de estudiantes</v>
          </cell>
          <cell r="L71">
            <v>0</v>
          </cell>
          <cell r="M71">
            <v>0</v>
          </cell>
        </row>
        <row r="72">
          <cell r="B72" t="str">
            <v>4.1.2</v>
          </cell>
          <cell r="C72" t="str">
            <v>2.1.4</v>
          </cell>
          <cell r="D72" t="str">
            <v xml:space="preserve"> Vincular estudiantes de distintos niveles (pregrado, maestría) en la realización de trabajos de investigación para apoyo y desarrollos que aporten a las líneas de investigación definidas por los grupos.</v>
          </cell>
          <cell r="E72">
            <v>2011</v>
          </cell>
          <cell r="F72">
            <v>2015</v>
          </cell>
          <cell r="G72" t="str">
            <v>Director Departamento y Comites A, C</v>
          </cell>
          <cell r="H72" t="str">
            <v>Sub- Director de Investigación y Comites A y C</v>
          </cell>
          <cell r="I72">
            <v>0</v>
          </cell>
          <cell r="J72" t="str">
            <v>Por Definir</v>
          </cell>
          <cell r="K72" t="str">
            <v>Por Definir</v>
          </cell>
          <cell r="L72">
            <v>0</v>
          </cell>
          <cell r="M72">
            <v>0</v>
          </cell>
        </row>
        <row r="73">
          <cell r="B73" t="str">
            <v>2.1.5</v>
          </cell>
          <cell r="C73" t="str">
            <v>2.1.5</v>
          </cell>
          <cell r="D73" t="str">
            <v>Apoyar a los profesores para que participen dentro de las lines  de investigación.</v>
          </cell>
          <cell r="E73">
            <v>2011</v>
          </cell>
          <cell r="F73">
            <v>2015</v>
          </cell>
          <cell r="G73" t="str">
            <v>Director Departamento y Comité C</v>
          </cell>
          <cell r="H73" t="str">
            <v>Sub- Director de Investigación y Comité C</v>
          </cell>
          <cell r="I73">
            <v>541632256</v>
          </cell>
          <cell r="J73" t="str">
            <v>Dastos primarios y secundarios</v>
          </cell>
          <cell r="K73" t="str">
            <v>Número de profesores participando en las lineas de investigación / total de profesores.</v>
          </cell>
          <cell r="L73">
            <v>0</v>
          </cell>
          <cell r="M73">
            <v>0</v>
          </cell>
        </row>
        <row r="74">
          <cell r="B74" t="str">
            <v>4.1.3</v>
          </cell>
          <cell r="C74" t="str">
            <v>2.1.6</v>
          </cell>
          <cell r="D74" t="str">
            <v>Apoyar a la facultad para el desarrollo de las lineas de investigación.</v>
          </cell>
          <cell r="E74">
            <v>2011</v>
          </cell>
          <cell r="F74">
            <v>2015</v>
          </cell>
          <cell r="G74" t="str">
            <v>Director Departamento y Comité C</v>
          </cell>
          <cell r="H74" t="str">
            <v>Sub- Director de Investigación y Comité C</v>
          </cell>
          <cell r="I74">
            <v>541632256</v>
          </cell>
          <cell r="J74" t="str">
            <v>Datos financieros</v>
          </cell>
          <cell r="K74" t="str">
            <v>Recursos detinados al fortalecimiento de las lineas de investigación</v>
          </cell>
          <cell r="L74">
            <v>0</v>
          </cell>
          <cell r="M74">
            <v>0</v>
          </cell>
        </row>
        <row r="75">
          <cell r="B75" t="str">
            <v>4.2.4</v>
          </cell>
          <cell r="C75" t="str">
            <v>2.1.7</v>
          </cell>
          <cell r="D75" t="str">
            <v>Propender la toma decisiones autónomas (responsablemente) por parte de los grupos de investigación para la obtención de recursos y escogencias de líneas de investigación.</v>
          </cell>
          <cell r="E75">
            <v>2011</v>
          </cell>
          <cell r="F75">
            <v>2015</v>
          </cell>
          <cell r="G75" t="str">
            <v>Director Departamento y Comité C</v>
          </cell>
          <cell r="H75" t="str">
            <v>Sub- Director de Investigación y Comité C</v>
          </cell>
          <cell r="I75">
            <v>270816128</v>
          </cell>
          <cell r="J75" t="str">
            <v>Por Definir</v>
          </cell>
          <cell r="K75" t="str">
            <v>Por Definir</v>
          </cell>
          <cell r="L75">
            <v>0</v>
          </cell>
          <cell r="M75">
            <v>0</v>
          </cell>
        </row>
        <row r="76">
          <cell r="B76" t="str">
            <v>4.4.4</v>
          </cell>
          <cell r="C76" t="str">
            <v>2.1.8</v>
          </cell>
          <cell r="D76" t="str">
            <v>Aumentar el número de publicaciones de los grupos de investigación, en particular aquellas en revistas arbitradas e indexadas.</v>
          </cell>
          <cell r="E76">
            <v>2011</v>
          </cell>
          <cell r="F76">
            <v>2015</v>
          </cell>
          <cell r="G76" t="str">
            <v>Director Departamento y Comité C</v>
          </cell>
          <cell r="H76" t="str">
            <v>Sub- Director de Investigación y Comité C</v>
          </cell>
          <cell r="I76">
            <v>978823102.31112707</v>
          </cell>
          <cell r="J76" t="str">
            <v>ISI web</v>
          </cell>
          <cell r="K76" t="str">
            <v>Número de piublicaciones ISI por año</v>
          </cell>
          <cell r="L76">
            <v>0</v>
          </cell>
          <cell r="M76">
            <v>0</v>
          </cell>
        </row>
        <row r="77">
          <cell r="B77" t="str">
            <v>4.2.3</v>
          </cell>
          <cell r="C77" t="str">
            <v>2.1.9</v>
          </cell>
          <cell r="D77" t="str">
            <v xml:space="preserve">Incrementar el trabajo inter-grupos, inter-departamentos e inter-instituciones. Para incentivar el trabajo tanto individual como grupal. </v>
          </cell>
          <cell r="E77">
            <v>2011</v>
          </cell>
          <cell r="F77">
            <v>2015</v>
          </cell>
          <cell r="G77" t="str">
            <v>Director Departamento y Comité C</v>
          </cell>
          <cell r="H77" t="str">
            <v>Sub- Director de Investigación y Comité C</v>
          </cell>
          <cell r="I77">
            <v>0</v>
          </cell>
          <cell r="J77" t="str">
            <v>Por Definir</v>
          </cell>
          <cell r="K77" t="str">
            <v>Por Definir</v>
          </cell>
          <cell r="L77">
            <v>0</v>
          </cell>
          <cell r="M77">
            <v>0</v>
          </cell>
        </row>
        <row r="78">
          <cell r="B78" t="str">
            <v>4.2</v>
          </cell>
          <cell r="C78">
            <v>2.2000000000000002</v>
          </cell>
          <cell r="D78" t="str">
            <v>Subobjetivo 2.2. Fortalecer el doctorado.</v>
          </cell>
          <cell r="E78">
            <v>2011</v>
          </cell>
          <cell r="F78">
            <v>2015</v>
          </cell>
          <cell r="G78" t="str">
            <v>Director Departamento</v>
          </cell>
          <cell r="H78" t="str">
            <v>Sub- Director de Investigación</v>
          </cell>
          <cell r="I78">
            <v>54163225.600000001</v>
          </cell>
          <cell r="J78">
            <v>0</v>
          </cell>
          <cell r="K78">
            <v>0</v>
          </cell>
          <cell r="L78" t="str">
            <v>Porcentaje de profesores habilitados asesorando estudiantes de doctorado</v>
          </cell>
          <cell r="M78" t="str">
            <v>·  Todos los profesores habilitados asesorando al menos 2 estudiantes de doctorado en el 2015.</v>
          </cell>
        </row>
        <row r="79">
          <cell r="B79" t="str">
            <v>3.1.2</v>
          </cell>
          <cell r="C79" t="str">
            <v>2.2.1</v>
          </cell>
          <cell r="D79" t="str">
            <v>Atraer estudiantes de la maestría para que realicen su doctorado con profesores del departamento</v>
          </cell>
          <cell r="E79">
            <v>2011</v>
          </cell>
          <cell r="F79">
            <v>2015</v>
          </cell>
          <cell r="G79" t="str">
            <v>Director Departamento y Comité A</v>
          </cell>
          <cell r="H79" t="str">
            <v>Sub- Director Académico</v>
          </cell>
          <cell r="I79">
            <v>0</v>
          </cell>
          <cell r="J79" t="str">
            <v>Datos internos</v>
          </cell>
          <cell r="K79" t="str">
            <v>Porcentaje de Estudiantes de Doctorado que Vienen de la Maestría</v>
          </cell>
          <cell r="L79">
            <v>0</v>
          </cell>
          <cell r="M79">
            <v>0</v>
          </cell>
        </row>
        <row r="80">
          <cell r="B80" t="str">
            <v>4.2.4</v>
          </cell>
          <cell r="C80" t="str">
            <v>2.2.2</v>
          </cell>
          <cell r="D80" t="str">
            <v>Propender la toma decisiones autónomas (responsablemente) por parte de los grupos de investigación para la obtención de recursos y escogencias de líneas de investigación.</v>
          </cell>
          <cell r="E80">
            <v>2011</v>
          </cell>
          <cell r="F80">
            <v>2015</v>
          </cell>
          <cell r="G80" t="str">
            <v>Director Departamento y Comité C</v>
          </cell>
          <cell r="H80" t="str">
            <v>Sub- Director de Investigación y Comité C</v>
          </cell>
          <cell r="I80">
            <v>0</v>
          </cell>
          <cell r="J80" t="str">
            <v>Por Definir</v>
          </cell>
          <cell r="K80" t="str">
            <v>Por Definir</v>
          </cell>
          <cell r="L80">
            <v>0</v>
          </cell>
          <cell r="M80">
            <v>0</v>
          </cell>
        </row>
        <row r="81">
          <cell r="B81" t="str">
            <v>4.4.4</v>
          </cell>
          <cell r="C81" t="str">
            <v>2.2.3</v>
          </cell>
          <cell r="D81" t="str">
            <v>Aumentar el número de publicaciones de los grupos de investigación, en particular aquellas en revistas arbitradas e indexadas.</v>
          </cell>
          <cell r="E81">
            <v>2011</v>
          </cell>
          <cell r="F81">
            <v>2015</v>
          </cell>
          <cell r="G81" t="str">
            <v>Director Departamento y Comité C</v>
          </cell>
          <cell r="H81" t="str">
            <v>Sub- Director de Investigación y Comité C</v>
          </cell>
          <cell r="I81">
            <v>0</v>
          </cell>
          <cell r="J81" t="str">
            <v>ISI web</v>
          </cell>
          <cell r="K81" t="str">
            <v>Número de piublicaciones ISI por año</v>
          </cell>
          <cell r="L81">
            <v>0</v>
          </cell>
          <cell r="M81">
            <v>0</v>
          </cell>
        </row>
        <row r="82">
          <cell r="B82" t="str">
            <v>4.1.1</v>
          </cell>
          <cell r="C82" t="str">
            <v>2.2.4</v>
          </cell>
          <cell r="D82" t="str">
            <v xml:space="preserve">Establecer una política de consultoría enfocada a la investigación por procesos y no por resultados. Además buscar alianzas con entes internacionales para complementarla. </v>
          </cell>
          <cell r="E82">
            <v>2011</v>
          </cell>
          <cell r="F82">
            <v>2015</v>
          </cell>
          <cell r="G82" t="str">
            <v>Director Departamento y Comité C</v>
          </cell>
          <cell r="H82" t="str">
            <v>Sub- Director de Investigación y Comité C</v>
          </cell>
          <cell r="I82">
            <v>0</v>
          </cell>
          <cell r="J82" t="str">
            <v>Por Definir</v>
          </cell>
          <cell r="K82" t="str">
            <v>Por Definir</v>
          </cell>
          <cell r="L82">
            <v>0</v>
          </cell>
          <cell r="M82">
            <v>0</v>
          </cell>
        </row>
        <row r="83">
          <cell r="B83" t="str">
            <v>4.1.4</v>
          </cell>
          <cell r="C83" t="str">
            <v>2.2.5</v>
          </cell>
          <cell r="D83" t="str">
            <v>Vincular las investigaciones de las tesis de pregrado, maestría y doctorado dentro de las líneas de investigación de los grupos de investigación.</v>
          </cell>
          <cell r="E83">
            <v>2011</v>
          </cell>
          <cell r="F83">
            <v>2015</v>
          </cell>
          <cell r="G83" t="str">
            <v>Director Departamento y Comites A, C</v>
          </cell>
          <cell r="H83" t="str">
            <v>Sub- Director de Investigación y Comites A y C</v>
          </cell>
          <cell r="I83">
            <v>0</v>
          </cell>
          <cell r="J83" t="str">
            <v>Datos Graduandos y tesis en curso</v>
          </cell>
          <cell r="K83" t="str">
            <v>Número de tesis vinculadas a laos grupos de investigació total de las Tesis</v>
          </cell>
          <cell r="L83">
            <v>0</v>
          </cell>
          <cell r="M83">
            <v>0</v>
          </cell>
        </row>
        <row r="84">
          <cell r="B84" t="str">
            <v>2.1.6</v>
          </cell>
          <cell r="C84" t="str">
            <v>2.2.6</v>
          </cell>
          <cell r="D84" t="str">
            <v>Buscar que cada tesis produzca un artículo o un afiche que referencie la asesoría de los profesores del Departamento en dichos trabajos</v>
          </cell>
          <cell r="E84">
            <v>2011</v>
          </cell>
          <cell r="F84">
            <v>2015</v>
          </cell>
          <cell r="G84" t="str">
            <v>Director Departamento y Comité C</v>
          </cell>
          <cell r="H84" t="str">
            <v>Sub- Director de Investigación y Comité C</v>
          </cell>
          <cell r="I84" t="e">
            <v>#REF!</v>
          </cell>
          <cell r="J84" t="str">
            <v xml:space="preserve">Datos de Graduandos </v>
          </cell>
          <cell r="K84" t="str">
            <v>Número de Tesis que producen un artìculo o afiche</v>
          </cell>
          <cell r="L84">
            <v>0</v>
          </cell>
          <cell r="M84">
            <v>0</v>
          </cell>
        </row>
        <row r="85">
          <cell r="B85" t="str">
            <v>4.3</v>
          </cell>
          <cell r="C85">
            <v>2.2999999999999998</v>
          </cell>
          <cell r="D85" t="str">
            <v>Subobjetivo 2.3. Incrementar los recursos económicos para las actividades de investigación.</v>
          </cell>
          <cell r="E85">
            <v>2011</v>
          </cell>
          <cell r="F85">
            <v>2015</v>
          </cell>
          <cell r="G85" t="str">
            <v>Director Departamento</v>
          </cell>
          <cell r="H85" t="str">
            <v>Sub- Director de Investigación</v>
          </cell>
          <cell r="I85">
            <v>0</v>
          </cell>
          <cell r="J85">
            <v>0</v>
          </cell>
          <cell r="K85">
            <v>0</v>
          </cell>
          <cell r="L85" t="str">
            <v xml:space="preserve">$700 millones de pesos al año generados por proyectos de investigación (financiación externa, que no pagan overhead) diferentes a los ingresos de las líneas </v>
          </cell>
          <cell r="M85" t="str">
            <v>·  $5,000 millones de pesos al año generados por proyectos de investigación (financiación externa, que no pagan overhead) diferentes a los ingresos de las líneas estratégicas.</v>
          </cell>
        </row>
        <row r="86">
          <cell r="B86" t="str">
            <v>4.2.4</v>
          </cell>
          <cell r="C86" t="str">
            <v>2.3.1</v>
          </cell>
          <cell r="D86" t="str">
            <v>Propender la toma decisiones autónomas (responsablemente) por parte de los grupos de investigación para la obtención de recursos y escogencias de líneas de investigación.</v>
          </cell>
          <cell r="E86">
            <v>2011</v>
          </cell>
          <cell r="F86">
            <v>2015</v>
          </cell>
          <cell r="G86" t="str">
            <v>Director Departamento y Comité C</v>
          </cell>
          <cell r="H86" t="str">
            <v>Sub- Director de Investigación y Comité C</v>
          </cell>
          <cell r="I86">
            <v>0</v>
          </cell>
          <cell r="J86" t="str">
            <v>Por Definir</v>
          </cell>
          <cell r="K86" t="str">
            <v>Por Definir</v>
          </cell>
          <cell r="L86">
            <v>0</v>
          </cell>
          <cell r="M86">
            <v>0</v>
          </cell>
        </row>
        <row r="87">
          <cell r="B87" t="str">
            <v>4.2.5</v>
          </cell>
          <cell r="C87" t="str">
            <v>2.3.2</v>
          </cell>
          <cell r="D87" t="str">
            <v>Promover la presentación a  Becas de Colciencias</v>
          </cell>
          <cell r="E87">
            <v>2011</v>
          </cell>
          <cell r="F87">
            <v>2015</v>
          </cell>
          <cell r="G87" t="str">
            <v>Director Departamento y Comité C</v>
          </cell>
          <cell r="H87" t="str">
            <v>Sub- Director de Investigación y Comité C</v>
          </cell>
          <cell r="I87">
            <v>0</v>
          </cell>
          <cell r="J87" t="str">
            <v>Datos secundarios</v>
          </cell>
          <cell r="K87" t="str">
            <v xml:space="preserve">Número de Becas de colciencias </v>
          </cell>
          <cell r="L87">
            <v>0</v>
          </cell>
          <cell r="M87">
            <v>0</v>
          </cell>
        </row>
        <row r="88">
          <cell r="B88" t="str">
            <v>4.4</v>
          </cell>
          <cell r="C88">
            <v>2.4</v>
          </cell>
          <cell r="D88" t="str">
            <v>Subobjetivo 2.4. Aumentar la producción y la divulgación de nuevo conocimiento (publicaciones, patentes, software, etc.).</v>
          </cell>
          <cell r="E88">
            <v>2011</v>
          </cell>
          <cell r="F88">
            <v>2015</v>
          </cell>
          <cell r="G88" t="str">
            <v>Director Departamento</v>
          </cell>
          <cell r="H88" t="str">
            <v>Sub- Director de Investigación</v>
          </cell>
          <cell r="I88">
            <v>1520455358.3111272</v>
          </cell>
          <cell r="J88">
            <v>0</v>
          </cell>
          <cell r="K88">
            <v>0</v>
          </cell>
          <cell r="L88" t="str">
            <v># de artículos en revistas internacionalesISI/ Profesores de Planta TCE (Sin instructores)</v>
          </cell>
          <cell r="M88" t="str">
            <v>·  1 artículo publicado en revistas ISI por profesor por año.</v>
          </cell>
        </row>
        <row r="89">
          <cell r="B89" t="str">
            <v>2.1.5</v>
          </cell>
          <cell r="C89" t="str">
            <v>2.4.1</v>
          </cell>
          <cell r="D89" t="str">
            <v>Apoyar a los profesores para que participaen dentro de las lines  de investigación.</v>
          </cell>
          <cell r="E89">
            <v>2011</v>
          </cell>
          <cell r="F89">
            <v>2015</v>
          </cell>
          <cell r="G89" t="str">
            <v>Director Departamento y Comité C</v>
          </cell>
          <cell r="H89" t="str">
            <v>Sub- Director de Investigación y Comité C</v>
          </cell>
          <cell r="I89">
            <v>0</v>
          </cell>
          <cell r="J89" t="str">
            <v>Dastos primarios y secundarios</v>
          </cell>
          <cell r="K89" t="str">
            <v>Número de profesores participando en las lineas de investigación / total de profesores.</v>
          </cell>
          <cell r="L89">
            <v>0</v>
          </cell>
          <cell r="M89">
            <v>0</v>
          </cell>
        </row>
        <row r="90">
          <cell r="B90" t="str">
            <v>4.1.3</v>
          </cell>
          <cell r="C90" t="str">
            <v>2.4.2</v>
          </cell>
          <cell r="D90" t="str">
            <v>Apoyar a la facultad para el desarrollo de las lineas de investigación.</v>
          </cell>
          <cell r="E90">
            <v>2011</v>
          </cell>
          <cell r="F90">
            <v>2015</v>
          </cell>
          <cell r="G90" t="str">
            <v>Director Departamento y Comité C</v>
          </cell>
          <cell r="H90" t="str">
            <v>Sub- Director de Investigación y Comité C</v>
          </cell>
          <cell r="I90">
            <v>0</v>
          </cell>
          <cell r="J90" t="str">
            <v>Datos financieros</v>
          </cell>
          <cell r="K90" t="str">
            <v>Recursos detinados al fortalecimiento de las lineas de investigación</v>
          </cell>
          <cell r="L90">
            <v>0</v>
          </cell>
          <cell r="M90">
            <v>0</v>
          </cell>
        </row>
        <row r="91">
          <cell r="B91" t="str">
            <v>4.2.7</v>
          </cell>
          <cell r="C91" t="str">
            <v>2.4.3</v>
          </cell>
          <cell r="D91" t="str">
            <v>Apoyar las publicaciones de los grupos de investigación, en particular aquellas en revistas arbitradas e indexadas.</v>
          </cell>
          <cell r="E91">
            <v>2011</v>
          </cell>
          <cell r="F91">
            <v>2015</v>
          </cell>
          <cell r="G91" t="str">
            <v>Director Departamento y Comité C</v>
          </cell>
          <cell r="H91" t="str">
            <v>Sub- Director de Investigación y Comité C</v>
          </cell>
          <cell r="I91">
            <v>978823102.31112707</v>
          </cell>
          <cell r="J91" t="str">
            <v>ISI web</v>
          </cell>
          <cell r="K91" t="str">
            <v>Número de publicaciones ISI al Año</v>
          </cell>
          <cell r="L91">
            <v>0</v>
          </cell>
          <cell r="M91">
            <v>0</v>
          </cell>
        </row>
        <row r="92">
          <cell r="B92" t="str">
            <v>4.2.3</v>
          </cell>
          <cell r="C92" t="str">
            <v>2.4.4</v>
          </cell>
          <cell r="D92" t="str">
            <v xml:space="preserve">Incrementar el trabajo inter-grupos, inter-departamentos e inter-instituciones. Para incentivar el trabajo tanto individual como grupal. </v>
          </cell>
          <cell r="E92">
            <v>2011</v>
          </cell>
          <cell r="F92">
            <v>2015</v>
          </cell>
          <cell r="G92" t="str">
            <v>Director Departamento y Comité C</v>
          </cell>
          <cell r="H92" t="str">
            <v>Sub- Director de Investigación y Comité C</v>
          </cell>
          <cell r="I92">
            <v>0</v>
          </cell>
          <cell r="J92" t="str">
            <v>Por Definir</v>
          </cell>
          <cell r="K92" t="str">
            <v>Por Definir</v>
          </cell>
          <cell r="L92">
            <v>0</v>
          </cell>
          <cell r="M92">
            <v>0</v>
          </cell>
        </row>
        <row r="93">
          <cell r="B93" t="str">
            <v>6.3.1</v>
          </cell>
          <cell r="C93" t="str">
            <v>2.4.5</v>
          </cell>
          <cell r="D93" t="str">
            <v>Aumentar la participación de los profesores en congresos y seminarios del sector externo</v>
          </cell>
          <cell r="E93">
            <v>2011</v>
          </cell>
          <cell r="F93">
            <v>2015</v>
          </cell>
          <cell r="G93" t="str">
            <v>Director Departamento y Comité C</v>
          </cell>
          <cell r="H93" t="str">
            <v>Sub- Director de Investigación y Comité C</v>
          </cell>
          <cell r="I93">
            <v>541632256</v>
          </cell>
          <cell r="J93" t="str">
            <v>Mediciones Directas</v>
          </cell>
          <cell r="K93" t="str">
            <v>Nùmero de Profesores que participan en congresos y seminarios con el sector esterno / total de progfesores</v>
          </cell>
          <cell r="L93">
            <v>0</v>
          </cell>
          <cell r="M93">
            <v>0</v>
          </cell>
        </row>
        <row r="94">
          <cell r="B94" t="str">
            <v>4.5</v>
          </cell>
          <cell r="C94">
            <v>2.5</v>
          </cell>
          <cell r="D94" t="str">
            <v>Subobjetivo 2.5. Incrementar la cooperación internacional.</v>
          </cell>
          <cell r="E94">
            <v>2011</v>
          </cell>
          <cell r="F94">
            <v>2015</v>
          </cell>
          <cell r="G94" t="str">
            <v>Director Departamento</v>
          </cell>
          <cell r="H94" t="str">
            <v>Sub- Director de Investigación</v>
          </cell>
          <cell r="I94">
            <v>1354080640</v>
          </cell>
          <cell r="J94">
            <v>0</v>
          </cell>
          <cell r="K94">
            <v>0</v>
          </cell>
          <cell r="L94" t="str">
            <v>Número de profesores visitantes al año</v>
          </cell>
          <cell r="M94" t="str">
            <v>· El tiempo de permanencia de profesores visitantes en la Facultad debe superar los 70 meses al año.</v>
          </cell>
        </row>
        <row r="95">
          <cell r="B95" t="str">
            <v>3.2.2</v>
          </cell>
          <cell r="C95" t="str">
            <v>2.5.1</v>
          </cell>
          <cell r="D95" t="str">
            <v>Vincular profesores visitantes que trabajen temas de emprendimiento e innovación contar con empresarios exitosos que puedan trasmitir los conocimientos adquiridos en el sector externo.</v>
          </cell>
          <cell r="E95">
            <v>2011</v>
          </cell>
          <cell r="F95">
            <v>2015</v>
          </cell>
          <cell r="G95" t="str">
            <v>Director Departamento y Comité C</v>
          </cell>
          <cell r="H95" t="str">
            <v>Sub- Director de Investigación y Comité C</v>
          </cell>
          <cell r="I95">
            <v>0</v>
          </cell>
          <cell r="J95" t="str">
            <v>Datos primarios</v>
          </cell>
          <cell r="K95" t="str">
            <v>Profesores que trabajan temas de emprendimiento e innovación / Total de profesores</v>
          </cell>
          <cell r="L95">
            <v>0</v>
          </cell>
          <cell r="M95">
            <v>0</v>
          </cell>
        </row>
        <row r="96">
          <cell r="B96" t="str">
            <v>2.1.7</v>
          </cell>
          <cell r="C96" t="str">
            <v>2.5.2</v>
          </cell>
          <cell r="D96" t="str">
            <v>Apoyar las pasantias de  profesores e invitar profesores internacionales en el Departamento.</v>
          </cell>
          <cell r="E96">
            <v>2011</v>
          </cell>
          <cell r="F96">
            <v>2015</v>
          </cell>
          <cell r="G96" t="str">
            <v>Director Departamento y Comité C</v>
          </cell>
          <cell r="H96" t="str">
            <v>Sub- Director de Investigación y Comité C</v>
          </cell>
          <cell r="I96">
            <v>1354080640</v>
          </cell>
          <cell r="J96" t="str">
            <v>Estadisticas y datos directos</v>
          </cell>
          <cell r="K96" t="str">
            <v>Número de profesores en pasantias / total de profesores</v>
          </cell>
          <cell r="L96">
            <v>0</v>
          </cell>
          <cell r="M96">
            <v>0</v>
          </cell>
        </row>
        <row r="97">
          <cell r="B97">
            <v>6</v>
          </cell>
          <cell r="C97">
            <v>3</v>
          </cell>
          <cell r="D97" t="str">
            <v xml:space="preserve">Objetivo 3: Aumentar la contribución de la Facultad al desarrollo  del país. </v>
          </cell>
          <cell r="E97">
            <v>2011</v>
          </cell>
          <cell r="F97">
            <v>2015</v>
          </cell>
          <cell r="G97" t="str">
            <v>Director Departamento</v>
          </cell>
          <cell r="H97" t="str">
            <v>Sub- Director Académico</v>
          </cell>
          <cell r="I97">
            <v>0</v>
          </cell>
          <cell r="J97">
            <v>0</v>
          </cell>
          <cell r="K97">
            <v>0</v>
          </cell>
          <cell r="L97">
            <v>0</v>
          </cell>
          <cell r="M97">
            <v>0</v>
          </cell>
        </row>
        <row r="98">
          <cell r="B98" t="str">
            <v>6.1</v>
          </cell>
          <cell r="C98">
            <v>3.1</v>
          </cell>
          <cell r="D98" t="str">
            <v xml:space="preserve">Subobjetivo 3.1:  Asistir a las empresas en sus esfuerzos por aumentar su competitividad. </v>
          </cell>
          <cell r="E98">
            <v>2011</v>
          </cell>
          <cell r="F98">
            <v>2015</v>
          </cell>
          <cell r="G98" t="str">
            <v>Director Departamento</v>
          </cell>
          <cell r="H98" t="str">
            <v>Sub- Director Académico</v>
          </cell>
          <cell r="I98">
            <v>541632256</v>
          </cell>
          <cell r="J98">
            <v>0</v>
          </cell>
          <cell r="K98">
            <v>0</v>
          </cell>
          <cell r="L98" t="str">
            <v>Proyectos con un impacto favorable en la competitividad de las empresas / Total de Proyectos</v>
          </cell>
          <cell r="M98" t="str">
            <v>· 100% de los proyectos tiene un impacto favorable en la competitividad de las empresas, desde la perspectiva de la entidad contratante.</v>
          </cell>
        </row>
        <row r="99">
          <cell r="B99" t="str">
            <v>6.1.1</v>
          </cell>
          <cell r="C99" t="str">
            <v>3.1.1</v>
          </cell>
          <cell r="D99" t="str">
            <v>Medir el impacto de las maestrias de profundización para las empresas</v>
          </cell>
          <cell r="E99">
            <v>2011</v>
          </cell>
          <cell r="F99">
            <v>2015</v>
          </cell>
          <cell r="G99" t="str">
            <v>Director Departamento</v>
          </cell>
          <cell r="H99" t="str">
            <v>Sub- Director Académico</v>
          </cell>
          <cell r="I99">
            <v>0</v>
          </cell>
          <cell r="J99" t="str">
            <v>Datos Graduando y estadisticas</v>
          </cell>
          <cell r="K99" t="str">
            <v>Número de proyectos de grado  con impacto en el sector externo / total de proyectos</v>
          </cell>
          <cell r="L99">
            <v>0</v>
          </cell>
          <cell r="M99">
            <v>0</v>
          </cell>
        </row>
        <row r="100">
          <cell r="B100" t="str">
            <v>6.1.2</v>
          </cell>
          <cell r="C100" t="str">
            <v>3.1.2</v>
          </cell>
          <cell r="D100" t="str">
            <v>Apoyar pasantias de profesores en empresas de acuerdo a sus áreas de trabajo</v>
          </cell>
          <cell r="E100">
            <v>2011</v>
          </cell>
          <cell r="F100">
            <v>2015</v>
          </cell>
          <cell r="G100" t="str">
            <v xml:space="preserve">Director Departamento y Comités A y C </v>
          </cell>
          <cell r="H100" t="str">
            <v xml:space="preserve">Sub- Director Académico y Comités A y C </v>
          </cell>
          <cell r="I100">
            <v>324979353.60000002</v>
          </cell>
          <cell r="J100" t="str">
            <v>Mediciones y estadisticas directas</v>
          </cell>
          <cell r="K100" t="str">
            <v>Nùmero de profesores en pasantias en empresas / total de profesores</v>
          </cell>
          <cell r="L100">
            <v>0</v>
          </cell>
          <cell r="M100">
            <v>0</v>
          </cell>
        </row>
        <row r="101">
          <cell r="B101" t="str">
            <v>6.2.1</v>
          </cell>
          <cell r="C101" t="str">
            <v>3.1.3</v>
          </cell>
          <cell r="D101" t="str">
            <v>Apoyar la participación de los profesores en actividades externas dentro de sus áreas de trabajo</v>
          </cell>
          <cell r="E101">
            <v>2011</v>
          </cell>
          <cell r="F101">
            <v>2015</v>
          </cell>
          <cell r="G101" t="str">
            <v>Director Departamento y Comité B</v>
          </cell>
          <cell r="H101" t="str">
            <v>Sub- Director Académico y Comité B</v>
          </cell>
          <cell r="I101">
            <v>216652902.40000001</v>
          </cell>
          <cell r="J101" t="str">
            <v>Datos secundarios y estadisticas</v>
          </cell>
          <cell r="K101" t="str">
            <v xml:space="preserve">Número de consultorias promedio por profesor e impacto </v>
          </cell>
          <cell r="L101">
            <v>0</v>
          </cell>
          <cell r="M101">
            <v>0</v>
          </cell>
        </row>
        <row r="102">
          <cell r="B102" t="str">
            <v>6.2.2</v>
          </cell>
          <cell r="C102" t="str">
            <v>3.1.4</v>
          </cell>
          <cell r="D102" t="str">
            <v>Apoyar la participación de los profesores en actividades y proyectos de orden  social</v>
          </cell>
          <cell r="E102">
            <v>2011</v>
          </cell>
          <cell r="F102">
            <v>2015</v>
          </cell>
          <cell r="G102" t="str">
            <v>Director Departamento y Comité B</v>
          </cell>
          <cell r="H102" t="str">
            <v>Sub- Director Académico y Comité B</v>
          </cell>
          <cell r="I102">
            <v>216652902.40000001</v>
          </cell>
          <cell r="J102" t="str">
            <v>Datos secundarios y primarios</v>
          </cell>
          <cell r="K102" t="str">
            <v>Número de proyectos de orden social / Total de profesores</v>
          </cell>
          <cell r="L102">
            <v>0</v>
          </cell>
          <cell r="M102">
            <v>0</v>
          </cell>
        </row>
        <row r="103">
          <cell r="B103" t="str">
            <v>6.2</v>
          </cell>
          <cell r="C103">
            <v>3.2</v>
          </cell>
          <cell r="D103" t="str">
            <v>Subobjetivo 3.2: Contribuir en la construcción de soluciones para los problemas críticos del país.</v>
          </cell>
          <cell r="E103">
            <v>2011</v>
          </cell>
          <cell r="F103">
            <v>2015</v>
          </cell>
          <cell r="G103" t="str">
            <v>Director Departamento</v>
          </cell>
          <cell r="H103" t="str">
            <v>Sub- Director Académico</v>
          </cell>
          <cell r="I103">
            <v>0</v>
          </cell>
          <cell r="J103">
            <v>0</v>
          </cell>
          <cell r="K103">
            <v>0</v>
          </cell>
          <cell r="L103" t="str">
            <v> Ingresos generados por proyectos que ofrecen una solución a alguno de los problemas críticos del país.</v>
          </cell>
          <cell r="M103" t="str">
            <v>· $10,000 millones al año generados por proyectos que ofrecen una solución a alguno de los problemas críticos del país.</v>
          </cell>
        </row>
        <row r="104">
          <cell r="B104" t="str">
            <v>4.1.3</v>
          </cell>
          <cell r="C104" t="str">
            <v>3.2.1</v>
          </cell>
          <cell r="D104" t="str">
            <v>Apoyar a la facultad para el desarrollo de las lineas de investigación.</v>
          </cell>
          <cell r="E104">
            <v>2011</v>
          </cell>
          <cell r="F104">
            <v>2015</v>
          </cell>
          <cell r="G104" t="str">
            <v>Director Departamento y Comité C</v>
          </cell>
          <cell r="H104" t="str">
            <v>Sub- Director Académico y Comité C</v>
          </cell>
          <cell r="I104">
            <v>0</v>
          </cell>
          <cell r="J104" t="str">
            <v>Datos financieros</v>
          </cell>
          <cell r="K104" t="str">
            <v>Recursos detinados al fortalecimiento de las lineas de investigación</v>
          </cell>
          <cell r="L104">
            <v>0</v>
          </cell>
          <cell r="M104">
            <v>0</v>
          </cell>
        </row>
        <row r="105">
          <cell r="B105" t="str">
            <v>6.3</v>
          </cell>
          <cell r="C105">
            <v>3.3</v>
          </cell>
          <cell r="D105" t="str">
            <v>Subobjetivo 3.3. Generar opinión alrededor de los temas de interés nacional e incidir en las decisiones tecnológicas, sociales, económicas, ambientales y políticas.</v>
          </cell>
          <cell r="E105">
            <v>2011</v>
          </cell>
          <cell r="F105">
            <v>2015</v>
          </cell>
          <cell r="G105" t="str">
            <v>Director Departamento</v>
          </cell>
          <cell r="H105" t="str">
            <v>Sub- Director Académico</v>
          </cell>
          <cell r="I105">
            <v>216652902.40000001</v>
          </cell>
          <cell r="J105">
            <v>0</v>
          </cell>
          <cell r="K105">
            <v>0</v>
          </cell>
          <cell r="L105" t="str">
            <v>Número de profesores invitados a eventos organizados por el departamento / Total de eventos</v>
          </cell>
          <cell r="M105" t="str">
            <v>· 6 foros al año con invitados internacionales organizados alrededor de temas de interés nacional.</v>
          </cell>
        </row>
        <row r="106">
          <cell r="B106">
            <v>0</v>
          </cell>
          <cell r="C106">
            <v>0</v>
          </cell>
          <cell r="D106">
            <v>0</v>
          </cell>
          <cell r="E106">
            <v>0</v>
          </cell>
          <cell r="F106">
            <v>0</v>
          </cell>
          <cell r="G106">
            <v>0</v>
          </cell>
          <cell r="H106">
            <v>0</v>
          </cell>
          <cell r="I106">
            <v>0</v>
          </cell>
          <cell r="J106">
            <v>0</v>
          </cell>
          <cell r="K106">
            <v>0</v>
          </cell>
          <cell r="L106" t="str">
            <v>Número de foros seminarios, congresos realizados  al año con invitados internacionales organizados alrededor de temas de interés nacional.</v>
          </cell>
          <cell r="M106">
            <v>0</v>
          </cell>
        </row>
        <row r="107">
          <cell r="B107" t="str">
            <v>6.2.2</v>
          </cell>
          <cell r="C107" t="str">
            <v>3.3.1</v>
          </cell>
          <cell r="D107" t="str">
            <v>Aumentar la participación de los profesores en actividades y proyectos de orden  social</v>
          </cell>
          <cell r="E107">
            <v>2011</v>
          </cell>
          <cell r="F107">
            <v>2015</v>
          </cell>
          <cell r="G107" t="str">
            <v>Director Departamento y Comité B</v>
          </cell>
          <cell r="H107" t="str">
            <v>Sub- Director Académico y Comité B</v>
          </cell>
          <cell r="I107">
            <v>0</v>
          </cell>
          <cell r="J107" t="str">
            <v>Datos secundarios y primarios</v>
          </cell>
          <cell r="K107" t="str">
            <v>Número de proyectos con impacto social</v>
          </cell>
          <cell r="L107">
            <v>0</v>
          </cell>
          <cell r="M107">
            <v>0</v>
          </cell>
        </row>
        <row r="108">
          <cell r="B108" t="str">
            <v>6.2.3</v>
          </cell>
          <cell r="C108" t="str">
            <v>3.3.2</v>
          </cell>
          <cell r="D108" t="str">
            <v>Mantener a los profesores en constante relación con el sector externo</v>
          </cell>
          <cell r="E108">
            <v>2011</v>
          </cell>
          <cell r="F108">
            <v>2015</v>
          </cell>
          <cell r="G108" t="str">
            <v>Director Departamento y Comites B y C</v>
          </cell>
          <cell r="H108" t="str">
            <v>Sub- Director Académico y Comites B y C</v>
          </cell>
          <cell r="I108">
            <v>216652902.40000001</v>
          </cell>
          <cell r="J108" t="str">
            <v>Datos proyectos e investigadosres</v>
          </cell>
          <cell r="K108" t="str">
            <v>Número de profesores con vinculos con el sector externo/ total de profesores</v>
          </cell>
          <cell r="L108">
            <v>0</v>
          </cell>
          <cell r="M108">
            <v>0</v>
          </cell>
        </row>
        <row r="109">
          <cell r="B109" t="str">
            <v>6.3.2</v>
          </cell>
          <cell r="C109" t="str">
            <v>3.3.3</v>
          </cell>
          <cell r="D109" t="str">
            <v>Organizar foros y conferencias  del IIE, ACOFI, INFORMS, ELAIN, ICPR.</v>
          </cell>
          <cell r="E109">
            <v>2011</v>
          </cell>
          <cell r="F109">
            <v>2015</v>
          </cell>
          <cell r="G109" t="str">
            <v>Director Departamento y Comité C</v>
          </cell>
          <cell r="H109" t="str">
            <v>Sub- Director Académico y Comité C</v>
          </cell>
          <cell r="I109">
            <v>541632256</v>
          </cell>
          <cell r="J109" t="str">
            <v>Mediciones Directas</v>
          </cell>
          <cell r="K109" t="str">
            <v>Numero de eventos organizados al año</v>
          </cell>
          <cell r="L109">
            <v>0</v>
          </cell>
          <cell r="M109">
            <v>0</v>
          </cell>
        </row>
        <row r="110">
          <cell r="B110">
            <v>2</v>
          </cell>
          <cell r="C110">
            <v>4</v>
          </cell>
          <cell r="D110" t="str">
            <v>Objetivo 4: Lograr que los profesores sean referentes en sus áreas de trabajo.</v>
          </cell>
          <cell r="E110">
            <v>2011</v>
          </cell>
          <cell r="F110">
            <v>2015</v>
          </cell>
          <cell r="G110" t="str">
            <v>Director Departamento</v>
          </cell>
          <cell r="H110" t="str">
            <v>Sub- Director Académico</v>
          </cell>
          <cell r="I110">
            <v>0</v>
          </cell>
          <cell r="J110">
            <v>0</v>
          </cell>
          <cell r="K110">
            <v>0</v>
          </cell>
          <cell r="L110">
            <v>0</v>
          </cell>
          <cell r="M110">
            <v>0</v>
          </cell>
        </row>
        <row r="111">
          <cell r="B111" t="str">
            <v>2.1</v>
          </cell>
          <cell r="C111">
            <v>4.0999999999999996</v>
          </cell>
          <cell r="D111" t="str">
            <v>Objetivo 4.1.: Lograr que los profesores sean referentes en sus áreas de trabajo.</v>
          </cell>
          <cell r="E111">
            <v>2011</v>
          </cell>
          <cell r="F111">
            <v>2015</v>
          </cell>
          <cell r="G111" t="str">
            <v>Director Departamento</v>
          </cell>
          <cell r="H111" t="str">
            <v>Sub- Director Académico</v>
          </cell>
          <cell r="I111">
            <v>3303956761.5999999</v>
          </cell>
          <cell r="J111">
            <v>0</v>
          </cell>
          <cell r="K111">
            <v>0</v>
          </cell>
          <cell r="L111">
            <v>0</v>
          </cell>
          <cell r="M111" t="str">
            <v>Definir e incrementar un indicador basado en:</v>
          </cell>
        </row>
        <row r="112">
          <cell r="B112" t="str">
            <v>4.1.4</v>
          </cell>
          <cell r="C112" t="str">
            <v>4.1.1</v>
          </cell>
          <cell r="D112" t="str">
            <v>Vincular las investigaciones de las tesis de pregrado, maestría y doctorado dentro de las líneas de investigación de los grupos de investigación.</v>
          </cell>
          <cell r="E112">
            <v>2011</v>
          </cell>
          <cell r="F112">
            <v>2015</v>
          </cell>
          <cell r="G112" t="str">
            <v>Director Departamento y Comites A, C</v>
          </cell>
          <cell r="H112" t="str">
            <v>Sub- Director de Investigación y Comites A y C</v>
          </cell>
          <cell r="I112">
            <v>0</v>
          </cell>
          <cell r="J112" t="str">
            <v>Datos Graduandos y tesis en curso</v>
          </cell>
          <cell r="K112" t="str">
            <v>Número de tesis vinculadas a laos grupos de investigació total de las Tesis</v>
          </cell>
          <cell r="L112" t="str">
            <v>Número de profesores que participación en Comités de pares evaluadores de programas/ Total de Profesores</v>
          </cell>
          <cell r="M112" t="str">
            <v>Participación en Comités de pares evaluadores de programas</v>
          </cell>
        </row>
        <row r="113">
          <cell r="B113" t="str">
            <v>4.2.1</v>
          </cell>
          <cell r="C113" t="str">
            <v>4.1.2</v>
          </cell>
          <cell r="D113" t="str">
            <v>Adoptar esquemas en donde las opciones se generan entre grupos de investigación.</v>
          </cell>
          <cell r="E113">
            <v>2011</v>
          </cell>
          <cell r="F113">
            <v>2015</v>
          </cell>
          <cell r="G113" t="str">
            <v>Director Departamento y Comité C</v>
          </cell>
          <cell r="H113" t="str">
            <v>Sub- Director de Investigación y Comité C</v>
          </cell>
          <cell r="I113">
            <v>0</v>
          </cell>
          <cell r="J113" t="str">
            <v>Estadisticas anuales</v>
          </cell>
          <cell r="K113" t="str">
            <v>Desarrollo implementados con los grupos de investigacón</v>
          </cell>
          <cell r="L113" t="str">
            <v xml:space="preserve">Contribución a la formación de profesores/investigadores </v>
          </cell>
          <cell r="M113" t="str">
            <v xml:space="preserve">Contribución a la formación de profesores/investigadores </v>
          </cell>
        </row>
        <row r="114">
          <cell r="B114" t="str">
            <v>2.1.8</v>
          </cell>
          <cell r="C114" t="str">
            <v>4.1.3</v>
          </cell>
          <cell r="D114" t="str">
            <v>Aumentar la participación de los profesores en actividades externas dentro de sus áreas de trabajo</v>
          </cell>
          <cell r="E114">
            <v>2011</v>
          </cell>
          <cell r="F114">
            <v>2015</v>
          </cell>
          <cell r="G114" t="str">
            <v>Director Departamento y Comité B</v>
          </cell>
          <cell r="H114" t="str">
            <v>Sub- Director de Investigación y Comité B</v>
          </cell>
          <cell r="I114">
            <v>324979353.60000002</v>
          </cell>
          <cell r="J114" t="str">
            <v>Mediciones Directas</v>
          </cell>
          <cell r="K114" t="str">
            <v>Número de profesores que participan en actividades con el sector externo / total de profesores</v>
          </cell>
          <cell r="L114" t="str">
            <v>Número de articulos publicados en revistas ISI / Total de profesores</v>
          </cell>
          <cell r="M114" t="str">
            <v>Publicación de Artículos y producción intelectual</v>
          </cell>
        </row>
        <row r="115">
          <cell r="B115" t="str">
            <v>6.2.2</v>
          </cell>
          <cell r="C115" t="str">
            <v>4.1.4</v>
          </cell>
          <cell r="D115" t="str">
            <v>Aumentar la participación de los profesores en actividades y proyectos de orden  social</v>
          </cell>
          <cell r="E115">
            <v>2011</v>
          </cell>
          <cell r="F115">
            <v>2015</v>
          </cell>
          <cell r="G115" t="str">
            <v>Director Departamento y Comité B</v>
          </cell>
          <cell r="H115" t="str">
            <v>Sub- Director de Investigación y Comité B</v>
          </cell>
          <cell r="I115">
            <v>0</v>
          </cell>
          <cell r="J115" t="str">
            <v>Datos secundarios y primarios</v>
          </cell>
          <cell r="K115" t="str">
            <v>Numero de proyectos con el sector social</v>
          </cell>
          <cell r="L115" t="str">
            <v>Numero de Participación en Congresos Internacionales como conferencista / Total de profesores</v>
          </cell>
          <cell r="M115" t="str">
            <v>Participación en Congresos Internacionales como conferencista</v>
          </cell>
        </row>
        <row r="116">
          <cell r="B116" t="str">
            <v>6.2.3</v>
          </cell>
          <cell r="C116" t="str">
            <v>4.1.5</v>
          </cell>
          <cell r="D116" t="str">
            <v>Mantener a los profesores en constante relación con el sector externo</v>
          </cell>
          <cell r="E116">
            <v>2011</v>
          </cell>
          <cell r="F116">
            <v>2015</v>
          </cell>
          <cell r="G116" t="str">
            <v>Director Departamento y Comites B y C</v>
          </cell>
          <cell r="H116" t="str">
            <v>Sub- Director de Investigación y Comites  B y C</v>
          </cell>
          <cell r="I116">
            <v>0</v>
          </cell>
          <cell r="J116" t="str">
            <v>Datos proyectos e investigadosres</v>
          </cell>
          <cell r="K116" t="str">
            <v>Número de profesores que participan en actividades con el sector externo / total de profesores</v>
          </cell>
          <cell r="L116" t="str">
            <v>Número de profesores invitados como conferencista principales en eventos  internacionales</v>
          </cell>
          <cell r="M116" t="str">
            <v>Invitación a conferencias internacionales como conferencista principal</v>
          </cell>
        </row>
        <row r="117">
          <cell r="B117" t="str">
            <v>2.1.10</v>
          </cell>
          <cell r="C117" t="str">
            <v>4.1.6</v>
          </cell>
          <cell r="D117" t="str">
            <v>Difundir las actividades de los profesores a través de medios de comunicación de alto reconocimiento</v>
          </cell>
          <cell r="E117">
            <v>2011</v>
          </cell>
          <cell r="F117">
            <v>2015</v>
          </cell>
          <cell r="G117" t="str">
            <v>Director Departamento y Comité C</v>
          </cell>
          <cell r="H117" t="str">
            <v>Sub- Director de Investigación y Comité C</v>
          </cell>
          <cell r="I117">
            <v>108326451.2</v>
          </cell>
          <cell r="J117" t="str">
            <v>Por definir</v>
          </cell>
          <cell r="K117" t="str">
            <v>Por definir</v>
          </cell>
          <cell r="L117" t="str">
            <v>Profesores en  pasantías cortas para dirigir seminarios de investigación / Total de profesores</v>
          </cell>
          <cell r="M117" t="str">
            <v>Realización de pasantías cortas para dirigir seminarios de investigación</v>
          </cell>
        </row>
        <row r="118">
          <cell r="B118" t="str">
            <v>2.1.6</v>
          </cell>
          <cell r="C118" t="str">
            <v>4.1.7</v>
          </cell>
          <cell r="D118" t="str">
            <v>Buscar que cada tesis produzca un artículo o un afiche que referencie la asesoría de los profesores del Departamento en dichos trabajos</v>
          </cell>
          <cell r="E118">
            <v>2011</v>
          </cell>
          <cell r="F118">
            <v>2015</v>
          </cell>
          <cell r="G118" t="str">
            <v>Director Departamento y Comité C</v>
          </cell>
          <cell r="H118" t="str">
            <v>Sub- Director de Investigación y Comité C</v>
          </cell>
          <cell r="I118">
            <v>0</v>
          </cell>
          <cell r="J118" t="str">
            <v xml:space="preserve">Datos de Graduandos </v>
          </cell>
          <cell r="K118" t="str">
            <v>Número de Tesis que producen un artìculo o afiche</v>
          </cell>
          <cell r="L118" t="str">
            <v>Profesores en  Comités científicos de congresos internacionales / Total de profesores</v>
          </cell>
          <cell r="M118" t="str">
            <v>Participación Comités científicos de congresos internacionales</v>
          </cell>
        </row>
        <row r="119">
          <cell r="B119" t="str">
            <v>3.2.1</v>
          </cell>
          <cell r="C119" t="str">
            <v>4.1.8</v>
          </cell>
          <cell r="D119" t="str">
            <v xml:space="preserve"> Lograr una composición más balanceada del profesorado por categoría (Asistente, Asociado y Titular), reducir el número de instructores y aumentar el número de estudiantes doctorales</v>
          </cell>
          <cell r="E119">
            <v>2011</v>
          </cell>
          <cell r="F119">
            <v>2015</v>
          </cell>
          <cell r="G119" t="str">
            <v>Director Departamento y Comites A, C</v>
          </cell>
          <cell r="H119" t="str">
            <v>Sub- Director Académico y Comites A, C</v>
          </cell>
          <cell r="I119">
            <v>0</v>
          </cell>
          <cell r="J119" t="str">
            <v>Datos directos RH</v>
          </cell>
          <cell r="K119" t="str">
            <v>Nùmero de profesores por Categoía</v>
          </cell>
          <cell r="L119" t="str">
            <v>Profesores que participan en Comités Científicos de congresos nacionales</v>
          </cell>
          <cell r="M119" t="str">
            <v>Participación Comités Científicos de congresos nacionales</v>
          </cell>
        </row>
        <row r="120">
          <cell r="B120" t="str">
            <v>3.2.3</v>
          </cell>
          <cell r="C120" t="str">
            <v>4.1.9</v>
          </cell>
          <cell r="D120" t="str">
            <v>Contar con un grupo de profesores de planta que tengan una formación apropiada en los temas de las tecnologías identificados en el objetivo anterior, con el propósito de que ellos lideren la incorporación de dichas tecnologías a las actividades de docencia</v>
          </cell>
          <cell r="E120">
            <v>2011</v>
          </cell>
          <cell r="F120">
            <v>2015</v>
          </cell>
          <cell r="G120" t="str">
            <v>Director Departamento</v>
          </cell>
          <cell r="H120" t="str">
            <v>Sub- Director Académico</v>
          </cell>
          <cell r="I120">
            <v>0</v>
          </cell>
          <cell r="J120">
            <v>0</v>
          </cell>
          <cell r="K120" t="str">
            <v>Por definir</v>
          </cell>
          <cell r="L120" t="str">
            <v>Número de profesores que participan en Comités editoriales / Total de profesores</v>
          </cell>
          <cell r="M120" t="str">
            <v>Participación Comités editoriales</v>
          </cell>
        </row>
        <row r="121">
          <cell r="B121" t="str">
            <v>5.2.1</v>
          </cell>
          <cell r="C121" t="str">
            <v>4.1.10</v>
          </cell>
          <cell r="D121" t="str">
            <v>Establecer programas de prospección tecnológica para identificar negocios de base tecnológica, rentables en términos económicos y sociales, y facilitar a la industria la asimilación o transferencia tecnológica pertinente y apropiada</v>
          </cell>
          <cell r="E121">
            <v>2011</v>
          </cell>
          <cell r="F121">
            <v>2015</v>
          </cell>
          <cell r="G121" t="str">
            <v>Director Departamento y Comité E</v>
          </cell>
          <cell r="H121" t="str">
            <v>Sub- Director Académico y Comité E</v>
          </cell>
          <cell r="I121">
            <v>649958707.20000005</v>
          </cell>
          <cell r="J121" t="str">
            <v>Por Definir</v>
          </cell>
          <cell r="K121" t="str">
            <v>Por definir</v>
          </cell>
          <cell r="L121" t="str">
            <v>Citaciones de artículos publicados en revistas indexadas (H- INDEX)</v>
          </cell>
          <cell r="M121">
            <v>0</v>
          </cell>
        </row>
        <row r="122">
          <cell r="B122" t="str">
            <v>1.1.2</v>
          </cell>
          <cell r="C122" t="str">
            <v>4.1.11</v>
          </cell>
          <cell r="D122" t="str">
            <v xml:space="preserve">Articular la relación entre el desarrollo tecnológico y el desarrollo social en el campo de la ingeniería Industrial. </v>
          </cell>
          <cell r="E122">
            <v>2011</v>
          </cell>
          <cell r="F122">
            <v>2015</v>
          </cell>
          <cell r="G122" t="str">
            <v>Director Departamento y Comité D</v>
          </cell>
          <cell r="H122" t="str">
            <v>Sub- Director Académico y Comité D</v>
          </cell>
          <cell r="I122">
            <v>0</v>
          </cell>
          <cell r="J122" t="str">
            <v>por definir</v>
          </cell>
          <cell r="K122" t="str">
            <v>Por definir</v>
          </cell>
          <cell r="L122" t="str">
            <v xml:space="preserve">Participación en asociaciones internacionales  / Total de profesores </v>
          </cell>
          <cell r="M122">
            <v>0</v>
          </cell>
        </row>
        <row r="123">
          <cell r="B123" t="str">
            <v>4.2.6</v>
          </cell>
          <cell r="C123" t="str">
            <v>4.1.12</v>
          </cell>
          <cell r="D123" t="str">
            <v>Promover la inclusión de los conocimientos adquiridos en los cambios tecnológicos identificados en la producción de los grupos de investigación liderado por los profesores</v>
          </cell>
          <cell r="E123">
            <v>2011</v>
          </cell>
          <cell r="F123">
            <v>2015</v>
          </cell>
          <cell r="G123" t="str">
            <v>Director Departamento y Comité E</v>
          </cell>
          <cell r="H123" t="str">
            <v>Sub- Director Académico y Comité E</v>
          </cell>
          <cell r="I123">
            <v>812448384</v>
          </cell>
          <cell r="J123" t="str">
            <v>Por Definir</v>
          </cell>
          <cell r="K123" t="str">
            <v>Por definir</v>
          </cell>
          <cell r="L123" t="str">
            <v>Número de cursos con desarrollo documentado de material</v>
          </cell>
          <cell r="M123">
            <v>0</v>
          </cell>
        </row>
        <row r="124">
          <cell r="B124" t="str">
            <v>2.1.10</v>
          </cell>
          <cell r="C124" t="str">
            <v>4.1.13</v>
          </cell>
          <cell r="D124" t="str">
            <v>Difundir las actividades de los profesores a través de eventos en los que se cuente con participantes del sector externo</v>
          </cell>
          <cell r="E124">
            <v>2011</v>
          </cell>
          <cell r="F124">
            <v>2015</v>
          </cell>
          <cell r="G124" t="str">
            <v>Director Departamento y Comité C</v>
          </cell>
          <cell r="H124" t="str">
            <v>Sub- Director Académico y Comité C</v>
          </cell>
          <cell r="I124">
            <v>108326451.2</v>
          </cell>
          <cell r="J124" t="str">
            <v>Estadisticas</v>
          </cell>
          <cell r="K124" t="str">
            <v>Número de eventos en los que participan los profesores</v>
          </cell>
          <cell r="L124" t="str">
            <v>Número  de textos docentes reconocidos y publicados</v>
          </cell>
          <cell r="M124">
            <v>0</v>
          </cell>
        </row>
        <row r="125">
          <cell r="B125" t="str">
            <v>3.2.5</v>
          </cell>
          <cell r="C125" t="str">
            <v>4.1.14</v>
          </cell>
          <cell r="D125" t="str">
            <v>Participar en eventos internacionales que permitan reconocer y vincular profesores internacionales con formación doctoral.</v>
          </cell>
          <cell r="E125">
            <v>2011</v>
          </cell>
          <cell r="F125">
            <v>2015</v>
          </cell>
          <cell r="G125" t="str">
            <v xml:space="preserve">Director Departamento y Comités A y C. </v>
          </cell>
          <cell r="H125" t="str">
            <v>Sub- Director Académico  y Comités A y C</v>
          </cell>
          <cell r="I125">
            <v>487469030.39999998</v>
          </cell>
          <cell r="J125" t="str">
            <v>Por Definir</v>
          </cell>
          <cell r="K125" t="str">
            <v>Por definir</v>
          </cell>
          <cell r="L125" t="str">
            <v>Numero de profesores en  Comités directivos de Asociaciones académicas / Total de profesores</v>
          </cell>
          <cell r="M125">
            <v>0</v>
          </cell>
        </row>
        <row r="126">
          <cell r="B126" t="str">
            <v>2.1.9</v>
          </cell>
          <cell r="C126" t="str">
            <v>4.1.15</v>
          </cell>
          <cell r="D126" t="str">
            <v>Apoyar estudios  para  profesores que no alcancen el nivel de producción intelectual esperado</v>
          </cell>
          <cell r="E126">
            <v>0</v>
          </cell>
          <cell r="F126">
            <v>0</v>
          </cell>
          <cell r="G126" t="str">
            <v>Director Departamento y Comité C</v>
          </cell>
          <cell r="H126" t="str">
            <v>Cordinador de Programa y Comité C</v>
          </cell>
          <cell r="I126">
            <v>541632256</v>
          </cell>
          <cell r="J126" t="str">
            <v>por definir</v>
          </cell>
          <cell r="K126" t="str">
            <v>Por definir</v>
          </cell>
          <cell r="L126" t="str">
            <v>Numero de profesores en  Comités directivos de Agremiaciones profesionales / Total de profesores</v>
          </cell>
          <cell r="M126">
            <v>0</v>
          </cell>
        </row>
        <row r="127">
          <cell r="B127" t="str">
            <v>3.2.4</v>
          </cell>
          <cell r="C127" t="str">
            <v>4.1.16</v>
          </cell>
          <cell r="D127" t="str">
            <v>Apoyar planes de jubilación de los profesores</v>
          </cell>
          <cell r="E127">
            <v>0</v>
          </cell>
          <cell r="F127">
            <v>0</v>
          </cell>
          <cell r="G127" t="str">
            <v>Director Departamento y Comité C</v>
          </cell>
          <cell r="H127" t="str">
            <v>Profesor PAR y Comité C</v>
          </cell>
          <cell r="I127">
            <v>270816128</v>
          </cell>
          <cell r="J127" t="str">
            <v>Por definir</v>
          </cell>
          <cell r="K127" t="str">
            <v>Por definir</v>
          </cell>
          <cell r="L127">
            <v>0</v>
          </cell>
          <cell r="M127">
            <v>0</v>
          </cell>
        </row>
        <row r="128">
          <cell r="B128" t="str">
            <v>3 y 5</v>
          </cell>
          <cell r="C128">
            <v>5</v>
          </cell>
          <cell r="D128" t="str">
            <v>Objetivo 5: Lograr una organización y un tamaño para la Facultad que le permita cumplir la misión.</v>
          </cell>
          <cell r="E128">
            <v>2011</v>
          </cell>
          <cell r="F128">
            <v>2015</v>
          </cell>
          <cell r="G128" t="str">
            <v>Director Departamento</v>
          </cell>
          <cell r="H128" t="str">
            <v>Sub- Director Académico</v>
          </cell>
          <cell r="I128">
            <v>0</v>
          </cell>
          <cell r="J128">
            <v>0</v>
          </cell>
          <cell r="K128">
            <v>0</v>
          </cell>
          <cell r="L128">
            <v>0</v>
          </cell>
          <cell r="M128">
            <v>0</v>
          </cell>
        </row>
        <row r="129">
          <cell r="B129" t="str">
            <v>3.1</v>
          </cell>
          <cell r="C129">
            <v>5.0999999999999996</v>
          </cell>
          <cell r="D129" t="str">
            <v xml:space="preserve">Subobjetivo 5.1. Alcanzar las metas de población estudiantil de la Facultad </v>
          </cell>
          <cell r="E129">
            <v>2011</v>
          </cell>
          <cell r="F129">
            <v>2015</v>
          </cell>
          <cell r="G129" t="str">
            <v>Director Departamento</v>
          </cell>
          <cell r="H129" t="str">
            <v>Sub- Director Académico</v>
          </cell>
          <cell r="I129">
            <v>731203545.60000002</v>
          </cell>
          <cell r="J129">
            <v>0</v>
          </cell>
          <cell r="K129">
            <v>0</v>
          </cell>
          <cell r="L129">
            <v>0</v>
          </cell>
          <cell r="M129" t="str">
            <v>Metas a 2015:</v>
          </cell>
        </row>
        <row r="130">
          <cell r="B130" t="str">
            <v>1.5.12</v>
          </cell>
          <cell r="C130" t="str">
            <v>5.1.1</v>
          </cell>
          <cell r="D130" t="str">
            <v>Mantener actualizados los estudios para precisar los factores que hacen atractivo el Departamento ante la competencia de otros programas de menor costo.</v>
          </cell>
          <cell r="E130">
            <v>2011</v>
          </cell>
          <cell r="F130">
            <v>2015</v>
          </cell>
          <cell r="G130" t="str">
            <v>Director Departamento y Comité D</v>
          </cell>
          <cell r="H130" t="str">
            <v>Sub- Director Académico y Comité D</v>
          </cell>
          <cell r="I130">
            <v>324979353.60000002</v>
          </cell>
          <cell r="J130" t="str">
            <v>Por Definir</v>
          </cell>
          <cell r="K130" t="str">
            <v>Por definir</v>
          </cell>
          <cell r="L130" t="str">
            <v>Pregrado: 2000</v>
          </cell>
          <cell r="M130" t="str">
            <v>Pregrado: 5.500</v>
          </cell>
        </row>
        <row r="131">
          <cell r="B131" t="str">
            <v>1.2.11</v>
          </cell>
          <cell r="C131" t="str">
            <v>5.1.2</v>
          </cell>
          <cell r="D131" t="str">
            <v xml:space="preserve">Estudiar la posibilidad de la creación de nuevos programas de pregrado como el de ingeniería de producción de acuerdo con la disponibilidad de profesores y planta física, principalmente. </v>
          </cell>
          <cell r="E131">
            <v>2011</v>
          </cell>
          <cell r="F131">
            <v>2015</v>
          </cell>
          <cell r="G131" t="str">
            <v>Director Departamento y Comité A</v>
          </cell>
          <cell r="H131" t="str">
            <v>Sub- Director Académico</v>
          </cell>
          <cell r="I131">
            <v>0</v>
          </cell>
          <cell r="J131" t="str">
            <v>Encuestas</v>
          </cell>
          <cell r="K131" t="str">
            <v>Por definir</v>
          </cell>
          <cell r="L131" t="str">
            <v>Maestría: 300</v>
          </cell>
          <cell r="M131">
            <v>0</v>
          </cell>
        </row>
        <row r="132">
          <cell r="B132" t="str">
            <v>1.2.9</v>
          </cell>
          <cell r="C132" t="str">
            <v>5.1.3</v>
          </cell>
          <cell r="D132" t="str">
            <v>Fortalecer y mantener los programas de Maestría Profesional</v>
          </cell>
          <cell r="E132">
            <v>2011</v>
          </cell>
          <cell r="F132">
            <v>2015</v>
          </cell>
          <cell r="G132" t="str">
            <v>Director Departamento y Comité A</v>
          </cell>
          <cell r="H132" t="str">
            <v>Sub- Director Académico</v>
          </cell>
          <cell r="I132">
            <v>0</v>
          </cell>
          <cell r="J132" t="str">
            <v>Mediciones Directas</v>
          </cell>
          <cell r="K132" t="str">
            <v>Número de estudiantes</v>
          </cell>
          <cell r="L132" t="str">
            <v>Doctorado 30</v>
          </cell>
          <cell r="M132">
            <v>0</v>
          </cell>
        </row>
        <row r="133">
          <cell r="B133" t="str">
            <v>3.2.6</v>
          </cell>
          <cell r="C133" t="str">
            <v>5.1.4</v>
          </cell>
          <cell r="D133" t="str">
            <v>Incrementar el apoyo para la formación de nuevos profesores.</v>
          </cell>
          <cell r="E133">
            <v>2011</v>
          </cell>
          <cell r="F133">
            <v>2015</v>
          </cell>
          <cell r="G133" t="str">
            <v xml:space="preserve">Director Departamento y Comités A y C. </v>
          </cell>
          <cell r="H133" t="str">
            <v>Sub- Director Académico y Comités A y C</v>
          </cell>
          <cell r="I133">
            <v>406224192</v>
          </cell>
          <cell r="J133" t="str">
            <v>Datos directos</v>
          </cell>
          <cell r="K133" t="str">
            <v>Número de personas en foirmación</v>
          </cell>
          <cell r="L133">
            <v>0</v>
          </cell>
          <cell r="M133">
            <v>0</v>
          </cell>
        </row>
        <row r="134">
          <cell r="B134" t="str">
            <v>1.3.3</v>
          </cell>
          <cell r="C134" t="str">
            <v>5.1.5</v>
          </cell>
          <cell r="D134" t="str">
            <v>Apoyar las labores para incrementar el número de maestrias de profundización</v>
          </cell>
          <cell r="E134">
            <v>2011</v>
          </cell>
          <cell r="F134">
            <v>2015</v>
          </cell>
          <cell r="G134" t="str">
            <v>Director Departamento y Comité A</v>
          </cell>
          <cell r="H134" t="str">
            <v>Sub- Director Académico</v>
          </cell>
          <cell r="I134">
            <v>0</v>
          </cell>
          <cell r="J134" t="str">
            <v>Mediciones directas</v>
          </cell>
          <cell r="K134" t="str">
            <v>Número de estudiantes en Maestría</v>
          </cell>
          <cell r="L134">
            <v>0</v>
          </cell>
          <cell r="M134">
            <v>0</v>
          </cell>
        </row>
        <row r="135">
          <cell r="B135" t="str">
            <v>3.2</v>
          </cell>
          <cell r="C135">
            <v>5.2</v>
          </cell>
          <cell r="D135" t="str">
            <v>Subobjetivo 5.2.Alcanzar las metas en la composición de la planta de profesores</v>
          </cell>
          <cell r="E135">
            <v>2011</v>
          </cell>
          <cell r="F135">
            <v>2015</v>
          </cell>
          <cell r="G135" t="str">
            <v>Director Departamento</v>
          </cell>
          <cell r="H135" t="str">
            <v>Sub- Director Académico</v>
          </cell>
          <cell r="I135">
            <v>0</v>
          </cell>
          <cell r="J135">
            <v>0</v>
          </cell>
          <cell r="K135">
            <v>0</v>
          </cell>
          <cell r="L135" t="str">
            <v>30 profesores de planta vinculados al Departamento con título de doctorado.</v>
          </cell>
          <cell r="M135" t="str">
            <v>· 110 profesores de planta vinculados a la Facultad con título de doctorado.</v>
          </cell>
        </row>
        <row r="136">
          <cell r="B136" t="str">
            <v>3.2.6</v>
          </cell>
          <cell r="C136" t="str">
            <v>5.2.1</v>
          </cell>
          <cell r="D136" t="str">
            <v>Incrementar el apoyo para la formación de nuevos profesores.</v>
          </cell>
          <cell r="E136">
            <v>2011</v>
          </cell>
          <cell r="F136">
            <v>2015</v>
          </cell>
          <cell r="G136" t="str">
            <v xml:space="preserve">Director Departamento y Comités A y C. </v>
          </cell>
          <cell r="H136" t="str">
            <v>Sub- Director Académico  y Comités A y C</v>
          </cell>
          <cell r="I136">
            <v>0</v>
          </cell>
          <cell r="J136" t="str">
            <v>Datos directos</v>
          </cell>
          <cell r="K136" t="str">
            <v>Número de personas en formación</v>
          </cell>
          <cell r="L136">
            <v>0</v>
          </cell>
          <cell r="M136">
            <v>0</v>
          </cell>
        </row>
        <row r="137">
          <cell r="B137" t="str">
            <v>3.1.2</v>
          </cell>
          <cell r="C137" t="str">
            <v>5.2.2</v>
          </cell>
          <cell r="D137" t="str">
            <v>Atraer estudiantes de la maestría para que realicen su doctorado con profesores del departamento</v>
          </cell>
          <cell r="E137">
            <v>2011</v>
          </cell>
          <cell r="F137">
            <v>2015</v>
          </cell>
          <cell r="G137" t="str">
            <v>Director Departamento y Comité A</v>
          </cell>
          <cell r="H137" t="str">
            <v>Sub- Director Académico</v>
          </cell>
          <cell r="I137">
            <v>0</v>
          </cell>
          <cell r="J137" t="str">
            <v>Datos internos</v>
          </cell>
          <cell r="K137" t="str">
            <v>Porcentaje de Estudiantes de Doctorado que Vienen de la Maestría</v>
          </cell>
          <cell r="L137">
            <v>0</v>
          </cell>
          <cell r="M137">
            <v>0</v>
          </cell>
        </row>
        <row r="138">
          <cell r="B138" t="str">
            <v>3.2.1</v>
          </cell>
          <cell r="C138" t="str">
            <v>5.2.3</v>
          </cell>
          <cell r="D138" t="str">
            <v xml:space="preserve"> Lograr una composición más balanceada del profesorado por categoría (Asistente, Asociado y Titular), reducir el número de instructores y aumentar el número de estudiantes doctorales</v>
          </cell>
          <cell r="E138">
            <v>2011</v>
          </cell>
          <cell r="F138">
            <v>2015</v>
          </cell>
          <cell r="G138" t="str">
            <v>Director Departamento y Comites A, C</v>
          </cell>
          <cell r="H138" t="str">
            <v>Sub- Director Académico y Comites A, C</v>
          </cell>
          <cell r="I138">
            <v>0</v>
          </cell>
          <cell r="J138" t="str">
            <v>Datos directos RH</v>
          </cell>
          <cell r="K138" t="str">
            <v>Número de profesores por categoría</v>
          </cell>
          <cell r="L138">
            <v>0</v>
          </cell>
          <cell r="M138">
            <v>0</v>
          </cell>
        </row>
        <row r="139">
          <cell r="B139" t="str">
            <v>5.1</v>
          </cell>
          <cell r="C139">
            <v>5.3</v>
          </cell>
          <cell r="D139" t="str">
            <v>Subobjetivo 5.3. Definir y alcanzar las metas de Infraestructura física y recursos para soportar el desarrollo de la Facultad.</v>
          </cell>
          <cell r="E139">
            <v>2011</v>
          </cell>
          <cell r="F139">
            <v>2015</v>
          </cell>
          <cell r="G139" t="str">
            <v>Director Departamento</v>
          </cell>
          <cell r="H139" t="str">
            <v>Sub- Director Académico</v>
          </cell>
          <cell r="I139">
            <v>433305804.80000001</v>
          </cell>
          <cell r="J139">
            <v>0</v>
          </cell>
          <cell r="K139">
            <v>0</v>
          </cell>
          <cell r="L139" t="str">
            <v>Inversión en laboratorios y convenios internacionales para el desarrollado de redes de investigación / Total de los ingresos operacionales al año.</v>
          </cell>
          <cell r="M139" t="str">
            <v>· 8% de los ingresos operacionales al año en inversión para desarrollo y adecuación de los laboratorios y mantenimiento.</v>
          </cell>
        </row>
        <row r="140">
          <cell r="B140" t="str">
            <v>5.2.2</v>
          </cell>
          <cell r="C140" t="str">
            <v>5.3.1</v>
          </cell>
          <cell r="D140" t="str">
            <v>Estudiar la posibilisad de que los Asistentes Graduados no tengan puestos de trabajo si no lugar para trabajar por grupo</v>
          </cell>
          <cell r="E140">
            <v>0</v>
          </cell>
          <cell r="F140">
            <v>0</v>
          </cell>
          <cell r="G140" t="str">
            <v>Director Departamento y Comité D</v>
          </cell>
          <cell r="H140" t="str">
            <v>Sub- Director Académico y Comité D</v>
          </cell>
          <cell r="I140">
            <v>0</v>
          </cell>
          <cell r="J140" t="str">
            <v>Por Definir</v>
          </cell>
          <cell r="K140" t="str">
            <v>Por definir</v>
          </cell>
          <cell r="L140">
            <v>0</v>
          </cell>
          <cell r="M140">
            <v>0</v>
          </cell>
        </row>
        <row r="141">
          <cell r="B141" t="str">
            <v>5.1.1</v>
          </cell>
          <cell r="C141" t="str">
            <v>5.3.2</v>
          </cell>
          <cell r="D141" t="str">
            <v xml:space="preserve">Continuar con el desarrollo del laboratorio de Teoría de la Decisión. </v>
          </cell>
          <cell r="E141">
            <v>2011</v>
          </cell>
          <cell r="F141">
            <v>2015</v>
          </cell>
          <cell r="G141" t="str">
            <v>Director Departamento y Comités D, E</v>
          </cell>
          <cell r="H141" t="str">
            <v>Sub- Director Académico y Comites D y E</v>
          </cell>
          <cell r="I141">
            <v>433305804.80000001</v>
          </cell>
          <cell r="J141" t="str">
            <v>por definir</v>
          </cell>
          <cell r="K141" t="str">
            <v>Por definir</v>
          </cell>
          <cell r="L141">
            <v>0</v>
          </cell>
          <cell r="M141">
            <v>0</v>
          </cell>
        </row>
        <row r="142">
          <cell r="B142" t="str">
            <v>3.2.3</v>
          </cell>
          <cell r="C142" t="str">
            <v>5.3.3</v>
          </cell>
          <cell r="D142" t="str">
            <v>Contar con un grupo de profesores de planta que tengan una formación apropiada en los temas de las tecnologías identificados en el objetivo anterior, con el propósito de que ellos lideren la incorporación de dichas tecnologías a las actividades de docencia</v>
          </cell>
          <cell r="E142">
            <v>2011</v>
          </cell>
          <cell r="F142">
            <v>2015</v>
          </cell>
          <cell r="G142" t="str">
            <v>Director Departamento</v>
          </cell>
          <cell r="H142" t="str">
            <v>Sub- Director Académico</v>
          </cell>
          <cell r="I142">
            <v>0</v>
          </cell>
          <cell r="J142">
            <v>0</v>
          </cell>
          <cell r="K142" t="str">
            <v>Por definir</v>
          </cell>
          <cell r="L142">
            <v>0</v>
          </cell>
          <cell r="M142">
            <v>0</v>
          </cell>
        </row>
        <row r="143">
          <cell r="B143" t="str">
            <v>1.2.10</v>
          </cell>
          <cell r="C143" t="str">
            <v>5.3.4</v>
          </cell>
          <cell r="D143" t="str">
            <v>Establecer programas de prospección tecnológica para identificar negocios de base tecnológica, rentables en términos económicos y sociales, y facilitar a la industria la asimilación o transferencia tecnológica pertinente y apropiada</v>
          </cell>
          <cell r="E143">
            <v>2011</v>
          </cell>
          <cell r="F143">
            <v>2015</v>
          </cell>
          <cell r="G143" t="str">
            <v>Director Departamento y Comité E</v>
          </cell>
          <cell r="H143" t="str">
            <v>Sub- Director Académico y Comité E</v>
          </cell>
          <cell r="I143">
            <v>0</v>
          </cell>
          <cell r="J143" t="str">
            <v>Por Definir</v>
          </cell>
          <cell r="K143" t="str">
            <v>Por definir</v>
          </cell>
          <cell r="L143">
            <v>0</v>
          </cell>
          <cell r="M143">
            <v>0</v>
          </cell>
        </row>
        <row r="144">
          <cell r="B144" t="str">
            <v>1.1.2</v>
          </cell>
          <cell r="C144" t="str">
            <v>5.3.5</v>
          </cell>
          <cell r="D144" t="str">
            <v xml:space="preserve">Articular la relación entre el desarrollo tecnológico y el desarrollo social en el campo de la ingeniería Industrial. </v>
          </cell>
          <cell r="E144">
            <v>2011</v>
          </cell>
          <cell r="F144">
            <v>2015</v>
          </cell>
          <cell r="G144" t="str">
            <v>Director Departamento y Comité D</v>
          </cell>
          <cell r="H144" t="str">
            <v>Sub- Director Académico y Comité D</v>
          </cell>
          <cell r="I144">
            <v>0</v>
          </cell>
          <cell r="J144" t="str">
            <v>por definir</v>
          </cell>
          <cell r="K144" t="str">
            <v>Por definir</v>
          </cell>
          <cell r="L144">
            <v>0</v>
          </cell>
          <cell r="M144">
            <v>0</v>
          </cell>
        </row>
        <row r="145">
          <cell r="B145" t="str">
            <v>4.2.6</v>
          </cell>
          <cell r="C145" t="str">
            <v>5.3.6</v>
          </cell>
          <cell r="D145" t="str">
            <v>Promover la inclusión de los conocimientos adquiridos en los cambios tecnológicos identificados en la producción de los grupos de investigación liderado por los profesores</v>
          </cell>
          <cell r="E145">
            <v>2011</v>
          </cell>
          <cell r="F145">
            <v>2015</v>
          </cell>
          <cell r="G145" t="str">
            <v>Director Departamento y Comité E</v>
          </cell>
          <cell r="H145" t="str">
            <v>Sub- Director Académico y Comité E</v>
          </cell>
          <cell r="I145">
            <v>0</v>
          </cell>
          <cell r="J145" t="str">
            <v>Por Definir</v>
          </cell>
          <cell r="K145" t="str">
            <v>Port definir</v>
          </cell>
          <cell r="L145">
            <v>0</v>
          </cell>
          <cell r="M145">
            <v>0</v>
          </cell>
        </row>
        <row r="146">
          <cell r="B146" t="str">
            <v>5.2</v>
          </cell>
          <cell r="C146">
            <v>5.4</v>
          </cell>
          <cell r="D146" t="str">
            <v>Subobjetivo 5.4. Adaptar la organización a los desafíos de su crecimiento.</v>
          </cell>
          <cell r="E146">
            <v>2011</v>
          </cell>
          <cell r="F146">
            <v>2015</v>
          </cell>
          <cell r="G146" t="str">
            <v>Director Departamento</v>
          </cell>
          <cell r="H146" t="str">
            <v>Sub- Director Académico</v>
          </cell>
          <cell r="I146">
            <v>541632256</v>
          </cell>
          <cell r="J146">
            <v>0</v>
          </cell>
          <cell r="K146">
            <v>0</v>
          </cell>
          <cell r="L146" t="str">
            <v># personas de apoyo administrativo/ profesores TCE (Incluye instructores)</v>
          </cell>
          <cell r="M146" t="str">
            <v>· Los gastos administrativos consolidados de la Facultad no superan el 12% de los ingresos totales.</v>
          </cell>
        </row>
        <row r="147">
          <cell r="B147" t="str">
            <v>5.2.3</v>
          </cell>
          <cell r="C147" t="str">
            <v>5.4.1</v>
          </cell>
          <cell r="D147" t="str">
            <v>Implementar la re-estructuración administrativa dentro de la coordinación del programa.</v>
          </cell>
          <cell r="E147">
            <v>2011</v>
          </cell>
          <cell r="F147">
            <v>2015</v>
          </cell>
          <cell r="G147" t="str">
            <v xml:space="preserve">Director Departamento y Comité A </v>
          </cell>
          <cell r="H147" t="str">
            <v xml:space="preserve">Sub- Director Académico y Comité A </v>
          </cell>
          <cell r="I147">
            <v>541632256</v>
          </cell>
          <cell r="J147" t="str">
            <v>Por Definir</v>
          </cell>
          <cell r="K147" t="str">
            <v>Por definir</v>
          </cell>
          <cell r="L147">
            <v>0</v>
          </cell>
          <cell r="M147">
            <v>0</v>
          </cell>
        </row>
        <row r="148">
          <cell r="B148" t="str">
            <v>5.2.4</v>
          </cell>
          <cell r="C148" t="str">
            <v>5.4.2</v>
          </cell>
          <cell r="D148" t="str">
            <v>Continuar con el levantamiento  y la documentación de procesos académicos y administrativos.</v>
          </cell>
          <cell r="E148">
            <v>2011</v>
          </cell>
          <cell r="F148">
            <v>2015</v>
          </cell>
          <cell r="G148" t="str">
            <v>Director Departamento y Comité A</v>
          </cell>
          <cell r="H148" t="str">
            <v>Sub- Director Académico</v>
          </cell>
          <cell r="I148">
            <v>0</v>
          </cell>
          <cell r="J148" t="str">
            <v>por definir</v>
          </cell>
          <cell r="K148" t="str">
            <v>Por definir</v>
          </cell>
          <cell r="L148">
            <v>0</v>
          </cell>
          <cell r="M148">
            <v>0</v>
          </cell>
        </row>
      </sheetData>
      <sheetData sheetId="12"/>
      <sheetData sheetId="13">
        <row r="4">
          <cell r="D4" t="str">
            <v>Mantener actualizados los perfiles de formación académica de los programas ofrecidos y garantizar que ellos se logran</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2. Plan de Desarrollo Facultad"/>
      <sheetName val="3. Plan Financiero por Unidad"/>
      <sheetName val="Comentarios Generales"/>
      <sheetName val="3.1 Parámetros Financieros"/>
      <sheetName val="4. Preguntas Claves"/>
    </sheetNames>
    <sheetDataSet>
      <sheetData sheetId="0"/>
      <sheetData sheetId="1"/>
      <sheetData sheetId="2">
        <row r="42">
          <cell r="M42" t="str">
            <v>Evaluación</v>
          </cell>
          <cell r="U42" t="str">
            <v>Servicios</v>
          </cell>
        </row>
        <row r="43">
          <cell r="U43" t="str">
            <v>Bases de Datos</v>
          </cell>
        </row>
        <row r="44">
          <cell r="U44" t="str">
            <v>Inserción Laboral</v>
          </cell>
        </row>
        <row r="45">
          <cell r="U45" t="str">
            <v>Donaciones</v>
          </cell>
        </row>
      </sheetData>
      <sheetData sheetId="3">
        <row r="5">
          <cell r="H5">
            <v>2200000000</v>
          </cell>
        </row>
      </sheetData>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2. Plan de Desarrollo Facultad"/>
      <sheetName val="3. Plan Financiero por Unidad"/>
      <sheetName val="Comentarios Generales"/>
      <sheetName val="3.1 Parámetros Financieros"/>
      <sheetName val="4. Preguntas Claves"/>
    </sheetNames>
    <sheetDataSet>
      <sheetData sheetId="0"/>
      <sheetData sheetId="1"/>
      <sheetData sheetId="2">
        <row r="42">
          <cell r="M42" t="str">
            <v>Evaluación</v>
          </cell>
          <cell r="U42" t="str">
            <v>Servicios</v>
          </cell>
        </row>
        <row r="43">
          <cell r="U43" t="str">
            <v>Bases de Datos</v>
          </cell>
        </row>
        <row r="44">
          <cell r="U44" t="str">
            <v>Inserción Laboral</v>
          </cell>
        </row>
        <row r="45">
          <cell r="U45" t="str">
            <v>Donaciones</v>
          </cell>
        </row>
      </sheetData>
      <sheetData sheetId="3">
        <row r="5">
          <cell r="H5">
            <v>2200000000</v>
          </cell>
        </row>
      </sheetData>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2. Plan de Desarrollo Facultad"/>
      <sheetName val="3. Plan Financiero por Unidad"/>
      <sheetName val="3.1 Parámetros"/>
      <sheetName val="4. Preguntas Claves"/>
    </sheetNames>
    <sheetDataSet>
      <sheetData sheetId="0"/>
      <sheetData sheetId="1"/>
      <sheetData sheetId="2">
        <row r="94">
          <cell r="L94" t="str">
            <v>Currículo</v>
          </cell>
          <cell r="N94" t="str">
            <v>Evaluación</v>
          </cell>
          <cell r="T94" t="str">
            <v>Estructura organizacional</v>
          </cell>
        </row>
        <row r="95">
          <cell r="N95" t="str">
            <v>Compensación y bienestar</v>
          </cell>
          <cell r="T95" t="str">
            <v>Procesos Institucionales</v>
          </cell>
        </row>
        <row r="96">
          <cell r="N96" t="str">
            <v>Participación</v>
          </cell>
          <cell r="T96" t="str">
            <v>Comunicaciones internas</v>
          </cell>
        </row>
        <row r="97">
          <cell r="N97" t="str">
            <v>Exposiciones</v>
          </cell>
          <cell r="T97" t="str">
            <v>Bienestar del talento humano</v>
          </cell>
        </row>
        <row r="98">
          <cell r="N98" t="str">
            <v>Capacitación docente</v>
          </cell>
          <cell r="T98" t="str">
            <v>Gobierno</v>
          </cell>
        </row>
        <row r="99">
          <cell r="N99" t="str">
            <v>Vinculación /Escolaridad</v>
          </cell>
        </row>
        <row r="100">
          <cell r="N100" t="str">
            <v>STAI</v>
          </cell>
        </row>
        <row r="101">
          <cell r="N101" t="str">
            <v>Financiación</v>
          </cell>
        </row>
        <row r="102">
          <cell r="N102" t="str">
            <v>Masa Crítica</v>
          </cell>
        </row>
        <row r="103">
          <cell r="N103" t="str">
            <v>Internacionalización</v>
          </cell>
        </row>
        <row r="104">
          <cell r="N104" t="str">
            <v>Ordenamiento Profesoral</v>
          </cell>
        </row>
      </sheetData>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Propuesta"/>
      <sheetName val="Formato Propuesta"/>
      <sheetName val="Original + Propuesta"/>
    </sheetNames>
    <sheetDataSet>
      <sheetData sheetId="0">
        <row r="112">
          <cell r="M112" t="str">
            <v>Evaluación</v>
          </cell>
          <cell r="O112" t="str">
            <v>Biblioteca</v>
          </cell>
          <cell r="P112" t="str">
            <v xml:space="preserve">Equipos </v>
          </cell>
          <cell r="S112" t="str">
            <v>Estructura organizacional</v>
          </cell>
        </row>
        <row r="113">
          <cell r="P113" t="str">
            <v>Tecnologías de Información</v>
          </cell>
          <cell r="S113" t="str">
            <v>Procesos Institucionales</v>
          </cell>
        </row>
        <row r="114">
          <cell r="P114" t="str">
            <v>Comunicaciones</v>
          </cell>
          <cell r="S114" t="str">
            <v>Comunicaciones internas</v>
          </cell>
        </row>
        <row r="115">
          <cell r="P115" t="str">
            <v>Páginas web</v>
          </cell>
          <cell r="S115" t="str">
            <v>Bienestar del talento humano</v>
          </cell>
        </row>
        <row r="116">
          <cell r="S116" t="str">
            <v>Gobierno</v>
          </cell>
        </row>
      </sheetData>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2. Plan de Desarrollo Facultad"/>
      <sheetName val="3. Plan Financiero por Unidad"/>
      <sheetName val="3.1 Parámetros"/>
      <sheetName val="4. Preguntas Claves"/>
    </sheetNames>
    <sheetDataSet>
      <sheetData sheetId="0" refreshError="1"/>
      <sheetData sheetId="1" refreshError="1"/>
      <sheetData sheetId="2">
        <row r="109">
          <cell r="L109" t="str">
            <v>Currículo</v>
          </cell>
          <cell r="P109" t="str">
            <v>Biblioteca</v>
          </cell>
          <cell r="Q109" t="str">
            <v xml:space="preserve">Equipos </v>
          </cell>
          <cell r="R109" t="str">
            <v>Planta Física</v>
          </cell>
          <cell r="S109" t="str">
            <v>Ingresos</v>
          </cell>
          <cell r="T109" t="str">
            <v>Estructura organizacional</v>
          </cell>
        </row>
        <row r="110">
          <cell r="Q110" t="str">
            <v>Tecnologías de Información</v>
          </cell>
          <cell r="R110" t="str">
            <v>Laboratorios</v>
          </cell>
          <cell r="S110" t="str">
            <v>Fuentes de financiación</v>
          </cell>
          <cell r="T110" t="str">
            <v>Procesos Institucionales</v>
          </cell>
        </row>
        <row r="111">
          <cell r="Q111" t="str">
            <v>Comunicaciones</v>
          </cell>
          <cell r="S111" t="str">
            <v>Inversión</v>
          </cell>
          <cell r="T111" t="str">
            <v>Comunicaciones internas</v>
          </cell>
        </row>
        <row r="112">
          <cell r="Q112" t="str">
            <v>Páginas web</v>
          </cell>
          <cell r="S112" t="str">
            <v>Costos/ Gastos</v>
          </cell>
          <cell r="T112" t="str">
            <v>Bienestar del talento humano</v>
          </cell>
        </row>
        <row r="113">
          <cell r="T113" t="str">
            <v>Gobierno</v>
          </cell>
        </row>
      </sheetData>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es del Plan"/>
      <sheetName val="1. Misión-Visión"/>
      <sheetName val="2. Plan de Desarrollo Facultad"/>
      <sheetName val="3. Plan Financiero por Unidad"/>
      <sheetName val="Comentarios"/>
      <sheetName val="3.1 Parámetros Financieros"/>
      <sheetName val="4. Preguntas Claves"/>
      <sheetName val="Planeacion "/>
    </sheetNames>
    <sheetDataSet>
      <sheetData sheetId="0"/>
      <sheetData sheetId="1"/>
      <sheetData sheetId="2">
        <row r="101">
          <cell r="S101" t="str">
            <v>Estructura organizacional</v>
          </cell>
        </row>
        <row r="102">
          <cell r="S102" t="str">
            <v>Procesos Institucionales</v>
          </cell>
        </row>
        <row r="103">
          <cell r="S103" t="str">
            <v>Comunicaciones internas</v>
          </cell>
        </row>
        <row r="104">
          <cell r="S104" t="str">
            <v>Bienestar del talento humano</v>
          </cell>
        </row>
        <row r="105">
          <cell r="S105" t="str">
            <v>Gobierno</v>
          </cell>
        </row>
      </sheetData>
      <sheetData sheetId="3"/>
      <sheetData sheetId="4"/>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4:E25"/>
  <sheetViews>
    <sheetView workbookViewId="0">
      <selection activeCell="I35" sqref="I35"/>
    </sheetView>
  </sheetViews>
  <sheetFormatPr baseColWidth="10" defaultColWidth="11.42578125" defaultRowHeight="15" x14ac:dyDescent="0.25"/>
  <cols>
    <col min="1" max="1" width="16.28515625" style="2" customWidth="1"/>
    <col min="2" max="16384" width="11.42578125" style="2"/>
  </cols>
  <sheetData>
    <row r="4" spans="1:5" ht="18.75" x14ac:dyDescent="0.3">
      <c r="A4" s="82" t="s">
        <v>28</v>
      </c>
      <c r="B4" s="82"/>
      <c r="C4" s="3"/>
      <c r="D4" s="3"/>
      <c r="E4" s="3"/>
    </row>
    <row r="13" spans="1:5" ht="21" x14ac:dyDescent="0.35">
      <c r="A13" s="83" t="s">
        <v>25</v>
      </c>
      <c r="B13" s="83"/>
      <c r="C13" s="4"/>
      <c r="D13" s="4"/>
      <c r="E13" s="4"/>
    </row>
    <row r="25" spans="1:2" ht="21" x14ac:dyDescent="0.35">
      <c r="A25" s="83" t="s">
        <v>39</v>
      </c>
      <c r="B25" s="83"/>
    </row>
  </sheetData>
  <mergeCells count="3">
    <mergeCell ref="A4:B4"/>
    <mergeCell ref="A13:B13"/>
    <mergeCell ref="A25:B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T81"/>
  <sheetViews>
    <sheetView tabSelected="1" topLeftCell="A2" zoomScale="70" zoomScaleNormal="70" workbookViewId="0">
      <pane xSplit="2" ySplit="3" topLeftCell="P19" activePane="bottomRight" state="frozen"/>
      <selection activeCell="A2" sqref="A2"/>
      <selection pane="topRight" activeCell="C2" sqref="C2"/>
      <selection pane="bottomLeft" activeCell="A5" sqref="A5"/>
      <selection pane="bottomRight" activeCell="S21" sqref="S21"/>
    </sheetView>
  </sheetViews>
  <sheetFormatPr baseColWidth="10" defaultColWidth="11.42578125" defaultRowHeight="15" x14ac:dyDescent="0.25"/>
  <cols>
    <col min="1" max="1" width="9.7109375" style="76" bestFit="1" customWidth="1"/>
    <col min="2" max="2" width="41.85546875" style="77" customWidth="1"/>
    <col min="3" max="3" width="14.85546875" style="78" customWidth="1"/>
    <col min="4" max="4" width="16" style="78" customWidth="1"/>
    <col min="5" max="5" width="17.85546875" style="78" customWidth="1"/>
    <col min="6" max="6" width="24.140625" style="78" hidden="1" customWidth="1"/>
    <col min="7" max="7" width="20.28515625" style="78" hidden="1" customWidth="1"/>
    <col min="8" max="8" width="24.140625" style="78" customWidth="1"/>
    <col min="9" max="9" width="22.85546875" style="78" customWidth="1"/>
    <col min="10" max="10" width="32.85546875" style="78" customWidth="1"/>
    <col min="11" max="11" width="27.28515625" style="78" hidden="1" customWidth="1"/>
    <col min="12" max="12" width="26.7109375" style="78" customWidth="1"/>
    <col min="13" max="13" width="22.140625" style="78" customWidth="1"/>
    <col min="14" max="14" width="22.5703125" style="78" customWidth="1"/>
    <col min="15" max="15" width="26.85546875" style="78" customWidth="1"/>
    <col min="16" max="16" width="22.28515625" style="78" customWidth="1"/>
    <col min="17" max="17" width="23.85546875" style="78" customWidth="1"/>
    <col min="18" max="18" width="29.28515625" style="78" customWidth="1"/>
    <col min="19" max="19" width="24.28515625" style="78" customWidth="1"/>
    <col min="20" max="20" width="29.42578125" style="78" customWidth="1"/>
    <col min="21" max="16384" width="11.42578125" style="78"/>
  </cols>
  <sheetData>
    <row r="1" spans="1:20" x14ac:dyDescent="0.25">
      <c r="A1" s="43"/>
      <c r="B1" s="44"/>
      <c r="C1" s="45"/>
      <c r="D1" s="45"/>
      <c r="E1" s="45"/>
      <c r="F1" s="45"/>
      <c r="G1" s="45"/>
      <c r="H1" s="45"/>
      <c r="I1" s="45"/>
      <c r="J1" s="45"/>
      <c r="K1" s="45"/>
      <c r="L1" s="45"/>
      <c r="M1" s="45"/>
      <c r="N1" s="45"/>
      <c r="O1" s="45"/>
      <c r="P1" s="45"/>
      <c r="Q1" s="45"/>
    </row>
    <row r="2" spans="1:20" ht="15.75" thickBot="1" x14ac:dyDescent="0.3"/>
    <row r="3" spans="1:20" x14ac:dyDescent="0.25">
      <c r="A3" s="87" t="s">
        <v>12</v>
      </c>
      <c r="B3" s="89" t="s">
        <v>11</v>
      </c>
      <c r="C3" s="91" t="s">
        <v>10</v>
      </c>
      <c r="D3" s="93" t="s">
        <v>7</v>
      </c>
      <c r="E3" s="93" t="s">
        <v>8</v>
      </c>
      <c r="F3" s="93" t="s">
        <v>9</v>
      </c>
      <c r="G3" s="95" t="s">
        <v>15</v>
      </c>
      <c r="H3" s="91" t="s">
        <v>13</v>
      </c>
      <c r="I3" s="93" t="s">
        <v>26</v>
      </c>
      <c r="J3" s="93" t="s">
        <v>27</v>
      </c>
      <c r="K3" s="89" t="s">
        <v>497</v>
      </c>
      <c r="L3" s="84">
        <v>2011</v>
      </c>
      <c r="M3" s="85"/>
      <c r="N3" s="86"/>
      <c r="O3" s="84">
        <v>2012</v>
      </c>
      <c r="P3" s="85"/>
      <c r="Q3" s="86"/>
      <c r="R3" s="79"/>
      <c r="S3" s="79"/>
      <c r="T3" s="79"/>
    </row>
    <row r="4" spans="1:20" ht="30" x14ac:dyDescent="0.25">
      <c r="A4" s="88"/>
      <c r="B4" s="90"/>
      <c r="C4" s="92"/>
      <c r="D4" s="94"/>
      <c r="E4" s="94"/>
      <c r="F4" s="94"/>
      <c r="G4" s="96"/>
      <c r="H4" s="92"/>
      <c r="I4" s="94"/>
      <c r="J4" s="94"/>
      <c r="K4" s="90"/>
      <c r="L4" s="46" t="s">
        <v>498</v>
      </c>
      <c r="M4" s="47" t="s">
        <v>499</v>
      </c>
      <c r="N4" s="48" t="s">
        <v>500</v>
      </c>
      <c r="O4" s="46" t="s">
        <v>501</v>
      </c>
      <c r="P4" s="47" t="s">
        <v>499</v>
      </c>
      <c r="Q4" s="48" t="s">
        <v>500</v>
      </c>
      <c r="R4" s="81" t="s">
        <v>497</v>
      </c>
      <c r="S4" s="81" t="s">
        <v>753</v>
      </c>
      <c r="T4" s="81" t="s">
        <v>754</v>
      </c>
    </row>
    <row r="5" spans="1:20" s="56" customFormat="1" ht="78.75" customHeight="1" x14ac:dyDescent="0.25">
      <c r="A5" s="49">
        <v>1</v>
      </c>
      <c r="B5" s="50" t="s">
        <v>419</v>
      </c>
      <c r="C5" s="51"/>
      <c r="D5" s="52"/>
      <c r="E5" s="52"/>
      <c r="F5" s="52"/>
      <c r="G5" s="52"/>
      <c r="H5" s="53"/>
      <c r="I5" s="54"/>
      <c r="J5" s="54"/>
      <c r="K5" s="55"/>
      <c r="L5" s="53"/>
      <c r="M5" s="54"/>
      <c r="N5" s="55"/>
      <c r="O5" s="53"/>
      <c r="P5" s="54"/>
      <c r="Q5" s="55"/>
      <c r="R5" s="53"/>
      <c r="S5" s="54"/>
      <c r="T5" s="55"/>
    </row>
    <row r="6" spans="1:20" s="56" customFormat="1" ht="45" x14ac:dyDescent="0.25">
      <c r="A6" s="57">
        <v>1.1000000000000001</v>
      </c>
      <c r="B6" s="58" t="s">
        <v>438</v>
      </c>
      <c r="C6" s="59"/>
      <c r="D6" s="60"/>
      <c r="E6" s="60"/>
      <c r="F6" s="60"/>
      <c r="G6" s="60"/>
      <c r="H6" s="61"/>
      <c r="I6" s="62"/>
      <c r="J6" s="62"/>
      <c r="K6" s="63"/>
      <c r="L6" s="61"/>
      <c r="M6" s="62"/>
      <c r="N6" s="63"/>
      <c r="O6" s="61"/>
      <c r="P6" s="62"/>
      <c r="Q6" s="63"/>
      <c r="R6" s="61"/>
      <c r="S6" s="62"/>
      <c r="T6" s="63"/>
    </row>
    <row r="7" spans="1:20" s="75" customFormat="1" ht="129" customHeight="1" x14ac:dyDescent="0.25">
      <c r="A7" s="64" t="s">
        <v>1</v>
      </c>
      <c r="B7" s="65" t="s">
        <v>439</v>
      </c>
      <c r="C7" s="66" t="s">
        <v>204</v>
      </c>
      <c r="D7" s="67" t="s">
        <v>205</v>
      </c>
      <c r="E7" s="68" t="s">
        <v>206</v>
      </c>
      <c r="F7" s="68" t="s">
        <v>207</v>
      </c>
      <c r="G7" s="69"/>
      <c r="H7" s="70" t="s">
        <v>208</v>
      </c>
      <c r="I7" s="71" t="s">
        <v>209</v>
      </c>
      <c r="J7" s="72" t="s">
        <v>755</v>
      </c>
      <c r="K7" s="73"/>
      <c r="L7" s="74" t="s">
        <v>504</v>
      </c>
      <c r="M7" s="72" t="s">
        <v>503</v>
      </c>
      <c r="N7" s="72" t="s">
        <v>502</v>
      </c>
      <c r="O7" s="74" t="s">
        <v>505</v>
      </c>
      <c r="P7" s="72" t="s">
        <v>503</v>
      </c>
      <c r="Q7" s="73" t="s">
        <v>506</v>
      </c>
      <c r="R7" s="74" t="s">
        <v>778</v>
      </c>
      <c r="S7" s="72">
        <v>5</v>
      </c>
      <c r="T7" s="73" t="s">
        <v>779</v>
      </c>
    </row>
    <row r="8" spans="1:20" s="75" customFormat="1" ht="117.75" customHeight="1" x14ac:dyDescent="0.25">
      <c r="A8" s="64" t="s">
        <v>2</v>
      </c>
      <c r="B8" s="65" t="s">
        <v>440</v>
      </c>
      <c r="C8" s="66" t="s">
        <v>204</v>
      </c>
      <c r="D8" s="67" t="s">
        <v>205</v>
      </c>
      <c r="E8" s="68" t="s">
        <v>206</v>
      </c>
      <c r="F8" s="68" t="s">
        <v>210</v>
      </c>
      <c r="G8" s="69"/>
      <c r="H8" s="70" t="s">
        <v>211</v>
      </c>
      <c r="I8" s="71" t="s">
        <v>209</v>
      </c>
      <c r="J8" s="72" t="s">
        <v>212</v>
      </c>
      <c r="K8" s="73"/>
      <c r="L8" s="74" t="s">
        <v>515</v>
      </c>
      <c r="M8" s="72" t="s">
        <v>503</v>
      </c>
      <c r="N8" s="73" t="s">
        <v>516</v>
      </c>
      <c r="O8" s="74" t="s">
        <v>507</v>
      </c>
      <c r="P8" s="72" t="s">
        <v>508</v>
      </c>
      <c r="Q8" s="73" t="s">
        <v>509</v>
      </c>
      <c r="R8" s="74" t="s">
        <v>840</v>
      </c>
      <c r="S8" s="72">
        <v>5</v>
      </c>
      <c r="T8" s="73" t="s">
        <v>782</v>
      </c>
    </row>
    <row r="9" spans="1:20" s="75" customFormat="1" ht="154.5" customHeight="1" x14ac:dyDescent="0.25">
      <c r="A9" s="64" t="s">
        <v>3</v>
      </c>
      <c r="B9" s="65" t="s">
        <v>420</v>
      </c>
      <c r="C9" s="66" t="s">
        <v>204</v>
      </c>
      <c r="D9" s="67" t="s">
        <v>205</v>
      </c>
      <c r="E9" s="68" t="s">
        <v>206</v>
      </c>
      <c r="F9" s="68" t="s">
        <v>213</v>
      </c>
      <c r="G9" s="69"/>
      <c r="H9" s="70" t="s">
        <v>214</v>
      </c>
      <c r="I9" s="71" t="s">
        <v>215</v>
      </c>
      <c r="J9" s="72" t="s">
        <v>216</v>
      </c>
      <c r="K9" s="73"/>
      <c r="L9" s="74" t="s">
        <v>517</v>
      </c>
      <c r="M9" s="72" t="s">
        <v>510</v>
      </c>
      <c r="N9" s="73" t="s">
        <v>511</v>
      </c>
      <c r="O9" s="74" t="s">
        <v>512</v>
      </c>
      <c r="P9" s="72" t="s">
        <v>513</v>
      </c>
      <c r="Q9" s="73" t="s">
        <v>514</v>
      </c>
      <c r="R9" s="74" t="s">
        <v>841</v>
      </c>
      <c r="S9" s="72">
        <v>3</v>
      </c>
      <c r="T9" s="73" t="s">
        <v>780</v>
      </c>
    </row>
    <row r="10" spans="1:20" s="56" customFormat="1" ht="60" x14ac:dyDescent="0.25">
      <c r="A10" s="57" t="s">
        <v>46</v>
      </c>
      <c r="B10" s="58" t="s">
        <v>441</v>
      </c>
      <c r="C10" s="59"/>
      <c r="D10" s="60"/>
      <c r="E10" s="60"/>
      <c r="F10" s="60"/>
      <c r="G10" s="60"/>
      <c r="H10" s="61"/>
      <c r="I10" s="62"/>
      <c r="J10" s="62"/>
      <c r="K10" s="63"/>
      <c r="L10" s="61"/>
      <c r="M10" s="62"/>
      <c r="N10" s="63"/>
      <c r="O10" s="61"/>
      <c r="P10" s="62"/>
      <c r="Q10" s="63"/>
      <c r="R10" s="61"/>
      <c r="S10" s="62"/>
      <c r="T10" s="63"/>
    </row>
    <row r="11" spans="1:20" s="75" customFormat="1" ht="198" customHeight="1" x14ac:dyDescent="0.25">
      <c r="A11" s="64" t="s">
        <v>4</v>
      </c>
      <c r="B11" s="65" t="s">
        <v>421</v>
      </c>
      <c r="C11" s="66" t="s">
        <v>204</v>
      </c>
      <c r="D11" s="67" t="s">
        <v>205</v>
      </c>
      <c r="E11" s="68" t="s">
        <v>206</v>
      </c>
      <c r="F11" s="68" t="s">
        <v>217</v>
      </c>
      <c r="G11" s="69"/>
      <c r="H11" s="70" t="s">
        <v>218</v>
      </c>
      <c r="I11" s="71" t="s">
        <v>219</v>
      </c>
      <c r="J11" s="72" t="s">
        <v>220</v>
      </c>
      <c r="K11" s="73"/>
      <c r="L11" s="74" t="s">
        <v>523</v>
      </c>
      <c r="M11" s="72" t="s">
        <v>521</v>
      </c>
      <c r="N11" s="73"/>
      <c r="O11" s="74" t="s">
        <v>518</v>
      </c>
      <c r="P11" s="72" t="s">
        <v>519</v>
      </c>
      <c r="Q11" s="73" t="s">
        <v>520</v>
      </c>
      <c r="R11" s="74" t="s">
        <v>843</v>
      </c>
      <c r="S11" s="72">
        <v>3</v>
      </c>
      <c r="T11" s="73" t="s">
        <v>842</v>
      </c>
    </row>
    <row r="12" spans="1:20" s="75" customFormat="1" ht="151.5" customHeight="1" x14ac:dyDescent="0.25">
      <c r="A12" s="64" t="s">
        <v>5</v>
      </c>
      <c r="B12" s="65" t="s">
        <v>442</v>
      </c>
      <c r="C12" s="66" t="s">
        <v>204</v>
      </c>
      <c r="D12" s="67" t="s">
        <v>205</v>
      </c>
      <c r="E12" s="68" t="s">
        <v>206</v>
      </c>
      <c r="F12" s="68" t="s">
        <v>221</v>
      </c>
      <c r="G12" s="69"/>
      <c r="H12" s="70" t="s">
        <v>222</v>
      </c>
      <c r="I12" s="71" t="s">
        <v>223</v>
      </c>
      <c r="J12" s="72" t="s">
        <v>224</v>
      </c>
      <c r="K12" s="73"/>
      <c r="L12" s="74" t="s">
        <v>522</v>
      </c>
      <c r="M12" s="72" t="s">
        <v>524</v>
      </c>
      <c r="N12" s="73" t="s">
        <v>525</v>
      </c>
      <c r="O12" s="74" t="s">
        <v>526</v>
      </c>
      <c r="P12" s="72" t="s">
        <v>527</v>
      </c>
      <c r="Q12" s="73" t="s">
        <v>528</v>
      </c>
      <c r="R12" s="74" t="s">
        <v>844</v>
      </c>
      <c r="S12" s="72">
        <v>5</v>
      </c>
      <c r="T12" s="73" t="s">
        <v>782</v>
      </c>
    </row>
    <row r="13" spans="1:20" s="75" customFormat="1" ht="150.75" customHeight="1" x14ac:dyDescent="0.25">
      <c r="A13" s="64" t="s">
        <v>6</v>
      </c>
      <c r="B13" s="65" t="s">
        <v>443</v>
      </c>
      <c r="C13" s="66" t="s">
        <v>204</v>
      </c>
      <c r="D13" s="67" t="s">
        <v>205</v>
      </c>
      <c r="E13" s="68" t="s">
        <v>217</v>
      </c>
      <c r="F13" s="68" t="s">
        <v>206</v>
      </c>
      <c r="G13" s="69">
        <v>100</v>
      </c>
      <c r="H13" s="70" t="s">
        <v>225</v>
      </c>
      <c r="I13" s="71" t="s">
        <v>226</v>
      </c>
      <c r="J13" s="72" t="s">
        <v>227</v>
      </c>
      <c r="K13" s="73"/>
      <c r="L13" s="74" t="s">
        <v>537</v>
      </c>
      <c r="M13" s="72" t="s">
        <v>538</v>
      </c>
      <c r="N13" s="73" t="s">
        <v>539</v>
      </c>
      <c r="O13" s="74" t="s">
        <v>540</v>
      </c>
      <c r="P13" s="72" t="s">
        <v>541</v>
      </c>
      <c r="Q13" s="73" t="s">
        <v>542</v>
      </c>
      <c r="R13" s="74"/>
      <c r="S13" s="72">
        <v>5</v>
      </c>
      <c r="T13" s="73" t="s">
        <v>781</v>
      </c>
    </row>
    <row r="14" spans="1:20" s="75" customFormat="1" ht="75" x14ac:dyDescent="0.25">
      <c r="A14" s="64" t="s">
        <v>228</v>
      </c>
      <c r="B14" s="65" t="s">
        <v>444</v>
      </c>
      <c r="C14" s="66" t="s">
        <v>204</v>
      </c>
      <c r="D14" s="67" t="s">
        <v>205</v>
      </c>
      <c r="E14" s="68" t="s">
        <v>217</v>
      </c>
      <c r="F14" s="68" t="s">
        <v>206</v>
      </c>
      <c r="G14" s="69">
        <v>100</v>
      </c>
      <c r="H14" s="70" t="s">
        <v>229</v>
      </c>
      <c r="I14" s="71" t="s">
        <v>230</v>
      </c>
      <c r="J14" s="72" t="s">
        <v>231</v>
      </c>
      <c r="K14" s="73"/>
      <c r="L14" s="74" t="s">
        <v>533</v>
      </c>
      <c r="M14" s="72" t="s">
        <v>736</v>
      </c>
      <c r="N14" s="73" t="s">
        <v>529</v>
      </c>
      <c r="O14" s="74" t="s">
        <v>534</v>
      </c>
      <c r="P14" s="72" t="s">
        <v>736</v>
      </c>
      <c r="Q14" s="73" t="s">
        <v>675</v>
      </c>
      <c r="R14" s="74" t="s">
        <v>769</v>
      </c>
      <c r="S14" s="72">
        <v>3</v>
      </c>
      <c r="T14" s="73" t="s">
        <v>783</v>
      </c>
    </row>
    <row r="15" spans="1:20" s="75" customFormat="1" ht="75" x14ac:dyDescent="0.25">
      <c r="A15" s="64" t="s">
        <v>232</v>
      </c>
      <c r="B15" s="65" t="s">
        <v>422</v>
      </c>
      <c r="C15" s="66" t="s">
        <v>204</v>
      </c>
      <c r="D15" s="67" t="s">
        <v>205</v>
      </c>
      <c r="E15" s="68" t="s">
        <v>206</v>
      </c>
      <c r="F15" s="68" t="s">
        <v>217</v>
      </c>
      <c r="G15" s="69"/>
      <c r="H15" s="70" t="s">
        <v>233</v>
      </c>
      <c r="I15" s="71" t="s">
        <v>234</v>
      </c>
      <c r="J15" s="72" t="s">
        <v>235</v>
      </c>
      <c r="K15" s="73"/>
      <c r="L15" s="74" t="s">
        <v>530</v>
      </c>
      <c r="M15" s="72" t="s">
        <v>531</v>
      </c>
      <c r="N15" s="73" t="s">
        <v>532</v>
      </c>
      <c r="O15" s="74" t="s">
        <v>536</v>
      </c>
      <c r="P15" s="72" t="s">
        <v>531</v>
      </c>
      <c r="Q15" s="73" t="s">
        <v>535</v>
      </c>
      <c r="R15" s="74" t="s">
        <v>770</v>
      </c>
      <c r="S15" s="72">
        <v>3</v>
      </c>
      <c r="T15" s="73" t="s">
        <v>784</v>
      </c>
    </row>
    <row r="16" spans="1:20" s="56" customFormat="1" ht="45" x14ac:dyDescent="0.25">
      <c r="A16" s="57" t="s">
        <v>95</v>
      </c>
      <c r="B16" s="58" t="s">
        <v>445</v>
      </c>
      <c r="C16" s="59"/>
      <c r="D16" s="60"/>
      <c r="E16" s="60"/>
      <c r="F16" s="60"/>
      <c r="G16" s="60"/>
      <c r="H16" s="61"/>
      <c r="I16" s="62"/>
      <c r="J16" s="62"/>
      <c r="K16" s="63"/>
      <c r="L16" s="61"/>
      <c r="M16" s="62"/>
      <c r="N16" s="63"/>
      <c r="O16" s="61"/>
      <c r="P16" s="62"/>
      <c r="Q16" s="63"/>
      <c r="R16" s="61"/>
      <c r="S16" s="62"/>
      <c r="T16" s="63"/>
    </row>
    <row r="17" spans="1:20" s="75" customFormat="1" ht="120" x14ac:dyDescent="0.25">
      <c r="A17" s="64" t="s">
        <v>40</v>
      </c>
      <c r="B17" s="65" t="s">
        <v>423</v>
      </c>
      <c r="C17" s="66" t="s">
        <v>204</v>
      </c>
      <c r="D17" s="67" t="s">
        <v>205</v>
      </c>
      <c r="E17" s="68" t="s">
        <v>206</v>
      </c>
      <c r="F17" s="68" t="s">
        <v>236</v>
      </c>
      <c r="G17" s="69"/>
      <c r="H17" s="70" t="s">
        <v>237</v>
      </c>
      <c r="I17" s="71" t="s">
        <v>238</v>
      </c>
      <c r="J17" s="72" t="s">
        <v>239</v>
      </c>
      <c r="K17" s="73"/>
      <c r="L17" s="74" t="s">
        <v>546</v>
      </c>
      <c r="M17" s="72" t="s">
        <v>547</v>
      </c>
      <c r="N17" s="73" t="s">
        <v>548</v>
      </c>
      <c r="O17" s="74" t="s">
        <v>551</v>
      </c>
      <c r="P17" s="72" t="s">
        <v>552</v>
      </c>
      <c r="Q17" s="73" t="s">
        <v>553</v>
      </c>
      <c r="R17" s="74" t="s">
        <v>771</v>
      </c>
      <c r="S17" s="72">
        <v>3</v>
      </c>
      <c r="T17" s="73" t="s">
        <v>785</v>
      </c>
    </row>
    <row r="18" spans="1:20" s="75" customFormat="1" ht="153" customHeight="1" x14ac:dyDescent="0.25">
      <c r="A18" s="64" t="s">
        <v>41</v>
      </c>
      <c r="B18" s="65" t="s">
        <v>424</v>
      </c>
      <c r="C18" s="66" t="s">
        <v>204</v>
      </c>
      <c r="D18" s="67" t="s">
        <v>205</v>
      </c>
      <c r="E18" s="68" t="s">
        <v>206</v>
      </c>
      <c r="F18" s="68" t="s">
        <v>240</v>
      </c>
      <c r="G18" s="69">
        <v>300</v>
      </c>
      <c r="H18" s="70" t="s">
        <v>241</v>
      </c>
      <c r="I18" s="71" t="s">
        <v>242</v>
      </c>
      <c r="J18" s="72" t="s">
        <v>243</v>
      </c>
      <c r="K18" s="73" t="s">
        <v>86</v>
      </c>
      <c r="L18" s="74" t="s">
        <v>543</v>
      </c>
      <c r="M18" s="72" t="s">
        <v>544</v>
      </c>
      <c r="N18" s="73" t="s">
        <v>545</v>
      </c>
      <c r="O18" s="74" t="s">
        <v>549</v>
      </c>
      <c r="P18" s="72" t="s">
        <v>550</v>
      </c>
      <c r="Q18" s="73" t="s">
        <v>560</v>
      </c>
      <c r="R18" s="74"/>
      <c r="S18" s="72">
        <v>5</v>
      </c>
      <c r="T18" s="73" t="s">
        <v>786</v>
      </c>
    </row>
    <row r="19" spans="1:20" s="56" customFormat="1" ht="30" x14ac:dyDescent="0.25">
      <c r="A19" s="57" t="s">
        <v>98</v>
      </c>
      <c r="B19" s="58" t="s">
        <v>446</v>
      </c>
      <c r="C19" s="59"/>
      <c r="D19" s="60"/>
      <c r="E19" s="60"/>
      <c r="F19" s="60"/>
      <c r="G19" s="60"/>
      <c r="H19" s="61"/>
      <c r="I19" s="62"/>
      <c r="J19" s="62"/>
      <c r="K19" s="63"/>
      <c r="L19" s="61"/>
      <c r="M19" s="62"/>
      <c r="N19" s="63"/>
      <c r="O19" s="61"/>
      <c r="P19" s="62"/>
      <c r="Q19" s="63"/>
      <c r="R19" s="61"/>
      <c r="S19" s="62"/>
      <c r="T19" s="63"/>
    </row>
    <row r="20" spans="1:20" s="75" customFormat="1" ht="123" customHeight="1" x14ac:dyDescent="0.25">
      <c r="A20" s="64" t="s">
        <v>100</v>
      </c>
      <c r="B20" s="65" t="s">
        <v>447</v>
      </c>
      <c r="C20" s="66" t="s">
        <v>204</v>
      </c>
      <c r="D20" s="67" t="s">
        <v>205</v>
      </c>
      <c r="E20" s="68" t="s">
        <v>244</v>
      </c>
      <c r="F20" s="68" t="s">
        <v>245</v>
      </c>
      <c r="G20" s="69">
        <v>6300</v>
      </c>
      <c r="H20" s="70" t="s">
        <v>246</v>
      </c>
      <c r="I20" s="71" t="s">
        <v>247</v>
      </c>
      <c r="J20" s="72" t="s">
        <v>248</v>
      </c>
      <c r="K20" s="73"/>
      <c r="L20" s="74" t="s">
        <v>554</v>
      </c>
      <c r="M20" s="72" t="s">
        <v>555</v>
      </c>
      <c r="N20" s="73" t="s">
        <v>556</v>
      </c>
      <c r="O20" s="74" t="s">
        <v>557</v>
      </c>
      <c r="P20" s="72" t="s">
        <v>558</v>
      </c>
      <c r="Q20" s="73" t="s">
        <v>559</v>
      </c>
      <c r="R20" s="74"/>
      <c r="S20" s="72">
        <v>5</v>
      </c>
      <c r="T20" s="73"/>
    </row>
    <row r="21" spans="1:20" s="75" customFormat="1" ht="111.75" customHeight="1" x14ac:dyDescent="0.25">
      <c r="A21" s="64" t="s">
        <v>190</v>
      </c>
      <c r="B21" s="65" t="s">
        <v>425</v>
      </c>
      <c r="C21" s="66" t="s">
        <v>204</v>
      </c>
      <c r="D21" s="67" t="s">
        <v>205</v>
      </c>
      <c r="E21" s="68" t="s">
        <v>249</v>
      </c>
      <c r="F21" s="68" t="s">
        <v>250</v>
      </c>
      <c r="G21" s="69">
        <v>1600</v>
      </c>
      <c r="H21" s="70" t="s">
        <v>251</v>
      </c>
      <c r="I21" s="71" t="s">
        <v>252</v>
      </c>
      <c r="J21" s="72" t="s">
        <v>253</v>
      </c>
      <c r="K21" s="73"/>
      <c r="L21" s="74" t="s">
        <v>561</v>
      </c>
      <c r="M21" s="72" t="s">
        <v>562</v>
      </c>
      <c r="N21" s="73" t="s">
        <v>563</v>
      </c>
      <c r="O21" s="74" t="s">
        <v>750</v>
      </c>
      <c r="P21" s="72" t="s">
        <v>751</v>
      </c>
      <c r="Q21" s="72" t="s">
        <v>752</v>
      </c>
      <c r="R21" s="74" t="s">
        <v>787</v>
      </c>
      <c r="S21" s="72">
        <v>5</v>
      </c>
      <c r="T21" s="73"/>
    </row>
    <row r="22" spans="1:20" s="75" customFormat="1" ht="158.25" customHeight="1" x14ac:dyDescent="0.25">
      <c r="A22" s="64" t="s">
        <v>102</v>
      </c>
      <c r="B22" s="65" t="s">
        <v>448</v>
      </c>
      <c r="C22" s="66" t="s">
        <v>204</v>
      </c>
      <c r="D22" s="67" t="s">
        <v>205</v>
      </c>
      <c r="E22" s="68" t="s">
        <v>254</v>
      </c>
      <c r="F22" s="68" t="s">
        <v>255</v>
      </c>
      <c r="G22" s="69">
        <v>100</v>
      </c>
      <c r="H22" s="70" t="s">
        <v>256</v>
      </c>
      <c r="I22" s="71" t="s">
        <v>257</v>
      </c>
      <c r="J22" s="72" t="s">
        <v>258</v>
      </c>
      <c r="K22" s="73"/>
      <c r="L22" s="74" t="s">
        <v>564</v>
      </c>
      <c r="M22" s="72" t="s">
        <v>565</v>
      </c>
      <c r="N22" s="73" t="s">
        <v>566</v>
      </c>
      <c r="O22" s="74" t="s">
        <v>569</v>
      </c>
      <c r="P22" s="72" t="s">
        <v>568</v>
      </c>
      <c r="Q22" s="73" t="s">
        <v>567</v>
      </c>
      <c r="R22" s="74"/>
      <c r="S22" s="72">
        <v>5</v>
      </c>
      <c r="T22" s="73" t="s">
        <v>788</v>
      </c>
    </row>
    <row r="23" spans="1:20" s="75" customFormat="1" ht="125.25" customHeight="1" x14ac:dyDescent="0.25">
      <c r="A23" s="64" t="s">
        <v>259</v>
      </c>
      <c r="B23" s="65" t="s">
        <v>426</v>
      </c>
      <c r="C23" s="66" t="s">
        <v>204</v>
      </c>
      <c r="D23" s="67" t="s">
        <v>205</v>
      </c>
      <c r="E23" s="68" t="s">
        <v>260</v>
      </c>
      <c r="F23" s="68" t="s">
        <v>261</v>
      </c>
      <c r="G23" s="69"/>
      <c r="H23" s="70" t="s">
        <v>262</v>
      </c>
      <c r="I23" s="71" t="s">
        <v>263</v>
      </c>
      <c r="J23" s="72" t="s">
        <v>264</v>
      </c>
      <c r="K23" s="73"/>
      <c r="L23" s="74" t="s">
        <v>570</v>
      </c>
      <c r="M23" s="72" t="s">
        <v>571</v>
      </c>
      <c r="N23" s="73" t="s">
        <v>572</v>
      </c>
      <c r="O23" s="74" t="s">
        <v>573</v>
      </c>
      <c r="P23" s="72" t="s">
        <v>737</v>
      </c>
      <c r="Q23" s="73" t="s">
        <v>574</v>
      </c>
      <c r="R23" s="74"/>
      <c r="S23" s="72">
        <v>5</v>
      </c>
      <c r="T23" s="73" t="s">
        <v>789</v>
      </c>
    </row>
    <row r="24" spans="1:20" s="75" customFormat="1" ht="120" x14ac:dyDescent="0.25">
      <c r="A24" s="64" t="s">
        <v>265</v>
      </c>
      <c r="B24" s="65" t="s">
        <v>449</v>
      </c>
      <c r="C24" s="66" t="s">
        <v>204</v>
      </c>
      <c r="D24" s="67" t="s">
        <v>205</v>
      </c>
      <c r="E24" s="68" t="s">
        <v>266</v>
      </c>
      <c r="F24" s="68" t="s">
        <v>267</v>
      </c>
      <c r="G24" s="69">
        <v>100</v>
      </c>
      <c r="H24" s="70" t="s">
        <v>268</v>
      </c>
      <c r="I24" s="71" t="s">
        <v>269</v>
      </c>
      <c r="J24" s="72" t="s">
        <v>270</v>
      </c>
      <c r="K24" s="73"/>
      <c r="L24" s="74" t="s">
        <v>578</v>
      </c>
      <c r="M24" s="72" t="s">
        <v>579</v>
      </c>
      <c r="N24" s="73" t="s">
        <v>580</v>
      </c>
      <c r="O24" s="74" t="s">
        <v>575</v>
      </c>
      <c r="P24" s="72" t="s">
        <v>576</v>
      </c>
      <c r="Q24" s="73" t="s">
        <v>577</v>
      </c>
      <c r="R24" s="74" t="s">
        <v>772</v>
      </c>
      <c r="S24" s="72">
        <v>5</v>
      </c>
      <c r="T24" s="73" t="s">
        <v>790</v>
      </c>
    </row>
    <row r="25" spans="1:20" s="75" customFormat="1" ht="108" customHeight="1" x14ac:dyDescent="0.25">
      <c r="A25" s="64" t="s">
        <v>271</v>
      </c>
      <c r="B25" s="65" t="s">
        <v>450</v>
      </c>
      <c r="C25" s="66" t="s">
        <v>204</v>
      </c>
      <c r="D25" s="67" t="s">
        <v>272</v>
      </c>
      <c r="E25" s="68" t="s">
        <v>273</v>
      </c>
      <c r="F25" s="68" t="s">
        <v>274</v>
      </c>
      <c r="G25" s="69" t="s">
        <v>86</v>
      </c>
      <c r="H25" s="70" t="s">
        <v>275</v>
      </c>
      <c r="I25" s="71" t="s">
        <v>276</v>
      </c>
      <c r="J25" s="72" t="s">
        <v>277</v>
      </c>
      <c r="K25" s="73"/>
      <c r="L25" s="74" t="s">
        <v>592</v>
      </c>
      <c r="M25" s="72" t="s">
        <v>593</v>
      </c>
      <c r="N25" s="73" t="s">
        <v>594</v>
      </c>
      <c r="O25" s="74" t="s">
        <v>595</v>
      </c>
      <c r="P25" s="72" t="s">
        <v>593</v>
      </c>
      <c r="Q25" s="73" t="s">
        <v>594</v>
      </c>
      <c r="R25" s="74" t="s">
        <v>773</v>
      </c>
      <c r="S25" s="72">
        <v>3</v>
      </c>
      <c r="T25" s="73" t="s">
        <v>756</v>
      </c>
    </row>
    <row r="26" spans="1:20" s="75" customFormat="1" ht="105" x14ac:dyDescent="0.25">
      <c r="A26" s="64" t="s">
        <v>278</v>
      </c>
      <c r="B26" s="65" t="s">
        <v>427</v>
      </c>
      <c r="C26" s="66" t="s">
        <v>204</v>
      </c>
      <c r="D26" s="67" t="s">
        <v>205</v>
      </c>
      <c r="E26" s="68" t="s">
        <v>206</v>
      </c>
      <c r="F26" s="68" t="s">
        <v>279</v>
      </c>
      <c r="G26" s="69"/>
      <c r="H26" s="70" t="s">
        <v>280</v>
      </c>
      <c r="I26" s="71" t="s">
        <v>281</v>
      </c>
      <c r="J26" s="72" t="s">
        <v>282</v>
      </c>
      <c r="K26" s="73"/>
      <c r="L26" s="74" t="s">
        <v>581</v>
      </c>
      <c r="M26" s="72" t="s">
        <v>582</v>
      </c>
      <c r="N26" s="73" t="s">
        <v>583</v>
      </c>
      <c r="O26" s="74" t="s">
        <v>584</v>
      </c>
      <c r="P26" s="72" t="s">
        <v>585</v>
      </c>
      <c r="Q26" s="73" t="s">
        <v>583</v>
      </c>
      <c r="R26" s="74" t="s">
        <v>777</v>
      </c>
      <c r="S26" s="72">
        <v>3</v>
      </c>
      <c r="T26" s="73" t="s">
        <v>791</v>
      </c>
    </row>
    <row r="27" spans="1:20" s="56" customFormat="1" ht="30" x14ac:dyDescent="0.25">
      <c r="A27" s="57" t="s">
        <v>428</v>
      </c>
      <c r="B27" s="58" t="s">
        <v>451</v>
      </c>
      <c r="C27" s="59"/>
      <c r="D27" s="60"/>
      <c r="E27" s="60"/>
      <c r="F27" s="60"/>
      <c r="G27" s="60"/>
      <c r="H27" s="61"/>
      <c r="I27" s="62"/>
      <c r="J27" s="62"/>
      <c r="K27" s="63"/>
      <c r="L27" s="61"/>
      <c r="M27" s="62"/>
      <c r="N27" s="63"/>
      <c r="O27" s="61"/>
      <c r="P27" s="62"/>
      <c r="Q27" s="63"/>
      <c r="R27" s="61"/>
      <c r="S27" s="62"/>
      <c r="T27" s="63"/>
    </row>
    <row r="28" spans="1:20" s="75" customFormat="1" ht="177.75" customHeight="1" x14ac:dyDescent="0.25">
      <c r="A28" s="64" t="s">
        <v>283</v>
      </c>
      <c r="B28" s="65" t="s">
        <v>452</v>
      </c>
      <c r="C28" s="66" t="s">
        <v>204</v>
      </c>
      <c r="D28" s="67" t="s">
        <v>205</v>
      </c>
      <c r="E28" s="68" t="s">
        <v>284</v>
      </c>
      <c r="F28" s="68" t="s">
        <v>206</v>
      </c>
      <c r="G28" s="69">
        <v>250</v>
      </c>
      <c r="H28" s="70" t="s">
        <v>285</v>
      </c>
      <c r="I28" s="71" t="s">
        <v>286</v>
      </c>
      <c r="J28" s="72" t="s">
        <v>287</v>
      </c>
      <c r="K28" s="73"/>
      <c r="L28" s="74" t="s">
        <v>588</v>
      </c>
      <c r="M28" s="72" t="s">
        <v>586</v>
      </c>
      <c r="N28" s="73" t="s">
        <v>589</v>
      </c>
      <c r="O28" s="74" t="s">
        <v>587</v>
      </c>
      <c r="P28" s="72" t="s">
        <v>586</v>
      </c>
      <c r="Q28" s="73" t="s">
        <v>589</v>
      </c>
      <c r="R28" s="74"/>
      <c r="S28" s="72">
        <v>5</v>
      </c>
      <c r="T28" s="73" t="s">
        <v>792</v>
      </c>
    </row>
    <row r="29" spans="1:20" s="75" customFormat="1" ht="142.5" customHeight="1" x14ac:dyDescent="0.25">
      <c r="A29" s="64" t="s">
        <v>288</v>
      </c>
      <c r="B29" s="65" t="s">
        <v>453</v>
      </c>
      <c r="C29" s="66" t="s">
        <v>204</v>
      </c>
      <c r="D29" s="67" t="s">
        <v>205</v>
      </c>
      <c r="E29" s="68" t="s">
        <v>206</v>
      </c>
      <c r="F29" s="68" t="s">
        <v>289</v>
      </c>
      <c r="G29" s="69">
        <v>250</v>
      </c>
      <c r="H29" s="70" t="s">
        <v>290</v>
      </c>
      <c r="I29" s="71" t="s">
        <v>291</v>
      </c>
      <c r="J29" s="72" t="s">
        <v>292</v>
      </c>
      <c r="K29" s="73"/>
      <c r="L29" s="74" t="s">
        <v>628</v>
      </c>
      <c r="M29" s="72" t="s">
        <v>626</v>
      </c>
      <c r="N29" s="73" t="s">
        <v>627</v>
      </c>
      <c r="O29" s="74" t="s">
        <v>629</v>
      </c>
      <c r="P29" s="72" t="s">
        <v>626</v>
      </c>
      <c r="Q29" s="73" t="s">
        <v>627</v>
      </c>
      <c r="R29" s="74"/>
      <c r="S29" s="72">
        <v>5</v>
      </c>
      <c r="T29" s="73" t="s">
        <v>793</v>
      </c>
    </row>
    <row r="30" spans="1:20" s="75" customFormat="1" ht="120" customHeight="1" x14ac:dyDescent="0.25">
      <c r="A30" s="64" t="s">
        <v>293</v>
      </c>
      <c r="B30" s="65" t="s">
        <v>454</v>
      </c>
      <c r="C30" s="66" t="s">
        <v>204</v>
      </c>
      <c r="D30" s="67" t="s">
        <v>205</v>
      </c>
      <c r="E30" s="68" t="s">
        <v>284</v>
      </c>
      <c r="F30" s="68" t="s">
        <v>206</v>
      </c>
      <c r="G30" s="69" t="s">
        <v>86</v>
      </c>
      <c r="H30" s="70" t="s">
        <v>294</v>
      </c>
      <c r="I30" s="71" t="s">
        <v>295</v>
      </c>
      <c r="J30" s="72" t="s">
        <v>296</v>
      </c>
      <c r="K30" s="73"/>
      <c r="L30" s="74" t="s">
        <v>591</v>
      </c>
      <c r="M30" s="72" t="s">
        <v>590</v>
      </c>
      <c r="N30" s="73" t="s">
        <v>601</v>
      </c>
      <c r="O30" s="74" t="s">
        <v>600</v>
      </c>
      <c r="P30" s="72" t="s">
        <v>590</v>
      </c>
      <c r="Q30" s="73" t="s">
        <v>601</v>
      </c>
      <c r="R30" s="74"/>
      <c r="S30" s="72">
        <v>5</v>
      </c>
      <c r="T30" s="73" t="s">
        <v>794</v>
      </c>
    </row>
    <row r="31" spans="1:20" s="56" customFormat="1" ht="31.9" customHeight="1" x14ac:dyDescent="0.25">
      <c r="A31" s="49">
        <v>2</v>
      </c>
      <c r="B31" s="50" t="s">
        <v>455</v>
      </c>
      <c r="C31" s="51"/>
      <c r="D31" s="52"/>
      <c r="E31" s="52"/>
      <c r="F31" s="52"/>
      <c r="G31" s="52"/>
      <c r="H31" s="53"/>
      <c r="I31" s="54"/>
      <c r="J31" s="54"/>
      <c r="K31" s="55"/>
      <c r="L31" s="53"/>
      <c r="M31" s="54"/>
      <c r="N31" s="55"/>
      <c r="O31" s="53"/>
      <c r="P31" s="54"/>
      <c r="Q31" s="55"/>
      <c r="R31" s="53"/>
      <c r="S31" s="54"/>
      <c r="T31" s="55"/>
    </row>
    <row r="32" spans="1:20" s="56" customFormat="1" ht="30" x14ac:dyDescent="0.25">
      <c r="A32" s="57" t="s">
        <v>105</v>
      </c>
      <c r="B32" s="58" t="s">
        <v>456</v>
      </c>
      <c r="C32" s="59"/>
      <c r="D32" s="60"/>
      <c r="E32" s="60"/>
      <c r="F32" s="60"/>
      <c r="G32" s="60"/>
      <c r="H32" s="61"/>
      <c r="I32" s="62"/>
      <c r="J32" s="62"/>
      <c r="K32" s="63"/>
      <c r="L32" s="61"/>
      <c r="M32" s="62"/>
      <c r="N32" s="63"/>
      <c r="O32" s="61"/>
      <c r="P32" s="62"/>
      <c r="Q32" s="63"/>
      <c r="R32" s="61"/>
      <c r="S32" s="62"/>
      <c r="T32" s="63"/>
    </row>
    <row r="33" spans="1:20" s="75" customFormat="1" ht="105" x14ac:dyDescent="0.25">
      <c r="A33" s="64" t="s">
        <v>23</v>
      </c>
      <c r="B33" s="65" t="s">
        <v>429</v>
      </c>
      <c r="C33" s="66" t="s">
        <v>204</v>
      </c>
      <c r="D33" s="67" t="s">
        <v>205</v>
      </c>
      <c r="E33" s="68" t="s">
        <v>297</v>
      </c>
      <c r="F33" s="68" t="s">
        <v>217</v>
      </c>
      <c r="G33" s="69"/>
      <c r="H33" s="70" t="s">
        <v>298</v>
      </c>
      <c r="I33" s="71"/>
      <c r="J33" s="72" t="s">
        <v>299</v>
      </c>
      <c r="K33" s="73"/>
      <c r="L33" s="74" t="s">
        <v>630</v>
      </c>
      <c r="M33" s="72" t="s">
        <v>632</v>
      </c>
      <c r="N33" s="73" t="s">
        <v>633</v>
      </c>
      <c r="O33" s="74" t="s">
        <v>631</v>
      </c>
      <c r="P33" s="72" t="s">
        <v>632</v>
      </c>
      <c r="Q33" s="73" t="s">
        <v>633</v>
      </c>
      <c r="R33" s="74" t="s">
        <v>795</v>
      </c>
      <c r="S33" s="72">
        <v>3</v>
      </c>
      <c r="T33" s="73" t="s">
        <v>796</v>
      </c>
    </row>
    <row r="34" spans="1:20" s="75" customFormat="1" ht="75" x14ac:dyDescent="0.25">
      <c r="A34" s="64" t="s">
        <v>24</v>
      </c>
      <c r="B34" s="65" t="s">
        <v>457</v>
      </c>
      <c r="C34" s="66" t="s">
        <v>204</v>
      </c>
      <c r="D34" s="67" t="s">
        <v>205</v>
      </c>
      <c r="E34" s="68" t="s">
        <v>206</v>
      </c>
      <c r="F34" s="68" t="s">
        <v>217</v>
      </c>
      <c r="G34" s="69"/>
      <c r="H34" s="70" t="s">
        <v>300</v>
      </c>
      <c r="I34" s="71" t="s">
        <v>301</v>
      </c>
      <c r="J34" s="72" t="s">
        <v>302</v>
      </c>
      <c r="K34" s="73"/>
      <c r="L34" s="74" t="s">
        <v>596</v>
      </c>
      <c r="M34" s="72" t="s">
        <v>597</v>
      </c>
      <c r="N34" s="73" t="s">
        <v>598</v>
      </c>
      <c r="O34" s="74" t="s">
        <v>797</v>
      </c>
      <c r="P34" s="72" t="s">
        <v>599</v>
      </c>
      <c r="Q34" s="73" t="s">
        <v>798</v>
      </c>
      <c r="R34" s="74"/>
      <c r="S34" s="72">
        <v>5</v>
      </c>
      <c r="T34" s="73" t="s">
        <v>799</v>
      </c>
    </row>
    <row r="35" spans="1:20" s="56" customFormat="1" ht="22.9" customHeight="1" x14ac:dyDescent="0.25">
      <c r="A35" s="57">
        <v>2.2000000000000002</v>
      </c>
      <c r="B35" s="58" t="s">
        <v>458</v>
      </c>
      <c r="C35" s="59"/>
      <c r="D35" s="60"/>
      <c r="E35" s="60"/>
      <c r="F35" s="60"/>
      <c r="G35" s="60"/>
      <c r="H35" s="61"/>
      <c r="I35" s="62"/>
      <c r="J35" s="62"/>
      <c r="K35" s="63"/>
      <c r="L35" s="61"/>
      <c r="M35" s="62"/>
      <c r="N35" s="63"/>
      <c r="O35" s="61"/>
      <c r="P35" s="62"/>
      <c r="Q35" s="63"/>
      <c r="R35" s="61"/>
      <c r="S35" s="62"/>
      <c r="T35" s="63"/>
    </row>
    <row r="36" spans="1:20" s="75" customFormat="1" ht="135" x14ac:dyDescent="0.25">
      <c r="A36" s="64" t="s">
        <v>42</v>
      </c>
      <c r="B36" s="65" t="s">
        <v>459</v>
      </c>
      <c r="C36" s="66" t="s">
        <v>204</v>
      </c>
      <c r="D36" s="67" t="s">
        <v>205</v>
      </c>
      <c r="E36" s="68" t="s">
        <v>206</v>
      </c>
      <c r="F36" s="68" t="s">
        <v>303</v>
      </c>
      <c r="G36" s="69">
        <v>75</v>
      </c>
      <c r="H36" s="70" t="s">
        <v>304</v>
      </c>
      <c r="I36" s="71" t="s">
        <v>305</v>
      </c>
      <c r="J36" s="72" t="s">
        <v>306</v>
      </c>
      <c r="K36" s="73"/>
      <c r="L36" s="74" t="s">
        <v>604</v>
      </c>
      <c r="M36" s="72" t="s">
        <v>605</v>
      </c>
      <c r="N36" s="73" t="s">
        <v>606</v>
      </c>
      <c r="O36" s="74" t="s">
        <v>607</v>
      </c>
      <c r="P36" s="72" t="s">
        <v>602</v>
      </c>
      <c r="Q36" s="73" t="s">
        <v>603</v>
      </c>
      <c r="R36" s="74"/>
      <c r="S36" s="72">
        <v>5</v>
      </c>
      <c r="T36" s="73" t="s">
        <v>800</v>
      </c>
    </row>
    <row r="37" spans="1:20" s="75" customFormat="1" ht="90" x14ac:dyDescent="0.25">
      <c r="A37" s="64" t="s">
        <v>43</v>
      </c>
      <c r="B37" s="65" t="s">
        <v>430</v>
      </c>
      <c r="C37" s="66" t="s">
        <v>204</v>
      </c>
      <c r="D37" s="67" t="s">
        <v>205</v>
      </c>
      <c r="E37" s="68" t="s">
        <v>206</v>
      </c>
      <c r="F37" s="68" t="s">
        <v>245</v>
      </c>
      <c r="G37" s="69">
        <v>100</v>
      </c>
      <c r="H37" s="70" t="s">
        <v>307</v>
      </c>
      <c r="I37" s="71" t="s">
        <v>308</v>
      </c>
      <c r="J37" s="72" t="s">
        <v>309</v>
      </c>
      <c r="K37" s="73"/>
      <c r="L37" s="74" t="s">
        <v>704</v>
      </c>
      <c r="M37" s="72" t="s">
        <v>619</v>
      </c>
      <c r="N37" s="73" t="s">
        <v>618</v>
      </c>
      <c r="O37" s="74" t="s">
        <v>617</v>
      </c>
      <c r="P37" s="72" t="s">
        <v>608</v>
      </c>
      <c r="Q37" s="73" t="s">
        <v>609</v>
      </c>
      <c r="R37" s="74" t="s">
        <v>774</v>
      </c>
      <c r="S37" s="72">
        <v>5</v>
      </c>
      <c r="T37" s="73" t="s">
        <v>758</v>
      </c>
    </row>
    <row r="38" spans="1:20" s="75" customFormat="1" ht="105" x14ac:dyDescent="0.25">
      <c r="A38" s="64" t="s">
        <v>44</v>
      </c>
      <c r="B38" s="65" t="s">
        <v>460</v>
      </c>
      <c r="C38" s="66" t="s">
        <v>204</v>
      </c>
      <c r="D38" s="67" t="s">
        <v>205</v>
      </c>
      <c r="E38" s="68" t="s">
        <v>310</v>
      </c>
      <c r="F38" s="68" t="s">
        <v>245</v>
      </c>
      <c r="G38" s="69">
        <v>1685</v>
      </c>
      <c r="H38" s="70" t="s">
        <v>311</v>
      </c>
      <c r="I38" s="71" t="s">
        <v>312</v>
      </c>
      <c r="J38" s="72" t="s">
        <v>313</v>
      </c>
      <c r="K38" s="73"/>
      <c r="L38" s="74" t="s">
        <v>612</v>
      </c>
      <c r="M38" s="72" t="s">
        <v>610</v>
      </c>
      <c r="N38" s="73" t="s">
        <v>611</v>
      </c>
      <c r="O38" s="74" t="s">
        <v>612</v>
      </c>
      <c r="P38" s="72" t="s">
        <v>610</v>
      </c>
      <c r="Q38" s="73" t="s">
        <v>611</v>
      </c>
      <c r="R38" s="74" t="s">
        <v>801</v>
      </c>
      <c r="S38" s="72">
        <v>5</v>
      </c>
      <c r="T38" s="73" t="s">
        <v>845</v>
      </c>
    </row>
    <row r="39" spans="1:20" s="75" customFormat="1" ht="135" x14ac:dyDescent="0.25">
      <c r="A39" s="64" t="s">
        <v>314</v>
      </c>
      <c r="B39" s="65" t="s">
        <v>461</v>
      </c>
      <c r="C39" s="66" t="s">
        <v>204</v>
      </c>
      <c r="D39" s="67" t="s">
        <v>205</v>
      </c>
      <c r="E39" s="68" t="s">
        <v>206</v>
      </c>
      <c r="F39" s="68" t="s">
        <v>315</v>
      </c>
      <c r="G39" s="69">
        <v>3175</v>
      </c>
      <c r="H39" s="70" t="s">
        <v>316</v>
      </c>
      <c r="I39" s="71" t="s">
        <v>317</v>
      </c>
      <c r="J39" s="72" t="s">
        <v>318</v>
      </c>
      <c r="K39" s="73"/>
      <c r="L39" s="74" t="s">
        <v>604</v>
      </c>
      <c r="M39" s="72" t="s">
        <v>605</v>
      </c>
      <c r="N39" s="73" t="s">
        <v>606</v>
      </c>
      <c r="O39" s="74" t="s">
        <v>607</v>
      </c>
      <c r="P39" s="72" t="s">
        <v>602</v>
      </c>
      <c r="Q39" s="73" t="s">
        <v>613</v>
      </c>
      <c r="R39" s="74" t="s">
        <v>802</v>
      </c>
      <c r="S39" s="72">
        <v>5</v>
      </c>
      <c r="T39" s="73" t="s">
        <v>845</v>
      </c>
    </row>
    <row r="40" spans="1:20" s="56" customFormat="1" ht="34.15" customHeight="1" x14ac:dyDescent="0.25">
      <c r="A40" s="57">
        <v>2.2999999999999998</v>
      </c>
      <c r="B40" s="58" t="s">
        <v>462</v>
      </c>
      <c r="C40" s="59"/>
      <c r="D40" s="60"/>
      <c r="E40" s="60"/>
      <c r="F40" s="60"/>
      <c r="G40" s="60"/>
      <c r="H40" s="61"/>
      <c r="I40" s="62"/>
      <c r="J40" s="62"/>
      <c r="K40" s="63"/>
      <c r="L40" s="61"/>
      <c r="M40" s="62"/>
      <c r="N40" s="63"/>
      <c r="O40" s="61"/>
      <c r="P40" s="62"/>
      <c r="Q40" s="63"/>
      <c r="R40" s="61"/>
      <c r="S40" s="62"/>
      <c r="T40" s="63"/>
    </row>
    <row r="41" spans="1:20" s="75" customFormat="1" ht="185.25" customHeight="1" x14ac:dyDescent="0.25">
      <c r="A41" s="64" t="s">
        <v>113</v>
      </c>
      <c r="B41" s="65" t="s">
        <v>431</v>
      </c>
      <c r="C41" s="66" t="s">
        <v>204</v>
      </c>
      <c r="D41" s="67" t="s">
        <v>205</v>
      </c>
      <c r="E41" s="68" t="s">
        <v>206</v>
      </c>
      <c r="F41" s="68" t="s">
        <v>319</v>
      </c>
      <c r="G41" s="69"/>
      <c r="H41" s="70" t="s">
        <v>320</v>
      </c>
      <c r="I41" s="71"/>
      <c r="J41" s="72" t="s">
        <v>321</v>
      </c>
      <c r="K41" s="73"/>
      <c r="L41" s="74" t="s">
        <v>614</v>
      </c>
      <c r="M41" s="72" t="s">
        <v>620</v>
      </c>
      <c r="N41" s="73" t="s">
        <v>615</v>
      </c>
      <c r="O41" s="74" t="s">
        <v>614</v>
      </c>
      <c r="P41" s="72" t="s">
        <v>620</v>
      </c>
      <c r="Q41" s="73" t="s">
        <v>615</v>
      </c>
      <c r="R41" s="74" t="s">
        <v>775</v>
      </c>
      <c r="S41" s="72">
        <v>5</v>
      </c>
      <c r="T41" s="73" t="s">
        <v>803</v>
      </c>
    </row>
    <row r="42" spans="1:20" s="75" customFormat="1" ht="90" x14ac:dyDescent="0.25">
      <c r="A42" s="64" t="s">
        <v>191</v>
      </c>
      <c r="B42" s="65" t="s">
        <v>463</v>
      </c>
      <c r="C42" s="66" t="s">
        <v>204</v>
      </c>
      <c r="D42" s="67" t="s">
        <v>205</v>
      </c>
      <c r="E42" s="68" t="s">
        <v>284</v>
      </c>
      <c r="F42" s="68" t="s">
        <v>206</v>
      </c>
      <c r="G42" s="69"/>
      <c r="H42" s="70" t="s">
        <v>322</v>
      </c>
      <c r="I42" s="71" t="s">
        <v>323</v>
      </c>
      <c r="J42" s="72" t="s">
        <v>324</v>
      </c>
      <c r="K42" s="73"/>
      <c r="L42" s="74" t="s">
        <v>616</v>
      </c>
      <c r="M42" s="72" t="s">
        <v>622</v>
      </c>
      <c r="N42" s="73" t="s">
        <v>621</v>
      </c>
      <c r="O42" s="74" t="s">
        <v>623</v>
      </c>
      <c r="P42" s="72" t="s">
        <v>624</v>
      </c>
      <c r="Q42" s="73" t="s">
        <v>625</v>
      </c>
      <c r="R42" s="74"/>
      <c r="S42" s="72">
        <v>5</v>
      </c>
      <c r="T42" s="73" t="s">
        <v>804</v>
      </c>
    </row>
    <row r="43" spans="1:20" s="75" customFormat="1" ht="90" x14ac:dyDescent="0.25">
      <c r="A43" s="64" t="s">
        <v>192</v>
      </c>
      <c r="B43" s="65" t="s">
        <v>432</v>
      </c>
      <c r="C43" s="66" t="s">
        <v>204</v>
      </c>
      <c r="D43" s="67" t="s">
        <v>205</v>
      </c>
      <c r="E43" s="68" t="s">
        <v>206</v>
      </c>
      <c r="F43" s="68"/>
      <c r="G43" s="69">
        <v>100</v>
      </c>
      <c r="H43" s="70" t="s">
        <v>325</v>
      </c>
      <c r="I43" s="71"/>
      <c r="J43" s="72" t="s">
        <v>326</v>
      </c>
      <c r="K43" s="73"/>
      <c r="L43" s="74" t="s">
        <v>634</v>
      </c>
      <c r="M43" s="72" t="s">
        <v>635</v>
      </c>
      <c r="N43" s="73" t="s">
        <v>636</v>
      </c>
      <c r="O43" s="74" t="s">
        <v>637</v>
      </c>
      <c r="P43" s="72" t="s">
        <v>638</v>
      </c>
      <c r="Q43" s="73" t="s">
        <v>639</v>
      </c>
      <c r="R43" s="74" t="s">
        <v>776</v>
      </c>
      <c r="S43" s="72">
        <v>3</v>
      </c>
      <c r="T43" s="73" t="s">
        <v>805</v>
      </c>
    </row>
    <row r="44" spans="1:20" s="56" customFormat="1" ht="48.75" customHeight="1" x14ac:dyDescent="0.25">
      <c r="A44" s="49">
        <v>3</v>
      </c>
      <c r="B44" s="50" t="s">
        <v>464</v>
      </c>
      <c r="C44" s="51"/>
      <c r="D44" s="52"/>
      <c r="E44" s="52"/>
      <c r="F44" s="52"/>
      <c r="G44" s="52"/>
      <c r="H44" s="53"/>
      <c r="I44" s="54"/>
      <c r="J44" s="54"/>
      <c r="K44" s="55"/>
      <c r="L44" s="53"/>
      <c r="M44" s="54"/>
      <c r="N44" s="55"/>
      <c r="O44" s="53"/>
      <c r="P44" s="54"/>
      <c r="Q44" s="55"/>
      <c r="R44" s="53"/>
      <c r="S44" s="54"/>
      <c r="T44" s="55"/>
    </row>
    <row r="45" spans="1:20" s="56" customFormat="1" ht="34.15" customHeight="1" x14ac:dyDescent="0.25">
      <c r="A45" s="57">
        <v>3.1</v>
      </c>
      <c r="B45" s="58" t="s">
        <v>465</v>
      </c>
      <c r="C45" s="59"/>
      <c r="D45" s="60"/>
      <c r="E45" s="60"/>
      <c r="F45" s="60"/>
      <c r="G45" s="60"/>
      <c r="H45" s="61"/>
      <c r="I45" s="62"/>
      <c r="J45" s="62"/>
      <c r="K45" s="63"/>
      <c r="L45" s="61"/>
      <c r="M45" s="62"/>
      <c r="N45" s="63"/>
      <c r="O45" s="61"/>
      <c r="P45" s="62"/>
      <c r="Q45" s="63"/>
      <c r="R45" s="61"/>
      <c r="S45" s="62"/>
      <c r="T45" s="63"/>
    </row>
    <row r="46" spans="1:20" s="75" customFormat="1" ht="150" x14ac:dyDescent="0.25">
      <c r="A46" s="64" t="s">
        <v>47</v>
      </c>
      <c r="B46" s="65" t="s">
        <v>433</v>
      </c>
      <c r="C46" s="66" t="s">
        <v>204</v>
      </c>
      <c r="D46" s="67" t="s">
        <v>205</v>
      </c>
      <c r="E46" s="68" t="s">
        <v>244</v>
      </c>
      <c r="F46" s="68" t="s">
        <v>327</v>
      </c>
      <c r="G46" s="69">
        <v>250</v>
      </c>
      <c r="H46" s="70" t="s">
        <v>328</v>
      </c>
      <c r="I46" s="71" t="s">
        <v>329</v>
      </c>
      <c r="J46" s="72" t="s">
        <v>330</v>
      </c>
      <c r="K46" s="73"/>
      <c r="L46" s="74" t="s">
        <v>718</v>
      </c>
      <c r="M46" s="72" t="s">
        <v>658</v>
      </c>
      <c r="N46" s="73" t="s">
        <v>656</v>
      </c>
      <c r="O46" s="74" t="s">
        <v>657</v>
      </c>
      <c r="P46" s="72" t="s">
        <v>658</v>
      </c>
      <c r="Q46" s="73" t="s">
        <v>656</v>
      </c>
      <c r="R46" s="74" t="s">
        <v>757</v>
      </c>
      <c r="S46" s="72">
        <v>3</v>
      </c>
      <c r="T46" s="73" t="s">
        <v>806</v>
      </c>
    </row>
    <row r="47" spans="1:20" s="75" customFormat="1" ht="150" x14ac:dyDescent="0.25">
      <c r="A47" s="64" t="s">
        <v>48</v>
      </c>
      <c r="B47" s="65" t="s">
        <v>466</v>
      </c>
      <c r="C47" s="66" t="s">
        <v>204</v>
      </c>
      <c r="D47" s="67" t="s">
        <v>331</v>
      </c>
      <c r="E47" s="68" t="s">
        <v>297</v>
      </c>
      <c r="F47" s="68" t="s">
        <v>332</v>
      </c>
      <c r="G47" s="69">
        <v>250</v>
      </c>
      <c r="H47" s="70" t="s">
        <v>333</v>
      </c>
      <c r="I47" s="71" t="s">
        <v>334</v>
      </c>
      <c r="J47" s="72" t="s">
        <v>335</v>
      </c>
      <c r="K47" s="73"/>
      <c r="L47" s="74" t="s">
        <v>642</v>
      </c>
      <c r="M47" s="72" t="s">
        <v>641</v>
      </c>
      <c r="N47" s="73" t="s">
        <v>640</v>
      </c>
      <c r="O47" s="74" t="s">
        <v>644</v>
      </c>
      <c r="P47" s="72" t="s">
        <v>643</v>
      </c>
      <c r="Q47" s="73" t="s">
        <v>749</v>
      </c>
      <c r="R47" s="74" t="s">
        <v>807</v>
      </c>
      <c r="S47" s="72">
        <v>0</v>
      </c>
      <c r="T47" s="73" t="s">
        <v>808</v>
      </c>
    </row>
    <row r="48" spans="1:20" s="75" customFormat="1" ht="135" x14ac:dyDescent="0.25">
      <c r="A48" s="64" t="s">
        <v>50</v>
      </c>
      <c r="B48" s="65" t="s">
        <v>467</v>
      </c>
      <c r="C48" s="66" t="s">
        <v>204</v>
      </c>
      <c r="D48" s="67" t="s">
        <v>205</v>
      </c>
      <c r="E48" s="68" t="s">
        <v>310</v>
      </c>
      <c r="F48" s="68" t="s">
        <v>336</v>
      </c>
      <c r="G48" s="69"/>
      <c r="H48" s="70" t="s">
        <v>337</v>
      </c>
      <c r="I48" s="71" t="s">
        <v>338</v>
      </c>
      <c r="J48" s="72" t="s">
        <v>339</v>
      </c>
      <c r="K48" s="73"/>
      <c r="L48" s="74" t="s">
        <v>645</v>
      </c>
      <c r="M48" s="72" t="s">
        <v>648</v>
      </c>
      <c r="N48" s="73" t="s">
        <v>646</v>
      </c>
      <c r="O48" s="74" t="s">
        <v>645</v>
      </c>
      <c r="P48" s="72" t="s">
        <v>648</v>
      </c>
      <c r="Q48" s="73" t="s">
        <v>646</v>
      </c>
      <c r="R48" s="74" t="s">
        <v>810</v>
      </c>
      <c r="S48" s="72">
        <v>3</v>
      </c>
      <c r="T48" s="73" t="s">
        <v>809</v>
      </c>
    </row>
    <row r="49" spans="1:20" s="75" customFormat="1" ht="123.75" customHeight="1" x14ac:dyDescent="0.25">
      <c r="A49" s="64" t="s">
        <v>340</v>
      </c>
      <c r="B49" s="65" t="s">
        <v>468</v>
      </c>
      <c r="C49" s="66" t="s">
        <v>204</v>
      </c>
      <c r="D49" s="67" t="s">
        <v>205</v>
      </c>
      <c r="E49" s="68" t="s">
        <v>206</v>
      </c>
      <c r="F49" s="68" t="s">
        <v>341</v>
      </c>
      <c r="G49" s="69" t="s">
        <v>86</v>
      </c>
      <c r="H49" s="70" t="s">
        <v>342</v>
      </c>
      <c r="I49" s="71" t="s">
        <v>343</v>
      </c>
      <c r="J49" s="72" t="s">
        <v>344</v>
      </c>
      <c r="K49" s="73"/>
      <c r="L49" s="74" t="s">
        <v>647</v>
      </c>
      <c r="M49" s="72" t="s">
        <v>650</v>
      </c>
      <c r="N49" s="73" t="s">
        <v>649</v>
      </c>
      <c r="O49" s="74" t="s">
        <v>647</v>
      </c>
      <c r="P49" s="72" t="s">
        <v>650</v>
      </c>
      <c r="Q49" s="73" t="s">
        <v>649</v>
      </c>
      <c r="R49" s="74" t="s">
        <v>757</v>
      </c>
      <c r="S49" s="72">
        <v>3</v>
      </c>
      <c r="T49" s="73" t="s">
        <v>811</v>
      </c>
    </row>
    <row r="50" spans="1:20" s="75" customFormat="1" ht="105" x14ac:dyDescent="0.25">
      <c r="A50" s="64" t="s">
        <v>345</v>
      </c>
      <c r="B50" s="65" t="s">
        <v>469</v>
      </c>
      <c r="C50" s="66" t="s">
        <v>204</v>
      </c>
      <c r="D50" s="67" t="s">
        <v>205</v>
      </c>
      <c r="E50" s="68" t="s">
        <v>206</v>
      </c>
      <c r="F50" s="68" t="s">
        <v>341</v>
      </c>
      <c r="G50" s="69"/>
      <c r="H50" s="70" t="s">
        <v>346</v>
      </c>
      <c r="I50" s="71" t="s">
        <v>347</v>
      </c>
      <c r="J50" s="72" t="s">
        <v>348</v>
      </c>
      <c r="K50" s="73"/>
      <c r="L50" s="74" t="s">
        <v>591</v>
      </c>
      <c r="M50" s="72" t="s">
        <v>590</v>
      </c>
      <c r="N50" s="73" t="s">
        <v>601</v>
      </c>
      <c r="O50" s="74" t="s">
        <v>600</v>
      </c>
      <c r="P50" s="72" t="s">
        <v>590</v>
      </c>
      <c r="Q50" s="73" t="s">
        <v>601</v>
      </c>
      <c r="R50" s="74" t="s">
        <v>812</v>
      </c>
      <c r="S50" s="72">
        <v>3</v>
      </c>
      <c r="T50" s="73" t="s">
        <v>813</v>
      </c>
    </row>
    <row r="51" spans="1:20" s="56" customFormat="1" ht="34.15" customHeight="1" x14ac:dyDescent="0.25">
      <c r="A51" s="57">
        <v>3.2</v>
      </c>
      <c r="B51" s="58" t="s">
        <v>470</v>
      </c>
      <c r="C51" s="59"/>
      <c r="D51" s="60"/>
      <c r="E51" s="60"/>
      <c r="F51" s="60"/>
      <c r="G51" s="60"/>
      <c r="H51" s="61"/>
      <c r="I51" s="62"/>
      <c r="J51" s="62"/>
      <c r="K51" s="63"/>
      <c r="L51" s="61"/>
      <c r="M51" s="62"/>
      <c r="N51" s="63"/>
      <c r="O51" s="61"/>
      <c r="P51" s="62"/>
      <c r="Q51" s="63"/>
      <c r="R51" s="61"/>
      <c r="S51" s="62"/>
      <c r="T51" s="63"/>
    </row>
    <row r="52" spans="1:20" s="75" customFormat="1" ht="90" x14ac:dyDescent="0.25">
      <c r="A52" s="64" t="s">
        <v>51</v>
      </c>
      <c r="B52" s="65" t="s">
        <v>471</v>
      </c>
      <c r="C52" s="66" t="s">
        <v>204</v>
      </c>
      <c r="D52" s="67" t="s">
        <v>205</v>
      </c>
      <c r="E52" s="68" t="s">
        <v>206</v>
      </c>
      <c r="F52" s="68" t="s">
        <v>349</v>
      </c>
      <c r="G52" s="69"/>
      <c r="H52" s="70" t="s">
        <v>350</v>
      </c>
      <c r="I52" s="71" t="s">
        <v>86</v>
      </c>
      <c r="J52" s="72" t="s">
        <v>351</v>
      </c>
      <c r="K52" s="73"/>
      <c r="L52" s="74" t="s">
        <v>814</v>
      </c>
      <c r="M52" s="72" t="s">
        <v>654</v>
      </c>
      <c r="N52" s="73" t="s">
        <v>652</v>
      </c>
      <c r="O52" s="74" t="s">
        <v>651</v>
      </c>
      <c r="P52" s="72" t="s">
        <v>655</v>
      </c>
      <c r="Q52" s="73" t="s">
        <v>653</v>
      </c>
      <c r="R52" s="74" t="s">
        <v>815</v>
      </c>
      <c r="S52" s="72">
        <v>3</v>
      </c>
      <c r="T52" s="73"/>
    </row>
    <row r="53" spans="1:20" s="75" customFormat="1" ht="208.5" customHeight="1" x14ac:dyDescent="0.25">
      <c r="A53" s="64" t="s">
        <v>352</v>
      </c>
      <c r="B53" s="65" t="s">
        <v>472</v>
      </c>
      <c r="C53" s="66" t="s">
        <v>204</v>
      </c>
      <c r="D53" s="67" t="s">
        <v>205</v>
      </c>
      <c r="E53" s="68" t="s">
        <v>206</v>
      </c>
      <c r="F53" s="68" t="s">
        <v>284</v>
      </c>
      <c r="G53" s="69"/>
      <c r="H53" s="70" t="s">
        <v>353</v>
      </c>
      <c r="I53" s="71" t="s">
        <v>354</v>
      </c>
      <c r="J53" s="72" t="s">
        <v>355</v>
      </c>
      <c r="K53" s="73"/>
      <c r="L53" s="74" t="s">
        <v>693</v>
      </c>
      <c r="M53" s="72" t="s">
        <v>658</v>
      </c>
      <c r="N53" s="73" t="s">
        <v>694</v>
      </c>
      <c r="O53" s="74" t="s">
        <v>695</v>
      </c>
      <c r="P53" s="72" t="s">
        <v>658</v>
      </c>
      <c r="Q53" s="73" t="s">
        <v>696</v>
      </c>
      <c r="R53" s="74" t="s">
        <v>846</v>
      </c>
      <c r="S53" s="72">
        <v>5</v>
      </c>
      <c r="T53" s="73" t="s">
        <v>816</v>
      </c>
    </row>
    <row r="54" spans="1:20" s="56" customFormat="1" ht="45" x14ac:dyDescent="0.25">
      <c r="A54" s="57" t="s">
        <v>124</v>
      </c>
      <c r="B54" s="58" t="s">
        <v>473</v>
      </c>
      <c r="C54" s="59"/>
      <c r="D54" s="60"/>
      <c r="E54" s="60"/>
      <c r="F54" s="60"/>
      <c r="G54" s="60"/>
      <c r="H54" s="61"/>
      <c r="I54" s="62"/>
      <c r="J54" s="62"/>
      <c r="K54" s="63"/>
      <c r="L54" s="61"/>
      <c r="M54" s="62"/>
      <c r="N54" s="63"/>
      <c r="O54" s="61"/>
      <c r="P54" s="62"/>
      <c r="Q54" s="63"/>
      <c r="R54" s="61"/>
      <c r="S54" s="62"/>
      <c r="T54" s="63"/>
    </row>
    <row r="55" spans="1:20" s="75" customFormat="1" ht="90" x14ac:dyDescent="0.25">
      <c r="A55" s="64" t="s">
        <v>193</v>
      </c>
      <c r="B55" s="65" t="s">
        <v>474</v>
      </c>
      <c r="C55" s="66" t="s">
        <v>204</v>
      </c>
      <c r="D55" s="67" t="s">
        <v>331</v>
      </c>
      <c r="E55" s="68" t="s">
        <v>356</v>
      </c>
      <c r="F55" s="68" t="s">
        <v>221</v>
      </c>
      <c r="G55" s="69">
        <v>50</v>
      </c>
      <c r="H55" s="70" t="s">
        <v>357</v>
      </c>
      <c r="I55" s="71" t="s">
        <v>358</v>
      </c>
      <c r="J55" s="72" t="s">
        <v>359</v>
      </c>
      <c r="K55" s="73"/>
      <c r="L55" s="74" t="s">
        <v>668</v>
      </c>
      <c r="M55" s="72" t="s">
        <v>659</v>
      </c>
      <c r="N55" s="73" t="s">
        <v>660</v>
      </c>
      <c r="O55" s="74" t="s">
        <v>661</v>
      </c>
      <c r="P55" s="72" t="s">
        <v>669</v>
      </c>
      <c r="Q55" s="73" t="s">
        <v>662</v>
      </c>
      <c r="R55" s="74" t="s">
        <v>817</v>
      </c>
      <c r="S55" s="72">
        <v>3</v>
      </c>
      <c r="T55" s="73"/>
    </row>
    <row r="56" spans="1:20" s="75" customFormat="1" ht="135" x14ac:dyDescent="0.25">
      <c r="A56" s="64" t="s">
        <v>126</v>
      </c>
      <c r="B56" s="65" t="s">
        <v>434</v>
      </c>
      <c r="C56" s="66" t="s">
        <v>204</v>
      </c>
      <c r="D56" s="67" t="s">
        <v>205</v>
      </c>
      <c r="E56" s="68" t="s">
        <v>284</v>
      </c>
      <c r="F56" s="68" t="s">
        <v>206</v>
      </c>
      <c r="G56" s="69"/>
      <c r="H56" s="70" t="s">
        <v>360</v>
      </c>
      <c r="I56" s="71" t="s">
        <v>361</v>
      </c>
      <c r="J56" s="72" t="s">
        <v>362</v>
      </c>
      <c r="K56" s="73"/>
      <c r="L56" s="74" t="s">
        <v>670</v>
      </c>
      <c r="M56" s="72" t="s">
        <v>671</v>
      </c>
      <c r="N56" s="73" t="s">
        <v>674</v>
      </c>
      <c r="O56" s="74" t="s">
        <v>672</v>
      </c>
      <c r="P56" s="72" t="s">
        <v>671</v>
      </c>
      <c r="Q56" s="73" t="s">
        <v>673</v>
      </c>
      <c r="R56" s="74" t="s">
        <v>847</v>
      </c>
      <c r="S56" s="72">
        <v>3</v>
      </c>
      <c r="T56" s="73"/>
    </row>
    <row r="57" spans="1:20" s="56" customFormat="1" ht="31.9" customHeight="1" x14ac:dyDescent="0.25">
      <c r="A57" s="49">
        <v>4</v>
      </c>
      <c r="B57" s="50" t="s">
        <v>475</v>
      </c>
      <c r="C57" s="51"/>
      <c r="D57" s="52"/>
      <c r="E57" s="52"/>
      <c r="F57" s="52"/>
      <c r="G57" s="52"/>
      <c r="H57" s="53"/>
      <c r="I57" s="54"/>
      <c r="J57" s="54"/>
      <c r="K57" s="55"/>
      <c r="L57" s="53"/>
      <c r="M57" s="54"/>
      <c r="N57" s="55"/>
      <c r="O57" s="53"/>
      <c r="P57" s="54"/>
      <c r="Q57" s="55"/>
      <c r="R57" s="74"/>
      <c r="S57" s="72"/>
      <c r="T57" s="73"/>
    </row>
    <row r="58" spans="1:20" s="56" customFormat="1" ht="30" x14ac:dyDescent="0.25">
      <c r="A58" s="57">
        <v>4.0999999999999996</v>
      </c>
      <c r="B58" s="58" t="s">
        <v>476</v>
      </c>
      <c r="C58" s="59"/>
      <c r="D58" s="60"/>
      <c r="E58" s="60"/>
      <c r="F58" s="60"/>
      <c r="G58" s="60"/>
      <c r="H58" s="61"/>
      <c r="I58" s="62"/>
      <c r="J58" s="62"/>
      <c r="K58" s="63"/>
      <c r="L58" s="61"/>
      <c r="M58" s="62"/>
      <c r="N58" s="63"/>
      <c r="O58" s="61"/>
      <c r="P58" s="62"/>
      <c r="Q58" s="63"/>
      <c r="R58" s="74"/>
      <c r="S58" s="72"/>
      <c r="T58" s="73"/>
    </row>
    <row r="59" spans="1:20" s="75" customFormat="1" ht="141.75" customHeight="1" x14ac:dyDescent="0.25">
      <c r="A59" s="64" t="s">
        <v>53</v>
      </c>
      <c r="B59" s="65" t="s">
        <v>477</v>
      </c>
      <c r="C59" s="66" t="s">
        <v>204</v>
      </c>
      <c r="D59" s="67" t="s">
        <v>205</v>
      </c>
      <c r="E59" s="68" t="s">
        <v>356</v>
      </c>
      <c r="F59" s="68" t="s">
        <v>363</v>
      </c>
      <c r="G59" s="69">
        <v>50</v>
      </c>
      <c r="H59" s="80" t="s">
        <v>759</v>
      </c>
      <c r="I59" s="72" t="s">
        <v>364</v>
      </c>
      <c r="J59" s="72" t="s">
        <v>365</v>
      </c>
      <c r="K59" s="73"/>
      <c r="L59" s="74" t="s">
        <v>663</v>
      </c>
      <c r="M59" s="72" t="s">
        <v>666</v>
      </c>
      <c r="N59" s="73" t="s">
        <v>664</v>
      </c>
      <c r="O59" s="74" t="s">
        <v>665</v>
      </c>
      <c r="P59" s="72" t="s">
        <v>680</v>
      </c>
      <c r="Q59" s="73" t="s">
        <v>667</v>
      </c>
      <c r="R59" s="74" t="s">
        <v>762</v>
      </c>
      <c r="S59" s="72">
        <v>5</v>
      </c>
      <c r="T59" s="73" t="s">
        <v>818</v>
      </c>
    </row>
    <row r="60" spans="1:20" s="75" customFormat="1" ht="133.5" customHeight="1" x14ac:dyDescent="0.25">
      <c r="A60" s="64" t="s">
        <v>54</v>
      </c>
      <c r="B60" s="65" t="s">
        <v>760</v>
      </c>
      <c r="C60" s="66" t="s">
        <v>204</v>
      </c>
      <c r="D60" s="67" t="s">
        <v>205</v>
      </c>
      <c r="E60" s="68" t="s">
        <v>366</v>
      </c>
      <c r="F60" s="68" t="s">
        <v>367</v>
      </c>
      <c r="G60" s="69"/>
      <c r="H60" s="80" t="s">
        <v>368</v>
      </c>
      <c r="I60" s="72" t="s">
        <v>369</v>
      </c>
      <c r="J60" s="72" t="s">
        <v>370</v>
      </c>
      <c r="K60" s="73"/>
      <c r="L60" s="74" t="s">
        <v>819</v>
      </c>
      <c r="M60" s="72" t="s">
        <v>679</v>
      </c>
      <c r="N60" s="73" t="s">
        <v>677</v>
      </c>
      <c r="O60" s="74" t="s">
        <v>676</v>
      </c>
      <c r="P60" s="72" t="s">
        <v>678</v>
      </c>
      <c r="Q60" s="73" t="s">
        <v>761</v>
      </c>
      <c r="R60" s="74" t="s">
        <v>820</v>
      </c>
      <c r="S60" s="72">
        <v>3</v>
      </c>
      <c r="T60" s="73"/>
    </row>
    <row r="61" spans="1:20" s="56" customFormat="1" ht="31.9" customHeight="1" x14ac:dyDescent="0.25">
      <c r="A61" s="49">
        <v>5</v>
      </c>
      <c r="B61" s="50" t="s">
        <v>435</v>
      </c>
      <c r="C61" s="51"/>
      <c r="D61" s="52"/>
      <c r="E61" s="52"/>
      <c r="F61" s="52"/>
      <c r="G61" s="52"/>
      <c r="H61" s="53"/>
      <c r="I61" s="54"/>
      <c r="J61" s="54"/>
      <c r="K61" s="55"/>
      <c r="L61" s="53"/>
      <c r="M61" s="54"/>
      <c r="N61" s="55"/>
      <c r="O61" s="53"/>
      <c r="P61" s="54"/>
      <c r="Q61" s="55"/>
      <c r="R61" s="74"/>
      <c r="S61" s="72"/>
      <c r="T61" s="73"/>
    </row>
    <row r="62" spans="1:20" s="56" customFormat="1" ht="30" x14ac:dyDescent="0.25">
      <c r="A62" s="57" t="s">
        <v>146</v>
      </c>
      <c r="B62" s="58" t="s">
        <v>478</v>
      </c>
      <c r="C62" s="59"/>
      <c r="D62" s="60"/>
      <c r="E62" s="60"/>
      <c r="F62" s="60"/>
      <c r="G62" s="60"/>
      <c r="H62" s="61"/>
      <c r="I62" s="62"/>
      <c r="J62" s="62"/>
      <c r="K62" s="63"/>
      <c r="L62" s="61"/>
      <c r="M62" s="62"/>
      <c r="N62" s="63"/>
      <c r="O62" s="61"/>
      <c r="P62" s="62"/>
      <c r="Q62" s="63"/>
      <c r="R62" s="74"/>
      <c r="S62" s="72"/>
      <c r="T62" s="73"/>
    </row>
    <row r="63" spans="1:20" s="75" customFormat="1" ht="94.5" customHeight="1" x14ac:dyDescent="0.25">
      <c r="A63" s="64" t="s">
        <v>49</v>
      </c>
      <c r="B63" s="65" t="s">
        <v>479</v>
      </c>
      <c r="C63" s="66" t="s">
        <v>204</v>
      </c>
      <c r="D63" s="67" t="s">
        <v>272</v>
      </c>
      <c r="E63" s="68" t="s">
        <v>371</v>
      </c>
      <c r="F63" s="68"/>
      <c r="G63" s="69">
        <v>100</v>
      </c>
      <c r="H63" s="70" t="s">
        <v>372</v>
      </c>
      <c r="I63" s="71"/>
      <c r="J63" s="72" t="s">
        <v>373</v>
      </c>
      <c r="K63" s="73"/>
      <c r="L63" s="74" t="s">
        <v>683</v>
      </c>
      <c r="M63" s="72" t="s">
        <v>681</v>
      </c>
      <c r="N63" s="73" t="s">
        <v>682</v>
      </c>
      <c r="O63" s="74" t="s">
        <v>684</v>
      </c>
      <c r="P63" s="72" t="s">
        <v>821</v>
      </c>
      <c r="Q63" s="73" t="s">
        <v>685</v>
      </c>
      <c r="R63" s="74" t="s">
        <v>822</v>
      </c>
      <c r="S63" s="72">
        <v>3</v>
      </c>
      <c r="T63" s="73" t="s">
        <v>848</v>
      </c>
    </row>
    <row r="64" spans="1:20" s="75" customFormat="1" ht="150" customHeight="1" x14ac:dyDescent="0.25">
      <c r="A64" s="64" t="s">
        <v>62</v>
      </c>
      <c r="B64" s="65" t="s">
        <v>480</v>
      </c>
      <c r="C64" s="66" t="s">
        <v>204</v>
      </c>
      <c r="D64" s="67" t="s">
        <v>272</v>
      </c>
      <c r="E64" s="68" t="s">
        <v>254</v>
      </c>
      <c r="F64" s="68" t="s">
        <v>374</v>
      </c>
      <c r="G64" s="69"/>
      <c r="H64" s="70" t="s">
        <v>375</v>
      </c>
      <c r="I64" s="71"/>
      <c r="J64" s="72" t="s">
        <v>376</v>
      </c>
      <c r="K64" s="73"/>
      <c r="L64" s="74" t="s">
        <v>687</v>
      </c>
      <c r="M64" s="72" t="s">
        <v>688</v>
      </c>
      <c r="N64" s="73" t="s">
        <v>689</v>
      </c>
      <c r="O64" s="74" t="s">
        <v>691</v>
      </c>
      <c r="P64" s="72" t="s">
        <v>686</v>
      </c>
      <c r="Q64" s="73" t="s">
        <v>690</v>
      </c>
      <c r="R64" s="74" t="s">
        <v>823</v>
      </c>
      <c r="S64" s="72">
        <v>0</v>
      </c>
      <c r="T64" s="73" t="s">
        <v>824</v>
      </c>
    </row>
    <row r="65" spans="1:20" s="56" customFormat="1" ht="30" x14ac:dyDescent="0.25">
      <c r="A65" s="57" t="s">
        <v>152</v>
      </c>
      <c r="B65" s="58" t="s">
        <v>481</v>
      </c>
      <c r="C65" s="59"/>
      <c r="D65" s="60"/>
      <c r="E65" s="60"/>
      <c r="F65" s="60"/>
      <c r="G65" s="60"/>
      <c r="H65" s="61"/>
      <c r="I65" s="62"/>
      <c r="J65" s="62"/>
      <c r="K65" s="63"/>
      <c r="L65" s="61"/>
      <c r="M65" s="62"/>
      <c r="N65" s="63"/>
      <c r="O65" s="61"/>
      <c r="P65" s="62"/>
      <c r="Q65" s="63"/>
      <c r="R65" s="74"/>
      <c r="S65" s="72"/>
      <c r="T65" s="73"/>
    </row>
    <row r="66" spans="1:20" s="75" customFormat="1" ht="165" x14ac:dyDescent="0.25">
      <c r="A66" s="64" t="s">
        <v>154</v>
      </c>
      <c r="B66" s="65" t="s">
        <v>482</v>
      </c>
      <c r="C66" s="66" t="s">
        <v>204</v>
      </c>
      <c r="D66" s="67" t="s">
        <v>205</v>
      </c>
      <c r="E66" s="68" t="s">
        <v>206</v>
      </c>
      <c r="F66" s="68" t="s">
        <v>377</v>
      </c>
      <c r="G66" s="69">
        <v>200</v>
      </c>
      <c r="H66" s="70" t="s">
        <v>378</v>
      </c>
      <c r="I66" s="71" t="s">
        <v>763</v>
      </c>
      <c r="J66" s="72" t="s">
        <v>379</v>
      </c>
      <c r="K66" s="73"/>
      <c r="L66" s="74" t="s">
        <v>705</v>
      </c>
      <c r="M66" s="72" t="s">
        <v>706</v>
      </c>
      <c r="N66" s="73" t="s">
        <v>707</v>
      </c>
      <c r="O66" s="74" t="s">
        <v>825</v>
      </c>
      <c r="P66" s="72" t="s">
        <v>708</v>
      </c>
      <c r="Q66" s="73" t="s">
        <v>748</v>
      </c>
      <c r="R66" s="74" t="s">
        <v>827</v>
      </c>
      <c r="S66" s="72">
        <v>5</v>
      </c>
      <c r="T66" s="73" t="s">
        <v>826</v>
      </c>
    </row>
    <row r="67" spans="1:20" s="75" customFormat="1" ht="90" x14ac:dyDescent="0.25">
      <c r="A67" s="64" t="s">
        <v>156</v>
      </c>
      <c r="B67" s="65" t="s">
        <v>483</v>
      </c>
      <c r="C67" s="66" t="s">
        <v>204</v>
      </c>
      <c r="D67" s="67" t="s">
        <v>205</v>
      </c>
      <c r="E67" s="68" t="s">
        <v>206</v>
      </c>
      <c r="F67" s="68" t="s">
        <v>332</v>
      </c>
      <c r="G67" s="69">
        <v>500</v>
      </c>
      <c r="H67" s="70" t="s">
        <v>380</v>
      </c>
      <c r="I67" s="71" t="s">
        <v>381</v>
      </c>
      <c r="J67" s="72" t="s">
        <v>382</v>
      </c>
      <c r="K67" s="73"/>
      <c r="L67" s="74" t="s">
        <v>764</v>
      </c>
      <c r="M67" s="72" t="s">
        <v>710</v>
      </c>
      <c r="N67" s="73" t="s">
        <v>711</v>
      </c>
      <c r="O67" s="74" t="s">
        <v>709</v>
      </c>
      <c r="P67" s="72" t="s">
        <v>710</v>
      </c>
      <c r="Q67" s="73" t="s">
        <v>747</v>
      </c>
      <c r="R67" s="74"/>
      <c r="S67" s="72">
        <v>0</v>
      </c>
      <c r="T67" s="73" t="s">
        <v>828</v>
      </c>
    </row>
    <row r="68" spans="1:20" s="75" customFormat="1" ht="120" customHeight="1" x14ac:dyDescent="0.25">
      <c r="A68" s="64" t="s">
        <v>158</v>
      </c>
      <c r="B68" s="65" t="s">
        <v>484</v>
      </c>
      <c r="C68" s="66" t="s">
        <v>204</v>
      </c>
      <c r="D68" s="67" t="s">
        <v>205</v>
      </c>
      <c r="E68" s="68" t="s">
        <v>383</v>
      </c>
      <c r="F68" s="68" t="s">
        <v>284</v>
      </c>
      <c r="G68" s="69">
        <v>100</v>
      </c>
      <c r="H68" s="70" t="s">
        <v>384</v>
      </c>
      <c r="I68" s="71" t="s">
        <v>385</v>
      </c>
      <c r="J68" s="72" t="s">
        <v>386</v>
      </c>
      <c r="K68" s="73"/>
      <c r="L68" s="74" t="s">
        <v>698</v>
      </c>
      <c r="M68" s="72" t="s">
        <v>699</v>
      </c>
      <c r="N68" s="73" t="s">
        <v>829</v>
      </c>
      <c r="O68" s="74" t="s">
        <v>697</v>
      </c>
      <c r="P68" s="72" t="s">
        <v>699</v>
      </c>
      <c r="Q68" s="73" t="s">
        <v>700</v>
      </c>
      <c r="R68" s="74" t="s">
        <v>827</v>
      </c>
      <c r="S68" s="72">
        <v>5</v>
      </c>
      <c r="T68" s="73" t="s">
        <v>830</v>
      </c>
    </row>
    <row r="69" spans="1:20" s="75" customFormat="1" ht="120" x14ac:dyDescent="0.25">
      <c r="A69" s="64" t="s">
        <v>387</v>
      </c>
      <c r="B69" s="65" t="s">
        <v>485</v>
      </c>
      <c r="C69" s="66" t="s">
        <v>204</v>
      </c>
      <c r="D69" s="67" t="s">
        <v>205</v>
      </c>
      <c r="E69" s="68" t="s">
        <v>388</v>
      </c>
      <c r="F69" s="68" t="s">
        <v>389</v>
      </c>
      <c r="G69" s="69">
        <v>80</v>
      </c>
      <c r="H69" s="70" t="s">
        <v>390</v>
      </c>
      <c r="I69" s="71" t="s">
        <v>765</v>
      </c>
      <c r="J69" s="72" t="s">
        <v>391</v>
      </c>
      <c r="K69" s="73"/>
      <c r="L69" s="74" t="s">
        <v>831</v>
      </c>
      <c r="M69" s="72" t="s">
        <v>692</v>
      </c>
      <c r="N69" s="73" t="s">
        <v>701</v>
      </c>
      <c r="O69" s="74" t="s">
        <v>702</v>
      </c>
      <c r="P69" s="72" t="s">
        <v>712</v>
      </c>
      <c r="Q69" s="73" t="s">
        <v>703</v>
      </c>
      <c r="R69" s="74" t="s">
        <v>766</v>
      </c>
      <c r="S69" s="72">
        <v>5</v>
      </c>
      <c r="T69" s="73"/>
    </row>
    <row r="70" spans="1:20" s="75" customFormat="1" ht="135" x14ac:dyDescent="0.25">
      <c r="A70" s="64" t="s">
        <v>392</v>
      </c>
      <c r="B70" s="65" t="s">
        <v>486</v>
      </c>
      <c r="C70" s="66" t="s">
        <v>204</v>
      </c>
      <c r="D70" s="67" t="s">
        <v>205</v>
      </c>
      <c r="E70" s="68" t="s">
        <v>388</v>
      </c>
      <c r="F70" s="68" t="s">
        <v>389</v>
      </c>
      <c r="G70" s="69">
        <v>200</v>
      </c>
      <c r="H70" s="70" t="s">
        <v>393</v>
      </c>
      <c r="I70" s="71" t="s">
        <v>394</v>
      </c>
      <c r="J70" s="72" t="s">
        <v>395</v>
      </c>
      <c r="K70" s="73"/>
      <c r="L70" s="74" t="s">
        <v>731</v>
      </c>
      <c r="M70" s="72" t="s">
        <v>732</v>
      </c>
      <c r="N70" s="72" t="s">
        <v>732</v>
      </c>
      <c r="O70" s="74" t="s">
        <v>733</v>
      </c>
      <c r="P70" s="72" t="s">
        <v>734</v>
      </c>
      <c r="Q70" s="73" t="s">
        <v>735</v>
      </c>
      <c r="R70" s="74" t="s">
        <v>766</v>
      </c>
      <c r="S70" s="72">
        <v>5</v>
      </c>
      <c r="T70" s="73"/>
    </row>
    <row r="71" spans="1:20" s="56" customFormat="1" ht="31.9" customHeight="1" x14ac:dyDescent="0.25">
      <c r="A71" s="49">
        <v>6</v>
      </c>
      <c r="B71" s="50" t="s">
        <v>487</v>
      </c>
      <c r="C71" s="51"/>
      <c r="D71" s="52"/>
      <c r="E71" s="52"/>
      <c r="F71" s="52"/>
      <c r="G71" s="52"/>
      <c r="H71" s="53"/>
      <c r="I71" s="54"/>
      <c r="J71" s="54"/>
      <c r="K71" s="55"/>
      <c r="L71" s="53"/>
      <c r="M71" s="54"/>
      <c r="N71" s="55"/>
      <c r="O71" s="53"/>
      <c r="P71" s="54"/>
      <c r="Q71" s="55"/>
      <c r="R71" s="74"/>
      <c r="S71" s="72"/>
      <c r="T71" s="73"/>
    </row>
    <row r="72" spans="1:20" s="56" customFormat="1" ht="30" x14ac:dyDescent="0.25">
      <c r="A72" s="57" t="s">
        <v>170</v>
      </c>
      <c r="B72" s="58" t="s">
        <v>488</v>
      </c>
      <c r="C72" s="59"/>
      <c r="D72" s="60"/>
      <c r="E72" s="60"/>
      <c r="F72" s="60"/>
      <c r="G72" s="60"/>
      <c r="H72" s="61"/>
      <c r="I72" s="62"/>
      <c r="J72" s="62"/>
      <c r="K72" s="63"/>
      <c r="L72" s="61"/>
      <c r="M72" s="62"/>
      <c r="N72" s="63"/>
      <c r="O72" s="61"/>
      <c r="P72" s="62"/>
      <c r="Q72" s="63"/>
      <c r="R72" s="74"/>
      <c r="S72" s="72"/>
      <c r="T72" s="73"/>
    </row>
    <row r="73" spans="1:20" s="75" customFormat="1" ht="120" x14ac:dyDescent="0.25">
      <c r="A73" s="64" t="s">
        <v>63</v>
      </c>
      <c r="B73" s="65" t="s">
        <v>489</v>
      </c>
      <c r="C73" s="66" t="s">
        <v>204</v>
      </c>
      <c r="D73" s="67" t="s">
        <v>205</v>
      </c>
      <c r="E73" s="68" t="s">
        <v>396</v>
      </c>
      <c r="F73" s="68" t="s">
        <v>397</v>
      </c>
      <c r="G73" s="69" t="s">
        <v>86</v>
      </c>
      <c r="H73" s="70" t="s">
        <v>398</v>
      </c>
      <c r="I73" s="71" t="s">
        <v>399</v>
      </c>
      <c r="J73" s="72" t="s">
        <v>400</v>
      </c>
      <c r="K73" s="73"/>
      <c r="L73" s="74" t="s">
        <v>739</v>
      </c>
      <c r="M73" s="72" t="s">
        <v>742</v>
      </c>
      <c r="N73" s="73" t="s">
        <v>741</v>
      </c>
      <c r="O73" s="74" t="s">
        <v>740</v>
      </c>
      <c r="P73" s="72" t="s">
        <v>738</v>
      </c>
      <c r="Q73" s="73" t="s">
        <v>832</v>
      </c>
      <c r="R73" s="74" t="s">
        <v>833</v>
      </c>
      <c r="S73" s="72">
        <v>5</v>
      </c>
      <c r="T73" s="73" t="s">
        <v>849</v>
      </c>
    </row>
    <row r="74" spans="1:20" s="75" customFormat="1" ht="75" x14ac:dyDescent="0.25">
      <c r="A74" s="64" t="s">
        <v>64</v>
      </c>
      <c r="B74" s="65" t="s">
        <v>490</v>
      </c>
      <c r="C74" s="66" t="s">
        <v>204</v>
      </c>
      <c r="D74" s="67" t="s">
        <v>205</v>
      </c>
      <c r="E74" s="68" t="s">
        <v>401</v>
      </c>
      <c r="F74" s="68" t="s">
        <v>402</v>
      </c>
      <c r="G74" s="69"/>
      <c r="H74" s="70" t="s">
        <v>403</v>
      </c>
      <c r="I74" s="71"/>
      <c r="J74" s="72" t="s">
        <v>404</v>
      </c>
      <c r="K74" s="73"/>
      <c r="L74" s="74" t="s">
        <v>744</v>
      </c>
      <c r="M74" s="72" t="s">
        <v>745</v>
      </c>
      <c r="N74" s="73" t="s">
        <v>746</v>
      </c>
      <c r="O74" s="74" t="s">
        <v>743</v>
      </c>
      <c r="P74" s="72" t="s">
        <v>745</v>
      </c>
      <c r="Q74" s="73" t="s">
        <v>746</v>
      </c>
      <c r="R74" s="74" t="s">
        <v>757</v>
      </c>
      <c r="S74" s="72">
        <v>5</v>
      </c>
      <c r="T74" s="73" t="s">
        <v>834</v>
      </c>
    </row>
    <row r="75" spans="1:20" s="56" customFormat="1" ht="45" x14ac:dyDescent="0.25">
      <c r="A75" s="57" t="s">
        <v>174</v>
      </c>
      <c r="B75" s="58" t="s">
        <v>491</v>
      </c>
      <c r="C75" s="59"/>
      <c r="D75" s="60"/>
      <c r="E75" s="60"/>
      <c r="F75" s="60"/>
      <c r="G75" s="60"/>
      <c r="H75" s="61"/>
      <c r="I75" s="62"/>
      <c r="J75" s="62"/>
      <c r="K75" s="63"/>
      <c r="L75" s="61"/>
      <c r="M75" s="62"/>
      <c r="N75" s="63"/>
      <c r="O75" s="61"/>
      <c r="P75" s="62"/>
      <c r="Q75" s="63"/>
      <c r="R75" s="74"/>
      <c r="S75" s="72"/>
      <c r="T75" s="73"/>
    </row>
    <row r="76" spans="1:20" s="75" customFormat="1" ht="105" x14ac:dyDescent="0.25">
      <c r="A76" s="64" t="s">
        <v>176</v>
      </c>
      <c r="B76" s="65" t="s">
        <v>492</v>
      </c>
      <c r="C76" s="66" t="s">
        <v>204</v>
      </c>
      <c r="D76" s="67" t="s">
        <v>331</v>
      </c>
      <c r="E76" s="68" t="s">
        <v>405</v>
      </c>
      <c r="F76" s="68" t="s">
        <v>206</v>
      </c>
      <c r="G76" s="69">
        <v>50</v>
      </c>
      <c r="H76" s="70" t="s">
        <v>406</v>
      </c>
      <c r="I76" s="71"/>
      <c r="J76" s="72" t="s">
        <v>407</v>
      </c>
      <c r="K76" s="73"/>
      <c r="L76" s="74" t="s">
        <v>713</v>
      </c>
      <c r="M76" s="72" t="s">
        <v>714</v>
      </c>
      <c r="N76" s="73" t="s">
        <v>715</v>
      </c>
      <c r="O76" s="74" t="s">
        <v>716</v>
      </c>
      <c r="P76" s="72" t="s">
        <v>835</v>
      </c>
      <c r="Q76" s="73" t="s">
        <v>717</v>
      </c>
      <c r="R76" s="74" t="s">
        <v>767</v>
      </c>
      <c r="S76" s="72">
        <v>5</v>
      </c>
      <c r="T76" s="73" t="s">
        <v>836</v>
      </c>
    </row>
    <row r="77" spans="1:20" s="75" customFormat="1" ht="150" x14ac:dyDescent="0.25">
      <c r="A77" s="64" t="s">
        <v>178</v>
      </c>
      <c r="B77" s="65" t="s">
        <v>493</v>
      </c>
      <c r="C77" s="66" t="s">
        <v>204</v>
      </c>
      <c r="D77" s="67" t="s">
        <v>205</v>
      </c>
      <c r="E77" s="68" t="s">
        <v>284</v>
      </c>
      <c r="F77" s="68" t="s">
        <v>206</v>
      </c>
      <c r="G77" s="69"/>
      <c r="H77" s="70" t="s">
        <v>285</v>
      </c>
      <c r="I77" s="71" t="s">
        <v>286</v>
      </c>
      <c r="J77" s="72" t="s">
        <v>287</v>
      </c>
      <c r="K77" s="73"/>
      <c r="L77" s="74" t="s">
        <v>588</v>
      </c>
      <c r="M77" s="72" t="s">
        <v>586</v>
      </c>
      <c r="N77" s="73" t="s">
        <v>589</v>
      </c>
      <c r="O77" s="74" t="s">
        <v>587</v>
      </c>
      <c r="P77" s="72" t="s">
        <v>586</v>
      </c>
      <c r="Q77" s="73" t="s">
        <v>589</v>
      </c>
      <c r="R77" s="74" t="s">
        <v>827</v>
      </c>
      <c r="S77" s="72">
        <v>5</v>
      </c>
      <c r="T77" s="73" t="s">
        <v>837</v>
      </c>
    </row>
    <row r="78" spans="1:20" s="75" customFormat="1" ht="75" customHeight="1" x14ac:dyDescent="0.25">
      <c r="A78" s="64" t="s">
        <v>180</v>
      </c>
      <c r="B78" s="65" t="s">
        <v>436</v>
      </c>
      <c r="C78" s="66" t="s">
        <v>204</v>
      </c>
      <c r="D78" s="67" t="s">
        <v>205</v>
      </c>
      <c r="E78" s="68" t="s">
        <v>206</v>
      </c>
      <c r="F78" s="68" t="s">
        <v>408</v>
      </c>
      <c r="G78" s="69" t="s">
        <v>86</v>
      </c>
      <c r="H78" s="70" t="s">
        <v>409</v>
      </c>
      <c r="I78" s="71" t="s">
        <v>410</v>
      </c>
      <c r="J78" s="72" t="s">
        <v>411</v>
      </c>
      <c r="K78" s="73"/>
      <c r="L78" s="74" t="s">
        <v>721</v>
      </c>
      <c r="M78" s="72" t="s">
        <v>719</v>
      </c>
      <c r="N78" s="73" t="s">
        <v>722</v>
      </c>
      <c r="O78" s="74" t="s">
        <v>723</v>
      </c>
      <c r="P78" s="72" t="s">
        <v>720</v>
      </c>
      <c r="Q78" s="73" t="s">
        <v>724</v>
      </c>
      <c r="R78" s="74" t="s">
        <v>768</v>
      </c>
      <c r="S78" s="72">
        <v>5</v>
      </c>
      <c r="T78" s="73" t="s">
        <v>838</v>
      </c>
    </row>
    <row r="79" spans="1:20" s="75" customFormat="1" ht="180.75" customHeight="1" x14ac:dyDescent="0.25">
      <c r="A79" s="64" t="s">
        <v>182</v>
      </c>
      <c r="B79" s="65" t="s">
        <v>494</v>
      </c>
      <c r="C79" s="66" t="s">
        <v>204</v>
      </c>
      <c r="D79" s="67" t="s">
        <v>205</v>
      </c>
      <c r="E79" s="68" t="s">
        <v>297</v>
      </c>
      <c r="F79" s="68" t="s">
        <v>412</v>
      </c>
      <c r="G79" s="69"/>
      <c r="H79" s="70" t="s">
        <v>413</v>
      </c>
      <c r="I79" s="71" t="s">
        <v>414</v>
      </c>
      <c r="J79" s="72" t="s">
        <v>415</v>
      </c>
      <c r="K79" s="73"/>
      <c r="L79" s="74" t="s">
        <v>726</v>
      </c>
      <c r="M79" s="72" t="s">
        <v>725</v>
      </c>
      <c r="N79" s="73" t="s">
        <v>727</v>
      </c>
      <c r="O79" s="74" t="s">
        <v>728</v>
      </c>
      <c r="P79" s="72" t="s">
        <v>729</v>
      </c>
      <c r="Q79" s="73" t="s">
        <v>730</v>
      </c>
      <c r="R79" s="74" t="s">
        <v>827</v>
      </c>
      <c r="S79" s="72">
        <v>5</v>
      </c>
      <c r="T79" s="73"/>
    </row>
    <row r="80" spans="1:20" s="56" customFormat="1" ht="25.9" customHeight="1" x14ac:dyDescent="0.25">
      <c r="A80" s="57" t="s">
        <v>496</v>
      </c>
      <c r="B80" s="58" t="s">
        <v>495</v>
      </c>
      <c r="C80" s="59"/>
      <c r="D80" s="60"/>
      <c r="E80" s="60"/>
      <c r="F80" s="60"/>
      <c r="G80" s="60"/>
      <c r="H80" s="61"/>
      <c r="I80" s="62"/>
      <c r="J80" s="62"/>
      <c r="K80" s="63"/>
      <c r="L80" s="61"/>
      <c r="M80" s="62"/>
      <c r="N80" s="63"/>
      <c r="O80" s="61"/>
      <c r="P80" s="62"/>
      <c r="Q80" s="63"/>
      <c r="R80" s="74"/>
      <c r="S80" s="72"/>
      <c r="T80" s="73"/>
    </row>
    <row r="81" spans="1:20" s="75" customFormat="1" ht="90" x14ac:dyDescent="0.25">
      <c r="A81" s="64" t="s">
        <v>194</v>
      </c>
      <c r="B81" s="65" t="s">
        <v>437</v>
      </c>
      <c r="C81" s="66" t="s">
        <v>204</v>
      </c>
      <c r="D81" s="67" t="s">
        <v>205</v>
      </c>
      <c r="E81" s="68" t="s">
        <v>206</v>
      </c>
      <c r="F81" s="68" t="s">
        <v>245</v>
      </c>
      <c r="G81" s="69"/>
      <c r="H81" s="70" t="s">
        <v>416</v>
      </c>
      <c r="I81" s="71" t="s">
        <v>417</v>
      </c>
      <c r="J81" s="72" t="s">
        <v>418</v>
      </c>
      <c r="K81" s="73"/>
      <c r="L81" s="74" t="s">
        <v>530</v>
      </c>
      <c r="M81" s="72" t="s">
        <v>531</v>
      </c>
      <c r="N81" s="73" t="s">
        <v>532</v>
      </c>
      <c r="O81" s="74" t="s">
        <v>536</v>
      </c>
      <c r="P81" s="72" t="s">
        <v>531</v>
      </c>
      <c r="Q81" s="73" t="s">
        <v>535</v>
      </c>
      <c r="R81" s="74" t="s">
        <v>839</v>
      </c>
      <c r="S81" s="72">
        <v>0</v>
      </c>
      <c r="T81" s="73"/>
    </row>
  </sheetData>
  <autoFilter ref="R4:T81"/>
  <mergeCells count="13">
    <mergeCell ref="L3:N3"/>
    <mergeCell ref="O3:Q3"/>
    <mergeCell ref="A3:A4"/>
    <mergeCell ref="B3:B4"/>
    <mergeCell ref="C3:C4"/>
    <mergeCell ref="D3:D4"/>
    <mergeCell ref="E3:E4"/>
    <mergeCell ref="F3:F4"/>
    <mergeCell ref="G3:G4"/>
    <mergeCell ref="H3:H4"/>
    <mergeCell ref="I3:I4"/>
    <mergeCell ref="J3:J4"/>
    <mergeCell ref="K3:K4"/>
  </mergeCells>
  <conditionalFormatting sqref="S5:S56">
    <cfRule type="iconSet" priority="3">
      <iconSet iconSet="3Signs" showValue="0">
        <cfvo type="percent" val="0"/>
        <cfvo type="num" val="3"/>
        <cfvo type="num" val="4" gte="0"/>
      </iconSet>
    </cfRule>
  </conditionalFormatting>
  <conditionalFormatting sqref="S7:S81">
    <cfRule type="iconSet" priority="2">
      <iconSet iconSet="3Signs" showValue="0">
        <cfvo type="percent" val="0"/>
        <cfvo type="num" val="1"/>
        <cfvo type="num" val="3" gte="0"/>
      </iconSet>
    </cfRule>
  </conditionalFormatting>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K1048473"/>
  <sheetViews>
    <sheetView zoomScale="70" zoomScaleNormal="70" workbookViewId="0"/>
  </sheetViews>
  <sheetFormatPr baseColWidth="10" defaultRowHeight="15" outlineLevelRow="1" x14ac:dyDescent="0.25"/>
  <cols>
    <col min="1" max="1" width="12.42578125" style="22" customWidth="1"/>
    <col min="2" max="2" width="48.42578125" style="22" customWidth="1"/>
    <col min="3" max="8" width="11.42578125" style="22"/>
    <col min="9" max="9" width="18.42578125" style="22" customWidth="1"/>
    <col min="10" max="10" width="12.42578125" style="22" customWidth="1"/>
    <col min="11" max="11" width="12.42578125" style="37" hidden="1" customWidth="1"/>
    <col min="12" max="13" width="11.42578125" style="22"/>
    <col min="14" max="14" width="13.42578125" style="22" bestFit="1" customWidth="1"/>
    <col min="15" max="256" width="11.42578125" style="22"/>
    <col min="257" max="257" width="8.28515625" style="22" bestFit="1" customWidth="1"/>
    <col min="258" max="258" width="48.42578125" style="22" customWidth="1"/>
    <col min="259" max="265" width="11.42578125" style="22"/>
    <col min="266" max="266" width="11.140625" style="22" bestFit="1" customWidth="1"/>
    <col min="267" max="267" width="12.42578125" style="22" customWidth="1"/>
    <col min="268" max="269" width="11.42578125" style="22"/>
    <col min="270" max="270" width="13.42578125" style="22" bestFit="1" customWidth="1"/>
    <col min="271" max="512" width="11.42578125" style="22"/>
    <col min="513" max="513" width="8.28515625" style="22" bestFit="1" customWidth="1"/>
    <col min="514" max="514" width="48.42578125" style="22" customWidth="1"/>
    <col min="515" max="521" width="11.42578125" style="22"/>
    <col min="522" max="522" width="11.140625" style="22" bestFit="1" customWidth="1"/>
    <col min="523" max="523" width="12.42578125" style="22" customWidth="1"/>
    <col min="524" max="525" width="11.42578125" style="22"/>
    <col min="526" max="526" width="13.42578125" style="22" bestFit="1" customWidth="1"/>
    <col min="527" max="768" width="11.42578125" style="22"/>
    <col min="769" max="769" width="8.28515625" style="22" bestFit="1" customWidth="1"/>
    <col min="770" max="770" width="48.42578125" style="22" customWidth="1"/>
    <col min="771" max="777" width="11.42578125" style="22"/>
    <col min="778" max="778" width="11.140625" style="22" bestFit="1" customWidth="1"/>
    <col min="779" max="779" width="12.42578125" style="22" customWidth="1"/>
    <col min="780" max="781" width="11.42578125" style="22"/>
    <col min="782" max="782" width="13.42578125" style="22" bestFit="1" customWidth="1"/>
    <col min="783" max="1024" width="11.42578125" style="22"/>
    <col min="1025" max="1025" width="8.28515625" style="22" bestFit="1" customWidth="1"/>
    <col min="1026" max="1026" width="48.42578125" style="22" customWidth="1"/>
    <col min="1027" max="1033" width="11.42578125" style="22"/>
    <col min="1034" max="1034" width="11.140625" style="22" bestFit="1" customWidth="1"/>
    <col min="1035" max="1035" width="12.42578125" style="22" customWidth="1"/>
    <col min="1036" max="1037" width="11.42578125" style="22"/>
    <col min="1038" max="1038" width="13.42578125" style="22" bestFit="1" customWidth="1"/>
    <col min="1039" max="1280" width="11.42578125" style="22"/>
    <col min="1281" max="1281" width="8.28515625" style="22" bestFit="1" customWidth="1"/>
    <col min="1282" max="1282" width="48.42578125" style="22" customWidth="1"/>
    <col min="1283" max="1289" width="11.42578125" style="22"/>
    <col min="1290" max="1290" width="11.140625" style="22" bestFit="1" customWidth="1"/>
    <col min="1291" max="1291" width="12.42578125" style="22" customWidth="1"/>
    <col min="1292" max="1293" width="11.42578125" style="22"/>
    <col min="1294" max="1294" width="13.42578125" style="22" bestFit="1" customWidth="1"/>
    <col min="1295" max="1536" width="11.42578125" style="22"/>
    <col min="1537" max="1537" width="8.28515625" style="22" bestFit="1" customWidth="1"/>
    <col min="1538" max="1538" width="48.42578125" style="22" customWidth="1"/>
    <col min="1539" max="1545" width="11.42578125" style="22"/>
    <col min="1546" max="1546" width="11.140625" style="22" bestFit="1" customWidth="1"/>
    <col min="1547" max="1547" width="12.42578125" style="22" customWidth="1"/>
    <col min="1548" max="1549" width="11.42578125" style="22"/>
    <col min="1550" max="1550" width="13.42578125" style="22" bestFit="1" customWidth="1"/>
    <col min="1551" max="1792" width="11.42578125" style="22"/>
    <col min="1793" max="1793" width="8.28515625" style="22" bestFit="1" customWidth="1"/>
    <col min="1794" max="1794" width="48.42578125" style="22" customWidth="1"/>
    <col min="1795" max="1801" width="11.42578125" style="22"/>
    <col min="1802" max="1802" width="11.140625" style="22" bestFit="1" customWidth="1"/>
    <col min="1803" max="1803" width="12.42578125" style="22" customWidth="1"/>
    <col min="1804" max="1805" width="11.42578125" style="22"/>
    <col min="1806" max="1806" width="13.42578125" style="22" bestFit="1" customWidth="1"/>
    <col min="1807" max="2048" width="11.42578125" style="22"/>
    <col min="2049" max="2049" width="8.28515625" style="22" bestFit="1" customWidth="1"/>
    <col min="2050" max="2050" width="48.42578125" style="22" customWidth="1"/>
    <col min="2051" max="2057" width="11.42578125" style="22"/>
    <col min="2058" max="2058" width="11.140625" style="22" bestFit="1" customWidth="1"/>
    <col min="2059" max="2059" width="12.42578125" style="22" customWidth="1"/>
    <col min="2060" max="2061" width="11.42578125" style="22"/>
    <col min="2062" max="2062" width="13.42578125" style="22" bestFit="1" customWidth="1"/>
    <col min="2063" max="2304" width="11.42578125" style="22"/>
    <col min="2305" max="2305" width="8.28515625" style="22" bestFit="1" customWidth="1"/>
    <col min="2306" max="2306" width="48.42578125" style="22" customWidth="1"/>
    <col min="2307" max="2313" width="11.42578125" style="22"/>
    <col min="2314" max="2314" width="11.140625" style="22" bestFit="1" customWidth="1"/>
    <col min="2315" max="2315" width="12.42578125" style="22" customWidth="1"/>
    <col min="2316" max="2317" width="11.42578125" style="22"/>
    <col min="2318" max="2318" width="13.42578125" style="22" bestFit="1" customWidth="1"/>
    <col min="2319" max="2560" width="11.42578125" style="22"/>
    <col min="2561" max="2561" width="8.28515625" style="22" bestFit="1" customWidth="1"/>
    <col min="2562" max="2562" width="48.42578125" style="22" customWidth="1"/>
    <col min="2563" max="2569" width="11.42578125" style="22"/>
    <col min="2570" max="2570" width="11.140625" style="22" bestFit="1" customWidth="1"/>
    <col min="2571" max="2571" width="12.42578125" style="22" customWidth="1"/>
    <col min="2572" max="2573" width="11.42578125" style="22"/>
    <col min="2574" max="2574" width="13.42578125" style="22" bestFit="1" customWidth="1"/>
    <col min="2575" max="2816" width="11.42578125" style="22"/>
    <col min="2817" max="2817" width="8.28515625" style="22" bestFit="1" customWidth="1"/>
    <col min="2818" max="2818" width="48.42578125" style="22" customWidth="1"/>
    <col min="2819" max="2825" width="11.42578125" style="22"/>
    <col min="2826" max="2826" width="11.140625" style="22" bestFit="1" customWidth="1"/>
    <col min="2827" max="2827" width="12.42578125" style="22" customWidth="1"/>
    <col min="2828" max="2829" width="11.42578125" style="22"/>
    <col min="2830" max="2830" width="13.42578125" style="22" bestFit="1" customWidth="1"/>
    <col min="2831" max="3072" width="11.42578125" style="22"/>
    <col min="3073" max="3073" width="8.28515625" style="22" bestFit="1" customWidth="1"/>
    <col min="3074" max="3074" width="48.42578125" style="22" customWidth="1"/>
    <col min="3075" max="3081" width="11.42578125" style="22"/>
    <col min="3082" max="3082" width="11.140625" style="22" bestFit="1" customWidth="1"/>
    <col min="3083" max="3083" width="12.42578125" style="22" customWidth="1"/>
    <col min="3084" max="3085" width="11.42578125" style="22"/>
    <col min="3086" max="3086" width="13.42578125" style="22" bestFit="1" customWidth="1"/>
    <col min="3087" max="3328" width="11.42578125" style="22"/>
    <col min="3329" max="3329" width="8.28515625" style="22" bestFit="1" customWidth="1"/>
    <col min="3330" max="3330" width="48.42578125" style="22" customWidth="1"/>
    <col min="3331" max="3337" width="11.42578125" style="22"/>
    <col min="3338" max="3338" width="11.140625" style="22" bestFit="1" customWidth="1"/>
    <col min="3339" max="3339" width="12.42578125" style="22" customWidth="1"/>
    <col min="3340" max="3341" width="11.42578125" style="22"/>
    <col min="3342" max="3342" width="13.42578125" style="22" bestFit="1" customWidth="1"/>
    <col min="3343" max="3584" width="11.42578125" style="22"/>
    <col min="3585" max="3585" width="8.28515625" style="22" bestFit="1" customWidth="1"/>
    <col min="3586" max="3586" width="48.42578125" style="22" customWidth="1"/>
    <col min="3587" max="3593" width="11.42578125" style="22"/>
    <col min="3594" max="3594" width="11.140625" style="22" bestFit="1" customWidth="1"/>
    <col min="3595" max="3595" width="12.42578125" style="22" customWidth="1"/>
    <col min="3596" max="3597" width="11.42578125" style="22"/>
    <col min="3598" max="3598" width="13.42578125" style="22" bestFit="1" customWidth="1"/>
    <col min="3599" max="3840" width="11.42578125" style="22"/>
    <col min="3841" max="3841" width="8.28515625" style="22" bestFit="1" customWidth="1"/>
    <col min="3842" max="3842" width="48.42578125" style="22" customWidth="1"/>
    <col min="3843" max="3849" width="11.42578125" style="22"/>
    <col min="3850" max="3850" width="11.140625" style="22" bestFit="1" customWidth="1"/>
    <col min="3851" max="3851" width="12.42578125" style="22" customWidth="1"/>
    <col min="3852" max="3853" width="11.42578125" style="22"/>
    <col min="3854" max="3854" width="13.42578125" style="22" bestFit="1" customWidth="1"/>
    <col min="3855" max="4096" width="11.42578125" style="22"/>
    <col min="4097" max="4097" width="8.28515625" style="22" bestFit="1" customWidth="1"/>
    <col min="4098" max="4098" width="48.42578125" style="22" customWidth="1"/>
    <col min="4099" max="4105" width="11.42578125" style="22"/>
    <col min="4106" max="4106" width="11.140625" style="22" bestFit="1" customWidth="1"/>
    <col min="4107" max="4107" width="12.42578125" style="22" customWidth="1"/>
    <col min="4108" max="4109" width="11.42578125" style="22"/>
    <col min="4110" max="4110" width="13.42578125" style="22" bestFit="1" customWidth="1"/>
    <col min="4111" max="4352" width="11.42578125" style="22"/>
    <col min="4353" max="4353" width="8.28515625" style="22" bestFit="1" customWidth="1"/>
    <col min="4354" max="4354" width="48.42578125" style="22" customWidth="1"/>
    <col min="4355" max="4361" width="11.42578125" style="22"/>
    <col min="4362" max="4362" width="11.140625" style="22" bestFit="1" customWidth="1"/>
    <col min="4363" max="4363" width="12.42578125" style="22" customWidth="1"/>
    <col min="4364" max="4365" width="11.42578125" style="22"/>
    <col min="4366" max="4366" width="13.42578125" style="22" bestFit="1" customWidth="1"/>
    <col min="4367" max="4608" width="11.42578125" style="22"/>
    <col min="4609" max="4609" width="8.28515625" style="22" bestFit="1" customWidth="1"/>
    <col min="4610" max="4610" width="48.42578125" style="22" customWidth="1"/>
    <col min="4611" max="4617" width="11.42578125" style="22"/>
    <col min="4618" max="4618" width="11.140625" style="22" bestFit="1" customWidth="1"/>
    <col min="4619" max="4619" width="12.42578125" style="22" customWidth="1"/>
    <col min="4620" max="4621" width="11.42578125" style="22"/>
    <col min="4622" max="4622" width="13.42578125" style="22" bestFit="1" customWidth="1"/>
    <col min="4623" max="4864" width="11.42578125" style="22"/>
    <col min="4865" max="4865" width="8.28515625" style="22" bestFit="1" customWidth="1"/>
    <col min="4866" max="4866" width="48.42578125" style="22" customWidth="1"/>
    <col min="4867" max="4873" width="11.42578125" style="22"/>
    <col min="4874" max="4874" width="11.140625" style="22" bestFit="1" customWidth="1"/>
    <col min="4875" max="4875" width="12.42578125" style="22" customWidth="1"/>
    <col min="4876" max="4877" width="11.42578125" style="22"/>
    <col min="4878" max="4878" width="13.42578125" style="22" bestFit="1" customWidth="1"/>
    <col min="4879" max="5120" width="11.42578125" style="22"/>
    <col min="5121" max="5121" width="8.28515625" style="22" bestFit="1" customWidth="1"/>
    <col min="5122" max="5122" width="48.42578125" style="22" customWidth="1"/>
    <col min="5123" max="5129" width="11.42578125" style="22"/>
    <col min="5130" max="5130" width="11.140625" style="22" bestFit="1" customWidth="1"/>
    <col min="5131" max="5131" width="12.42578125" style="22" customWidth="1"/>
    <col min="5132" max="5133" width="11.42578125" style="22"/>
    <col min="5134" max="5134" width="13.42578125" style="22" bestFit="1" customWidth="1"/>
    <col min="5135" max="5376" width="11.42578125" style="22"/>
    <col min="5377" max="5377" width="8.28515625" style="22" bestFit="1" customWidth="1"/>
    <col min="5378" max="5378" width="48.42578125" style="22" customWidth="1"/>
    <col min="5379" max="5385" width="11.42578125" style="22"/>
    <col min="5386" max="5386" width="11.140625" style="22" bestFit="1" customWidth="1"/>
    <col min="5387" max="5387" width="12.42578125" style="22" customWidth="1"/>
    <col min="5388" max="5389" width="11.42578125" style="22"/>
    <col min="5390" max="5390" width="13.42578125" style="22" bestFit="1" customWidth="1"/>
    <col min="5391" max="5632" width="11.42578125" style="22"/>
    <col min="5633" max="5633" width="8.28515625" style="22" bestFit="1" customWidth="1"/>
    <col min="5634" max="5634" width="48.42578125" style="22" customWidth="1"/>
    <col min="5635" max="5641" width="11.42578125" style="22"/>
    <col min="5642" max="5642" width="11.140625" style="22" bestFit="1" customWidth="1"/>
    <col min="5643" max="5643" width="12.42578125" style="22" customWidth="1"/>
    <col min="5644" max="5645" width="11.42578125" style="22"/>
    <col min="5646" max="5646" width="13.42578125" style="22" bestFit="1" customWidth="1"/>
    <col min="5647" max="5888" width="11.42578125" style="22"/>
    <col min="5889" max="5889" width="8.28515625" style="22" bestFit="1" customWidth="1"/>
    <col min="5890" max="5890" width="48.42578125" style="22" customWidth="1"/>
    <col min="5891" max="5897" width="11.42578125" style="22"/>
    <col min="5898" max="5898" width="11.140625" style="22" bestFit="1" customWidth="1"/>
    <col min="5899" max="5899" width="12.42578125" style="22" customWidth="1"/>
    <col min="5900" max="5901" width="11.42578125" style="22"/>
    <col min="5902" max="5902" width="13.42578125" style="22" bestFit="1" customWidth="1"/>
    <col min="5903" max="6144" width="11.42578125" style="22"/>
    <col min="6145" max="6145" width="8.28515625" style="22" bestFit="1" customWidth="1"/>
    <col min="6146" max="6146" width="48.42578125" style="22" customWidth="1"/>
    <col min="6147" max="6153" width="11.42578125" style="22"/>
    <col min="6154" max="6154" width="11.140625" style="22" bestFit="1" customWidth="1"/>
    <col min="6155" max="6155" width="12.42578125" style="22" customWidth="1"/>
    <col min="6156" max="6157" width="11.42578125" style="22"/>
    <col min="6158" max="6158" width="13.42578125" style="22" bestFit="1" customWidth="1"/>
    <col min="6159" max="6400" width="11.42578125" style="22"/>
    <col min="6401" max="6401" width="8.28515625" style="22" bestFit="1" customWidth="1"/>
    <col min="6402" max="6402" width="48.42578125" style="22" customWidth="1"/>
    <col min="6403" max="6409" width="11.42578125" style="22"/>
    <col min="6410" max="6410" width="11.140625" style="22" bestFit="1" customWidth="1"/>
    <col min="6411" max="6411" width="12.42578125" style="22" customWidth="1"/>
    <col min="6412" max="6413" width="11.42578125" style="22"/>
    <col min="6414" max="6414" width="13.42578125" style="22" bestFit="1" customWidth="1"/>
    <col min="6415" max="6656" width="11.42578125" style="22"/>
    <col min="6657" max="6657" width="8.28515625" style="22" bestFit="1" customWidth="1"/>
    <col min="6658" max="6658" width="48.42578125" style="22" customWidth="1"/>
    <col min="6659" max="6665" width="11.42578125" style="22"/>
    <col min="6666" max="6666" width="11.140625" style="22" bestFit="1" customWidth="1"/>
    <col min="6667" max="6667" width="12.42578125" style="22" customWidth="1"/>
    <col min="6668" max="6669" width="11.42578125" style="22"/>
    <col min="6670" max="6670" width="13.42578125" style="22" bestFit="1" customWidth="1"/>
    <col min="6671" max="6912" width="11.42578125" style="22"/>
    <col min="6913" max="6913" width="8.28515625" style="22" bestFit="1" customWidth="1"/>
    <col min="6914" max="6914" width="48.42578125" style="22" customWidth="1"/>
    <col min="6915" max="6921" width="11.42578125" style="22"/>
    <col min="6922" max="6922" width="11.140625" style="22" bestFit="1" customWidth="1"/>
    <col min="6923" max="6923" width="12.42578125" style="22" customWidth="1"/>
    <col min="6924" max="6925" width="11.42578125" style="22"/>
    <col min="6926" max="6926" width="13.42578125" style="22" bestFit="1" customWidth="1"/>
    <col min="6927" max="7168" width="11.42578125" style="22"/>
    <col min="7169" max="7169" width="8.28515625" style="22" bestFit="1" customWidth="1"/>
    <col min="7170" max="7170" width="48.42578125" style="22" customWidth="1"/>
    <col min="7171" max="7177" width="11.42578125" style="22"/>
    <col min="7178" max="7178" width="11.140625" style="22" bestFit="1" customWidth="1"/>
    <col min="7179" max="7179" width="12.42578125" style="22" customWidth="1"/>
    <col min="7180" max="7181" width="11.42578125" style="22"/>
    <col min="7182" max="7182" width="13.42578125" style="22" bestFit="1" customWidth="1"/>
    <col min="7183" max="7424" width="11.42578125" style="22"/>
    <col min="7425" max="7425" width="8.28515625" style="22" bestFit="1" customWidth="1"/>
    <col min="7426" max="7426" width="48.42578125" style="22" customWidth="1"/>
    <col min="7427" max="7433" width="11.42578125" style="22"/>
    <col min="7434" max="7434" width="11.140625" style="22" bestFit="1" customWidth="1"/>
    <col min="7435" max="7435" width="12.42578125" style="22" customWidth="1"/>
    <col min="7436" max="7437" width="11.42578125" style="22"/>
    <col min="7438" max="7438" width="13.42578125" style="22" bestFit="1" customWidth="1"/>
    <col min="7439" max="7680" width="11.42578125" style="22"/>
    <col min="7681" max="7681" width="8.28515625" style="22" bestFit="1" customWidth="1"/>
    <col min="7682" max="7682" width="48.42578125" style="22" customWidth="1"/>
    <col min="7683" max="7689" width="11.42578125" style="22"/>
    <col min="7690" max="7690" width="11.140625" style="22" bestFit="1" customWidth="1"/>
    <col min="7691" max="7691" width="12.42578125" style="22" customWidth="1"/>
    <col min="7692" max="7693" width="11.42578125" style="22"/>
    <col min="7694" max="7694" width="13.42578125" style="22" bestFit="1" customWidth="1"/>
    <col min="7695" max="7936" width="11.42578125" style="22"/>
    <col min="7937" max="7937" width="8.28515625" style="22" bestFit="1" customWidth="1"/>
    <col min="7938" max="7938" width="48.42578125" style="22" customWidth="1"/>
    <col min="7939" max="7945" width="11.42578125" style="22"/>
    <col min="7946" max="7946" width="11.140625" style="22" bestFit="1" customWidth="1"/>
    <col min="7947" max="7947" width="12.42578125" style="22" customWidth="1"/>
    <col min="7948" max="7949" width="11.42578125" style="22"/>
    <col min="7950" max="7950" width="13.42578125" style="22" bestFit="1" customWidth="1"/>
    <col min="7951" max="8192" width="11.42578125" style="22"/>
    <col min="8193" max="8193" width="8.28515625" style="22" bestFit="1" customWidth="1"/>
    <col min="8194" max="8194" width="48.42578125" style="22" customWidth="1"/>
    <col min="8195" max="8201" width="11.42578125" style="22"/>
    <col min="8202" max="8202" width="11.140625" style="22" bestFit="1" customWidth="1"/>
    <col min="8203" max="8203" width="12.42578125" style="22" customWidth="1"/>
    <col min="8204" max="8205" width="11.42578125" style="22"/>
    <col min="8206" max="8206" width="13.42578125" style="22" bestFit="1" customWidth="1"/>
    <col min="8207" max="8448" width="11.42578125" style="22"/>
    <col min="8449" max="8449" width="8.28515625" style="22" bestFit="1" customWidth="1"/>
    <col min="8450" max="8450" width="48.42578125" style="22" customWidth="1"/>
    <col min="8451" max="8457" width="11.42578125" style="22"/>
    <col min="8458" max="8458" width="11.140625" style="22" bestFit="1" customWidth="1"/>
    <col min="8459" max="8459" width="12.42578125" style="22" customWidth="1"/>
    <col min="8460" max="8461" width="11.42578125" style="22"/>
    <col min="8462" max="8462" width="13.42578125" style="22" bestFit="1" customWidth="1"/>
    <col min="8463" max="8704" width="11.42578125" style="22"/>
    <col min="8705" max="8705" width="8.28515625" style="22" bestFit="1" customWidth="1"/>
    <col min="8706" max="8706" width="48.42578125" style="22" customWidth="1"/>
    <col min="8707" max="8713" width="11.42578125" style="22"/>
    <col min="8714" max="8714" width="11.140625" style="22" bestFit="1" customWidth="1"/>
    <col min="8715" max="8715" width="12.42578125" style="22" customWidth="1"/>
    <col min="8716" max="8717" width="11.42578125" style="22"/>
    <col min="8718" max="8718" width="13.42578125" style="22" bestFit="1" customWidth="1"/>
    <col min="8719" max="8960" width="11.42578125" style="22"/>
    <col min="8961" max="8961" width="8.28515625" style="22" bestFit="1" customWidth="1"/>
    <col min="8962" max="8962" width="48.42578125" style="22" customWidth="1"/>
    <col min="8963" max="8969" width="11.42578125" style="22"/>
    <col min="8970" max="8970" width="11.140625" style="22" bestFit="1" customWidth="1"/>
    <col min="8971" max="8971" width="12.42578125" style="22" customWidth="1"/>
    <col min="8972" max="8973" width="11.42578125" style="22"/>
    <col min="8974" max="8974" width="13.42578125" style="22" bestFit="1" customWidth="1"/>
    <col min="8975" max="9216" width="11.42578125" style="22"/>
    <col min="9217" max="9217" width="8.28515625" style="22" bestFit="1" customWidth="1"/>
    <col min="9218" max="9218" width="48.42578125" style="22" customWidth="1"/>
    <col min="9219" max="9225" width="11.42578125" style="22"/>
    <col min="9226" max="9226" width="11.140625" style="22" bestFit="1" customWidth="1"/>
    <col min="9227" max="9227" width="12.42578125" style="22" customWidth="1"/>
    <col min="9228" max="9229" width="11.42578125" style="22"/>
    <col min="9230" max="9230" width="13.42578125" style="22" bestFit="1" customWidth="1"/>
    <col min="9231" max="9472" width="11.42578125" style="22"/>
    <col min="9473" max="9473" width="8.28515625" style="22" bestFit="1" customWidth="1"/>
    <col min="9474" max="9474" width="48.42578125" style="22" customWidth="1"/>
    <col min="9475" max="9481" width="11.42578125" style="22"/>
    <col min="9482" max="9482" width="11.140625" style="22" bestFit="1" customWidth="1"/>
    <col min="9483" max="9483" width="12.42578125" style="22" customWidth="1"/>
    <col min="9484" max="9485" width="11.42578125" style="22"/>
    <col min="9486" max="9486" width="13.42578125" style="22" bestFit="1" customWidth="1"/>
    <col min="9487" max="9728" width="11.42578125" style="22"/>
    <col min="9729" max="9729" width="8.28515625" style="22" bestFit="1" customWidth="1"/>
    <col min="9730" max="9730" width="48.42578125" style="22" customWidth="1"/>
    <col min="9731" max="9737" width="11.42578125" style="22"/>
    <col min="9738" max="9738" width="11.140625" style="22" bestFit="1" customWidth="1"/>
    <col min="9739" max="9739" width="12.42578125" style="22" customWidth="1"/>
    <col min="9740" max="9741" width="11.42578125" style="22"/>
    <col min="9742" max="9742" width="13.42578125" style="22" bestFit="1" customWidth="1"/>
    <col min="9743" max="9984" width="11.42578125" style="22"/>
    <col min="9985" max="9985" width="8.28515625" style="22" bestFit="1" customWidth="1"/>
    <col min="9986" max="9986" width="48.42578125" style="22" customWidth="1"/>
    <col min="9987" max="9993" width="11.42578125" style="22"/>
    <col min="9994" max="9994" width="11.140625" style="22" bestFit="1" customWidth="1"/>
    <col min="9995" max="9995" width="12.42578125" style="22" customWidth="1"/>
    <col min="9996" max="9997" width="11.42578125" style="22"/>
    <col min="9998" max="9998" width="13.42578125" style="22" bestFit="1" customWidth="1"/>
    <col min="9999" max="10240" width="11.42578125" style="22"/>
    <col min="10241" max="10241" width="8.28515625" style="22" bestFit="1" customWidth="1"/>
    <col min="10242" max="10242" width="48.42578125" style="22" customWidth="1"/>
    <col min="10243" max="10249" width="11.42578125" style="22"/>
    <col min="10250" max="10250" width="11.140625" style="22" bestFit="1" customWidth="1"/>
    <col min="10251" max="10251" width="12.42578125" style="22" customWidth="1"/>
    <col min="10252" max="10253" width="11.42578125" style="22"/>
    <col min="10254" max="10254" width="13.42578125" style="22" bestFit="1" customWidth="1"/>
    <col min="10255" max="10496" width="11.42578125" style="22"/>
    <col min="10497" max="10497" width="8.28515625" style="22" bestFit="1" customWidth="1"/>
    <col min="10498" max="10498" width="48.42578125" style="22" customWidth="1"/>
    <col min="10499" max="10505" width="11.42578125" style="22"/>
    <col min="10506" max="10506" width="11.140625" style="22" bestFit="1" customWidth="1"/>
    <col min="10507" max="10507" width="12.42578125" style="22" customWidth="1"/>
    <col min="10508" max="10509" width="11.42578125" style="22"/>
    <col min="10510" max="10510" width="13.42578125" style="22" bestFit="1" customWidth="1"/>
    <col min="10511" max="10752" width="11.42578125" style="22"/>
    <col min="10753" max="10753" width="8.28515625" style="22" bestFit="1" customWidth="1"/>
    <col min="10754" max="10754" width="48.42578125" style="22" customWidth="1"/>
    <col min="10755" max="10761" width="11.42578125" style="22"/>
    <col min="10762" max="10762" width="11.140625" style="22" bestFit="1" customWidth="1"/>
    <col min="10763" max="10763" width="12.42578125" style="22" customWidth="1"/>
    <col min="10764" max="10765" width="11.42578125" style="22"/>
    <col min="10766" max="10766" width="13.42578125" style="22" bestFit="1" customWidth="1"/>
    <col min="10767" max="11008" width="11.42578125" style="22"/>
    <col min="11009" max="11009" width="8.28515625" style="22" bestFit="1" customWidth="1"/>
    <col min="11010" max="11010" width="48.42578125" style="22" customWidth="1"/>
    <col min="11011" max="11017" width="11.42578125" style="22"/>
    <col min="11018" max="11018" width="11.140625" style="22" bestFit="1" customWidth="1"/>
    <col min="11019" max="11019" width="12.42578125" style="22" customWidth="1"/>
    <col min="11020" max="11021" width="11.42578125" style="22"/>
    <col min="11022" max="11022" width="13.42578125" style="22" bestFit="1" customWidth="1"/>
    <col min="11023" max="11264" width="11.42578125" style="22"/>
    <col min="11265" max="11265" width="8.28515625" style="22" bestFit="1" customWidth="1"/>
    <col min="11266" max="11266" width="48.42578125" style="22" customWidth="1"/>
    <col min="11267" max="11273" width="11.42578125" style="22"/>
    <col min="11274" max="11274" width="11.140625" style="22" bestFit="1" customWidth="1"/>
    <col min="11275" max="11275" width="12.42578125" style="22" customWidth="1"/>
    <col min="11276" max="11277" width="11.42578125" style="22"/>
    <col min="11278" max="11278" width="13.42578125" style="22" bestFit="1" customWidth="1"/>
    <col min="11279" max="11520" width="11.42578125" style="22"/>
    <col min="11521" max="11521" width="8.28515625" style="22" bestFit="1" customWidth="1"/>
    <col min="11522" max="11522" width="48.42578125" style="22" customWidth="1"/>
    <col min="11523" max="11529" width="11.42578125" style="22"/>
    <col min="11530" max="11530" width="11.140625" style="22" bestFit="1" customWidth="1"/>
    <col min="11531" max="11531" width="12.42578125" style="22" customWidth="1"/>
    <col min="11532" max="11533" width="11.42578125" style="22"/>
    <col min="11534" max="11534" width="13.42578125" style="22" bestFit="1" customWidth="1"/>
    <col min="11535" max="11776" width="11.42578125" style="22"/>
    <col min="11777" max="11777" width="8.28515625" style="22" bestFit="1" customWidth="1"/>
    <col min="11778" max="11778" width="48.42578125" style="22" customWidth="1"/>
    <col min="11779" max="11785" width="11.42578125" style="22"/>
    <col min="11786" max="11786" width="11.140625" style="22" bestFit="1" customWidth="1"/>
    <col min="11787" max="11787" width="12.42578125" style="22" customWidth="1"/>
    <col min="11788" max="11789" width="11.42578125" style="22"/>
    <col min="11790" max="11790" width="13.42578125" style="22" bestFit="1" customWidth="1"/>
    <col min="11791" max="12032" width="11.42578125" style="22"/>
    <col min="12033" max="12033" width="8.28515625" style="22" bestFit="1" customWidth="1"/>
    <col min="12034" max="12034" width="48.42578125" style="22" customWidth="1"/>
    <col min="12035" max="12041" width="11.42578125" style="22"/>
    <col min="12042" max="12042" width="11.140625" style="22" bestFit="1" customWidth="1"/>
    <col min="12043" max="12043" width="12.42578125" style="22" customWidth="1"/>
    <col min="12044" max="12045" width="11.42578125" style="22"/>
    <col min="12046" max="12046" width="13.42578125" style="22" bestFit="1" customWidth="1"/>
    <col min="12047" max="12288" width="11.42578125" style="22"/>
    <col min="12289" max="12289" width="8.28515625" style="22" bestFit="1" customWidth="1"/>
    <col min="12290" max="12290" width="48.42578125" style="22" customWidth="1"/>
    <col min="12291" max="12297" width="11.42578125" style="22"/>
    <col min="12298" max="12298" width="11.140625" style="22" bestFit="1" customWidth="1"/>
    <col min="12299" max="12299" width="12.42578125" style="22" customWidth="1"/>
    <col min="12300" max="12301" width="11.42578125" style="22"/>
    <col min="12302" max="12302" width="13.42578125" style="22" bestFit="1" customWidth="1"/>
    <col min="12303" max="12544" width="11.42578125" style="22"/>
    <col min="12545" max="12545" width="8.28515625" style="22" bestFit="1" customWidth="1"/>
    <col min="12546" max="12546" width="48.42578125" style="22" customWidth="1"/>
    <col min="12547" max="12553" width="11.42578125" style="22"/>
    <col min="12554" max="12554" width="11.140625" style="22" bestFit="1" customWidth="1"/>
    <col min="12555" max="12555" width="12.42578125" style="22" customWidth="1"/>
    <col min="12556" max="12557" width="11.42578125" style="22"/>
    <col min="12558" max="12558" width="13.42578125" style="22" bestFit="1" customWidth="1"/>
    <col min="12559" max="12800" width="11.42578125" style="22"/>
    <col min="12801" max="12801" width="8.28515625" style="22" bestFit="1" customWidth="1"/>
    <col min="12802" max="12802" width="48.42578125" style="22" customWidth="1"/>
    <col min="12803" max="12809" width="11.42578125" style="22"/>
    <col min="12810" max="12810" width="11.140625" style="22" bestFit="1" customWidth="1"/>
    <col min="12811" max="12811" width="12.42578125" style="22" customWidth="1"/>
    <col min="12812" max="12813" width="11.42578125" style="22"/>
    <col min="12814" max="12814" width="13.42578125" style="22" bestFit="1" customWidth="1"/>
    <col min="12815" max="13056" width="11.42578125" style="22"/>
    <col min="13057" max="13057" width="8.28515625" style="22" bestFit="1" customWidth="1"/>
    <col min="13058" max="13058" width="48.42578125" style="22" customWidth="1"/>
    <col min="13059" max="13065" width="11.42578125" style="22"/>
    <col min="13066" max="13066" width="11.140625" style="22" bestFit="1" customWidth="1"/>
    <col min="13067" max="13067" width="12.42578125" style="22" customWidth="1"/>
    <col min="13068" max="13069" width="11.42578125" style="22"/>
    <col min="13070" max="13070" width="13.42578125" style="22" bestFit="1" customWidth="1"/>
    <col min="13071" max="13312" width="11.42578125" style="22"/>
    <col min="13313" max="13313" width="8.28515625" style="22" bestFit="1" customWidth="1"/>
    <col min="13314" max="13314" width="48.42578125" style="22" customWidth="1"/>
    <col min="13315" max="13321" width="11.42578125" style="22"/>
    <col min="13322" max="13322" width="11.140625" style="22" bestFit="1" customWidth="1"/>
    <col min="13323" max="13323" width="12.42578125" style="22" customWidth="1"/>
    <col min="13324" max="13325" width="11.42578125" style="22"/>
    <col min="13326" max="13326" width="13.42578125" style="22" bestFit="1" customWidth="1"/>
    <col min="13327" max="13568" width="11.42578125" style="22"/>
    <col min="13569" max="13569" width="8.28515625" style="22" bestFit="1" customWidth="1"/>
    <col min="13570" max="13570" width="48.42578125" style="22" customWidth="1"/>
    <col min="13571" max="13577" width="11.42578125" style="22"/>
    <col min="13578" max="13578" width="11.140625" style="22" bestFit="1" customWidth="1"/>
    <col min="13579" max="13579" width="12.42578125" style="22" customWidth="1"/>
    <col min="13580" max="13581" width="11.42578125" style="22"/>
    <col min="13582" max="13582" width="13.42578125" style="22" bestFit="1" customWidth="1"/>
    <col min="13583" max="13824" width="11.42578125" style="22"/>
    <col min="13825" max="13825" width="8.28515625" style="22" bestFit="1" customWidth="1"/>
    <col min="13826" max="13826" width="48.42578125" style="22" customWidth="1"/>
    <col min="13827" max="13833" width="11.42578125" style="22"/>
    <col min="13834" max="13834" width="11.140625" style="22" bestFit="1" customWidth="1"/>
    <col min="13835" max="13835" width="12.42578125" style="22" customWidth="1"/>
    <col min="13836" max="13837" width="11.42578125" style="22"/>
    <col min="13838" max="13838" width="13.42578125" style="22" bestFit="1" customWidth="1"/>
    <col min="13839" max="14080" width="11.42578125" style="22"/>
    <col min="14081" max="14081" width="8.28515625" style="22" bestFit="1" customWidth="1"/>
    <col min="14082" max="14082" width="48.42578125" style="22" customWidth="1"/>
    <col min="14083" max="14089" width="11.42578125" style="22"/>
    <col min="14090" max="14090" width="11.140625" style="22" bestFit="1" customWidth="1"/>
    <col min="14091" max="14091" width="12.42578125" style="22" customWidth="1"/>
    <col min="14092" max="14093" width="11.42578125" style="22"/>
    <col min="14094" max="14094" width="13.42578125" style="22" bestFit="1" customWidth="1"/>
    <col min="14095" max="14336" width="11.42578125" style="22"/>
    <col min="14337" max="14337" width="8.28515625" style="22" bestFit="1" customWidth="1"/>
    <col min="14338" max="14338" width="48.42578125" style="22" customWidth="1"/>
    <col min="14339" max="14345" width="11.42578125" style="22"/>
    <col min="14346" max="14346" width="11.140625" style="22" bestFit="1" customWidth="1"/>
    <col min="14347" max="14347" width="12.42578125" style="22" customWidth="1"/>
    <col min="14348" max="14349" width="11.42578125" style="22"/>
    <col min="14350" max="14350" width="13.42578125" style="22" bestFit="1" customWidth="1"/>
    <col min="14351" max="14592" width="11.42578125" style="22"/>
    <col min="14593" max="14593" width="8.28515625" style="22" bestFit="1" customWidth="1"/>
    <col min="14594" max="14594" width="48.42578125" style="22" customWidth="1"/>
    <col min="14595" max="14601" width="11.42578125" style="22"/>
    <col min="14602" max="14602" width="11.140625" style="22" bestFit="1" customWidth="1"/>
    <col min="14603" max="14603" width="12.42578125" style="22" customWidth="1"/>
    <col min="14604" max="14605" width="11.42578125" style="22"/>
    <col min="14606" max="14606" width="13.42578125" style="22" bestFit="1" customWidth="1"/>
    <col min="14607" max="14848" width="11.42578125" style="22"/>
    <col min="14849" max="14849" width="8.28515625" style="22" bestFit="1" customWidth="1"/>
    <col min="14850" max="14850" width="48.42578125" style="22" customWidth="1"/>
    <col min="14851" max="14857" width="11.42578125" style="22"/>
    <col min="14858" max="14858" width="11.140625" style="22" bestFit="1" customWidth="1"/>
    <col min="14859" max="14859" width="12.42578125" style="22" customWidth="1"/>
    <col min="14860" max="14861" width="11.42578125" style="22"/>
    <col min="14862" max="14862" width="13.42578125" style="22" bestFit="1" customWidth="1"/>
    <col min="14863" max="15104" width="11.42578125" style="22"/>
    <col min="15105" max="15105" width="8.28515625" style="22" bestFit="1" customWidth="1"/>
    <col min="15106" max="15106" width="48.42578125" style="22" customWidth="1"/>
    <col min="15107" max="15113" width="11.42578125" style="22"/>
    <col min="15114" max="15114" width="11.140625" style="22" bestFit="1" customWidth="1"/>
    <col min="15115" max="15115" width="12.42578125" style="22" customWidth="1"/>
    <col min="15116" max="15117" width="11.42578125" style="22"/>
    <col min="15118" max="15118" width="13.42578125" style="22" bestFit="1" customWidth="1"/>
    <col min="15119" max="15360" width="11.42578125" style="22"/>
    <col min="15361" max="15361" width="8.28515625" style="22" bestFit="1" customWidth="1"/>
    <col min="15362" max="15362" width="48.42578125" style="22" customWidth="1"/>
    <col min="15363" max="15369" width="11.42578125" style="22"/>
    <col min="15370" max="15370" width="11.140625" style="22" bestFit="1" customWidth="1"/>
    <col min="15371" max="15371" width="12.42578125" style="22" customWidth="1"/>
    <col min="15372" max="15373" width="11.42578125" style="22"/>
    <col min="15374" max="15374" width="13.42578125" style="22" bestFit="1" customWidth="1"/>
    <col min="15375" max="15616" width="11.42578125" style="22"/>
    <col min="15617" max="15617" width="8.28515625" style="22" bestFit="1" customWidth="1"/>
    <col min="15618" max="15618" width="48.42578125" style="22" customWidth="1"/>
    <col min="15619" max="15625" width="11.42578125" style="22"/>
    <col min="15626" max="15626" width="11.140625" style="22" bestFit="1" customWidth="1"/>
    <col min="15627" max="15627" width="12.42578125" style="22" customWidth="1"/>
    <col min="15628" max="15629" width="11.42578125" style="22"/>
    <col min="15630" max="15630" width="13.42578125" style="22" bestFit="1" customWidth="1"/>
    <col min="15631" max="15872" width="11.42578125" style="22"/>
    <col min="15873" max="15873" width="8.28515625" style="22" bestFit="1" customWidth="1"/>
    <col min="15874" max="15874" width="48.42578125" style="22" customWidth="1"/>
    <col min="15875" max="15881" width="11.42578125" style="22"/>
    <col min="15882" max="15882" width="11.140625" style="22" bestFit="1" customWidth="1"/>
    <col min="15883" max="15883" width="12.42578125" style="22" customWidth="1"/>
    <col min="15884" max="15885" width="11.42578125" style="22"/>
    <col min="15886" max="15886" width="13.42578125" style="22" bestFit="1" customWidth="1"/>
    <col min="15887" max="16128" width="11.42578125" style="22"/>
    <col min="16129" max="16129" width="8.28515625" style="22" bestFit="1" customWidth="1"/>
    <col min="16130" max="16130" width="48.42578125" style="22" customWidth="1"/>
    <col min="16131" max="16137" width="11.42578125" style="22"/>
    <col min="16138" max="16138" width="11.140625" style="22" bestFit="1" customWidth="1"/>
    <col min="16139" max="16139" width="12.42578125" style="22" customWidth="1"/>
    <col min="16140" max="16141" width="11.42578125" style="22"/>
    <col min="16142" max="16142" width="13.42578125" style="22" bestFit="1" customWidth="1"/>
    <col min="16143" max="16384" width="11.42578125" style="22"/>
  </cols>
  <sheetData>
    <row r="1" spans="1:11" x14ac:dyDescent="0.25">
      <c r="A1" s="11"/>
      <c r="B1" s="11"/>
      <c r="C1" s="20"/>
      <c r="D1" s="20"/>
      <c r="E1" s="20"/>
      <c r="F1" s="20"/>
      <c r="G1" s="20"/>
      <c r="H1" s="20"/>
      <c r="I1" s="21"/>
      <c r="J1" s="21"/>
      <c r="K1" s="12"/>
    </row>
    <row r="2" spans="1:11" x14ac:dyDescent="0.25">
      <c r="A2" s="11"/>
      <c r="B2" s="11"/>
      <c r="C2" s="20"/>
      <c r="D2" s="20"/>
      <c r="E2" s="20"/>
      <c r="F2" s="20"/>
      <c r="G2" s="20"/>
      <c r="H2" s="20"/>
      <c r="I2" s="21"/>
      <c r="J2" s="21"/>
      <c r="K2" s="12"/>
    </row>
    <row r="3" spans="1:11" x14ac:dyDescent="0.25">
      <c r="A3" s="11"/>
      <c r="B3" s="11"/>
      <c r="C3" s="20"/>
      <c r="D3" s="20"/>
      <c r="E3" s="20"/>
      <c r="F3" s="20"/>
      <c r="G3" s="20"/>
      <c r="H3" s="20"/>
      <c r="I3" s="21"/>
      <c r="J3" s="21"/>
      <c r="K3" s="12"/>
    </row>
    <row r="4" spans="1:11" ht="45" x14ac:dyDescent="0.25">
      <c r="A4" s="7" t="s">
        <v>12</v>
      </c>
      <c r="B4" s="7" t="s">
        <v>11</v>
      </c>
      <c r="C4" s="8" t="s">
        <v>16</v>
      </c>
      <c r="D4" s="8" t="s">
        <v>17</v>
      </c>
      <c r="E4" s="8" t="s">
        <v>18</v>
      </c>
      <c r="F4" s="8" t="s">
        <v>19</v>
      </c>
      <c r="G4" s="8" t="s">
        <v>20</v>
      </c>
      <c r="H4" s="8" t="s">
        <v>14</v>
      </c>
      <c r="I4" s="8" t="s">
        <v>22</v>
      </c>
      <c r="J4" s="8" t="s">
        <v>21</v>
      </c>
      <c r="K4" s="7" t="s">
        <v>85</v>
      </c>
    </row>
    <row r="5" spans="1:11" ht="30" x14ac:dyDescent="0.25">
      <c r="A5" s="38">
        <v>1</v>
      </c>
      <c r="B5" s="13" t="s">
        <v>87</v>
      </c>
      <c r="C5" s="19">
        <f>+C6+C85+C164+C191</f>
        <v>0</v>
      </c>
      <c r="D5" s="19">
        <f t="shared" ref="D5:G5" si="0">+D6+D85+D164+D191</f>
        <v>0</v>
      </c>
      <c r="E5" s="19">
        <f t="shared" si="0"/>
        <v>0</v>
      </c>
      <c r="F5" s="19">
        <f t="shared" si="0"/>
        <v>0</v>
      </c>
      <c r="G5" s="19">
        <f t="shared" si="0"/>
        <v>0</v>
      </c>
      <c r="H5" s="19">
        <f>+SUM(C5:G5)</f>
        <v>0</v>
      </c>
      <c r="I5" s="19"/>
      <c r="J5" s="19">
        <f t="shared" ref="J5:J68" si="1">+I5-H5</f>
        <v>0</v>
      </c>
      <c r="K5" s="23">
        <v>1</v>
      </c>
    </row>
    <row r="6" spans="1:11" ht="30" x14ac:dyDescent="0.25">
      <c r="A6" s="39" t="s">
        <v>0</v>
      </c>
      <c r="B6" s="14" t="s">
        <v>88</v>
      </c>
      <c r="C6" s="24">
        <f>+C7+C33+C59</f>
        <v>0</v>
      </c>
      <c r="D6" s="24">
        <f t="shared" ref="D6:G6" si="2">+D7+D33+D59</f>
        <v>0</v>
      </c>
      <c r="E6" s="24">
        <f t="shared" si="2"/>
        <v>0</v>
      </c>
      <c r="F6" s="24">
        <f t="shared" si="2"/>
        <v>0</v>
      </c>
      <c r="G6" s="24">
        <f t="shared" si="2"/>
        <v>0</v>
      </c>
      <c r="H6" s="24">
        <f t="shared" ref="H6:H69" si="3">+SUM(C6:G6)</f>
        <v>0</v>
      </c>
      <c r="I6" s="24"/>
      <c r="J6" s="24">
        <f t="shared" si="1"/>
        <v>0</v>
      </c>
      <c r="K6" s="25">
        <v>2</v>
      </c>
    </row>
    <row r="7" spans="1:11" ht="45" x14ac:dyDescent="0.25">
      <c r="A7" s="40" t="s">
        <v>1</v>
      </c>
      <c r="B7" s="10" t="s">
        <v>89</v>
      </c>
      <c r="C7" s="26">
        <f t="shared" ref="C7:G7" si="4">+C8+C17+C21+C27</f>
        <v>0</v>
      </c>
      <c r="D7" s="26">
        <f t="shared" si="4"/>
        <v>0</v>
      </c>
      <c r="E7" s="26">
        <f t="shared" si="4"/>
        <v>0</v>
      </c>
      <c r="F7" s="26">
        <f t="shared" si="4"/>
        <v>0</v>
      </c>
      <c r="G7" s="26">
        <f t="shared" si="4"/>
        <v>0</v>
      </c>
      <c r="H7" s="26">
        <f t="shared" si="3"/>
        <v>0</v>
      </c>
      <c r="I7" s="26">
        <v>0</v>
      </c>
      <c r="J7" s="26">
        <f t="shared" si="1"/>
        <v>0</v>
      </c>
      <c r="K7" s="27">
        <v>3</v>
      </c>
    </row>
    <row r="8" spans="1:11" hidden="1" outlineLevel="1" x14ac:dyDescent="0.25">
      <c r="A8" s="28"/>
      <c r="B8" s="15" t="s">
        <v>65</v>
      </c>
      <c r="C8" s="29">
        <f t="shared" ref="C8:G8" si="5">+SUM(C9:C16)</f>
        <v>0</v>
      </c>
      <c r="D8" s="29">
        <f t="shared" si="5"/>
        <v>0</v>
      </c>
      <c r="E8" s="29">
        <f t="shared" si="5"/>
        <v>0</v>
      </c>
      <c r="F8" s="29">
        <f t="shared" si="5"/>
        <v>0</v>
      </c>
      <c r="G8" s="29">
        <f t="shared" si="5"/>
        <v>0</v>
      </c>
      <c r="H8" s="29">
        <f t="shared" si="3"/>
        <v>0</v>
      </c>
      <c r="I8" s="29">
        <v>0</v>
      </c>
      <c r="J8" s="29">
        <f t="shared" si="1"/>
        <v>0</v>
      </c>
      <c r="K8" s="30">
        <v>4</v>
      </c>
    </row>
    <row r="9" spans="1:11" hidden="1" outlineLevel="1" x14ac:dyDescent="0.25">
      <c r="A9" s="31"/>
      <c r="B9" s="16" t="s">
        <v>66</v>
      </c>
      <c r="C9" s="32"/>
      <c r="D9" s="32"/>
      <c r="E9" s="32"/>
      <c r="F9" s="32"/>
      <c r="G9" s="32"/>
      <c r="H9" s="32">
        <v>0</v>
      </c>
      <c r="I9" s="32"/>
      <c r="J9" s="32">
        <f t="shared" si="1"/>
        <v>0</v>
      </c>
      <c r="K9" s="33">
        <v>5</v>
      </c>
    </row>
    <row r="10" spans="1:11" hidden="1" outlineLevel="1" x14ac:dyDescent="0.25">
      <c r="A10" s="31"/>
      <c r="B10" s="17" t="s">
        <v>67</v>
      </c>
      <c r="C10" s="32"/>
      <c r="D10" s="32"/>
      <c r="E10" s="32"/>
      <c r="F10" s="32"/>
      <c r="G10" s="32"/>
      <c r="H10" s="32">
        <v>0</v>
      </c>
      <c r="I10" s="32"/>
      <c r="J10" s="32">
        <f t="shared" si="1"/>
        <v>0</v>
      </c>
      <c r="K10" s="33">
        <v>6</v>
      </c>
    </row>
    <row r="11" spans="1:11" ht="30" hidden="1" outlineLevel="1" x14ac:dyDescent="0.25">
      <c r="A11" s="31"/>
      <c r="B11" s="17" t="s">
        <v>68</v>
      </c>
      <c r="C11" s="32"/>
      <c r="D11" s="32"/>
      <c r="E11" s="32"/>
      <c r="F11" s="32"/>
      <c r="G11" s="32"/>
      <c r="H11" s="32">
        <v>0</v>
      </c>
      <c r="I11" s="32"/>
      <c r="J11" s="32">
        <f t="shared" si="1"/>
        <v>0</v>
      </c>
      <c r="K11" s="33">
        <v>7</v>
      </c>
    </row>
    <row r="12" spans="1:11" hidden="1" outlineLevel="1" x14ac:dyDescent="0.25">
      <c r="A12" s="31"/>
      <c r="B12" s="16" t="s">
        <v>69</v>
      </c>
      <c r="C12" s="32"/>
      <c r="D12" s="32"/>
      <c r="E12" s="32"/>
      <c r="F12" s="32"/>
      <c r="G12" s="32"/>
      <c r="H12" s="32">
        <v>0</v>
      </c>
      <c r="I12" s="32"/>
      <c r="J12" s="32">
        <f t="shared" si="1"/>
        <v>0</v>
      </c>
      <c r="K12" s="33">
        <v>8</v>
      </c>
    </row>
    <row r="13" spans="1:11" hidden="1" outlineLevel="1" x14ac:dyDescent="0.25">
      <c r="A13" s="31"/>
      <c r="B13" s="17" t="s">
        <v>70</v>
      </c>
      <c r="C13" s="32"/>
      <c r="D13" s="32"/>
      <c r="E13" s="32"/>
      <c r="F13" s="32"/>
      <c r="G13" s="32"/>
      <c r="H13" s="32">
        <v>0</v>
      </c>
      <c r="I13" s="32"/>
      <c r="J13" s="32">
        <f t="shared" si="1"/>
        <v>0</v>
      </c>
      <c r="K13" s="33">
        <v>9</v>
      </c>
    </row>
    <row r="14" spans="1:11" ht="30" hidden="1" outlineLevel="1" x14ac:dyDescent="0.25">
      <c r="A14" s="31"/>
      <c r="B14" s="17" t="s">
        <v>71</v>
      </c>
      <c r="C14" s="32"/>
      <c r="D14" s="32"/>
      <c r="E14" s="32"/>
      <c r="F14" s="32"/>
      <c r="G14" s="32"/>
      <c r="H14" s="32">
        <v>0</v>
      </c>
      <c r="I14" s="32"/>
      <c r="J14" s="32">
        <f t="shared" si="1"/>
        <v>0</v>
      </c>
      <c r="K14" s="33">
        <v>10</v>
      </c>
    </row>
    <row r="15" spans="1:11" hidden="1" outlineLevel="1" x14ac:dyDescent="0.25">
      <c r="A15" s="31"/>
      <c r="B15" s="16" t="s">
        <v>72</v>
      </c>
      <c r="C15" s="32"/>
      <c r="D15" s="32"/>
      <c r="E15" s="32"/>
      <c r="F15" s="32"/>
      <c r="G15" s="32"/>
      <c r="H15" s="32">
        <v>0</v>
      </c>
      <c r="I15" s="32"/>
      <c r="J15" s="32">
        <f t="shared" si="1"/>
        <v>0</v>
      </c>
      <c r="K15" s="33">
        <v>11</v>
      </c>
    </row>
    <row r="16" spans="1:11" ht="30" hidden="1" outlineLevel="1" x14ac:dyDescent="0.25">
      <c r="A16" s="31"/>
      <c r="B16" s="17" t="s">
        <v>73</v>
      </c>
      <c r="C16" s="32"/>
      <c r="D16" s="32"/>
      <c r="E16" s="32"/>
      <c r="F16" s="32"/>
      <c r="G16" s="32"/>
      <c r="H16" s="32">
        <v>0</v>
      </c>
      <c r="I16" s="32"/>
      <c r="J16" s="32">
        <f t="shared" si="1"/>
        <v>0</v>
      </c>
      <c r="K16" s="33">
        <v>12</v>
      </c>
    </row>
    <row r="17" spans="1:11" hidden="1" outlineLevel="1" x14ac:dyDescent="0.25">
      <c r="A17" s="28"/>
      <c r="B17" s="15" t="s">
        <v>74</v>
      </c>
      <c r="C17" s="29">
        <f t="shared" ref="C17:G17" si="6">+SUM(C18:C20)</f>
        <v>0</v>
      </c>
      <c r="D17" s="29">
        <f t="shared" si="6"/>
        <v>0</v>
      </c>
      <c r="E17" s="29">
        <f t="shared" si="6"/>
        <v>0</v>
      </c>
      <c r="F17" s="29">
        <f t="shared" si="6"/>
        <v>0</v>
      </c>
      <c r="G17" s="29">
        <f t="shared" si="6"/>
        <v>0</v>
      </c>
      <c r="H17" s="29">
        <f t="shared" si="3"/>
        <v>0</v>
      </c>
      <c r="I17" s="29"/>
      <c r="J17" s="29">
        <f t="shared" si="1"/>
        <v>0</v>
      </c>
      <c r="K17" s="30">
        <v>13</v>
      </c>
    </row>
    <row r="18" spans="1:11" ht="30" hidden="1" outlineLevel="1" x14ac:dyDescent="0.25">
      <c r="A18" s="34"/>
      <c r="B18" s="17" t="s">
        <v>75</v>
      </c>
      <c r="C18" s="35"/>
      <c r="D18" s="35"/>
      <c r="E18" s="35"/>
      <c r="F18" s="35"/>
      <c r="G18" s="35"/>
      <c r="H18" s="35">
        <v>0</v>
      </c>
      <c r="I18" s="35"/>
      <c r="J18" s="35">
        <f t="shared" si="1"/>
        <v>0</v>
      </c>
      <c r="K18" s="36">
        <v>14</v>
      </c>
    </row>
    <row r="19" spans="1:11" ht="30" hidden="1" outlineLevel="1" x14ac:dyDescent="0.25">
      <c r="A19" s="34"/>
      <c r="B19" s="17" t="s">
        <v>76</v>
      </c>
      <c r="C19" s="35"/>
      <c r="D19" s="35"/>
      <c r="E19" s="35"/>
      <c r="F19" s="35"/>
      <c r="G19" s="35"/>
      <c r="H19" s="35">
        <v>0</v>
      </c>
      <c r="I19" s="35"/>
      <c r="J19" s="35">
        <f t="shared" si="1"/>
        <v>0</v>
      </c>
      <c r="K19" s="36">
        <v>15</v>
      </c>
    </row>
    <row r="20" spans="1:11" ht="30" hidden="1" outlineLevel="1" x14ac:dyDescent="0.25">
      <c r="A20" s="34"/>
      <c r="B20" s="17" t="s">
        <v>77</v>
      </c>
      <c r="C20" s="35"/>
      <c r="D20" s="35"/>
      <c r="E20" s="35"/>
      <c r="F20" s="35"/>
      <c r="G20" s="35"/>
      <c r="H20" s="35">
        <v>0</v>
      </c>
      <c r="I20" s="35"/>
      <c r="J20" s="35">
        <f t="shared" si="1"/>
        <v>0</v>
      </c>
      <c r="K20" s="36">
        <v>16</v>
      </c>
    </row>
    <row r="21" spans="1:11" hidden="1" outlineLevel="1" x14ac:dyDescent="0.25">
      <c r="A21" s="28"/>
      <c r="B21" s="15" t="s">
        <v>78</v>
      </c>
      <c r="C21" s="29">
        <f t="shared" ref="C21:G21" si="7">+SUM(C22:C26)</f>
        <v>0</v>
      </c>
      <c r="D21" s="29">
        <f t="shared" si="7"/>
        <v>0</v>
      </c>
      <c r="E21" s="29">
        <f t="shared" si="7"/>
        <v>0</v>
      </c>
      <c r="F21" s="29">
        <f t="shared" si="7"/>
        <v>0</v>
      </c>
      <c r="G21" s="29">
        <f t="shared" si="7"/>
        <v>0</v>
      </c>
      <c r="H21" s="29">
        <f t="shared" si="3"/>
        <v>0</v>
      </c>
      <c r="I21" s="29"/>
      <c r="J21" s="29">
        <f t="shared" si="1"/>
        <v>0</v>
      </c>
      <c r="K21" s="30">
        <v>17</v>
      </c>
    </row>
    <row r="22" spans="1:11" hidden="1" outlineLevel="1" x14ac:dyDescent="0.25">
      <c r="A22" s="34"/>
      <c r="B22" s="18" t="s">
        <v>79</v>
      </c>
      <c r="C22" s="35"/>
      <c r="D22" s="35"/>
      <c r="E22" s="35"/>
      <c r="F22" s="35"/>
      <c r="G22" s="35"/>
      <c r="H22" s="35">
        <v>0</v>
      </c>
      <c r="I22" s="35"/>
      <c r="J22" s="35">
        <f t="shared" si="1"/>
        <v>0</v>
      </c>
      <c r="K22" s="36">
        <v>18</v>
      </c>
    </row>
    <row r="23" spans="1:11" ht="30" hidden="1" outlineLevel="1" x14ac:dyDescent="0.25">
      <c r="A23" s="34"/>
      <c r="B23" s="17" t="s">
        <v>80</v>
      </c>
      <c r="C23" s="35"/>
      <c r="D23" s="35"/>
      <c r="E23" s="35"/>
      <c r="F23" s="35"/>
      <c r="G23" s="35"/>
      <c r="H23" s="35">
        <v>0</v>
      </c>
      <c r="I23" s="35"/>
      <c r="J23" s="35">
        <f t="shared" si="1"/>
        <v>0</v>
      </c>
      <c r="K23" s="36">
        <v>19</v>
      </c>
    </row>
    <row r="24" spans="1:11" hidden="1" outlineLevel="1" x14ac:dyDescent="0.25">
      <c r="A24" s="34"/>
      <c r="B24" s="17" t="s">
        <v>81</v>
      </c>
      <c r="C24" s="35"/>
      <c r="D24" s="35"/>
      <c r="E24" s="35"/>
      <c r="F24" s="35"/>
      <c r="G24" s="35"/>
      <c r="H24" s="35">
        <v>0</v>
      </c>
      <c r="I24" s="35"/>
      <c r="J24" s="35">
        <f t="shared" si="1"/>
        <v>0</v>
      </c>
      <c r="K24" s="36">
        <v>20</v>
      </c>
    </row>
    <row r="25" spans="1:11" hidden="1" outlineLevel="1" x14ac:dyDescent="0.25">
      <c r="A25" s="34"/>
      <c r="B25" s="18" t="s">
        <v>82</v>
      </c>
      <c r="C25" s="35"/>
      <c r="D25" s="35"/>
      <c r="E25" s="35"/>
      <c r="F25" s="35"/>
      <c r="G25" s="35"/>
      <c r="H25" s="35">
        <v>0</v>
      </c>
      <c r="I25" s="35"/>
      <c r="J25" s="35">
        <f t="shared" si="1"/>
        <v>0</v>
      </c>
      <c r="K25" s="36">
        <v>21</v>
      </c>
    </row>
    <row r="26" spans="1:11" ht="30" hidden="1" outlineLevel="1" x14ac:dyDescent="0.25">
      <c r="A26" s="34"/>
      <c r="B26" s="17" t="s">
        <v>83</v>
      </c>
      <c r="C26" s="35"/>
      <c r="D26" s="35"/>
      <c r="E26" s="35"/>
      <c r="F26" s="35"/>
      <c r="G26" s="35"/>
      <c r="H26" s="35">
        <v>0</v>
      </c>
      <c r="I26" s="35"/>
      <c r="J26" s="35">
        <f t="shared" si="1"/>
        <v>0</v>
      </c>
      <c r="K26" s="36">
        <v>22</v>
      </c>
    </row>
    <row r="27" spans="1:11" hidden="1" outlineLevel="1" x14ac:dyDescent="0.25">
      <c r="A27" s="28"/>
      <c r="B27" s="15" t="s">
        <v>84</v>
      </c>
      <c r="C27" s="29">
        <f>+SUM(C28:C32)</f>
        <v>0</v>
      </c>
      <c r="D27" s="29">
        <f t="shared" ref="D27:G27" si="8">+SUM(D28:D32)</f>
        <v>0</v>
      </c>
      <c r="E27" s="29">
        <f t="shared" si="8"/>
        <v>0</v>
      </c>
      <c r="F27" s="29">
        <f t="shared" si="8"/>
        <v>0</v>
      </c>
      <c r="G27" s="29">
        <f t="shared" si="8"/>
        <v>0</v>
      </c>
      <c r="H27" s="29">
        <f t="shared" si="3"/>
        <v>0</v>
      </c>
      <c r="I27" s="29"/>
      <c r="J27" s="29">
        <f t="shared" si="1"/>
        <v>0</v>
      </c>
      <c r="K27" s="30">
        <v>23</v>
      </c>
    </row>
    <row r="28" spans="1:11" hidden="1" outlineLevel="1" x14ac:dyDescent="0.25">
      <c r="A28" s="34"/>
      <c r="B28" s="17"/>
      <c r="C28" s="35"/>
      <c r="D28" s="35"/>
      <c r="E28" s="35"/>
      <c r="F28" s="35"/>
      <c r="G28" s="35"/>
      <c r="H28" s="35">
        <v>0</v>
      </c>
      <c r="I28" s="35"/>
      <c r="J28" s="35">
        <f t="shared" si="1"/>
        <v>0</v>
      </c>
      <c r="K28" s="36">
        <v>24</v>
      </c>
    </row>
    <row r="29" spans="1:11" hidden="1" outlineLevel="1" x14ac:dyDescent="0.25">
      <c r="A29" s="34"/>
      <c r="B29" s="17"/>
      <c r="C29" s="35"/>
      <c r="D29" s="35"/>
      <c r="E29" s="35"/>
      <c r="F29" s="35"/>
      <c r="G29" s="35"/>
      <c r="H29" s="35">
        <v>0</v>
      </c>
      <c r="I29" s="35"/>
      <c r="J29" s="35">
        <f t="shared" si="1"/>
        <v>0</v>
      </c>
      <c r="K29" s="36">
        <v>25</v>
      </c>
    </row>
    <row r="30" spans="1:11" hidden="1" outlineLevel="1" x14ac:dyDescent="0.25">
      <c r="A30" s="34"/>
      <c r="B30" s="17"/>
      <c r="C30" s="35"/>
      <c r="D30" s="35"/>
      <c r="E30" s="35"/>
      <c r="F30" s="35"/>
      <c r="G30" s="35"/>
      <c r="H30" s="35">
        <v>0</v>
      </c>
      <c r="I30" s="35"/>
      <c r="J30" s="35">
        <f t="shared" si="1"/>
        <v>0</v>
      </c>
      <c r="K30" s="36">
        <v>26</v>
      </c>
    </row>
    <row r="31" spans="1:11" hidden="1" outlineLevel="1" x14ac:dyDescent="0.25">
      <c r="A31" s="34"/>
      <c r="B31" s="17" t="s">
        <v>86</v>
      </c>
      <c r="C31" s="35"/>
      <c r="D31" s="35"/>
      <c r="E31" s="35"/>
      <c r="F31" s="35"/>
      <c r="G31" s="35"/>
      <c r="H31" s="35">
        <v>0</v>
      </c>
      <c r="I31" s="35"/>
      <c r="J31" s="35">
        <f t="shared" si="1"/>
        <v>0</v>
      </c>
      <c r="K31" s="36">
        <v>27</v>
      </c>
    </row>
    <row r="32" spans="1:11" hidden="1" outlineLevel="1" x14ac:dyDescent="0.25">
      <c r="A32" s="34"/>
      <c r="B32" s="17"/>
      <c r="C32" s="35"/>
      <c r="D32" s="35"/>
      <c r="E32" s="35"/>
      <c r="F32" s="35"/>
      <c r="G32" s="35"/>
      <c r="H32" s="35">
        <v>0</v>
      </c>
      <c r="I32" s="35"/>
      <c r="J32" s="35">
        <f t="shared" si="1"/>
        <v>0</v>
      </c>
      <c r="K32" s="36">
        <v>28</v>
      </c>
    </row>
    <row r="33" spans="1:11" ht="45" collapsed="1" x14ac:dyDescent="0.25">
      <c r="A33" s="40" t="s">
        <v>2</v>
      </c>
      <c r="B33" s="10" t="s">
        <v>195</v>
      </c>
      <c r="C33" s="26">
        <f t="shared" ref="C33:G33" si="9">+C34+C43+C47+C53</f>
        <v>0</v>
      </c>
      <c r="D33" s="26">
        <f t="shared" si="9"/>
        <v>0</v>
      </c>
      <c r="E33" s="26">
        <f t="shared" si="9"/>
        <v>0</v>
      </c>
      <c r="F33" s="26">
        <f t="shared" si="9"/>
        <v>0</v>
      </c>
      <c r="G33" s="26">
        <f t="shared" si="9"/>
        <v>0</v>
      </c>
      <c r="H33" s="26">
        <f t="shared" si="3"/>
        <v>0</v>
      </c>
      <c r="I33" s="26">
        <v>0</v>
      </c>
      <c r="J33" s="26">
        <f t="shared" si="1"/>
        <v>0</v>
      </c>
      <c r="K33" s="27">
        <v>29</v>
      </c>
    </row>
    <row r="34" spans="1:11" hidden="1" outlineLevel="1" x14ac:dyDescent="0.25">
      <c r="A34" s="28"/>
      <c r="B34" s="15" t="s">
        <v>65</v>
      </c>
      <c r="C34" s="29">
        <f t="shared" ref="C34:G34" si="10">+SUM(C35:C42)</f>
        <v>0</v>
      </c>
      <c r="D34" s="29">
        <f t="shared" si="10"/>
        <v>0</v>
      </c>
      <c r="E34" s="29">
        <f t="shared" si="10"/>
        <v>0</v>
      </c>
      <c r="F34" s="29">
        <f t="shared" si="10"/>
        <v>0</v>
      </c>
      <c r="G34" s="29">
        <f t="shared" si="10"/>
        <v>0</v>
      </c>
      <c r="H34" s="29">
        <f t="shared" si="3"/>
        <v>0</v>
      </c>
      <c r="I34" s="29">
        <v>0</v>
      </c>
      <c r="J34" s="29">
        <f t="shared" si="1"/>
        <v>0</v>
      </c>
      <c r="K34" s="30">
        <v>30</v>
      </c>
    </row>
    <row r="35" spans="1:11" hidden="1" outlineLevel="1" x14ac:dyDescent="0.25">
      <c r="A35" s="31"/>
      <c r="B35" s="16" t="s">
        <v>66</v>
      </c>
      <c r="C35" s="32"/>
      <c r="D35" s="32"/>
      <c r="E35" s="32"/>
      <c r="F35" s="32"/>
      <c r="G35" s="32"/>
      <c r="H35" s="32">
        <v>0</v>
      </c>
      <c r="I35" s="32"/>
      <c r="J35" s="32">
        <f t="shared" si="1"/>
        <v>0</v>
      </c>
      <c r="K35" s="33">
        <v>31</v>
      </c>
    </row>
    <row r="36" spans="1:11" hidden="1" outlineLevel="1" x14ac:dyDescent="0.25">
      <c r="A36" s="31"/>
      <c r="B36" s="17" t="s">
        <v>67</v>
      </c>
      <c r="C36" s="32"/>
      <c r="D36" s="32"/>
      <c r="E36" s="32"/>
      <c r="F36" s="32"/>
      <c r="G36" s="32"/>
      <c r="H36" s="32">
        <v>0</v>
      </c>
      <c r="I36" s="32"/>
      <c r="J36" s="32">
        <f t="shared" si="1"/>
        <v>0</v>
      </c>
      <c r="K36" s="33">
        <v>32</v>
      </c>
    </row>
    <row r="37" spans="1:11" ht="30" hidden="1" outlineLevel="1" x14ac:dyDescent="0.25">
      <c r="A37" s="31"/>
      <c r="B37" s="17" t="s">
        <v>68</v>
      </c>
      <c r="C37" s="32"/>
      <c r="D37" s="32"/>
      <c r="E37" s="32"/>
      <c r="F37" s="32"/>
      <c r="G37" s="32"/>
      <c r="H37" s="32">
        <v>0</v>
      </c>
      <c r="I37" s="32"/>
      <c r="J37" s="32">
        <f t="shared" si="1"/>
        <v>0</v>
      </c>
      <c r="K37" s="33">
        <v>33</v>
      </c>
    </row>
    <row r="38" spans="1:11" hidden="1" outlineLevel="1" x14ac:dyDescent="0.25">
      <c r="A38" s="31"/>
      <c r="B38" s="16" t="s">
        <v>69</v>
      </c>
      <c r="C38" s="32"/>
      <c r="D38" s="32"/>
      <c r="E38" s="32"/>
      <c r="F38" s="32"/>
      <c r="G38" s="32"/>
      <c r="H38" s="32">
        <v>0</v>
      </c>
      <c r="I38" s="32"/>
      <c r="J38" s="32">
        <f t="shared" si="1"/>
        <v>0</v>
      </c>
      <c r="K38" s="33">
        <v>34</v>
      </c>
    </row>
    <row r="39" spans="1:11" hidden="1" outlineLevel="1" x14ac:dyDescent="0.25">
      <c r="A39" s="31"/>
      <c r="B39" s="17" t="s">
        <v>70</v>
      </c>
      <c r="C39" s="32"/>
      <c r="D39" s="32"/>
      <c r="E39" s="32"/>
      <c r="F39" s="32"/>
      <c r="G39" s="32"/>
      <c r="H39" s="32">
        <v>0</v>
      </c>
      <c r="I39" s="32"/>
      <c r="J39" s="32">
        <f t="shared" si="1"/>
        <v>0</v>
      </c>
      <c r="K39" s="33">
        <v>35</v>
      </c>
    </row>
    <row r="40" spans="1:11" ht="30" hidden="1" outlineLevel="1" x14ac:dyDescent="0.25">
      <c r="A40" s="31"/>
      <c r="B40" s="17" t="s">
        <v>71</v>
      </c>
      <c r="C40" s="32"/>
      <c r="D40" s="32"/>
      <c r="E40" s="32"/>
      <c r="F40" s="32"/>
      <c r="G40" s="32"/>
      <c r="H40" s="32">
        <v>0</v>
      </c>
      <c r="I40" s="32"/>
      <c r="J40" s="32">
        <f t="shared" si="1"/>
        <v>0</v>
      </c>
      <c r="K40" s="33">
        <v>36</v>
      </c>
    </row>
    <row r="41" spans="1:11" hidden="1" outlineLevel="1" x14ac:dyDescent="0.25">
      <c r="A41" s="31"/>
      <c r="B41" s="16" t="s">
        <v>72</v>
      </c>
      <c r="C41" s="32"/>
      <c r="D41" s="32"/>
      <c r="E41" s="32"/>
      <c r="F41" s="32"/>
      <c r="G41" s="32"/>
      <c r="H41" s="32">
        <v>0</v>
      </c>
      <c r="I41" s="32"/>
      <c r="J41" s="32">
        <f t="shared" si="1"/>
        <v>0</v>
      </c>
      <c r="K41" s="33">
        <v>37</v>
      </c>
    </row>
    <row r="42" spans="1:11" ht="30" hidden="1" outlineLevel="1" x14ac:dyDescent="0.25">
      <c r="A42" s="31"/>
      <c r="B42" s="17" t="s">
        <v>73</v>
      </c>
      <c r="C42" s="32"/>
      <c r="D42" s="32"/>
      <c r="E42" s="32"/>
      <c r="F42" s="32"/>
      <c r="G42" s="32"/>
      <c r="H42" s="32">
        <v>0</v>
      </c>
      <c r="I42" s="32"/>
      <c r="J42" s="32">
        <f t="shared" si="1"/>
        <v>0</v>
      </c>
      <c r="K42" s="33">
        <v>38</v>
      </c>
    </row>
    <row r="43" spans="1:11" hidden="1" outlineLevel="1" x14ac:dyDescent="0.25">
      <c r="A43" s="28"/>
      <c r="B43" s="15" t="s">
        <v>74</v>
      </c>
      <c r="C43" s="29">
        <f t="shared" ref="C43:G43" si="11">+SUM(C44:C46)</f>
        <v>0</v>
      </c>
      <c r="D43" s="29">
        <f t="shared" si="11"/>
        <v>0</v>
      </c>
      <c r="E43" s="29">
        <f t="shared" si="11"/>
        <v>0</v>
      </c>
      <c r="F43" s="29">
        <f t="shared" si="11"/>
        <v>0</v>
      </c>
      <c r="G43" s="29">
        <f t="shared" si="11"/>
        <v>0</v>
      </c>
      <c r="H43" s="29">
        <f t="shared" si="3"/>
        <v>0</v>
      </c>
      <c r="I43" s="29"/>
      <c r="J43" s="29">
        <f t="shared" si="1"/>
        <v>0</v>
      </c>
      <c r="K43" s="30">
        <v>39</v>
      </c>
    </row>
    <row r="44" spans="1:11" ht="30" hidden="1" outlineLevel="1" x14ac:dyDescent="0.25">
      <c r="A44" s="34"/>
      <c r="B44" s="17" t="s">
        <v>75</v>
      </c>
      <c r="C44" s="35"/>
      <c r="D44" s="35"/>
      <c r="E44" s="35"/>
      <c r="F44" s="35"/>
      <c r="G44" s="35"/>
      <c r="H44" s="35">
        <v>0</v>
      </c>
      <c r="I44" s="35"/>
      <c r="J44" s="35">
        <f t="shared" si="1"/>
        <v>0</v>
      </c>
      <c r="K44" s="36">
        <v>40</v>
      </c>
    </row>
    <row r="45" spans="1:11" ht="30" hidden="1" outlineLevel="1" x14ac:dyDescent="0.25">
      <c r="A45" s="34"/>
      <c r="B45" s="17" t="s">
        <v>76</v>
      </c>
      <c r="C45" s="35"/>
      <c r="D45" s="35"/>
      <c r="E45" s="35"/>
      <c r="F45" s="35"/>
      <c r="G45" s="35"/>
      <c r="H45" s="35">
        <v>0</v>
      </c>
      <c r="I45" s="35"/>
      <c r="J45" s="35">
        <f t="shared" si="1"/>
        <v>0</v>
      </c>
      <c r="K45" s="36">
        <v>41</v>
      </c>
    </row>
    <row r="46" spans="1:11" ht="30" hidden="1" outlineLevel="1" x14ac:dyDescent="0.25">
      <c r="A46" s="34"/>
      <c r="B46" s="17" t="s">
        <v>77</v>
      </c>
      <c r="C46" s="35"/>
      <c r="D46" s="35"/>
      <c r="E46" s="35"/>
      <c r="F46" s="35"/>
      <c r="G46" s="35"/>
      <c r="H46" s="35">
        <v>0</v>
      </c>
      <c r="I46" s="35"/>
      <c r="J46" s="35">
        <f t="shared" si="1"/>
        <v>0</v>
      </c>
      <c r="K46" s="36">
        <v>42</v>
      </c>
    </row>
    <row r="47" spans="1:11" hidden="1" outlineLevel="1" x14ac:dyDescent="0.25">
      <c r="A47" s="28"/>
      <c r="B47" s="15" t="s">
        <v>78</v>
      </c>
      <c r="C47" s="29">
        <f t="shared" ref="C47:G47" si="12">+SUM(C48:C52)</f>
        <v>0</v>
      </c>
      <c r="D47" s="29">
        <f t="shared" si="12"/>
        <v>0</v>
      </c>
      <c r="E47" s="29">
        <f t="shared" si="12"/>
        <v>0</v>
      </c>
      <c r="F47" s="29">
        <f t="shared" si="12"/>
        <v>0</v>
      </c>
      <c r="G47" s="29">
        <f t="shared" si="12"/>
        <v>0</v>
      </c>
      <c r="H47" s="29">
        <f t="shared" si="3"/>
        <v>0</v>
      </c>
      <c r="I47" s="29"/>
      <c r="J47" s="29">
        <f t="shared" si="1"/>
        <v>0</v>
      </c>
      <c r="K47" s="30">
        <v>43</v>
      </c>
    </row>
    <row r="48" spans="1:11" hidden="1" outlineLevel="1" x14ac:dyDescent="0.25">
      <c r="A48" s="34"/>
      <c r="B48" s="18" t="s">
        <v>79</v>
      </c>
      <c r="C48" s="35"/>
      <c r="D48" s="35"/>
      <c r="E48" s="35"/>
      <c r="F48" s="35"/>
      <c r="G48" s="35"/>
      <c r="H48" s="35">
        <v>0</v>
      </c>
      <c r="I48" s="35"/>
      <c r="J48" s="35">
        <f t="shared" si="1"/>
        <v>0</v>
      </c>
      <c r="K48" s="36">
        <v>44</v>
      </c>
    </row>
    <row r="49" spans="1:11" ht="30" hidden="1" outlineLevel="1" x14ac:dyDescent="0.25">
      <c r="A49" s="34"/>
      <c r="B49" s="17" t="s">
        <v>80</v>
      </c>
      <c r="C49" s="35"/>
      <c r="D49" s="35"/>
      <c r="E49" s="35"/>
      <c r="F49" s="35"/>
      <c r="G49" s="35"/>
      <c r="H49" s="35">
        <v>0</v>
      </c>
      <c r="I49" s="35"/>
      <c r="J49" s="35">
        <f t="shared" si="1"/>
        <v>0</v>
      </c>
      <c r="K49" s="36">
        <v>45</v>
      </c>
    </row>
    <row r="50" spans="1:11" hidden="1" outlineLevel="1" x14ac:dyDescent="0.25">
      <c r="A50" s="34"/>
      <c r="B50" s="17" t="s">
        <v>81</v>
      </c>
      <c r="C50" s="35"/>
      <c r="D50" s="35"/>
      <c r="E50" s="35"/>
      <c r="F50" s="35"/>
      <c r="G50" s="35"/>
      <c r="H50" s="35">
        <v>0</v>
      </c>
      <c r="I50" s="35"/>
      <c r="J50" s="35">
        <f t="shared" si="1"/>
        <v>0</v>
      </c>
      <c r="K50" s="36">
        <v>46</v>
      </c>
    </row>
    <row r="51" spans="1:11" hidden="1" outlineLevel="1" x14ac:dyDescent="0.25">
      <c r="A51" s="34"/>
      <c r="B51" s="18" t="s">
        <v>82</v>
      </c>
      <c r="C51" s="35"/>
      <c r="D51" s="35"/>
      <c r="E51" s="35"/>
      <c r="F51" s="35"/>
      <c r="G51" s="35"/>
      <c r="H51" s="35">
        <v>0</v>
      </c>
      <c r="I51" s="35"/>
      <c r="J51" s="35">
        <f t="shared" si="1"/>
        <v>0</v>
      </c>
      <c r="K51" s="36">
        <v>47</v>
      </c>
    </row>
    <row r="52" spans="1:11" ht="30" hidden="1" outlineLevel="1" x14ac:dyDescent="0.25">
      <c r="A52" s="34"/>
      <c r="B52" s="17" t="s">
        <v>83</v>
      </c>
      <c r="C52" s="35"/>
      <c r="D52" s="35"/>
      <c r="E52" s="35"/>
      <c r="F52" s="35"/>
      <c r="G52" s="35"/>
      <c r="H52" s="35">
        <v>0</v>
      </c>
      <c r="I52" s="35"/>
      <c r="J52" s="35">
        <f t="shared" si="1"/>
        <v>0</v>
      </c>
      <c r="K52" s="36">
        <v>48</v>
      </c>
    </row>
    <row r="53" spans="1:11" hidden="1" outlineLevel="1" x14ac:dyDescent="0.25">
      <c r="A53" s="28"/>
      <c r="B53" s="15" t="s">
        <v>84</v>
      </c>
      <c r="C53" s="29">
        <f>+SUM(C54:C58)</f>
        <v>0</v>
      </c>
      <c r="D53" s="29">
        <f t="shared" ref="D53:G53" si="13">+SUM(D54:D58)</f>
        <v>0</v>
      </c>
      <c r="E53" s="29">
        <f t="shared" si="13"/>
        <v>0</v>
      </c>
      <c r="F53" s="29">
        <f t="shared" si="13"/>
        <v>0</v>
      </c>
      <c r="G53" s="29">
        <f t="shared" si="13"/>
        <v>0</v>
      </c>
      <c r="H53" s="29">
        <f t="shared" si="3"/>
        <v>0</v>
      </c>
      <c r="I53" s="29"/>
      <c r="J53" s="29">
        <f t="shared" si="1"/>
        <v>0</v>
      </c>
      <c r="K53" s="30">
        <v>49</v>
      </c>
    </row>
    <row r="54" spans="1:11" hidden="1" outlineLevel="1" x14ac:dyDescent="0.25">
      <c r="A54" s="34"/>
      <c r="B54" s="17"/>
      <c r="C54" s="35"/>
      <c r="D54" s="35"/>
      <c r="E54" s="35"/>
      <c r="F54" s="35"/>
      <c r="G54" s="35"/>
      <c r="H54" s="35">
        <v>0</v>
      </c>
      <c r="I54" s="35"/>
      <c r="J54" s="35">
        <f t="shared" si="1"/>
        <v>0</v>
      </c>
      <c r="K54" s="36">
        <v>50</v>
      </c>
    </row>
    <row r="55" spans="1:11" hidden="1" outlineLevel="1" x14ac:dyDescent="0.25">
      <c r="A55" s="34"/>
      <c r="B55" s="17"/>
      <c r="C55" s="35"/>
      <c r="D55" s="35"/>
      <c r="E55" s="35"/>
      <c r="F55" s="35"/>
      <c r="G55" s="35"/>
      <c r="H55" s="35">
        <v>0</v>
      </c>
      <c r="I55" s="35"/>
      <c r="J55" s="35">
        <f t="shared" si="1"/>
        <v>0</v>
      </c>
      <c r="K55" s="36">
        <v>51</v>
      </c>
    </row>
    <row r="56" spans="1:11" hidden="1" outlineLevel="1" x14ac:dyDescent="0.25">
      <c r="A56" s="34"/>
      <c r="B56" s="17"/>
      <c r="C56" s="35"/>
      <c r="D56" s="35"/>
      <c r="E56" s="35"/>
      <c r="F56" s="35"/>
      <c r="G56" s="35"/>
      <c r="H56" s="35">
        <v>0</v>
      </c>
      <c r="I56" s="35"/>
      <c r="J56" s="35">
        <f t="shared" si="1"/>
        <v>0</v>
      </c>
      <c r="K56" s="36">
        <v>52</v>
      </c>
    </row>
    <row r="57" spans="1:11" hidden="1" outlineLevel="1" x14ac:dyDescent="0.25">
      <c r="A57" s="34"/>
      <c r="B57" s="17" t="s">
        <v>86</v>
      </c>
      <c r="C57" s="35"/>
      <c r="D57" s="35"/>
      <c r="E57" s="35"/>
      <c r="F57" s="35"/>
      <c r="G57" s="35"/>
      <c r="H57" s="35">
        <v>0</v>
      </c>
      <c r="I57" s="35"/>
      <c r="J57" s="35">
        <f t="shared" si="1"/>
        <v>0</v>
      </c>
      <c r="K57" s="36">
        <v>53</v>
      </c>
    </row>
    <row r="58" spans="1:11" hidden="1" outlineLevel="1" x14ac:dyDescent="0.25">
      <c r="A58" s="34"/>
      <c r="B58" s="17"/>
      <c r="C58" s="35"/>
      <c r="D58" s="35"/>
      <c r="E58" s="35"/>
      <c r="F58" s="35"/>
      <c r="G58" s="35"/>
      <c r="H58" s="35">
        <v>0</v>
      </c>
      <c r="I58" s="35"/>
      <c r="J58" s="35">
        <f t="shared" si="1"/>
        <v>0</v>
      </c>
      <c r="K58" s="36">
        <v>54</v>
      </c>
    </row>
    <row r="59" spans="1:11" ht="45" collapsed="1" x14ac:dyDescent="0.25">
      <c r="A59" s="40" t="s">
        <v>3</v>
      </c>
      <c r="B59" s="10" t="s">
        <v>90</v>
      </c>
      <c r="C59" s="26">
        <f t="shared" ref="C59:G59" si="14">+C60+C69+C73+C79</f>
        <v>0</v>
      </c>
      <c r="D59" s="26">
        <f t="shared" si="14"/>
        <v>0</v>
      </c>
      <c r="E59" s="26">
        <f t="shared" si="14"/>
        <v>0</v>
      </c>
      <c r="F59" s="26">
        <f t="shared" si="14"/>
        <v>0</v>
      </c>
      <c r="G59" s="26">
        <f t="shared" si="14"/>
        <v>0</v>
      </c>
      <c r="H59" s="26">
        <f t="shared" si="3"/>
        <v>0</v>
      </c>
      <c r="I59" s="26">
        <v>0</v>
      </c>
      <c r="J59" s="26">
        <f t="shared" si="1"/>
        <v>0</v>
      </c>
      <c r="K59" s="27">
        <v>55</v>
      </c>
    </row>
    <row r="60" spans="1:11" hidden="1" outlineLevel="1" x14ac:dyDescent="0.25">
      <c r="A60" s="28"/>
      <c r="B60" s="15" t="s">
        <v>65</v>
      </c>
      <c r="C60" s="29">
        <f t="shared" ref="C60:G60" si="15">+SUM(C61:C68)</f>
        <v>0</v>
      </c>
      <c r="D60" s="29">
        <f t="shared" si="15"/>
        <v>0</v>
      </c>
      <c r="E60" s="29">
        <f t="shared" si="15"/>
        <v>0</v>
      </c>
      <c r="F60" s="29">
        <f t="shared" si="15"/>
        <v>0</v>
      </c>
      <c r="G60" s="29">
        <f t="shared" si="15"/>
        <v>0</v>
      </c>
      <c r="H60" s="29">
        <f t="shared" si="3"/>
        <v>0</v>
      </c>
      <c r="I60" s="29">
        <v>0</v>
      </c>
      <c r="J60" s="29">
        <f t="shared" si="1"/>
        <v>0</v>
      </c>
      <c r="K60" s="30">
        <v>56</v>
      </c>
    </row>
    <row r="61" spans="1:11" hidden="1" outlineLevel="1" x14ac:dyDescent="0.25">
      <c r="A61" s="31"/>
      <c r="B61" s="16" t="s">
        <v>66</v>
      </c>
      <c r="C61" s="32"/>
      <c r="D61" s="32"/>
      <c r="E61" s="32"/>
      <c r="F61" s="32"/>
      <c r="G61" s="32"/>
      <c r="H61" s="32">
        <f t="shared" si="3"/>
        <v>0</v>
      </c>
      <c r="I61" s="32"/>
      <c r="J61" s="32">
        <f t="shared" si="1"/>
        <v>0</v>
      </c>
      <c r="K61" s="33">
        <v>57</v>
      </c>
    </row>
    <row r="62" spans="1:11" hidden="1" outlineLevel="1" x14ac:dyDescent="0.25">
      <c r="A62" s="31"/>
      <c r="B62" s="17" t="s">
        <v>67</v>
      </c>
      <c r="C62" s="32"/>
      <c r="D62" s="32"/>
      <c r="E62" s="32"/>
      <c r="F62" s="32"/>
      <c r="G62" s="32"/>
      <c r="H62" s="32">
        <f t="shared" si="3"/>
        <v>0</v>
      </c>
      <c r="I62" s="32"/>
      <c r="J62" s="32">
        <f t="shared" si="1"/>
        <v>0</v>
      </c>
      <c r="K62" s="33">
        <v>58</v>
      </c>
    </row>
    <row r="63" spans="1:11" ht="30" hidden="1" outlineLevel="1" x14ac:dyDescent="0.25">
      <c r="A63" s="31"/>
      <c r="B63" s="17" t="s">
        <v>68</v>
      </c>
      <c r="C63" s="32"/>
      <c r="D63" s="32"/>
      <c r="E63" s="32"/>
      <c r="F63" s="32"/>
      <c r="G63" s="32"/>
      <c r="H63" s="32">
        <f t="shared" si="3"/>
        <v>0</v>
      </c>
      <c r="I63" s="32"/>
      <c r="J63" s="32">
        <f t="shared" si="1"/>
        <v>0</v>
      </c>
      <c r="K63" s="33">
        <v>59</v>
      </c>
    </row>
    <row r="64" spans="1:11" hidden="1" outlineLevel="1" x14ac:dyDescent="0.25">
      <c r="A64" s="31"/>
      <c r="B64" s="16" t="s">
        <v>69</v>
      </c>
      <c r="C64" s="32"/>
      <c r="D64" s="32"/>
      <c r="E64" s="32"/>
      <c r="F64" s="32"/>
      <c r="G64" s="32"/>
      <c r="H64" s="32">
        <f t="shared" si="3"/>
        <v>0</v>
      </c>
      <c r="I64" s="32"/>
      <c r="J64" s="32">
        <f t="shared" si="1"/>
        <v>0</v>
      </c>
      <c r="K64" s="33">
        <v>60</v>
      </c>
    </row>
    <row r="65" spans="1:11" hidden="1" outlineLevel="1" x14ac:dyDescent="0.25">
      <c r="A65" s="31"/>
      <c r="B65" s="17" t="s">
        <v>70</v>
      </c>
      <c r="C65" s="32"/>
      <c r="D65" s="32"/>
      <c r="E65" s="32"/>
      <c r="F65" s="32"/>
      <c r="G65" s="32"/>
      <c r="H65" s="32">
        <f t="shared" si="3"/>
        <v>0</v>
      </c>
      <c r="I65" s="32"/>
      <c r="J65" s="32">
        <f t="shared" si="1"/>
        <v>0</v>
      </c>
      <c r="K65" s="33">
        <v>61</v>
      </c>
    </row>
    <row r="66" spans="1:11" ht="30" hidden="1" outlineLevel="1" x14ac:dyDescent="0.25">
      <c r="A66" s="31"/>
      <c r="B66" s="17" t="s">
        <v>71</v>
      </c>
      <c r="C66" s="32"/>
      <c r="D66" s="32"/>
      <c r="E66" s="32"/>
      <c r="F66" s="32"/>
      <c r="G66" s="32"/>
      <c r="H66" s="32">
        <f t="shared" si="3"/>
        <v>0</v>
      </c>
      <c r="I66" s="32"/>
      <c r="J66" s="32">
        <f t="shared" si="1"/>
        <v>0</v>
      </c>
      <c r="K66" s="33">
        <v>62</v>
      </c>
    </row>
    <row r="67" spans="1:11" hidden="1" outlineLevel="1" x14ac:dyDescent="0.25">
      <c r="A67" s="31"/>
      <c r="B67" s="16" t="s">
        <v>72</v>
      </c>
      <c r="C67" s="32"/>
      <c r="D67" s="32"/>
      <c r="E67" s="32"/>
      <c r="F67" s="32"/>
      <c r="G67" s="32"/>
      <c r="H67" s="32">
        <f t="shared" si="3"/>
        <v>0</v>
      </c>
      <c r="I67" s="32"/>
      <c r="J67" s="32">
        <f t="shared" si="1"/>
        <v>0</v>
      </c>
      <c r="K67" s="33">
        <v>63</v>
      </c>
    </row>
    <row r="68" spans="1:11" ht="30" hidden="1" outlineLevel="1" x14ac:dyDescent="0.25">
      <c r="A68" s="31"/>
      <c r="B68" s="17" t="s">
        <v>73</v>
      </c>
      <c r="C68" s="32"/>
      <c r="D68" s="32"/>
      <c r="E68" s="32"/>
      <c r="F68" s="32"/>
      <c r="G68" s="32"/>
      <c r="H68" s="32">
        <f t="shared" si="3"/>
        <v>0</v>
      </c>
      <c r="I68" s="32"/>
      <c r="J68" s="32">
        <f t="shared" si="1"/>
        <v>0</v>
      </c>
      <c r="K68" s="33">
        <v>64</v>
      </c>
    </row>
    <row r="69" spans="1:11" hidden="1" outlineLevel="1" x14ac:dyDescent="0.25">
      <c r="A69" s="28"/>
      <c r="B69" s="15" t="s">
        <v>74</v>
      </c>
      <c r="C69" s="29">
        <f t="shared" ref="C69:G69" si="16">+SUM(C70:C72)</f>
        <v>0</v>
      </c>
      <c r="D69" s="29">
        <f t="shared" si="16"/>
        <v>0</v>
      </c>
      <c r="E69" s="29">
        <f t="shared" si="16"/>
        <v>0</v>
      </c>
      <c r="F69" s="29">
        <f t="shared" si="16"/>
        <v>0</v>
      </c>
      <c r="G69" s="29">
        <f t="shared" si="16"/>
        <v>0</v>
      </c>
      <c r="H69" s="29">
        <f t="shared" si="3"/>
        <v>0</v>
      </c>
      <c r="I69" s="29"/>
      <c r="J69" s="29">
        <f t="shared" ref="J69:J132" si="17">+I69-H69</f>
        <v>0</v>
      </c>
      <c r="K69" s="30">
        <v>65</v>
      </c>
    </row>
    <row r="70" spans="1:11" ht="30" hidden="1" outlineLevel="1" x14ac:dyDescent="0.25">
      <c r="A70" s="34"/>
      <c r="B70" s="17" t="s">
        <v>75</v>
      </c>
      <c r="C70" s="35"/>
      <c r="D70" s="35"/>
      <c r="E70" s="35"/>
      <c r="F70" s="35"/>
      <c r="G70" s="35"/>
      <c r="H70" s="35">
        <f t="shared" ref="H70:H133" si="18">+SUM(C70:G70)</f>
        <v>0</v>
      </c>
      <c r="I70" s="35"/>
      <c r="J70" s="35">
        <f t="shared" si="17"/>
        <v>0</v>
      </c>
      <c r="K70" s="36">
        <v>66</v>
      </c>
    </row>
    <row r="71" spans="1:11" ht="30" hidden="1" outlineLevel="1" x14ac:dyDescent="0.25">
      <c r="A71" s="34"/>
      <c r="B71" s="17" t="s">
        <v>76</v>
      </c>
      <c r="C71" s="35"/>
      <c r="D71" s="35"/>
      <c r="E71" s="35"/>
      <c r="F71" s="35"/>
      <c r="G71" s="35"/>
      <c r="H71" s="35">
        <f t="shared" si="18"/>
        <v>0</v>
      </c>
      <c r="I71" s="35"/>
      <c r="J71" s="35">
        <f t="shared" si="17"/>
        <v>0</v>
      </c>
      <c r="K71" s="36">
        <v>67</v>
      </c>
    </row>
    <row r="72" spans="1:11" ht="30" hidden="1" outlineLevel="1" x14ac:dyDescent="0.25">
      <c r="A72" s="34"/>
      <c r="B72" s="17" t="s">
        <v>77</v>
      </c>
      <c r="C72" s="35"/>
      <c r="D72" s="35"/>
      <c r="E72" s="35"/>
      <c r="F72" s="35"/>
      <c r="G72" s="35"/>
      <c r="H72" s="35">
        <f t="shared" si="18"/>
        <v>0</v>
      </c>
      <c r="I72" s="35"/>
      <c r="J72" s="35">
        <f t="shared" si="17"/>
        <v>0</v>
      </c>
      <c r="K72" s="36">
        <v>68</v>
      </c>
    </row>
    <row r="73" spans="1:11" hidden="1" outlineLevel="1" x14ac:dyDescent="0.25">
      <c r="A73" s="28"/>
      <c r="B73" s="15" t="s">
        <v>78</v>
      </c>
      <c r="C73" s="29">
        <f t="shared" ref="C73:G73" si="19">+SUM(C74:C78)</f>
        <v>0</v>
      </c>
      <c r="D73" s="29">
        <f t="shared" si="19"/>
        <v>0</v>
      </c>
      <c r="E73" s="29">
        <f t="shared" si="19"/>
        <v>0</v>
      </c>
      <c r="F73" s="29">
        <f t="shared" si="19"/>
        <v>0</v>
      </c>
      <c r="G73" s="29">
        <f t="shared" si="19"/>
        <v>0</v>
      </c>
      <c r="H73" s="29">
        <f t="shared" si="18"/>
        <v>0</v>
      </c>
      <c r="I73" s="29"/>
      <c r="J73" s="29">
        <f t="shared" si="17"/>
        <v>0</v>
      </c>
      <c r="K73" s="30">
        <v>69</v>
      </c>
    </row>
    <row r="74" spans="1:11" hidden="1" outlineLevel="1" x14ac:dyDescent="0.25">
      <c r="A74" s="34"/>
      <c r="B74" s="18" t="s">
        <v>79</v>
      </c>
      <c r="C74" s="35"/>
      <c r="D74" s="35"/>
      <c r="E74" s="35"/>
      <c r="F74" s="35"/>
      <c r="G74" s="35"/>
      <c r="H74" s="35">
        <f t="shared" si="18"/>
        <v>0</v>
      </c>
      <c r="I74" s="35"/>
      <c r="J74" s="35">
        <f t="shared" si="17"/>
        <v>0</v>
      </c>
      <c r="K74" s="36">
        <v>70</v>
      </c>
    </row>
    <row r="75" spans="1:11" ht="30" hidden="1" outlineLevel="1" x14ac:dyDescent="0.25">
      <c r="A75" s="34"/>
      <c r="B75" s="17" t="s">
        <v>80</v>
      </c>
      <c r="C75" s="35"/>
      <c r="D75" s="35"/>
      <c r="E75" s="35"/>
      <c r="F75" s="35"/>
      <c r="G75" s="35"/>
      <c r="H75" s="35">
        <f t="shared" si="18"/>
        <v>0</v>
      </c>
      <c r="I75" s="35"/>
      <c r="J75" s="35">
        <f t="shared" si="17"/>
        <v>0</v>
      </c>
      <c r="K75" s="36">
        <v>71</v>
      </c>
    </row>
    <row r="76" spans="1:11" hidden="1" outlineLevel="1" x14ac:dyDescent="0.25">
      <c r="A76" s="34"/>
      <c r="B76" s="17" t="s">
        <v>81</v>
      </c>
      <c r="C76" s="35"/>
      <c r="D76" s="35"/>
      <c r="E76" s="35"/>
      <c r="F76" s="35"/>
      <c r="G76" s="35"/>
      <c r="H76" s="35">
        <f t="shared" si="18"/>
        <v>0</v>
      </c>
      <c r="I76" s="35"/>
      <c r="J76" s="35">
        <f t="shared" si="17"/>
        <v>0</v>
      </c>
      <c r="K76" s="36">
        <v>72</v>
      </c>
    </row>
    <row r="77" spans="1:11" hidden="1" outlineLevel="1" x14ac:dyDescent="0.25">
      <c r="A77" s="34"/>
      <c r="B77" s="18" t="s">
        <v>82</v>
      </c>
      <c r="C77" s="35"/>
      <c r="D77" s="35"/>
      <c r="E77" s="35"/>
      <c r="F77" s="35"/>
      <c r="G77" s="35"/>
      <c r="H77" s="35">
        <f t="shared" si="18"/>
        <v>0</v>
      </c>
      <c r="I77" s="35"/>
      <c r="J77" s="35">
        <f t="shared" si="17"/>
        <v>0</v>
      </c>
      <c r="K77" s="36">
        <v>73</v>
      </c>
    </row>
    <row r="78" spans="1:11" ht="30" hidden="1" outlineLevel="1" x14ac:dyDescent="0.25">
      <c r="A78" s="34"/>
      <c r="B78" s="17" t="s">
        <v>83</v>
      </c>
      <c r="C78" s="35"/>
      <c r="D78" s="35"/>
      <c r="E78" s="35"/>
      <c r="F78" s="35"/>
      <c r="G78" s="35"/>
      <c r="H78" s="35">
        <f t="shared" si="18"/>
        <v>0</v>
      </c>
      <c r="I78" s="35"/>
      <c r="J78" s="35">
        <f t="shared" si="17"/>
        <v>0</v>
      </c>
      <c r="K78" s="36">
        <v>74</v>
      </c>
    </row>
    <row r="79" spans="1:11" hidden="1" outlineLevel="1" x14ac:dyDescent="0.25">
      <c r="A79" s="28"/>
      <c r="B79" s="15" t="s">
        <v>84</v>
      </c>
      <c r="C79" s="29">
        <f>+SUM(C80:C84)</f>
        <v>0</v>
      </c>
      <c r="D79" s="29">
        <f t="shared" ref="D79:G79" si="20">+SUM(D80:D84)</f>
        <v>0</v>
      </c>
      <c r="E79" s="29">
        <f t="shared" si="20"/>
        <v>0</v>
      </c>
      <c r="F79" s="29">
        <f t="shared" si="20"/>
        <v>0</v>
      </c>
      <c r="G79" s="29">
        <f t="shared" si="20"/>
        <v>0</v>
      </c>
      <c r="H79" s="29">
        <f t="shared" si="18"/>
        <v>0</v>
      </c>
      <c r="I79" s="29"/>
      <c r="J79" s="29">
        <f t="shared" si="17"/>
        <v>0</v>
      </c>
      <c r="K79" s="30">
        <v>75</v>
      </c>
    </row>
    <row r="80" spans="1:11" hidden="1" outlineLevel="1" x14ac:dyDescent="0.25">
      <c r="A80" s="34"/>
      <c r="B80" s="17"/>
      <c r="C80" s="35"/>
      <c r="D80" s="35"/>
      <c r="E80" s="35"/>
      <c r="F80" s="35"/>
      <c r="G80" s="35"/>
      <c r="H80" s="35">
        <f t="shared" si="18"/>
        <v>0</v>
      </c>
      <c r="I80" s="35"/>
      <c r="J80" s="35">
        <f t="shared" si="17"/>
        <v>0</v>
      </c>
      <c r="K80" s="36">
        <v>76</v>
      </c>
    </row>
    <row r="81" spans="1:11" hidden="1" outlineLevel="1" x14ac:dyDescent="0.25">
      <c r="A81" s="34"/>
      <c r="B81" s="17"/>
      <c r="C81" s="35"/>
      <c r="D81" s="35"/>
      <c r="E81" s="35"/>
      <c r="F81" s="35"/>
      <c r="G81" s="35"/>
      <c r="H81" s="35">
        <f t="shared" si="18"/>
        <v>0</v>
      </c>
      <c r="I81" s="35"/>
      <c r="J81" s="35">
        <f t="shared" si="17"/>
        <v>0</v>
      </c>
      <c r="K81" s="36">
        <v>77</v>
      </c>
    </row>
    <row r="82" spans="1:11" hidden="1" outlineLevel="1" x14ac:dyDescent="0.25">
      <c r="A82" s="34"/>
      <c r="B82" s="17"/>
      <c r="C82" s="35"/>
      <c r="D82" s="35"/>
      <c r="E82" s="35"/>
      <c r="F82" s="35"/>
      <c r="G82" s="35"/>
      <c r="H82" s="35">
        <f t="shared" si="18"/>
        <v>0</v>
      </c>
      <c r="I82" s="35"/>
      <c r="J82" s="35">
        <f t="shared" si="17"/>
        <v>0</v>
      </c>
      <c r="K82" s="36">
        <v>78</v>
      </c>
    </row>
    <row r="83" spans="1:11" hidden="1" outlineLevel="1" x14ac:dyDescent="0.25">
      <c r="A83" s="34"/>
      <c r="B83" s="17" t="s">
        <v>86</v>
      </c>
      <c r="C83" s="35"/>
      <c r="D83" s="35"/>
      <c r="E83" s="35"/>
      <c r="F83" s="35"/>
      <c r="G83" s="35"/>
      <c r="H83" s="35">
        <f t="shared" si="18"/>
        <v>0</v>
      </c>
      <c r="I83" s="35"/>
      <c r="J83" s="35">
        <f t="shared" si="17"/>
        <v>0</v>
      </c>
      <c r="K83" s="36">
        <v>79</v>
      </c>
    </row>
    <row r="84" spans="1:11" hidden="1" outlineLevel="1" x14ac:dyDescent="0.25">
      <c r="A84" s="34"/>
      <c r="B84" s="17"/>
      <c r="C84" s="35"/>
      <c r="D84" s="35"/>
      <c r="E84" s="35"/>
      <c r="F84" s="35"/>
      <c r="G84" s="35"/>
      <c r="H84" s="35">
        <f t="shared" si="18"/>
        <v>0</v>
      </c>
      <c r="I84" s="35"/>
      <c r="J84" s="35">
        <f t="shared" si="17"/>
        <v>0</v>
      </c>
      <c r="K84" s="36">
        <v>80</v>
      </c>
    </row>
    <row r="85" spans="1:11" collapsed="1" x14ac:dyDescent="0.25">
      <c r="A85" s="39" t="s">
        <v>46</v>
      </c>
      <c r="B85" s="14" t="s">
        <v>91</v>
      </c>
      <c r="C85" s="24">
        <f>+C86+C112+C138</f>
        <v>0</v>
      </c>
      <c r="D85" s="24">
        <f t="shared" ref="D85:G85" si="21">+D86+D112+D138</f>
        <v>0</v>
      </c>
      <c r="E85" s="24">
        <f t="shared" si="21"/>
        <v>0</v>
      </c>
      <c r="F85" s="24">
        <f t="shared" si="21"/>
        <v>0</v>
      </c>
      <c r="G85" s="24">
        <f t="shared" si="21"/>
        <v>0</v>
      </c>
      <c r="H85" s="24">
        <f t="shared" si="18"/>
        <v>0</v>
      </c>
      <c r="I85" s="24"/>
      <c r="J85" s="24">
        <f t="shared" si="17"/>
        <v>0</v>
      </c>
      <c r="K85" s="25">
        <v>81</v>
      </c>
    </row>
    <row r="86" spans="1:11" ht="60" collapsed="1" x14ac:dyDescent="0.25">
      <c r="A86" s="40" t="s">
        <v>4</v>
      </c>
      <c r="B86" s="10" t="s">
        <v>92</v>
      </c>
      <c r="C86" s="26">
        <f t="shared" ref="C86:G86" si="22">+C87+C96+C100+C106</f>
        <v>0</v>
      </c>
      <c r="D86" s="26">
        <f t="shared" si="22"/>
        <v>0</v>
      </c>
      <c r="E86" s="26">
        <f t="shared" si="22"/>
        <v>0</v>
      </c>
      <c r="F86" s="26">
        <f t="shared" si="22"/>
        <v>0</v>
      </c>
      <c r="G86" s="26">
        <f t="shared" si="22"/>
        <v>0</v>
      </c>
      <c r="H86" s="26">
        <f t="shared" si="18"/>
        <v>0</v>
      </c>
      <c r="I86" s="26">
        <v>0</v>
      </c>
      <c r="J86" s="26">
        <f t="shared" si="17"/>
        <v>0</v>
      </c>
      <c r="K86" s="27">
        <v>82</v>
      </c>
    </row>
    <row r="87" spans="1:11" hidden="1" outlineLevel="1" x14ac:dyDescent="0.25">
      <c r="A87" s="28"/>
      <c r="B87" s="15" t="s">
        <v>65</v>
      </c>
      <c r="C87" s="29">
        <f t="shared" ref="C87:G87" si="23">+SUM(C88:C95)</f>
        <v>0</v>
      </c>
      <c r="D87" s="29">
        <f t="shared" si="23"/>
        <v>0</v>
      </c>
      <c r="E87" s="29">
        <f t="shared" si="23"/>
        <v>0</v>
      </c>
      <c r="F87" s="29">
        <f t="shared" si="23"/>
        <v>0</v>
      </c>
      <c r="G87" s="29">
        <f t="shared" si="23"/>
        <v>0</v>
      </c>
      <c r="H87" s="29">
        <f t="shared" si="18"/>
        <v>0</v>
      </c>
      <c r="I87" s="29">
        <v>0</v>
      </c>
      <c r="J87" s="29">
        <f t="shared" si="17"/>
        <v>0</v>
      </c>
      <c r="K87" s="30">
        <v>83</v>
      </c>
    </row>
    <row r="88" spans="1:11" hidden="1" outlineLevel="1" x14ac:dyDescent="0.25">
      <c r="A88" s="31"/>
      <c r="B88" s="16" t="s">
        <v>66</v>
      </c>
      <c r="C88" s="32"/>
      <c r="D88" s="32"/>
      <c r="E88" s="32"/>
      <c r="F88" s="32"/>
      <c r="G88" s="32"/>
      <c r="H88" s="32">
        <f t="shared" si="18"/>
        <v>0</v>
      </c>
      <c r="I88" s="32"/>
      <c r="J88" s="32">
        <f t="shared" si="17"/>
        <v>0</v>
      </c>
      <c r="K88" s="33">
        <v>84</v>
      </c>
    </row>
    <row r="89" spans="1:11" hidden="1" outlineLevel="1" x14ac:dyDescent="0.25">
      <c r="A89" s="31"/>
      <c r="B89" s="17" t="s">
        <v>67</v>
      </c>
      <c r="C89" s="32"/>
      <c r="D89" s="32"/>
      <c r="E89" s="32"/>
      <c r="F89" s="32"/>
      <c r="G89" s="32"/>
      <c r="H89" s="32">
        <f t="shared" si="18"/>
        <v>0</v>
      </c>
      <c r="I89" s="32"/>
      <c r="J89" s="32">
        <f t="shared" si="17"/>
        <v>0</v>
      </c>
      <c r="K89" s="33">
        <v>85</v>
      </c>
    </row>
    <row r="90" spans="1:11" ht="30" hidden="1" outlineLevel="1" x14ac:dyDescent="0.25">
      <c r="A90" s="31"/>
      <c r="B90" s="17" t="s">
        <v>68</v>
      </c>
      <c r="C90" s="32"/>
      <c r="D90" s="32"/>
      <c r="E90" s="32"/>
      <c r="F90" s="32"/>
      <c r="G90" s="32"/>
      <c r="H90" s="32">
        <f t="shared" si="18"/>
        <v>0</v>
      </c>
      <c r="I90" s="32"/>
      <c r="J90" s="32">
        <f t="shared" si="17"/>
        <v>0</v>
      </c>
      <c r="K90" s="33">
        <v>86</v>
      </c>
    </row>
    <row r="91" spans="1:11" hidden="1" outlineLevel="1" x14ac:dyDescent="0.25">
      <c r="A91" s="31"/>
      <c r="B91" s="16" t="s">
        <v>69</v>
      </c>
      <c r="C91" s="32"/>
      <c r="D91" s="32"/>
      <c r="E91" s="32"/>
      <c r="F91" s="32"/>
      <c r="G91" s="32"/>
      <c r="H91" s="32">
        <f t="shared" si="18"/>
        <v>0</v>
      </c>
      <c r="I91" s="32"/>
      <c r="J91" s="32">
        <f t="shared" si="17"/>
        <v>0</v>
      </c>
      <c r="K91" s="33">
        <v>87</v>
      </c>
    </row>
    <row r="92" spans="1:11" hidden="1" outlineLevel="1" x14ac:dyDescent="0.25">
      <c r="A92" s="31"/>
      <c r="B92" s="17" t="s">
        <v>70</v>
      </c>
      <c r="C92" s="32"/>
      <c r="D92" s="32"/>
      <c r="E92" s="32"/>
      <c r="F92" s="32"/>
      <c r="G92" s="32"/>
      <c r="H92" s="32">
        <f t="shared" si="18"/>
        <v>0</v>
      </c>
      <c r="I92" s="32"/>
      <c r="J92" s="32">
        <f t="shared" si="17"/>
        <v>0</v>
      </c>
      <c r="K92" s="33">
        <v>88</v>
      </c>
    </row>
    <row r="93" spans="1:11" ht="30" hidden="1" outlineLevel="1" x14ac:dyDescent="0.25">
      <c r="A93" s="31"/>
      <c r="B93" s="17" t="s">
        <v>71</v>
      </c>
      <c r="C93" s="32"/>
      <c r="D93" s="32"/>
      <c r="E93" s="32"/>
      <c r="F93" s="32"/>
      <c r="G93" s="32"/>
      <c r="H93" s="32">
        <f t="shared" si="18"/>
        <v>0</v>
      </c>
      <c r="I93" s="32"/>
      <c r="J93" s="32">
        <f t="shared" si="17"/>
        <v>0</v>
      </c>
      <c r="K93" s="33">
        <v>89</v>
      </c>
    </row>
    <row r="94" spans="1:11" hidden="1" outlineLevel="1" x14ac:dyDescent="0.25">
      <c r="A94" s="31"/>
      <c r="B94" s="16" t="s">
        <v>72</v>
      </c>
      <c r="C94" s="32"/>
      <c r="D94" s="32"/>
      <c r="E94" s="32"/>
      <c r="F94" s="32"/>
      <c r="G94" s="32"/>
      <c r="H94" s="32">
        <f t="shared" si="18"/>
        <v>0</v>
      </c>
      <c r="I94" s="32"/>
      <c r="J94" s="32">
        <f t="shared" si="17"/>
        <v>0</v>
      </c>
      <c r="K94" s="33">
        <v>90</v>
      </c>
    </row>
    <row r="95" spans="1:11" ht="30" hidden="1" outlineLevel="1" x14ac:dyDescent="0.25">
      <c r="A95" s="31"/>
      <c r="B95" s="17" t="s">
        <v>73</v>
      </c>
      <c r="C95" s="32"/>
      <c r="D95" s="32"/>
      <c r="E95" s="32"/>
      <c r="F95" s="32"/>
      <c r="G95" s="32"/>
      <c r="H95" s="32">
        <f t="shared" si="18"/>
        <v>0</v>
      </c>
      <c r="I95" s="32"/>
      <c r="J95" s="32">
        <f t="shared" si="17"/>
        <v>0</v>
      </c>
      <c r="K95" s="33">
        <v>91</v>
      </c>
    </row>
    <row r="96" spans="1:11" hidden="1" outlineLevel="1" x14ac:dyDescent="0.25">
      <c r="A96" s="28"/>
      <c r="B96" s="15" t="s">
        <v>74</v>
      </c>
      <c r="C96" s="29">
        <f t="shared" ref="C96:G96" si="24">+SUM(C97:C99)</f>
        <v>0</v>
      </c>
      <c r="D96" s="29">
        <f t="shared" si="24"/>
        <v>0</v>
      </c>
      <c r="E96" s="29">
        <f t="shared" si="24"/>
        <v>0</v>
      </c>
      <c r="F96" s="29">
        <f t="shared" si="24"/>
        <v>0</v>
      </c>
      <c r="G96" s="29">
        <f t="shared" si="24"/>
        <v>0</v>
      </c>
      <c r="H96" s="29">
        <f t="shared" si="18"/>
        <v>0</v>
      </c>
      <c r="I96" s="29"/>
      <c r="J96" s="29">
        <f t="shared" si="17"/>
        <v>0</v>
      </c>
      <c r="K96" s="30">
        <v>92</v>
      </c>
    </row>
    <row r="97" spans="1:11" ht="30" hidden="1" outlineLevel="1" x14ac:dyDescent="0.25">
      <c r="A97" s="34"/>
      <c r="B97" s="17" t="s">
        <v>75</v>
      </c>
      <c r="C97" s="35"/>
      <c r="D97" s="35"/>
      <c r="E97" s="35"/>
      <c r="F97" s="35"/>
      <c r="G97" s="35"/>
      <c r="H97" s="35">
        <f t="shared" si="18"/>
        <v>0</v>
      </c>
      <c r="I97" s="35"/>
      <c r="J97" s="35">
        <f t="shared" si="17"/>
        <v>0</v>
      </c>
      <c r="K97" s="36">
        <v>93</v>
      </c>
    </row>
    <row r="98" spans="1:11" ht="30" hidden="1" outlineLevel="1" x14ac:dyDescent="0.25">
      <c r="A98" s="34"/>
      <c r="B98" s="17" t="s">
        <v>76</v>
      </c>
      <c r="C98" s="35"/>
      <c r="D98" s="35"/>
      <c r="E98" s="35"/>
      <c r="F98" s="35"/>
      <c r="G98" s="35"/>
      <c r="H98" s="35">
        <f t="shared" si="18"/>
        <v>0</v>
      </c>
      <c r="I98" s="35"/>
      <c r="J98" s="35">
        <f t="shared" si="17"/>
        <v>0</v>
      </c>
      <c r="K98" s="36">
        <v>94</v>
      </c>
    </row>
    <row r="99" spans="1:11" ht="30" hidden="1" outlineLevel="1" x14ac:dyDescent="0.25">
      <c r="A99" s="34"/>
      <c r="B99" s="17" t="s">
        <v>77</v>
      </c>
      <c r="C99" s="35"/>
      <c r="D99" s="35"/>
      <c r="E99" s="35"/>
      <c r="F99" s="35"/>
      <c r="G99" s="35"/>
      <c r="H99" s="35">
        <f t="shared" si="18"/>
        <v>0</v>
      </c>
      <c r="I99" s="35"/>
      <c r="J99" s="35">
        <f t="shared" si="17"/>
        <v>0</v>
      </c>
      <c r="K99" s="36">
        <v>95</v>
      </c>
    </row>
    <row r="100" spans="1:11" hidden="1" outlineLevel="1" x14ac:dyDescent="0.25">
      <c r="A100" s="28"/>
      <c r="B100" s="15" t="s">
        <v>78</v>
      </c>
      <c r="C100" s="29">
        <f t="shared" ref="C100:G100" si="25">+SUM(C101:C105)</f>
        <v>0</v>
      </c>
      <c r="D100" s="29">
        <f t="shared" si="25"/>
        <v>0</v>
      </c>
      <c r="E100" s="29">
        <f t="shared" si="25"/>
        <v>0</v>
      </c>
      <c r="F100" s="29">
        <f t="shared" si="25"/>
        <v>0</v>
      </c>
      <c r="G100" s="29">
        <f t="shared" si="25"/>
        <v>0</v>
      </c>
      <c r="H100" s="29">
        <f t="shared" si="18"/>
        <v>0</v>
      </c>
      <c r="I100" s="29"/>
      <c r="J100" s="29">
        <f t="shared" si="17"/>
        <v>0</v>
      </c>
      <c r="K100" s="30">
        <v>96</v>
      </c>
    </row>
    <row r="101" spans="1:11" hidden="1" outlineLevel="1" x14ac:dyDescent="0.25">
      <c r="A101" s="34"/>
      <c r="B101" s="18" t="s">
        <v>79</v>
      </c>
      <c r="C101" s="35"/>
      <c r="D101" s="35"/>
      <c r="E101" s="35"/>
      <c r="F101" s="35"/>
      <c r="G101" s="35"/>
      <c r="H101" s="35">
        <f t="shared" si="18"/>
        <v>0</v>
      </c>
      <c r="I101" s="35"/>
      <c r="J101" s="35">
        <f t="shared" si="17"/>
        <v>0</v>
      </c>
      <c r="K101" s="36">
        <v>97</v>
      </c>
    </row>
    <row r="102" spans="1:11" ht="30" hidden="1" outlineLevel="1" x14ac:dyDescent="0.25">
      <c r="A102" s="34"/>
      <c r="B102" s="17" t="s">
        <v>80</v>
      </c>
      <c r="C102" s="35"/>
      <c r="D102" s="35"/>
      <c r="E102" s="35"/>
      <c r="F102" s="35"/>
      <c r="G102" s="35"/>
      <c r="H102" s="35">
        <f t="shared" si="18"/>
        <v>0</v>
      </c>
      <c r="I102" s="35"/>
      <c r="J102" s="35">
        <f t="shared" si="17"/>
        <v>0</v>
      </c>
      <c r="K102" s="36">
        <v>98</v>
      </c>
    </row>
    <row r="103" spans="1:11" hidden="1" outlineLevel="1" x14ac:dyDescent="0.25">
      <c r="A103" s="34"/>
      <c r="B103" s="17" t="s">
        <v>81</v>
      </c>
      <c r="C103" s="35"/>
      <c r="D103" s="35"/>
      <c r="E103" s="35"/>
      <c r="F103" s="35"/>
      <c r="G103" s="35"/>
      <c r="H103" s="35">
        <f t="shared" si="18"/>
        <v>0</v>
      </c>
      <c r="I103" s="35"/>
      <c r="J103" s="35">
        <f t="shared" si="17"/>
        <v>0</v>
      </c>
      <c r="K103" s="36">
        <v>99</v>
      </c>
    </row>
    <row r="104" spans="1:11" hidden="1" outlineLevel="1" x14ac:dyDescent="0.25">
      <c r="A104" s="34"/>
      <c r="B104" s="18" t="s">
        <v>82</v>
      </c>
      <c r="C104" s="35"/>
      <c r="D104" s="35"/>
      <c r="E104" s="35"/>
      <c r="F104" s="35"/>
      <c r="G104" s="35"/>
      <c r="H104" s="35">
        <f t="shared" si="18"/>
        <v>0</v>
      </c>
      <c r="I104" s="35"/>
      <c r="J104" s="35">
        <f t="shared" si="17"/>
        <v>0</v>
      </c>
      <c r="K104" s="36">
        <v>100</v>
      </c>
    </row>
    <row r="105" spans="1:11" ht="30" hidden="1" outlineLevel="1" x14ac:dyDescent="0.25">
      <c r="A105" s="34"/>
      <c r="B105" s="17" t="s">
        <v>83</v>
      </c>
      <c r="C105" s="35"/>
      <c r="D105" s="35"/>
      <c r="E105" s="35"/>
      <c r="F105" s="35"/>
      <c r="G105" s="35"/>
      <c r="H105" s="35">
        <f t="shared" si="18"/>
        <v>0</v>
      </c>
      <c r="I105" s="35"/>
      <c r="J105" s="35">
        <f t="shared" si="17"/>
        <v>0</v>
      </c>
      <c r="K105" s="36">
        <v>101</v>
      </c>
    </row>
    <row r="106" spans="1:11" hidden="1" outlineLevel="1" x14ac:dyDescent="0.25">
      <c r="A106" s="28"/>
      <c r="B106" s="15" t="s">
        <v>84</v>
      </c>
      <c r="C106" s="29">
        <f>+SUM(C107:C111)</f>
        <v>0</v>
      </c>
      <c r="D106" s="29">
        <f t="shared" ref="D106:G106" si="26">+SUM(D107:D111)</f>
        <v>0</v>
      </c>
      <c r="E106" s="29">
        <f t="shared" si="26"/>
        <v>0</v>
      </c>
      <c r="F106" s="29">
        <f t="shared" si="26"/>
        <v>0</v>
      </c>
      <c r="G106" s="29">
        <f t="shared" si="26"/>
        <v>0</v>
      </c>
      <c r="H106" s="29">
        <f t="shared" si="18"/>
        <v>0</v>
      </c>
      <c r="I106" s="29"/>
      <c r="J106" s="29">
        <f t="shared" si="17"/>
        <v>0</v>
      </c>
      <c r="K106" s="30">
        <v>102</v>
      </c>
    </row>
    <row r="107" spans="1:11" hidden="1" outlineLevel="1" x14ac:dyDescent="0.25">
      <c r="A107" s="34"/>
      <c r="B107" s="17"/>
      <c r="C107" s="35"/>
      <c r="D107" s="35"/>
      <c r="E107" s="35"/>
      <c r="F107" s="35"/>
      <c r="G107" s="35"/>
      <c r="H107" s="35">
        <f t="shared" si="18"/>
        <v>0</v>
      </c>
      <c r="I107" s="35"/>
      <c r="J107" s="35">
        <f t="shared" si="17"/>
        <v>0</v>
      </c>
      <c r="K107" s="36">
        <v>103</v>
      </c>
    </row>
    <row r="108" spans="1:11" hidden="1" outlineLevel="1" x14ac:dyDescent="0.25">
      <c r="A108" s="34"/>
      <c r="B108" s="17"/>
      <c r="C108" s="35"/>
      <c r="D108" s="35"/>
      <c r="E108" s="35"/>
      <c r="F108" s="35"/>
      <c r="G108" s="35"/>
      <c r="H108" s="35">
        <f t="shared" si="18"/>
        <v>0</v>
      </c>
      <c r="I108" s="35"/>
      <c r="J108" s="35">
        <f t="shared" si="17"/>
        <v>0</v>
      </c>
      <c r="K108" s="36">
        <v>104</v>
      </c>
    </row>
    <row r="109" spans="1:11" hidden="1" outlineLevel="1" x14ac:dyDescent="0.25">
      <c r="A109" s="34"/>
      <c r="B109" s="17"/>
      <c r="C109" s="35"/>
      <c r="D109" s="35"/>
      <c r="E109" s="35"/>
      <c r="F109" s="35"/>
      <c r="G109" s="35"/>
      <c r="H109" s="35">
        <f t="shared" si="18"/>
        <v>0</v>
      </c>
      <c r="I109" s="35"/>
      <c r="J109" s="35">
        <f t="shared" si="17"/>
        <v>0</v>
      </c>
      <c r="K109" s="36">
        <v>105</v>
      </c>
    </row>
    <row r="110" spans="1:11" hidden="1" outlineLevel="1" x14ac:dyDescent="0.25">
      <c r="A110" s="34"/>
      <c r="B110" s="17" t="s">
        <v>86</v>
      </c>
      <c r="C110" s="35"/>
      <c r="D110" s="35"/>
      <c r="E110" s="35"/>
      <c r="F110" s="35"/>
      <c r="G110" s="35"/>
      <c r="H110" s="35">
        <f t="shared" si="18"/>
        <v>0</v>
      </c>
      <c r="I110" s="35"/>
      <c r="J110" s="35">
        <f t="shared" si="17"/>
        <v>0</v>
      </c>
      <c r="K110" s="36">
        <v>106</v>
      </c>
    </row>
    <row r="111" spans="1:11" hidden="1" outlineLevel="1" collapsed="1" x14ac:dyDescent="0.25">
      <c r="A111" s="34"/>
      <c r="B111" s="17"/>
      <c r="C111" s="35"/>
      <c r="D111" s="35"/>
      <c r="E111" s="35"/>
      <c r="F111" s="35"/>
      <c r="G111" s="35"/>
      <c r="H111" s="35">
        <f t="shared" si="18"/>
        <v>0</v>
      </c>
      <c r="I111" s="35"/>
      <c r="J111" s="35">
        <f t="shared" si="17"/>
        <v>0</v>
      </c>
      <c r="K111" s="36">
        <v>107</v>
      </c>
    </row>
    <row r="112" spans="1:11" ht="45" collapsed="1" x14ac:dyDescent="0.25">
      <c r="A112" s="40" t="s">
        <v>5</v>
      </c>
      <c r="B112" s="10" t="s">
        <v>93</v>
      </c>
      <c r="C112" s="26">
        <f t="shared" ref="C112:G112" si="27">+C113+C122+C126+C132</f>
        <v>0</v>
      </c>
      <c r="D112" s="26">
        <f t="shared" si="27"/>
        <v>0</v>
      </c>
      <c r="E112" s="26">
        <f t="shared" si="27"/>
        <v>0</v>
      </c>
      <c r="F112" s="26">
        <f t="shared" si="27"/>
        <v>0</v>
      </c>
      <c r="G112" s="26">
        <f t="shared" si="27"/>
        <v>0</v>
      </c>
      <c r="H112" s="26">
        <f t="shared" si="18"/>
        <v>0</v>
      </c>
      <c r="I112" s="26">
        <v>0</v>
      </c>
      <c r="J112" s="26">
        <f t="shared" si="17"/>
        <v>0</v>
      </c>
      <c r="K112" s="27">
        <v>108</v>
      </c>
    </row>
    <row r="113" spans="1:11" hidden="1" outlineLevel="1" x14ac:dyDescent="0.25">
      <c r="A113" s="28"/>
      <c r="B113" s="15" t="s">
        <v>65</v>
      </c>
      <c r="C113" s="29">
        <f t="shared" ref="C113:G113" si="28">+SUM(C114:C121)</f>
        <v>0</v>
      </c>
      <c r="D113" s="29">
        <f t="shared" si="28"/>
        <v>0</v>
      </c>
      <c r="E113" s="29">
        <f t="shared" si="28"/>
        <v>0</v>
      </c>
      <c r="F113" s="29">
        <f t="shared" si="28"/>
        <v>0</v>
      </c>
      <c r="G113" s="29">
        <f t="shared" si="28"/>
        <v>0</v>
      </c>
      <c r="H113" s="29">
        <f t="shared" si="18"/>
        <v>0</v>
      </c>
      <c r="I113" s="29">
        <v>0</v>
      </c>
      <c r="J113" s="29">
        <f t="shared" si="17"/>
        <v>0</v>
      </c>
      <c r="K113" s="30">
        <v>109</v>
      </c>
    </row>
    <row r="114" spans="1:11" hidden="1" outlineLevel="1" x14ac:dyDescent="0.25">
      <c r="A114" s="31"/>
      <c r="B114" s="16" t="s">
        <v>66</v>
      </c>
      <c r="C114" s="32"/>
      <c r="D114" s="32"/>
      <c r="E114" s="32"/>
      <c r="F114" s="32"/>
      <c r="G114" s="32"/>
      <c r="H114" s="32">
        <f t="shared" si="18"/>
        <v>0</v>
      </c>
      <c r="I114" s="32"/>
      <c r="J114" s="32">
        <f t="shared" si="17"/>
        <v>0</v>
      </c>
      <c r="K114" s="33">
        <v>110</v>
      </c>
    </row>
    <row r="115" spans="1:11" hidden="1" outlineLevel="1" x14ac:dyDescent="0.25">
      <c r="A115" s="31"/>
      <c r="B115" s="17" t="s">
        <v>67</v>
      </c>
      <c r="C115" s="32"/>
      <c r="D115" s="32"/>
      <c r="E115" s="32"/>
      <c r="F115" s="32"/>
      <c r="G115" s="32"/>
      <c r="H115" s="32">
        <f t="shared" si="18"/>
        <v>0</v>
      </c>
      <c r="I115" s="32"/>
      <c r="J115" s="32">
        <f t="shared" si="17"/>
        <v>0</v>
      </c>
      <c r="K115" s="33">
        <v>111</v>
      </c>
    </row>
    <row r="116" spans="1:11" ht="30" hidden="1" outlineLevel="1" x14ac:dyDescent="0.25">
      <c r="A116" s="31"/>
      <c r="B116" s="17" t="s">
        <v>68</v>
      </c>
      <c r="C116" s="32"/>
      <c r="D116" s="32"/>
      <c r="E116" s="32"/>
      <c r="F116" s="32"/>
      <c r="G116" s="32"/>
      <c r="H116" s="32">
        <f t="shared" si="18"/>
        <v>0</v>
      </c>
      <c r="I116" s="32"/>
      <c r="J116" s="32">
        <f t="shared" si="17"/>
        <v>0</v>
      </c>
      <c r="K116" s="33">
        <v>112</v>
      </c>
    </row>
    <row r="117" spans="1:11" hidden="1" outlineLevel="1" x14ac:dyDescent="0.25">
      <c r="A117" s="31"/>
      <c r="B117" s="16" t="s">
        <v>69</v>
      </c>
      <c r="C117" s="32"/>
      <c r="D117" s="32"/>
      <c r="E117" s="32"/>
      <c r="F117" s="32"/>
      <c r="G117" s="32"/>
      <c r="H117" s="32">
        <f t="shared" si="18"/>
        <v>0</v>
      </c>
      <c r="I117" s="32"/>
      <c r="J117" s="32">
        <f t="shared" si="17"/>
        <v>0</v>
      </c>
      <c r="K117" s="33">
        <v>113</v>
      </c>
    </row>
    <row r="118" spans="1:11" hidden="1" outlineLevel="1" x14ac:dyDescent="0.25">
      <c r="A118" s="31"/>
      <c r="B118" s="17" t="s">
        <v>70</v>
      </c>
      <c r="C118" s="32"/>
      <c r="D118" s="32"/>
      <c r="E118" s="32"/>
      <c r="F118" s="32"/>
      <c r="G118" s="32"/>
      <c r="H118" s="32">
        <f t="shared" si="18"/>
        <v>0</v>
      </c>
      <c r="I118" s="32"/>
      <c r="J118" s="32">
        <f t="shared" si="17"/>
        <v>0</v>
      </c>
      <c r="K118" s="33">
        <v>114</v>
      </c>
    </row>
    <row r="119" spans="1:11" ht="30" hidden="1" outlineLevel="1" x14ac:dyDescent="0.25">
      <c r="A119" s="31"/>
      <c r="B119" s="17" t="s">
        <v>71</v>
      </c>
      <c r="C119" s="32"/>
      <c r="D119" s="32"/>
      <c r="E119" s="32"/>
      <c r="F119" s="32"/>
      <c r="G119" s="32"/>
      <c r="H119" s="32">
        <f t="shared" si="18"/>
        <v>0</v>
      </c>
      <c r="I119" s="32"/>
      <c r="J119" s="32">
        <f t="shared" si="17"/>
        <v>0</v>
      </c>
      <c r="K119" s="33">
        <v>115</v>
      </c>
    </row>
    <row r="120" spans="1:11" hidden="1" outlineLevel="1" x14ac:dyDescent="0.25">
      <c r="A120" s="31"/>
      <c r="B120" s="16" t="s">
        <v>72</v>
      </c>
      <c r="C120" s="32"/>
      <c r="D120" s="32"/>
      <c r="E120" s="32"/>
      <c r="F120" s="32"/>
      <c r="G120" s="32"/>
      <c r="H120" s="32">
        <f t="shared" si="18"/>
        <v>0</v>
      </c>
      <c r="I120" s="32"/>
      <c r="J120" s="32">
        <f t="shared" si="17"/>
        <v>0</v>
      </c>
      <c r="K120" s="33">
        <v>116</v>
      </c>
    </row>
    <row r="121" spans="1:11" ht="30" hidden="1" outlineLevel="1" x14ac:dyDescent="0.25">
      <c r="A121" s="31"/>
      <c r="B121" s="17" t="s">
        <v>73</v>
      </c>
      <c r="C121" s="32"/>
      <c r="D121" s="32"/>
      <c r="E121" s="32"/>
      <c r="F121" s="32"/>
      <c r="G121" s="32"/>
      <c r="H121" s="32">
        <f t="shared" si="18"/>
        <v>0</v>
      </c>
      <c r="I121" s="32"/>
      <c r="J121" s="32">
        <f t="shared" si="17"/>
        <v>0</v>
      </c>
      <c r="K121" s="33">
        <v>117</v>
      </c>
    </row>
    <row r="122" spans="1:11" hidden="1" outlineLevel="1" x14ac:dyDescent="0.25">
      <c r="A122" s="28"/>
      <c r="B122" s="15" t="s">
        <v>74</v>
      </c>
      <c r="C122" s="29">
        <f t="shared" ref="C122:G122" si="29">+SUM(C123:C125)</f>
        <v>0</v>
      </c>
      <c r="D122" s="29">
        <f t="shared" si="29"/>
        <v>0</v>
      </c>
      <c r="E122" s="29">
        <f t="shared" si="29"/>
        <v>0</v>
      </c>
      <c r="F122" s="29">
        <f t="shared" si="29"/>
        <v>0</v>
      </c>
      <c r="G122" s="29">
        <f t="shared" si="29"/>
        <v>0</v>
      </c>
      <c r="H122" s="29">
        <f t="shared" si="18"/>
        <v>0</v>
      </c>
      <c r="I122" s="29"/>
      <c r="J122" s="29">
        <f t="shared" si="17"/>
        <v>0</v>
      </c>
      <c r="K122" s="30">
        <v>118</v>
      </c>
    </row>
    <row r="123" spans="1:11" ht="30" hidden="1" outlineLevel="1" x14ac:dyDescent="0.25">
      <c r="A123" s="34"/>
      <c r="B123" s="17" t="s">
        <v>75</v>
      </c>
      <c r="C123" s="35"/>
      <c r="D123" s="35"/>
      <c r="E123" s="35"/>
      <c r="F123" s="35"/>
      <c r="G123" s="35"/>
      <c r="H123" s="35">
        <f t="shared" si="18"/>
        <v>0</v>
      </c>
      <c r="I123" s="35"/>
      <c r="J123" s="35">
        <f t="shared" si="17"/>
        <v>0</v>
      </c>
      <c r="K123" s="36">
        <v>119</v>
      </c>
    </row>
    <row r="124" spans="1:11" ht="30" hidden="1" outlineLevel="1" x14ac:dyDescent="0.25">
      <c r="A124" s="34"/>
      <c r="B124" s="17" t="s">
        <v>76</v>
      </c>
      <c r="C124" s="35"/>
      <c r="D124" s="35"/>
      <c r="E124" s="35"/>
      <c r="F124" s="35"/>
      <c r="G124" s="35"/>
      <c r="H124" s="35">
        <f t="shared" si="18"/>
        <v>0</v>
      </c>
      <c r="I124" s="35"/>
      <c r="J124" s="35">
        <f t="shared" si="17"/>
        <v>0</v>
      </c>
      <c r="K124" s="36">
        <v>120</v>
      </c>
    </row>
    <row r="125" spans="1:11" ht="30" hidden="1" outlineLevel="1" x14ac:dyDescent="0.25">
      <c r="A125" s="34"/>
      <c r="B125" s="17" t="s">
        <v>77</v>
      </c>
      <c r="C125" s="35"/>
      <c r="D125" s="35"/>
      <c r="E125" s="35"/>
      <c r="F125" s="35"/>
      <c r="G125" s="35"/>
      <c r="H125" s="35">
        <f t="shared" si="18"/>
        <v>0</v>
      </c>
      <c r="I125" s="35"/>
      <c r="J125" s="35">
        <f t="shared" si="17"/>
        <v>0</v>
      </c>
      <c r="K125" s="36">
        <v>121</v>
      </c>
    </row>
    <row r="126" spans="1:11" hidden="1" outlineLevel="1" x14ac:dyDescent="0.25">
      <c r="A126" s="28"/>
      <c r="B126" s="15" t="s">
        <v>78</v>
      </c>
      <c r="C126" s="29">
        <f t="shared" ref="C126:G126" si="30">+SUM(C127:C131)</f>
        <v>0</v>
      </c>
      <c r="D126" s="29">
        <f t="shared" si="30"/>
        <v>0</v>
      </c>
      <c r="E126" s="29">
        <f t="shared" si="30"/>
        <v>0</v>
      </c>
      <c r="F126" s="29">
        <f t="shared" si="30"/>
        <v>0</v>
      </c>
      <c r="G126" s="29">
        <f t="shared" si="30"/>
        <v>0</v>
      </c>
      <c r="H126" s="29">
        <f t="shared" si="18"/>
        <v>0</v>
      </c>
      <c r="I126" s="29"/>
      <c r="J126" s="29">
        <f t="shared" si="17"/>
        <v>0</v>
      </c>
      <c r="K126" s="30">
        <v>122</v>
      </c>
    </row>
    <row r="127" spans="1:11" hidden="1" outlineLevel="1" x14ac:dyDescent="0.25">
      <c r="A127" s="34"/>
      <c r="B127" s="18" t="s">
        <v>79</v>
      </c>
      <c r="C127" s="35"/>
      <c r="D127" s="35"/>
      <c r="E127" s="35"/>
      <c r="F127" s="35"/>
      <c r="G127" s="35"/>
      <c r="H127" s="35">
        <f t="shared" si="18"/>
        <v>0</v>
      </c>
      <c r="I127" s="35"/>
      <c r="J127" s="35">
        <f t="shared" si="17"/>
        <v>0</v>
      </c>
      <c r="K127" s="36">
        <v>123</v>
      </c>
    </row>
    <row r="128" spans="1:11" ht="30" hidden="1" outlineLevel="1" x14ac:dyDescent="0.25">
      <c r="A128" s="34"/>
      <c r="B128" s="17" t="s">
        <v>80</v>
      </c>
      <c r="C128" s="35"/>
      <c r="D128" s="35"/>
      <c r="E128" s="35"/>
      <c r="F128" s="35"/>
      <c r="G128" s="35"/>
      <c r="H128" s="35">
        <f t="shared" si="18"/>
        <v>0</v>
      </c>
      <c r="I128" s="35"/>
      <c r="J128" s="35">
        <f t="shared" si="17"/>
        <v>0</v>
      </c>
      <c r="K128" s="36">
        <v>124</v>
      </c>
    </row>
    <row r="129" spans="1:11" hidden="1" outlineLevel="1" x14ac:dyDescent="0.25">
      <c r="A129" s="34"/>
      <c r="B129" s="17" t="s">
        <v>81</v>
      </c>
      <c r="C129" s="35"/>
      <c r="D129" s="35"/>
      <c r="E129" s="35"/>
      <c r="F129" s="35"/>
      <c r="G129" s="35"/>
      <c r="H129" s="35">
        <f t="shared" si="18"/>
        <v>0</v>
      </c>
      <c r="I129" s="35"/>
      <c r="J129" s="35">
        <f t="shared" si="17"/>
        <v>0</v>
      </c>
      <c r="K129" s="36">
        <v>125</v>
      </c>
    </row>
    <row r="130" spans="1:11" hidden="1" outlineLevel="1" x14ac:dyDescent="0.25">
      <c r="A130" s="34"/>
      <c r="B130" s="18" t="s">
        <v>82</v>
      </c>
      <c r="C130" s="35"/>
      <c r="D130" s="35"/>
      <c r="E130" s="35"/>
      <c r="F130" s="35"/>
      <c r="G130" s="35"/>
      <c r="H130" s="35">
        <f t="shared" si="18"/>
        <v>0</v>
      </c>
      <c r="I130" s="35"/>
      <c r="J130" s="35">
        <f t="shared" si="17"/>
        <v>0</v>
      </c>
      <c r="K130" s="36">
        <v>126</v>
      </c>
    </row>
    <row r="131" spans="1:11" ht="30" hidden="1" outlineLevel="1" x14ac:dyDescent="0.25">
      <c r="A131" s="34"/>
      <c r="B131" s="17" t="s">
        <v>83</v>
      </c>
      <c r="C131" s="35"/>
      <c r="D131" s="35"/>
      <c r="E131" s="35"/>
      <c r="F131" s="35"/>
      <c r="G131" s="35"/>
      <c r="H131" s="35">
        <f t="shared" si="18"/>
        <v>0</v>
      </c>
      <c r="I131" s="35"/>
      <c r="J131" s="35">
        <f t="shared" si="17"/>
        <v>0</v>
      </c>
      <c r="K131" s="36">
        <v>127</v>
      </c>
    </row>
    <row r="132" spans="1:11" hidden="1" outlineLevel="1" x14ac:dyDescent="0.25">
      <c r="A132" s="28"/>
      <c r="B132" s="15" t="s">
        <v>84</v>
      </c>
      <c r="C132" s="29">
        <f>+SUM(C133:C137)</f>
        <v>0</v>
      </c>
      <c r="D132" s="29">
        <f t="shared" ref="D132:G132" si="31">+SUM(D133:D137)</f>
        <v>0</v>
      </c>
      <c r="E132" s="29">
        <f t="shared" si="31"/>
        <v>0</v>
      </c>
      <c r="F132" s="29">
        <f t="shared" si="31"/>
        <v>0</v>
      </c>
      <c r="G132" s="29">
        <f t="shared" si="31"/>
        <v>0</v>
      </c>
      <c r="H132" s="29">
        <f t="shared" si="18"/>
        <v>0</v>
      </c>
      <c r="I132" s="29"/>
      <c r="J132" s="29">
        <f t="shared" si="17"/>
        <v>0</v>
      </c>
      <c r="K132" s="30">
        <v>128</v>
      </c>
    </row>
    <row r="133" spans="1:11" hidden="1" outlineLevel="1" x14ac:dyDescent="0.25">
      <c r="A133" s="34"/>
      <c r="B133" s="17"/>
      <c r="C133" s="35"/>
      <c r="D133" s="35"/>
      <c r="E133" s="35"/>
      <c r="F133" s="35"/>
      <c r="G133" s="35"/>
      <c r="H133" s="35">
        <f t="shared" si="18"/>
        <v>0</v>
      </c>
      <c r="I133" s="35"/>
      <c r="J133" s="35">
        <f t="shared" ref="J133:J196" si="32">+I133-H133</f>
        <v>0</v>
      </c>
      <c r="K133" s="36">
        <v>129</v>
      </c>
    </row>
    <row r="134" spans="1:11" hidden="1" outlineLevel="1" x14ac:dyDescent="0.25">
      <c r="A134" s="34"/>
      <c r="B134" s="17"/>
      <c r="C134" s="35"/>
      <c r="D134" s="35"/>
      <c r="E134" s="35"/>
      <c r="F134" s="35"/>
      <c r="G134" s="35"/>
      <c r="H134" s="35">
        <f t="shared" ref="H134:H197" si="33">+SUM(C134:G134)</f>
        <v>0</v>
      </c>
      <c r="I134" s="35"/>
      <c r="J134" s="35">
        <f t="shared" si="32"/>
        <v>0</v>
      </c>
      <c r="K134" s="36">
        <v>130</v>
      </c>
    </row>
    <row r="135" spans="1:11" hidden="1" outlineLevel="1" x14ac:dyDescent="0.25">
      <c r="A135" s="34"/>
      <c r="B135" s="17"/>
      <c r="C135" s="35"/>
      <c r="D135" s="35"/>
      <c r="E135" s="35"/>
      <c r="F135" s="35"/>
      <c r="G135" s="35"/>
      <c r="H135" s="35">
        <f t="shared" si="33"/>
        <v>0</v>
      </c>
      <c r="I135" s="35"/>
      <c r="J135" s="35">
        <f t="shared" si="32"/>
        <v>0</v>
      </c>
      <c r="K135" s="36">
        <v>131</v>
      </c>
    </row>
    <row r="136" spans="1:11" hidden="1" outlineLevel="1" x14ac:dyDescent="0.25">
      <c r="A136" s="34"/>
      <c r="B136" s="17" t="s">
        <v>86</v>
      </c>
      <c r="C136" s="35"/>
      <c r="D136" s="35"/>
      <c r="E136" s="35"/>
      <c r="F136" s="35"/>
      <c r="G136" s="35"/>
      <c r="H136" s="35">
        <f t="shared" si="33"/>
        <v>0</v>
      </c>
      <c r="I136" s="35"/>
      <c r="J136" s="35">
        <f t="shared" si="32"/>
        <v>0</v>
      </c>
      <c r="K136" s="36">
        <v>132</v>
      </c>
    </row>
    <row r="137" spans="1:11" hidden="1" outlineLevel="1" x14ac:dyDescent="0.25">
      <c r="A137" s="34"/>
      <c r="B137" s="17"/>
      <c r="C137" s="35"/>
      <c r="D137" s="35"/>
      <c r="E137" s="35"/>
      <c r="F137" s="35"/>
      <c r="G137" s="35"/>
      <c r="H137" s="35">
        <f t="shared" si="33"/>
        <v>0</v>
      </c>
      <c r="I137" s="35"/>
      <c r="J137" s="35">
        <f t="shared" si="32"/>
        <v>0</v>
      </c>
      <c r="K137" s="36">
        <v>133</v>
      </c>
    </row>
    <row r="138" spans="1:11" ht="30" collapsed="1" x14ac:dyDescent="0.25">
      <c r="A138" s="40" t="s">
        <v>6</v>
      </c>
      <c r="B138" s="10" t="s">
        <v>94</v>
      </c>
      <c r="C138" s="26">
        <f t="shared" ref="C138:G138" si="34">+C139+C148+C152+C158</f>
        <v>0</v>
      </c>
      <c r="D138" s="26">
        <f t="shared" si="34"/>
        <v>0</v>
      </c>
      <c r="E138" s="26">
        <f t="shared" si="34"/>
        <v>0</v>
      </c>
      <c r="F138" s="26">
        <f t="shared" si="34"/>
        <v>0</v>
      </c>
      <c r="G138" s="26">
        <f t="shared" si="34"/>
        <v>0</v>
      </c>
      <c r="H138" s="26">
        <f t="shared" si="33"/>
        <v>0</v>
      </c>
      <c r="I138" s="26">
        <v>0</v>
      </c>
      <c r="J138" s="26">
        <f t="shared" si="32"/>
        <v>0</v>
      </c>
      <c r="K138" s="27">
        <v>134</v>
      </c>
    </row>
    <row r="139" spans="1:11" hidden="1" outlineLevel="1" x14ac:dyDescent="0.25">
      <c r="A139" s="28"/>
      <c r="B139" s="15" t="s">
        <v>65</v>
      </c>
      <c r="C139" s="29">
        <f t="shared" ref="C139:G139" si="35">+SUM(C140:C147)</f>
        <v>0</v>
      </c>
      <c r="D139" s="29">
        <f t="shared" si="35"/>
        <v>0</v>
      </c>
      <c r="E139" s="29">
        <f t="shared" si="35"/>
        <v>0</v>
      </c>
      <c r="F139" s="29">
        <f t="shared" si="35"/>
        <v>0</v>
      </c>
      <c r="G139" s="29">
        <f t="shared" si="35"/>
        <v>0</v>
      </c>
      <c r="H139" s="29">
        <f t="shared" si="33"/>
        <v>0</v>
      </c>
      <c r="I139" s="29">
        <v>0</v>
      </c>
      <c r="J139" s="29">
        <f t="shared" si="32"/>
        <v>0</v>
      </c>
      <c r="K139" s="30">
        <v>135</v>
      </c>
    </row>
    <row r="140" spans="1:11" hidden="1" outlineLevel="1" collapsed="1" x14ac:dyDescent="0.25">
      <c r="A140" s="31"/>
      <c r="B140" s="16" t="s">
        <v>66</v>
      </c>
      <c r="C140" s="32"/>
      <c r="D140" s="32"/>
      <c r="E140" s="32"/>
      <c r="F140" s="32"/>
      <c r="G140" s="32"/>
      <c r="H140" s="32">
        <f t="shared" si="33"/>
        <v>0</v>
      </c>
      <c r="I140" s="32"/>
      <c r="J140" s="32">
        <f t="shared" si="32"/>
        <v>0</v>
      </c>
      <c r="K140" s="33">
        <v>136</v>
      </c>
    </row>
    <row r="141" spans="1:11" hidden="1" outlineLevel="1" x14ac:dyDescent="0.25">
      <c r="A141" s="31"/>
      <c r="B141" s="17" t="s">
        <v>67</v>
      </c>
      <c r="C141" s="32"/>
      <c r="D141" s="32"/>
      <c r="E141" s="32"/>
      <c r="F141" s="32"/>
      <c r="G141" s="32"/>
      <c r="H141" s="32">
        <f t="shared" si="33"/>
        <v>0</v>
      </c>
      <c r="I141" s="32"/>
      <c r="J141" s="32">
        <f t="shared" si="32"/>
        <v>0</v>
      </c>
      <c r="K141" s="33">
        <v>137</v>
      </c>
    </row>
    <row r="142" spans="1:11" ht="30" hidden="1" outlineLevel="1" x14ac:dyDescent="0.25">
      <c r="A142" s="31"/>
      <c r="B142" s="17" t="s">
        <v>68</v>
      </c>
      <c r="C142" s="32"/>
      <c r="D142" s="32"/>
      <c r="E142" s="32"/>
      <c r="F142" s="32"/>
      <c r="G142" s="32"/>
      <c r="H142" s="32">
        <f t="shared" si="33"/>
        <v>0</v>
      </c>
      <c r="I142" s="32"/>
      <c r="J142" s="32">
        <f t="shared" si="32"/>
        <v>0</v>
      </c>
      <c r="K142" s="33">
        <v>138</v>
      </c>
    </row>
    <row r="143" spans="1:11" hidden="1" outlineLevel="1" x14ac:dyDescent="0.25">
      <c r="A143" s="31"/>
      <c r="B143" s="16" t="s">
        <v>69</v>
      </c>
      <c r="C143" s="32"/>
      <c r="D143" s="32"/>
      <c r="E143" s="32"/>
      <c r="F143" s="32"/>
      <c r="G143" s="32"/>
      <c r="H143" s="32">
        <f t="shared" si="33"/>
        <v>0</v>
      </c>
      <c r="I143" s="32"/>
      <c r="J143" s="32">
        <f t="shared" si="32"/>
        <v>0</v>
      </c>
      <c r="K143" s="33">
        <v>139</v>
      </c>
    </row>
    <row r="144" spans="1:11" hidden="1" outlineLevel="1" x14ac:dyDescent="0.25">
      <c r="A144" s="31"/>
      <c r="B144" s="17" t="s">
        <v>70</v>
      </c>
      <c r="C144" s="32"/>
      <c r="D144" s="32"/>
      <c r="E144" s="32"/>
      <c r="F144" s="32"/>
      <c r="G144" s="32"/>
      <c r="H144" s="32">
        <f t="shared" si="33"/>
        <v>0</v>
      </c>
      <c r="I144" s="32"/>
      <c r="J144" s="32">
        <f t="shared" si="32"/>
        <v>0</v>
      </c>
      <c r="K144" s="33">
        <v>140</v>
      </c>
    </row>
    <row r="145" spans="1:11" ht="30" hidden="1" outlineLevel="1" x14ac:dyDescent="0.25">
      <c r="A145" s="31"/>
      <c r="B145" s="17" t="s">
        <v>71</v>
      </c>
      <c r="C145" s="32"/>
      <c r="D145" s="32"/>
      <c r="E145" s="32"/>
      <c r="F145" s="32"/>
      <c r="G145" s="32"/>
      <c r="H145" s="32">
        <f t="shared" si="33"/>
        <v>0</v>
      </c>
      <c r="I145" s="32"/>
      <c r="J145" s="32">
        <f t="shared" si="32"/>
        <v>0</v>
      </c>
      <c r="K145" s="33">
        <v>141</v>
      </c>
    </row>
    <row r="146" spans="1:11" hidden="1" outlineLevel="1" x14ac:dyDescent="0.25">
      <c r="A146" s="31"/>
      <c r="B146" s="16" t="s">
        <v>72</v>
      </c>
      <c r="C146" s="32"/>
      <c r="D146" s="32"/>
      <c r="E146" s="32"/>
      <c r="F146" s="32"/>
      <c r="G146" s="32"/>
      <c r="H146" s="32">
        <f t="shared" si="33"/>
        <v>0</v>
      </c>
      <c r="I146" s="32"/>
      <c r="J146" s="32">
        <f t="shared" si="32"/>
        <v>0</v>
      </c>
      <c r="K146" s="33">
        <v>142</v>
      </c>
    </row>
    <row r="147" spans="1:11" ht="30" hidden="1" outlineLevel="1" x14ac:dyDescent="0.25">
      <c r="A147" s="31"/>
      <c r="B147" s="17" t="s">
        <v>73</v>
      </c>
      <c r="C147" s="32"/>
      <c r="D147" s="32"/>
      <c r="E147" s="32"/>
      <c r="F147" s="32"/>
      <c r="G147" s="32"/>
      <c r="H147" s="32">
        <f t="shared" si="33"/>
        <v>0</v>
      </c>
      <c r="I147" s="32"/>
      <c r="J147" s="32">
        <f t="shared" si="32"/>
        <v>0</v>
      </c>
      <c r="K147" s="33">
        <v>143</v>
      </c>
    </row>
    <row r="148" spans="1:11" hidden="1" outlineLevel="1" x14ac:dyDescent="0.25">
      <c r="A148" s="28"/>
      <c r="B148" s="15" t="s">
        <v>74</v>
      </c>
      <c r="C148" s="29">
        <f t="shared" ref="C148:G148" si="36">+SUM(C149:C151)</f>
        <v>0</v>
      </c>
      <c r="D148" s="29">
        <f t="shared" si="36"/>
        <v>0</v>
      </c>
      <c r="E148" s="29">
        <f t="shared" si="36"/>
        <v>0</v>
      </c>
      <c r="F148" s="29">
        <f t="shared" si="36"/>
        <v>0</v>
      </c>
      <c r="G148" s="29">
        <f t="shared" si="36"/>
        <v>0</v>
      </c>
      <c r="H148" s="29">
        <f t="shared" si="33"/>
        <v>0</v>
      </c>
      <c r="I148" s="29"/>
      <c r="J148" s="29">
        <f t="shared" si="32"/>
        <v>0</v>
      </c>
      <c r="K148" s="30">
        <v>144</v>
      </c>
    </row>
    <row r="149" spans="1:11" ht="30" hidden="1" outlineLevel="1" x14ac:dyDescent="0.25">
      <c r="A149" s="34"/>
      <c r="B149" s="17" t="s">
        <v>75</v>
      </c>
      <c r="C149" s="35"/>
      <c r="D149" s="35"/>
      <c r="E149" s="35"/>
      <c r="F149" s="35"/>
      <c r="G149" s="35"/>
      <c r="H149" s="35">
        <f t="shared" si="33"/>
        <v>0</v>
      </c>
      <c r="I149" s="35"/>
      <c r="J149" s="35">
        <f t="shared" si="32"/>
        <v>0</v>
      </c>
      <c r="K149" s="36">
        <v>145</v>
      </c>
    </row>
    <row r="150" spans="1:11" ht="30" hidden="1" outlineLevel="1" x14ac:dyDescent="0.25">
      <c r="A150" s="34"/>
      <c r="B150" s="17" t="s">
        <v>76</v>
      </c>
      <c r="C150" s="35"/>
      <c r="D150" s="35"/>
      <c r="E150" s="35"/>
      <c r="F150" s="35"/>
      <c r="G150" s="35"/>
      <c r="H150" s="35">
        <f t="shared" si="33"/>
        <v>0</v>
      </c>
      <c r="I150" s="35"/>
      <c r="J150" s="35">
        <f t="shared" si="32"/>
        <v>0</v>
      </c>
      <c r="K150" s="36">
        <v>146</v>
      </c>
    </row>
    <row r="151" spans="1:11" ht="30" hidden="1" outlineLevel="1" x14ac:dyDescent="0.25">
      <c r="A151" s="34"/>
      <c r="B151" s="17" t="s">
        <v>77</v>
      </c>
      <c r="C151" s="35"/>
      <c r="D151" s="35"/>
      <c r="E151" s="35"/>
      <c r="F151" s="35"/>
      <c r="G151" s="35"/>
      <c r="H151" s="35">
        <f t="shared" si="33"/>
        <v>0</v>
      </c>
      <c r="I151" s="35"/>
      <c r="J151" s="35">
        <f t="shared" si="32"/>
        <v>0</v>
      </c>
      <c r="K151" s="36">
        <v>147</v>
      </c>
    </row>
    <row r="152" spans="1:11" hidden="1" outlineLevel="1" x14ac:dyDescent="0.25">
      <c r="A152" s="28"/>
      <c r="B152" s="15" t="s">
        <v>78</v>
      </c>
      <c r="C152" s="29">
        <f t="shared" ref="C152:G152" si="37">+SUM(C153:C157)</f>
        <v>0</v>
      </c>
      <c r="D152" s="29">
        <f t="shared" si="37"/>
        <v>0</v>
      </c>
      <c r="E152" s="29">
        <f t="shared" si="37"/>
        <v>0</v>
      </c>
      <c r="F152" s="29">
        <f t="shared" si="37"/>
        <v>0</v>
      </c>
      <c r="G152" s="29">
        <f t="shared" si="37"/>
        <v>0</v>
      </c>
      <c r="H152" s="29">
        <f t="shared" si="33"/>
        <v>0</v>
      </c>
      <c r="I152" s="29"/>
      <c r="J152" s="29">
        <f t="shared" si="32"/>
        <v>0</v>
      </c>
      <c r="K152" s="30">
        <v>148</v>
      </c>
    </row>
    <row r="153" spans="1:11" hidden="1" outlineLevel="1" x14ac:dyDescent="0.25">
      <c r="A153" s="34"/>
      <c r="B153" s="18" t="s">
        <v>79</v>
      </c>
      <c r="C153" s="35"/>
      <c r="D153" s="35"/>
      <c r="E153" s="35"/>
      <c r="F153" s="35"/>
      <c r="G153" s="35"/>
      <c r="H153" s="35">
        <f t="shared" si="33"/>
        <v>0</v>
      </c>
      <c r="I153" s="35"/>
      <c r="J153" s="35">
        <f t="shared" si="32"/>
        <v>0</v>
      </c>
      <c r="K153" s="36">
        <v>149</v>
      </c>
    </row>
    <row r="154" spans="1:11" ht="30" hidden="1" outlineLevel="1" x14ac:dyDescent="0.25">
      <c r="A154" s="34"/>
      <c r="B154" s="17" t="s">
        <v>80</v>
      </c>
      <c r="C154" s="35"/>
      <c r="D154" s="35"/>
      <c r="E154" s="35"/>
      <c r="F154" s="35"/>
      <c r="G154" s="35"/>
      <c r="H154" s="35">
        <f t="shared" si="33"/>
        <v>0</v>
      </c>
      <c r="I154" s="35"/>
      <c r="J154" s="35">
        <f t="shared" si="32"/>
        <v>0</v>
      </c>
      <c r="K154" s="36">
        <v>150</v>
      </c>
    </row>
    <row r="155" spans="1:11" hidden="1" outlineLevel="1" x14ac:dyDescent="0.25">
      <c r="A155" s="34"/>
      <c r="B155" s="17" t="s">
        <v>81</v>
      </c>
      <c r="C155" s="35"/>
      <c r="D155" s="35"/>
      <c r="E155" s="35"/>
      <c r="F155" s="35"/>
      <c r="G155" s="35"/>
      <c r="H155" s="35">
        <f t="shared" si="33"/>
        <v>0</v>
      </c>
      <c r="I155" s="35"/>
      <c r="J155" s="35">
        <f t="shared" si="32"/>
        <v>0</v>
      </c>
      <c r="K155" s="36">
        <v>151</v>
      </c>
    </row>
    <row r="156" spans="1:11" hidden="1" outlineLevel="1" x14ac:dyDescent="0.25">
      <c r="A156" s="34"/>
      <c r="B156" s="18" t="s">
        <v>82</v>
      </c>
      <c r="C156" s="35"/>
      <c r="D156" s="35"/>
      <c r="E156" s="35"/>
      <c r="F156" s="35"/>
      <c r="G156" s="35"/>
      <c r="H156" s="35">
        <f t="shared" si="33"/>
        <v>0</v>
      </c>
      <c r="I156" s="35"/>
      <c r="J156" s="35">
        <f t="shared" si="32"/>
        <v>0</v>
      </c>
      <c r="K156" s="36">
        <v>152</v>
      </c>
    </row>
    <row r="157" spans="1:11" ht="30" hidden="1" outlineLevel="1" x14ac:dyDescent="0.25">
      <c r="A157" s="34"/>
      <c r="B157" s="17" t="s">
        <v>83</v>
      </c>
      <c r="C157" s="35"/>
      <c r="D157" s="35"/>
      <c r="E157" s="35"/>
      <c r="F157" s="35"/>
      <c r="G157" s="35"/>
      <c r="H157" s="35">
        <f t="shared" si="33"/>
        <v>0</v>
      </c>
      <c r="I157" s="35"/>
      <c r="J157" s="35">
        <f t="shared" si="32"/>
        <v>0</v>
      </c>
      <c r="K157" s="36">
        <v>153</v>
      </c>
    </row>
    <row r="158" spans="1:11" hidden="1" outlineLevel="1" x14ac:dyDescent="0.25">
      <c r="A158" s="28"/>
      <c r="B158" s="15" t="s">
        <v>84</v>
      </c>
      <c r="C158" s="29">
        <f>+SUM(C159:C163)</f>
        <v>0</v>
      </c>
      <c r="D158" s="29">
        <f t="shared" ref="D158:G158" si="38">+SUM(D159:D163)</f>
        <v>0</v>
      </c>
      <c r="E158" s="29">
        <f t="shared" si="38"/>
        <v>0</v>
      </c>
      <c r="F158" s="29">
        <f t="shared" si="38"/>
        <v>0</v>
      </c>
      <c r="G158" s="29">
        <f t="shared" si="38"/>
        <v>0</v>
      </c>
      <c r="H158" s="29">
        <f t="shared" si="33"/>
        <v>0</v>
      </c>
      <c r="I158" s="29"/>
      <c r="J158" s="29">
        <f t="shared" si="32"/>
        <v>0</v>
      </c>
      <c r="K158" s="30">
        <v>154</v>
      </c>
    </row>
    <row r="159" spans="1:11" hidden="1" outlineLevel="1" x14ac:dyDescent="0.25">
      <c r="A159" s="34"/>
      <c r="B159" s="17"/>
      <c r="C159" s="35"/>
      <c r="D159" s="35"/>
      <c r="E159" s="35"/>
      <c r="F159" s="35"/>
      <c r="G159" s="35"/>
      <c r="H159" s="35">
        <f t="shared" si="33"/>
        <v>0</v>
      </c>
      <c r="I159" s="35"/>
      <c r="J159" s="35">
        <f t="shared" si="32"/>
        <v>0</v>
      </c>
      <c r="K159" s="36">
        <v>155</v>
      </c>
    </row>
    <row r="160" spans="1:11" hidden="1" outlineLevel="1" x14ac:dyDescent="0.25">
      <c r="A160" s="34"/>
      <c r="B160" s="17"/>
      <c r="C160" s="35"/>
      <c r="D160" s="35"/>
      <c r="E160" s="35"/>
      <c r="F160" s="35"/>
      <c r="G160" s="35"/>
      <c r="H160" s="35">
        <f t="shared" si="33"/>
        <v>0</v>
      </c>
      <c r="I160" s="35"/>
      <c r="J160" s="35">
        <f t="shared" si="32"/>
        <v>0</v>
      </c>
      <c r="K160" s="36">
        <v>156</v>
      </c>
    </row>
    <row r="161" spans="1:11" hidden="1" outlineLevel="1" x14ac:dyDescent="0.25">
      <c r="A161" s="34"/>
      <c r="B161" s="17"/>
      <c r="C161" s="35"/>
      <c r="D161" s="35"/>
      <c r="E161" s="35"/>
      <c r="F161" s="35"/>
      <c r="G161" s="35"/>
      <c r="H161" s="35">
        <f t="shared" si="33"/>
        <v>0</v>
      </c>
      <c r="I161" s="35"/>
      <c r="J161" s="35">
        <f t="shared" si="32"/>
        <v>0</v>
      </c>
      <c r="K161" s="36">
        <v>157</v>
      </c>
    </row>
    <row r="162" spans="1:11" hidden="1" outlineLevel="1" x14ac:dyDescent="0.25">
      <c r="A162" s="34"/>
      <c r="B162" s="17" t="s">
        <v>86</v>
      </c>
      <c r="C162" s="35"/>
      <c r="D162" s="35"/>
      <c r="E162" s="35"/>
      <c r="F162" s="35"/>
      <c r="G162" s="35"/>
      <c r="H162" s="35">
        <f t="shared" si="33"/>
        <v>0</v>
      </c>
      <c r="I162" s="35"/>
      <c r="J162" s="35">
        <f t="shared" si="32"/>
        <v>0</v>
      </c>
      <c r="K162" s="36">
        <v>158</v>
      </c>
    </row>
    <row r="163" spans="1:11" hidden="1" outlineLevel="1" x14ac:dyDescent="0.25">
      <c r="A163" s="34"/>
      <c r="B163" s="17"/>
      <c r="C163" s="35"/>
      <c r="D163" s="35"/>
      <c r="E163" s="35"/>
      <c r="F163" s="35"/>
      <c r="G163" s="35"/>
      <c r="H163" s="35">
        <f t="shared" si="33"/>
        <v>0</v>
      </c>
      <c r="I163" s="35"/>
      <c r="J163" s="35">
        <f t="shared" si="32"/>
        <v>0</v>
      </c>
      <c r="K163" s="36">
        <v>159</v>
      </c>
    </row>
    <row r="164" spans="1:11" ht="30" collapsed="1" x14ac:dyDescent="0.25">
      <c r="A164" s="39" t="s">
        <v>95</v>
      </c>
      <c r="B164" s="14" t="s">
        <v>96</v>
      </c>
      <c r="C164" s="24">
        <f>+C165</f>
        <v>0</v>
      </c>
      <c r="D164" s="24">
        <f t="shared" ref="D164:G164" si="39">+D165</f>
        <v>0</v>
      </c>
      <c r="E164" s="24">
        <f t="shared" si="39"/>
        <v>0</v>
      </c>
      <c r="F164" s="24">
        <f t="shared" si="39"/>
        <v>0</v>
      </c>
      <c r="G164" s="24">
        <f t="shared" si="39"/>
        <v>0</v>
      </c>
      <c r="H164" s="24">
        <f t="shared" si="33"/>
        <v>0</v>
      </c>
      <c r="I164" s="24"/>
      <c r="J164" s="24">
        <f t="shared" si="32"/>
        <v>0</v>
      </c>
      <c r="K164" s="25">
        <v>160</v>
      </c>
    </row>
    <row r="165" spans="1:11" ht="45" x14ac:dyDescent="0.25">
      <c r="A165" s="40" t="s">
        <v>40</v>
      </c>
      <c r="B165" s="10" t="s">
        <v>97</v>
      </c>
      <c r="C165" s="26">
        <f t="shared" ref="C165:G165" si="40">+C166+C175+C179+C185</f>
        <v>0</v>
      </c>
      <c r="D165" s="26">
        <f t="shared" si="40"/>
        <v>0</v>
      </c>
      <c r="E165" s="26">
        <f t="shared" si="40"/>
        <v>0</v>
      </c>
      <c r="F165" s="26">
        <f t="shared" si="40"/>
        <v>0</v>
      </c>
      <c r="G165" s="26">
        <f t="shared" si="40"/>
        <v>0</v>
      </c>
      <c r="H165" s="26">
        <f t="shared" si="33"/>
        <v>0</v>
      </c>
      <c r="I165" s="26">
        <v>0</v>
      </c>
      <c r="J165" s="26">
        <f t="shared" si="32"/>
        <v>0</v>
      </c>
      <c r="K165" s="27">
        <v>161</v>
      </c>
    </row>
    <row r="166" spans="1:11" hidden="1" outlineLevel="1" collapsed="1" x14ac:dyDescent="0.25">
      <c r="A166" s="28"/>
      <c r="B166" s="15" t="s">
        <v>65</v>
      </c>
      <c r="C166" s="29">
        <f t="shared" ref="C166:G166" si="41">+SUM(C167:C174)</f>
        <v>0</v>
      </c>
      <c r="D166" s="29">
        <f t="shared" si="41"/>
        <v>0</v>
      </c>
      <c r="E166" s="29">
        <f t="shared" si="41"/>
        <v>0</v>
      </c>
      <c r="F166" s="29">
        <f t="shared" si="41"/>
        <v>0</v>
      </c>
      <c r="G166" s="29">
        <f t="shared" si="41"/>
        <v>0</v>
      </c>
      <c r="H166" s="29">
        <f t="shared" si="33"/>
        <v>0</v>
      </c>
      <c r="I166" s="29">
        <v>0</v>
      </c>
      <c r="J166" s="29">
        <f t="shared" si="32"/>
        <v>0</v>
      </c>
      <c r="K166" s="30">
        <v>162</v>
      </c>
    </row>
    <row r="167" spans="1:11" hidden="1" outlineLevel="1" x14ac:dyDescent="0.25">
      <c r="A167" s="31"/>
      <c r="B167" s="16" t="s">
        <v>66</v>
      </c>
      <c r="C167" s="32"/>
      <c r="D167" s="32"/>
      <c r="E167" s="32"/>
      <c r="F167" s="32"/>
      <c r="G167" s="32"/>
      <c r="H167" s="32">
        <f t="shared" si="33"/>
        <v>0</v>
      </c>
      <c r="I167" s="32"/>
      <c r="J167" s="32">
        <f t="shared" si="32"/>
        <v>0</v>
      </c>
      <c r="K167" s="33">
        <v>163</v>
      </c>
    </row>
    <row r="168" spans="1:11" hidden="1" outlineLevel="1" x14ac:dyDescent="0.25">
      <c r="A168" s="31"/>
      <c r="B168" s="17" t="s">
        <v>67</v>
      </c>
      <c r="C168" s="32"/>
      <c r="D168" s="32"/>
      <c r="E168" s="32"/>
      <c r="F168" s="32"/>
      <c r="G168" s="32"/>
      <c r="H168" s="32">
        <f t="shared" si="33"/>
        <v>0</v>
      </c>
      <c r="I168" s="32"/>
      <c r="J168" s="32">
        <f t="shared" si="32"/>
        <v>0</v>
      </c>
      <c r="K168" s="33">
        <v>164</v>
      </c>
    </row>
    <row r="169" spans="1:11" ht="30" hidden="1" outlineLevel="1" x14ac:dyDescent="0.25">
      <c r="A169" s="31"/>
      <c r="B169" s="17" t="s">
        <v>68</v>
      </c>
      <c r="C169" s="32"/>
      <c r="D169" s="32"/>
      <c r="E169" s="32"/>
      <c r="F169" s="32"/>
      <c r="G169" s="32"/>
      <c r="H169" s="32">
        <f t="shared" si="33"/>
        <v>0</v>
      </c>
      <c r="I169" s="32"/>
      <c r="J169" s="32">
        <f t="shared" si="32"/>
        <v>0</v>
      </c>
      <c r="K169" s="33">
        <v>165</v>
      </c>
    </row>
    <row r="170" spans="1:11" hidden="1" outlineLevel="1" x14ac:dyDescent="0.25">
      <c r="A170" s="31"/>
      <c r="B170" s="16" t="s">
        <v>69</v>
      </c>
      <c r="C170" s="32"/>
      <c r="D170" s="32"/>
      <c r="E170" s="32"/>
      <c r="F170" s="32"/>
      <c r="G170" s="32"/>
      <c r="H170" s="32">
        <f t="shared" si="33"/>
        <v>0</v>
      </c>
      <c r="I170" s="32"/>
      <c r="J170" s="32">
        <f t="shared" si="32"/>
        <v>0</v>
      </c>
      <c r="K170" s="33">
        <v>166</v>
      </c>
    </row>
    <row r="171" spans="1:11" hidden="1" outlineLevel="1" x14ac:dyDescent="0.25">
      <c r="A171" s="31"/>
      <c r="B171" s="17" t="s">
        <v>70</v>
      </c>
      <c r="C171" s="32"/>
      <c r="D171" s="32"/>
      <c r="E171" s="32"/>
      <c r="F171" s="32"/>
      <c r="G171" s="32"/>
      <c r="H171" s="32">
        <f t="shared" si="33"/>
        <v>0</v>
      </c>
      <c r="I171" s="32"/>
      <c r="J171" s="32">
        <f t="shared" si="32"/>
        <v>0</v>
      </c>
      <c r="K171" s="33">
        <v>167</v>
      </c>
    </row>
    <row r="172" spans="1:11" ht="30" hidden="1" outlineLevel="1" x14ac:dyDescent="0.25">
      <c r="A172" s="31"/>
      <c r="B172" s="17" t="s">
        <v>71</v>
      </c>
      <c r="C172" s="32"/>
      <c r="D172" s="32"/>
      <c r="E172" s="32"/>
      <c r="F172" s="32"/>
      <c r="G172" s="32"/>
      <c r="H172" s="32">
        <f t="shared" si="33"/>
        <v>0</v>
      </c>
      <c r="I172" s="32"/>
      <c r="J172" s="32">
        <f t="shared" si="32"/>
        <v>0</v>
      </c>
      <c r="K172" s="33">
        <v>168</v>
      </c>
    </row>
    <row r="173" spans="1:11" hidden="1" outlineLevel="1" x14ac:dyDescent="0.25">
      <c r="A173" s="31"/>
      <c r="B173" s="16" t="s">
        <v>72</v>
      </c>
      <c r="C173" s="32"/>
      <c r="D173" s="32"/>
      <c r="E173" s="32"/>
      <c r="F173" s="32"/>
      <c r="G173" s="32"/>
      <c r="H173" s="32">
        <f t="shared" si="33"/>
        <v>0</v>
      </c>
      <c r="I173" s="32"/>
      <c r="J173" s="32">
        <f t="shared" si="32"/>
        <v>0</v>
      </c>
      <c r="K173" s="33">
        <v>169</v>
      </c>
    </row>
    <row r="174" spans="1:11" ht="30" hidden="1" outlineLevel="1" x14ac:dyDescent="0.25">
      <c r="A174" s="31"/>
      <c r="B174" s="17" t="s">
        <v>73</v>
      </c>
      <c r="C174" s="32"/>
      <c r="D174" s="32"/>
      <c r="E174" s="32"/>
      <c r="F174" s="32"/>
      <c r="G174" s="32"/>
      <c r="H174" s="32">
        <f t="shared" si="33"/>
        <v>0</v>
      </c>
      <c r="I174" s="32"/>
      <c r="J174" s="32">
        <f t="shared" si="32"/>
        <v>0</v>
      </c>
      <c r="K174" s="33">
        <v>170</v>
      </c>
    </row>
    <row r="175" spans="1:11" hidden="1" outlineLevel="1" x14ac:dyDescent="0.25">
      <c r="A175" s="28"/>
      <c r="B175" s="15" t="s">
        <v>74</v>
      </c>
      <c r="C175" s="29">
        <f t="shared" ref="C175:G175" si="42">+SUM(C176:C178)</f>
        <v>0</v>
      </c>
      <c r="D175" s="29">
        <f t="shared" si="42"/>
        <v>0</v>
      </c>
      <c r="E175" s="29">
        <f t="shared" si="42"/>
        <v>0</v>
      </c>
      <c r="F175" s="29">
        <f t="shared" si="42"/>
        <v>0</v>
      </c>
      <c r="G175" s="29">
        <f t="shared" si="42"/>
        <v>0</v>
      </c>
      <c r="H175" s="29">
        <f t="shared" si="33"/>
        <v>0</v>
      </c>
      <c r="I175" s="29"/>
      <c r="J175" s="29">
        <f t="shared" si="32"/>
        <v>0</v>
      </c>
      <c r="K175" s="30">
        <v>171</v>
      </c>
    </row>
    <row r="176" spans="1:11" ht="30" hidden="1" outlineLevel="1" x14ac:dyDescent="0.25">
      <c r="A176" s="34"/>
      <c r="B176" s="17" t="s">
        <v>75</v>
      </c>
      <c r="C176" s="35"/>
      <c r="D176" s="35"/>
      <c r="E176" s="35"/>
      <c r="F176" s="35"/>
      <c r="G176" s="35"/>
      <c r="H176" s="35">
        <f t="shared" si="33"/>
        <v>0</v>
      </c>
      <c r="I176" s="35"/>
      <c r="J176" s="35">
        <f t="shared" si="32"/>
        <v>0</v>
      </c>
      <c r="K176" s="36">
        <v>172</v>
      </c>
    </row>
    <row r="177" spans="1:11" ht="30" hidden="1" outlineLevel="1" x14ac:dyDescent="0.25">
      <c r="A177" s="34"/>
      <c r="B177" s="17" t="s">
        <v>76</v>
      </c>
      <c r="C177" s="35"/>
      <c r="D177" s="35"/>
      <c r="E177" s="35"/>
      <c r="F177" s="35"/>
      <c r="G177" s="35"/>
      <c r="H177" s="35">
        <f t="shared" si="33"/>
        <v>0</v>
      </c>
      <c r="I177" s="35"/>
      <c r="J177" s="35">
        <f t="shared" si="32"/>
        <v>0</v>
      </c>
      <c r="K177" s="36">
        <v>173</v>
      </c>
    </row>
    <row r="178" spans="1:11" ht="30" hidden="1" outlineLevel="1" x14ac:dyDescent="0.25">
      <c r="A178" s="34"/>
      <c r="B178" s="17" t="s">
        <v>77</v>
      </c>
      <c r="C178" s="35"/>
      <c r="D178" s="35"/>
      <c r="E178" s="35"/>
      <c r="F178" s="35"/>
      <c r="G178" s="35"/>
      <c r="H178" s="35">
        <f t="shared" si="33"/>
        <v>0</v>
      </c>
      <c r="I178" s="35"/>
      <c r="J178" s="35">
        <f t="shared" si="32"/>
        <v>0</v>
      </c>
      <c r="K178" s="36">
        <v>174</v>
      </c>
    </row>
    <row r="179" spans="1:11" hidden="1" outlineLevel="1" x14ac:dyDescent="0.25">
      <c r="A179" s="28"/>
      <c r="B179" s="15" t="s">
        <v>78</v>
      </c>
      <c r="C179" s="29">
        <f t="shared" ref="C179:G179" si="43">+SUM(C180:C184)</f>
        <v>0</v>
      </c>
      <c r="D179" s="29">
        <f t="shared" si="43"/>
        <v>0</v>
      </c>
      <c r="E179" s="29">
        <f t="shared" si="43"/>
        <v>0</v>
      </c>
      <c r="F179" s="29">
        <f t="shared" si="43"/>
        <v>0</v>
      </c>
      <c r="G179" s="29">
        <f t="shared" si="43"/>
        <v>0</v>
      </c>
      <c r="H179" s="29">
        <f t="shared" si="33"/>
        <v>0</v>
      </c>
      <c r="I179" s="29"/>
      <c r="J179" s="29">
        <f t="shared" si="32"/>
        <v>0</v>
      </c>
      <c r="K179" s="30">
        <v>175</v>
      </c>
    </row>
    <row r="180" spans="1:11" hidden="1" outlineLevel="1" x14ac:dyDescent="0.25">
      <c r="A180" s="34"/>
      <c r="B180" s="18" t="s">
        <v>79</v>
      </c>
      <c r="C180" s="35"/>
      <c r="D180" s="35"/>
      <c r="E180" s="35"/>
      <c r="F180" s="35"/>
      <c r="G180" s="35"/>
      <c r="H180" s="35">
        <f t="shared" si="33"/>
        <v>0</v>
      </c>
      <c r="I180" s="35"/>
      <c r="J180" s="35">
        <f t="shared" si="32"/>
        <v>0</v>
      </c>
      <c r="K180" s="36">
        <v>176</v>
      </c>
    </row>
    <row r="181" spans="1:11" ht="30" hidden="1" outlineLevel="1" x14ac:dyDescent="0.25">
      <c r="A181" s="34"/>
      <c r="B181" s="17" t="s">
        <v>80</v>
      </c>
      <c r="C181" s="35"/>
      <c r="D181" s="35"/>
      <c r="E181" s="35"/>
      <c r="F181" s="35"/>
      <c r="G181" s="35"/>
      <c r="H181" s="35">
        <f t="shared" si="33"/>
        <v>0</v>
      </c>
      <c r="I181" s="35"/>
      <c r="J181" s="35">
        <f t="shared" si="32"/>
        <v>0</v>
      </c>
      <c r="K181" s="36">
        <v>177</v>
      </c>
    </row>
    <row r="182" spans="1:11" hidden="1" outlineLevel="1" x14ac:dyDescent="0.25">
      <c r="A182" s="34"/>
      <c r="B182" s="17" t="s">
        <v>81</v>
      </c>
      <c r="C182" s="35"/>
      <c r="D182" s="35"/>
      <c r="E182" s="35"/>
      <c r="F182" s="35"/>
      <c r="G182" s="35"/>
      <c r="H182" s="35">
        <f t="shared" si="33"/>
        <v>0</v>
      </c>
      <c r="I182" s="35"/>
      <c r="J182" s="35">
        <f t="shared" si="32"/>
        <v>0</v>
      </c>
      <c r="K182" s="36">
        <v>178</v>
      </c>
    </row>
    <row r="183" spans="1:11" hidden="1" outlineLevel="1" x14ac:dyDescent="0.25">
      <c r="A183" s="34"/>
      <c r="B183" s="18" t="s">
        <v>82</v>
      </c>
      <c r="C183" s="35"/>
      <c r="D183" s="35"/>
      <c r="E183" s="35"/>
      <c r="F183" s="35"/>
      <c r="G183" s="35"/>
      <c r="H183" s="35">
        <f t="shared" si="33"/>
        <v>0</v>
      </c>
      <c r="I183" s="35"/>
      <c r="J183" s="35">
        <f t="shared" si="32"/>
        <v>0</v>
      </c>
      <c r="K183" s="36">
        <v>179</v>
      </c>
    </row>
    <row r="184" spans="1:11" ht="30" hidden="1" outlineLevel="1" x14ac:dyDescent="0.25">
      <c r="A184" s="34"/>
      <c r="B184" s="17" t="s">
        <v>83</v>
      </c>
      <c r="C184" s="35"/>
      <c r="D184" s="35"/>
      <c r="E184" s="35"/>
      <c r="F184" s="35"/>
      <c r="G184" s="35"/>
      <c r="H184" s="35">
        <f t="shared" si="33"/>
        <v>0</v>
      </c>
      <c r="I184" s="35"/>
      <c r="J184" s="35">
        <f t="shared" si="32"/>
        <v>0</v>
      </c>
      <c r="K184" s="36">
        <v>180</v>
      </c>
    </row>
    <row r="185" spans="1:11" hidden="1" outlineLevel="1" x14ac:dyDescent="0.25">
      <c r="A185" s="28"/>
      <c r="B185" s="15" t="s">
        <v>84</v>
      </c>
      <c r="C185" s="29">
        <f>+SUM(C186:C190)</f>
        <v>0</v>
      </c>
      <c r="D185" s="29">
        <f t="shared" ref="D185:G185" si="44">+SUM(D186:D190)</f>
        <v>0</v>
      </c>
      <c r="E185" s="29">
        <f t="shared" si="44"/>
        <v>0</v>
      </c>
      <c r="F185" s="29">
        <f t="shared" si="44"/>
        <v>0</v>
      </c>
      <c r="G185" s="29">
        <f t="shared" si="44"/>
        <v>0</v>
      </c>
      <c r="H185" s="29">
        <f t="shared" si="33"/>
        <v>0</v>
      </c>
      <c r="I185" s="29"/>
      <c r="J185" s="29">
        <f t="shared" si="32"/>
        <v>0</v>
      </c>
      <c r="K185" s="30">
        <v>181</v>
      </c>
    </row>
    <row r="186" spans="1:11" hidden="1" outlineLevel="1" x14ac:dyDescent="0.25">
      <c r="A186" s="34"/>
      <c r="B186" s="17"/>
      <c r="C186" s="35"/>
      <c r="D186" s="35"/>
      <c r="E186" s="35"/>
      <c r="F186" s="35"/>
      <c r="G186" s="35"/>
      <c r="H186" s="35">
        <f t="shared" si="33"/>
        <v>0</v>
      </c>
      <c r="I186" s="35"/>
      <c r="J186" s="35">
        <f t="shared" si="32"/>
        <v>0</v>
      </c>
      <c r="K186" s="36">
        <v>182</v>
      </c>
    </row>
    <row r="187" spans="1:11" hidden="1" outlineLevel="1" x14ac:dyDescent="0.25">
      <c r="A187" s="34"/>
      <c r="B187" s="17"/>
      <c r="C187" s="35"/>
      <c r="D187" s="35"/>
      <c r="E187" s="35"/>
      <c r="F187" s="35"/>
      <c r="G187" s="35"/>
      <c r="H187" s="35">
        <f t="shared" si="33"/>
        <v>0</v>
      </c>
      <c r="I187" s="35"/>
      <c r="J187" s="35">
        <f t="shared" si="32"/>
        <v>0</v>
      </c>
      <c r="K187" s="36">
        <v>183</v>
      </c>
    </row>
    <row r="188" spans="1:11" hidden="1" outlineLevel="1" x14ac:dyDescent="0.25">
      <c r="A188" s="34"/>
      <c r="B188" s="17"/>
      <c r="C188" s="35"/>
      <c r="D188" s="35"/>
      <c r="E188" s="35"/>
      <c r="F188" s="35"/>
      <c r="G188" s="35"/>
      <c r="H188" s="35">
        <f t="shared" si="33"/>
        <v>0</v>
      </c>
      <c r="I188" s="35"/>
      <c r="J188" s="35">
        <f t="shared" si="32"/>
        <v>0</v>
      </c>
      <c r="K188" s="36">
        <v>184</v>
      </c>
    </row>
    <row r="189" spans="1:11" hidden="1" outlineLevel="1" x14ac:dyDescent="0.25">
      <c r="A189" s="34"/>
      <c r="B189" s="17" t="s">
        <v>86</v>
      </c>
      <c r="C189" s="35"/>
      <c r="D189" s="35"/>
      <c r="E189" s="35"/>
      <c r="F189" s="35"/>
      <c r="G189" s="35"/>
      <c r="H189" s="35">
        <f t="shared" si="33"/>
        <v>0</v>
      </c>
      <c r="I189" s="35"/>
      <c r="J189" s="35">
        <f t="shared" si="32"/>
        <v>0</v>
      </c>
      <c r="K189" s="36">
        <v>185</v>
      </c>
    </row>
    <row r="190" spans="1:11" hidden="1" outlineLevel="1" collapsed="1" x14ac:dyDescent="0.25">
      <c r="A190" s="34"/>
      <c r="B190" s="17"/>
      <c r="C190" s="35"/>
      <c r="D190" s="35"/>
      <c r="E190" s="35"/>
      <c r="F190" s="35"/>
      <c r="G190" s="35"/>
      <c r="H190" s="35">
        <f t="shared" si="33"/>
        <v>0</v>
      </c>
      <c r="I190" s="35"/>
      <c r="J190" s="35">
        <f t="shared" si="32"/>
        <v>0</v>
      </c>
      <c r="K190" s="36">
        <v>186</v>
      </c>
    </row>
    <row r="191" spans="1:11" ht="30" collapsed="1" x14ac:dyDescent="0.25">
      <c r="A191" s="39" t="s">
        <v>98</v>
      </c>
      <c r="B191" s="14" t="s">
        <v>99</v>
      </c>
      <c r="C191" s="24">
        <f>+C192+C218</f>
        <v>0</v>
      </c>
      <c r="D191" s="24">
        <f t="shared" ref="D191:G191" si="45">+D192+D218</f>
        <v>0</v>
      </c>
      <c r="E191" s="24">
        <f t="shared" si="45"/>
        <v>0</v>
      </c>
      <c r="F191" s="24">
        <f t="shared" si="45"/>
        <v>0</v>
      </c>
      <c r="G191" s="24">
        <f t="shared" si="45"/>
        <v>0</v>
      </c>
      <c r="H191" s="24">
        <f t="shared" si="33"/>
        <v>0</v>
      </c>
      <c r="I191" s="24"/>
      <c r="J191" s="24">
        <f t="shared" si="32"/>
        <v>0</v>
      </c>
      <c r="K191" s="25">
        <v>187</v>
      </c>
    </row>
    <row r="192" spans="1:11" ht="45" collapsed="1" x14ac:dyDescent="0.25">
      <c r="A192" s="40" t="s">
        <v>100</v>
      </c>
      <c r="B192" s="10" t="s">
        <v>101</v>
      </c>
      <c r="C192" s="26">
        <f t="shared" ref="C192:G192" si="46">+C193+C202+C206+C212</f>
        <v>0</v>
      </c>
      <c r="D192" s="26">
        <f t="shared" si="46"/>
        <v>0</v>
      </c>
      <c r="E192" s="26">
        <f t="shared" si="46"/>
        <v>0</v>
      </c>
      <c r="F192" s="26">
        <f t="shared" si="46"/>
        <v>0</v>
      </c>
      <c r="G192" s="26">
        <f t="shared" si="46"/>
        <v>0</v>
      </c>
      <c r="H192" s="26">
        <f t="shared" si="33"/>
        <v>0</v>
      </c>
      <c r="I192" s="26">
        <v>0</v>
      </c>
      <c r="J192" s="26">
        <f t="shared" si="32"/>
        <v>0</v>
      </c>
      <c r="K192" s="27">
        <v>188</v>
      </c>
    </row>
    <row r="193" spans="1:11" hidden="1" outlineLevel="1" x14ac:dyDescent="0.25">
      <c r="A193" s="28"/>
      <c r="B193" s="15" t="s">
        <v>65</v>
      </c>
      <c r="C193" s="29">
        <f t="shared" ref="C193:G193" si="47">+SUM(C194:C201)</f>
        <v>0</v>
      </c>
      <c r="D193" s="29">
        <f t="shared" si="47"/>
        <v>0</v>
      </c>
      <c r="E193" s="29">
        <f t="shared" si="47"/>
        <v>0</v>
      </c>
      <c r="F193" s="29">
        <f t="shared" si="47"/>
        <v>0</v>
      </c>
      <c r="G193" s="29">
        <f t="shared" si="47"/>
        <v>0</v>
      </c>
      <c r="H193" s="29">
        <f t="shared" si="33"/>
        <v>0</v>
      </c>
      <c r="I193" s="29">
        <v>0</v>
      </c>
      <c r="J193" s="29">
        <f t="shared" si="32"/>
        <v>0</v>
      </c>
      <c r="K193" s="30">
        <v>189</v>
      </c>
    </row>
    <row r="194" spans="1:11" hidden="1" outlineLevel="1" x14ac:dyDescent="0.25">
      <c r="A194" s="31"/>
      <c r="B194" s="16" t="s">
        <v>66</v>
      </c>
      <c r="C194" s="32"/>
      <c r="D194" s="32"/>
      <c r="E194" s="32"/>
      <c r="F194" s="32"/>
      <c r="G194" s="32"/>
      <c r="H194" s="32">
        <f t="shared" si="33"/>
        <v>0</v>
      </c>
      <c r="I194" s="32"/>
      <c r="J194" s="32">
        <f t="shared" si="32"/>
        <v>0</v>
      </c>
      <c r="K194" s="33">
        <v>190</v>
      </c>
    </row>
    <row r="195" spans="1:11" hidden="1" outlineLevel="1" x14ac:dyDescent="0.25">
      <c r="A195" s="31"/>
      <c r="B195" s="17" t="s">
        <v>67</v>
      </c>
      <c r="C195" s="32"/>
      <c r="D195" s="32"/>
      <c r="E195" s="32"/>
      <c r="F195" s="32"/>
      <c r="G195" s="32"/>
      <c r="H195" s="32">
        <f t="shared" si="33"/>
        <v>0</v>
      </c>
      <c r="I195" s="32"/>
      <c r="J195" s="32">
        <f t="shared" si="32"/>
        <v>0</v>
      </c>
      <c r="K195" s="33">
        <v>191</v>
      </c>
    </row>
    <row r="196" spans="1:11" ht="30" hidden="1" outlineLevel="1" x14ac:dyDescent="0.25">
      <c r="A196" s="31"/>
      <c r="B196" s="17" t="s">
        <v>68</v>
      </c>
      <c r="C196" s="32"/>
      <c r="D196" s="32"/>
      <c r="E196" s="32"/>
      <c r="F196" s="32"/>
      <c r="G196" s="32"/>
      <c r="H196" s="32">
        <f t="shared" si="33"/>
        <v>0</v>
      </c>
      <c r="I196" s="32"/>
      <c r="J196" s="32">
        <f t="shared" si="32"/>
        <v>0</v>
      </c>
      <c r="K196" s="33">
        <v>192</v>
      </c>
    </row>
    <row r="197" spans="1:11" hidden="1" outlineLevel="1" x14ac:dyDescent="0.25">
      <c r="A197" s="31"/>
      <c r="B197" s="16" t="s">
        <v>69</v>
      </c>
      <c r="C197" s="32"/>
      <c r="D197" s="32"/>
      <c r="E197" s="32"/>
      <c r="F197" s="32"/>
      <c r="G197" s="32"/>
      <c r="H197" s="32">
        <f t="shared" si="33"/>
        <v>0</v>
      </c>
      <c r="I197" s="32"/>
      <c r="J197" s="32">
        <f t="shared" ref="J197:J260" si="48">+I197-H197</f>
        <v>0</v>
      </c>
      <c r="K197" s="33">
        <v>193</v>
      </c>
    </row>
    <row r="198" spans="1:11" hidden="1" outlineLevel="1" x14ac:dyDescent="0.25">
      <c r="A198" s="31"/>
      <c r="B198" s="17" t="s">
        <v>70</v>
      </c>
      <c r="C198" s="32"/>
      <c r="D198" s="32"/>
      <c r="E198" s="32"/>
      <c r="F198" s="32"/>
      <c r="G198" s="32"/>
      <c r="H198" s="32">
        <f t="shared" ref="H198:H261" si="49">+SUM(C198:G198)</f>
        <v>0</v>
      </c>
      <c r="I198" s="32"/>
      <c r="J198" s="32">
        <f t="shared" si="48"/>
        <v>0</v>
      </c>
      <c r="K198" s="33">
        <v>194</v>
      </c>
    </row>
    <row r="199" spans="1:11" ht="30" hidden="1" outlineLevel="1" x14ac:dyDescent="0.25">
      <c r="A199" s="31"/>
      <c r="B199" s="17" t="s">
        <v>71</v>
      </c>
      <c r="C199" s="32"/>
      <c r="D199" s="32"/>
      <c r="E199" s="32"/>
      <c r="F199" s="32"/>
      <c r="G199" s="32"/>
      <c r="H199" s="32">
        <f t="shared" si="49"/>
        <v>0</v>
      </c>
      <c r="I199" s="32"/>
      <c r="J199" s="32">
        <f t="shared" si="48"/>
        <v>0</v>
      </c>
      <c r="K199" s="33">
        <v>195</v>
      </c>
    </row>
    <row r="200" spans="1:11" hidden="1" outlineLevel="1" x14ac:dyDescent="0.25">
      <c r="A200" s="31"/>
      <c r="B200" s="16" t="s">
        <v>72</v>
      </c>
      <c r="C200" s="32"/>
      <c r="D200" s="32"/>
      <c r="E200" s="32"/>
      <c r="F200" s="32"/>
      <c r="G200" s="32"/>
      <c r="H200" s="32">
        <f t="shared" si="49"/>
        <v>0</v>
      </c>
      <c r="I200" s="32"/>
      <c r="J200" s="32">
        <f t="shared" si="48"/>
        <v>0</v>
      </c>
      <c r="K200" s="33">
        <v>196</v>
      </c>
    </row>
    <row r="201" spans="1:11" ht="30" hidden="1" outlineLevel="1" x14ac:dyDescent="0.25">
      <c r="A201" s="31"/>
      <c r="B201" s="17" t="s">
        <v>73</v>
      </c>
      <c r="C201" s="32"/>
      <c r="D201" s="32"/>
      <c r="E201" s="32"/>
      <c r="F201" s="32"/>
      <c r="G201" s="32"/>
      <c r="H201" s="32">
        <f t="shared" si="49"/>
        <v>0</v>
      </c>
      <c r="I201" s="32"/>
      <c r="J201" s="32">
        <f t="shared" si="48"/>
        <v>0</v>
      </c>
      <c r="K201" s="33">
        <v>197</v>
      </c>
    </row>
    <row r="202" spans="1:11" hidden="1" outlineLevel="1" x14ac:dyDescent="0.25">
      <c r="A202" s="28"/>
      <c r="B202" s="15" t="s">
        <v>74</v>
      </c>
      <c r="C202" s="29">
        <f t="shared" ref="C202:G202" si="50">+SUM(C203:C205)</f>
        <v>0</v>
      </c>
      <c r="D202" s="29">
        <f t="shared" si="50"/>
        <v>0</v>
      </c>
      <c r="E202" s="29">
        <f t="shared" si="50"/>
        <v>0</v>
      </c>
      <c r="F202" s="29">
        <f t="shared" si="50"/>
        <v>0</v>
      </c>
      <c r="G202" s="29">
        <f t="shared" si="50"/>
        <v>0</v>
      </c>
      <c r="H202" s="29">
        <f t="shared" si="49"/>
        <v>0</v>
      </c>
      <c r="I202" s="29"/>
      <c r="J202" s="29">
        <f t="shared" si="48"/>
        <v>0</v>
      </c>
      <c r="K202" s="30">
        <v>198</v>
      </c>
    </row>
    <row r="203" spans="1:11" ht="30" hidden="1" outlineLevel="1" x14ac:dyDescent="0.25">
      <c r="A203" s="34"/>
      <c r="B203" s="17" t="s">
        <v>75</v>
      </c>
      <c r="C203" s="35"/>
      <c r="D203" s="35"/>
      <c r="E203" s="35"/>
      <c r="F203" s="35"/>
      <c r="G203" s="35"/>
      <c r="H203" s="35">
        <f t="shared" si="49"/>
        <v>0</v>
      </c>
      <c r="I203" s="35"/>
      <c r="J203" s="35">
        <f t="shared" si="48"/>
        <v>0</v>
      </c>
      <c r="K203" s="36">
        <v>199</v>
      </c>
    </row>
    <row r="204" spans="1:11" ht="30" hidden="1" outlineLevel="1" x14ac:dyDescent="0.25">
      <c r="A204" s="34"/>
      <c r="B204" s="17" t="s">
        <v>76</v>
      </c>
      <c r="C204" s="35"/>
      <c r="D204" s="35"/>
      <c r="E204" s="35"/>
      <c r="F204" s="35"/>
      <c r="G204" s="35"/>
      <c r="H204" s="35">
        <f t="shared" si="49"/>
        <v>0</v>
      </c>
      <c r="I204" s="35"/>
      <c r="J204" s="35">
        <f t="shared" si="48"/>
        <v>0</v>
      </c>
      <c r="K204" s="36">
        <v>200</v>
      </c>
    </row>
    <row r="205" spans="1:11" ht="30" hidden="1" outlineLevel="1" x14ac:dyDescent="0.25">
      <c r="A205" s="34"/>
      <c r="B205" s="17" t="s">
        <v>77</v>
      </c>
      <c r="C205" s="35"/>
      <c r="D205" s="35"/>
      <c r="E205" s="35"/>
      <c r="F205" s="35"/>
      <c r="G205" s="35"/>
      <c r="H205" s="35">
        <f t="shared" si="49"/>
        <v>0</v>
      </c>
      <c r="I205" s="35"/>
      <c r="J205" s="35">
        <f t="shared" si="48"/>
        <v>0</v>
      </c>
      <c r="K205" s="36">
        <v>201</v>
      </c>
    </row>
    <row r="206" spans="1:11" hidden="1" outlineLevel="1" x14ac:dyDescent="0.25">
      <c r="A206" s="28"/>
      <c r="B206" s="15" t="s">
        <v>78</v>
      </c>
      <c r="C206" s="29">
        <f t="shared" ref="C206:G206" si="51">+SUM(C207:C211)</f>
        <v>0</v>
      </c>
      <c r="D206" s="29">
        <f t="shared" si="51"/>
        <v>0</v>
      </c>
      <c r="E206" s="29">
        <f t="shared" si="51"/>
        <v>0</v>
      </c>
      <c r="F206" s="29">
        <f t="shared" si="51"/>
        <v>0</v>
      </c>
      <c r="G206" s="29">
        <f t="shared" si="51"/>
        <v>0</v>
      </c>
      <c r="H206" s="29">
        <f t="shared" si="49"/>
        <v>0</v>
      </c>
      <c r="I206" s="29"/>
      <c r="J206" s="29">
        <f t="shared" si="48"/>
        <v>0</v>
      </c>
      <c r="K206" s="30">
        <v>202</v>
      </c>
    </row>
    <row r="207" spans="1:11" hidden="1" outlineLevel="1" x14ac:dyDescent="0.25">
      <c r="A207" s="34"/>
      <c r="B207" s="18" t="s">
        <v>79</v>
      </c>
      <c r="C207" s="35"/>
      <c r="D207" s="35"/>
      <c r="E207" s="35"/>
      <c r="F207" s="35"/>
      <c r="G207" s="35"/>
      <c r="H207" s="35">
        <f t="shared" si="49"/>
        <v>0</v>
      </c>
      <c r="I207" s="35"/>
      <c r="J207" s="35">
        <f t="shared" si="48"/>
        <v>0</v>
      </c>
      <c r="K207" s="36">
        <v>203</v>
      </c>
    </row>
    <row r="208" spans="1:11" ht="30" hidden="1" outlineLevel="1" x14ac:dyDescent="0.25">
      <c r="A208" s="34"/>
      <c r="B208" s="17" t="s">
        <v>80</v>
      </c>
      <c r="C208" s="35"/>
      <c r="D208" s="35"/>
      <c r="E208" s="35"/>
      <c r="F208" s="35"/>
      <c r="G208" s="35"/>
      <c r="H208" s="35">
        <f t="shared" si="49"/>
        <v>0</v>
      </c>
      <c r="I208" s="35"/>
      <c r="J208" s="35">
        <f t="shared" si="48"/>
        <v>0</v>
      </c>
      <c r="K208" s="36">
        <v>204</v>
      </c>
    </row>
    <row r="209" spans="1:11" hidden="1" outlineLevel="1" x14ac:dyDescent="0.25">
      <c r="A209" s="34"/>
      <c r="B209" s="17" t="s">
        <v>81</v>
      </c>
      <c r="C209" s="35"/>
      <c r="D209" s="35"/>
      <c r="E209" s="35"/>
      <c r="F209" s="35"/>
      <c r="G209" s="35"/>
      <c r="H209" s="35">
        <f t="shared" si="49"/>
        <v>0</v>
      </c>
      <c r="I209" s="35"/>
      <c r="J209" s="35">
        <f t="shared" si="48"/>
        <v>0</v>
      </c>
      <c r="K209" s="36">
        <v>205</v>
      </c>
    </row>
    <row r="210" spans="1:11" hidden="1" outlineLevel="1" x14ac:dyDescent="0.25">
      <c r="A210" s="34"/>
      <c r="B210" s="18" t="s">
        <v>82</v>
      </c>
      <c r="C210" s="35"/>
      <c r="D210" s="35"/>
      <c r="E210" s="35"/>
      <c r="F210" s="35"/>
      <c r="G210" s="35"/>
      <c r="H210" s="35">
        <f t="shared" si="49"/>
        <v>0</v>
      </c>
      <c r="I210" s="35"/>
      <c r="J210" s="35">
        <f t="shared" si="48"/>
        <v>0</v>
      </c>
      <c r="K210" s="36">
        <v>206</v>
      </c>
    </row>
    <row r="211" spans="1:11" ht="30" hidden="1" outlineLevel="1" x14ac:dyDescent="0.25">
      <c r="A211" s="34"/>
      <c r="B211" s="17" t="s">
        <v>83</v>
      </c>
      <c r="C211" s="35"/>
      <c r="D211" s="35"/>
      <c r="E211" s="35"/>
      <c r="F211" s="35"/>
      <c r="G211" s="35"/>
      <c r="H211" s="35">
        <f t="shared" si="49"/>
        <v>0</v>
      </c>
      <c r="I211" s="35"/>
      <c r="J211" s="35">
        <f t="shared" si="48"/>
        <v>0</v>
      </c>
      <c r="K211" s="36">
        <v>207</v>
      </c>
    </row>
    <row r="212" spans="1:11" hidden="1" outlineLevel="1" x14ac:dyDescent="0.25">
      <c r="A212" s="28"/>
      <c r="B212" s="15" t="s">
        <v>84</v>
      </c>
      <c r="C212" s="29">
        <f>+SUM(C213:C217)</f>
        <v>0</v>
      </c>
      <c r="D212" s="29">
        <f t="shared" ref="D212:G212" si="52">+SUM(D213:D217)</f>
        <v>0</v>
      </c>
      <c r="E212" s="29">
        <f t="shared" si="52"/>
        <v>0</v>
      </c>
      <c r="F212" s="29">
        <f t="shared" si="52"/>
        <v>0</v>
      </c>
      <c r="G212" s="29">
        <f t="shared" si="52"/>
        <v>0</v>
      </c>
      <c r="H212" s="29">
        <f t="shared" si="49"/>
        <v>0</v>
      </c>
      <c r="I212" s="29"/>
      <c r="J212" s="29">
        <f t="shared" si="48"/>
        <v>0</v>
      </c>
      <c r="K212" s="30">
        <v>208</v>
      </c>
    </row>
    <row r="213" spans="1:11" hidden="1" outlineLevel="1" x14ac:dyDescent="0.25">
      <c r="A213" s="34"/>
      <c r="B213" s="17"/>
      <c r="C213" s="35"/>
      <c r="D213" s="35"/>
      <c r="E213" s="35"/>
      <c r="F213" s="35"/>
      <c r="G213" s="35"/>
      <c r="H213" s="35">
        <f t="shared" si="49"/>
        <v>0</v>
      </c>
      <c r="I213" s="35"/>
      <c r="J213" s="35">
        <f t="shared" si="48"/>
        <v>0</v>
      </c>
      <c r="K213" s="36">
        <v>209</v>
      </c>
    </row>
    <row r="214" spans="1:11" hidden="1" outlineLevel="1" x14ac:dyDescent="0.25">
      <c r="A214" s="34"/>
      <c r="B214" s="17"/>
      <c r="C214" s="35"/>
      <c r="D214" s="35"/>
      <c r="E214" s="35"/>
      <c r="F214" s="35"/>
      <c r="G214" s="35"/>
      <c r="H214" s="35">
        <f t="shared" si="49"/>
        <v>0</v>
      </c>
      <c r="I214" s="35"/>
      <c r="J214" s="35">
        <f t="shared" si="48"/>
        <v>0</v>
      </c>
      <c r="K214" s="36">
        <v>210</v>
      </c>
    </row>
    <row r="215" spans="1:11" hidden="1" outlineLevel="1" x14ac:dyDescent="0.25">
      <c r="A215" s="34"/>
      <c r="B215" s="17"/>
      <c r="C215" s="35"/>
      <c r="D215" s="35"/>
      <c r="E215" s="35"/>
      <c r="F215" s="35"/>
      <c r="G215" s="35"/>
      <c r="H215" s="35">
        <f t="shared" si="49"/>
        <v>0</v>
      </c>
      <c r="I215" s="35"/>
      <c r="J215" s="35">
        <f t="shared" si="48"/>
        <v>0</v>
      </c>
      <c r="K215" s="36">
        <v>211</v>
      </c>
    </row>
    <row r="216" spans="1:11" hidden="1" outlineLevel="1" collapsed="1" x14ac:dyDescent="0.25">
      <c r="A216" s="34"/>
      <c r="B216" s="17" t="s">
        <v>86</v>
      </c>
      <c r="C216" s="35"/>
      <c r="D216" s="35"/>
      <c r="E216" s="35"/>
      <c r="F216" s="35"/>
      <c r="G216" s="35"/>
      <c r="H216" s="35">
        <f t="shared" si="49"/>
        <v>0</v>
      </c>
      <c r="I216" s="35"/>
      <c r="J216" s="35">
        <f t="shared" si="48"/>
        <v>0</v>
      </c>
      <c r="K216" s="36">
        <v>212</v>
      </c>
    </row>
    <row r="217" spans="1:11" hidden="1" outlineLevel="1" collapsed="1" x14ac:dyDescent="0.25">
      <c r="A217" s="34"/>
      <c r="B217" s="17"/>
      <c r="C217" s="35"/>
      <c r="D217" s="35"/>
      <c r="E217" s="35"/>
      <c r="F217" s="35"/>
      <c r="G217" s="35"/>
      <c r="H217" s="35">
        <f t="shared" si="49"/>
        <v>0</v>
      </c>
      <c r="I217" s="35"/>
      <c r="J217" s="35">
        <f t="shared" si="48"/>
        <v>0</v>
      </c>
      <c r="K217" s="36">
        <v>213</v>
      </c>
    </row>
    <row r="218" spans="1:11" ht="45" collapsed="1" x14ac:dyDescent="0.25">
      <c r="A218" s="40" t="s">
        <v>190</v>
      </c>
      <c r="B218" s="10" t="s">
        <v>103</v>
      </c>
      <c r="C218" s="26">
        <f t="shared" ref="C218:G218" si="53">+C219+C228+C232+C238</f>
        <v>0</v>
      </c>
      <c r="D218" s="26">
        <f t="shared" si="53"/>
        <v>0</v>
      </c>
      <c r="E218" s="26">
        <f t="shared" si="53"/>
        <v>0</v>
      </c>
      <c r="F218" s="26">
        <f t="shared" si="53"/>
        <v>0</v>
      </c>
      <c r="G218" s="26">
        <f t="shared" si="53"/>
        <v>0</v>
      </c>
      <c r="H218" s="26">
        <f t="shared" si="49"/>
        <v>0</v>
      </c>
      <c r="I218" s="26">
        <v>0</v>
      </c>
      <c r="J218" s="26">
        <f t="shared" si="48"/>
        <v>0</v>
      </c>
      <c r="K218" s="27">
        <v>214</v>
      </c>
    </row>
    <row r="219" spans="1:11" hidden="1" outlineLevel="1" collapsed="1" x14ac:dyDescent="0.25">
      <c r="A219" s="28"/>
      <c r="B219" s="15" t="s">
        <v>65</v>
      </c>
      <c r="C219" s="29">
        <f t="shared" ref="C219:G219" si="54">+SUM(C220:C227)</f>
        <v>0</v>
      </c>
      <c r="D219" s="29">
        <f t="shared" si="54"/>
        <v>0</v>
      </c>
      <c r="E219" s="29">
        <f t="shared" si="54"/>
        <v>0</v>
      </c>
      <c r="F219" s="29">
        <f t="shared" si="54"/>
        <v>0</v>
      </c>
      <c r="G219" s="29">
        <f t="shared" si="54"/>
        <v>0</v>
      </c>
      <c r="H219" s="29">
        <f t="shared" si="49"/>
        <v>0</v>
      </c>
      <c r="I219" s="29">
        <v>0</v>
      </c>
      <c r="J219" s="29">
        <f t="shared" si="48"/>
        <v>0</v>
      </c>
      <c r="K219" s="30">
        <v>215</v>
      </c>
    </row>
    <row r="220" spans="1:11" hidden="1" outlineLevel="1" x14ac:dyDescent="0.25">
      <c r="A220" s="31"/>
      <c r="B220" s="16" t="s">
        <v>66</v>
      </c>
      <c r="C220" s="32"/>
      <c r="D220" s="32"/>
      <c r="E220" s="32"/>
      <c r="F220" s="32"/>
      <c r="G220" s="32"/>
      <c r="H220" s="32">
        <f t="shared" si="49"/>
        <v>0</v>
      </c>
      <c r="I220" s="32"/>
      <c r="J220" s="32">
        <f t="shared" si="48"/>
        <v>0</v>
      </c>
      <c r="K220" s="33">
        <v>216</v>
      </c>
    </row>
    <row r="221" spans="1:11" hidden="1" outlineLevel="1" x14ac:dyDescent="0.25">
      <c r="A221" s="31"/>
      <c r="B221" s="17" t="s">
        <v>67</v>
      </c>
      <c r="C221" s="32"/>
      <c r="D221" s="32"/>
      <c r="E221" s="32"/>
      <c r="F221" s="32"/>
      <c r="G221" s="32"/>
      <c r="H221" s="32">
        <f t="shared" si="49"/>
        <v>0</v>
      </c>
      <c r="I221" s="32"/>
      <c r="J221" s="32">
        <f t="shared" si="48"/>
        <v>0</v>
      </c>
      <c r="K221" s="33">
        <v>217</v>
      </c>
    </row>
    <row r="222" spans="1:11" ht="30" hidden="1" outlineLevel="1" x14ac:dyDescent="0.25">
      <c r="A222" s="31"/>
      <c r="B222" s="17" t="s">
        <v>68</v>
      </c>
      <c r="C222" s="32"/>
      <c r="D222" s="32"/>
      <c r="E222" s="32"/>
      <c r="F222" s="32"/>
      <c r="G222" s="32"/>
      <c r="H222" s="32">
        <f t="shared" si="49"/>
        <v>0</v>
      </c>
      <c r="I222" s="32"/>
      <c r="J222" s="32">
        <f t="shared" si="48"/>
        <v>0</v>
      </c>
      <c r="K222" s="33">
        <v>218</v>
      </c>
    </row>
    <row r="223" spans="1:11" hidden="1" outlineLevel="1" x14ac:dyDescent="0.25">
      <c r="A223" s="31"/>
      <c r="B223" s="16" t="s">
        <v>69</v>
      </c>
      <c r="C223" s="32"/>
      <c r="D223" s="32"/>
      <c r="E223" s="32"/>
      <c r="F223" s="32"/>
      <c r="G223" s="32"/>
      <c r="H223" s="32">
        <f t="shared" si="49"/>
        <v>0</v>
      </c>
      <c r="I223" s="32"/>
      <c r="J223" s="32">
        <f t="shared" si="48"/>
        <v>0</v>
      </c>
      <c r="K223" s="33">
        <v>219</v>
      </c>
    </row>
    <row r="224" spans="1:11" hidden="1" outlineLevel="1" x14ac:dyDescent="0.25">
      <c r="A224" s="31"/>
      <c r="B224" s="17" t="s">
        <v>70</v>
      </c>
      <c r="C224" s="32"/>
      <c r="D224" s="32"/>
      <c r="E224" s="32"/>
      <c r="F224" s="32"/>
      <c r="G224" s="32"/>
      <c r="H224" s="32">
        <f t="shared" si="49"/>
        <v>0</v>
      </c>
      <c r="I224" s="32"/>
      <c r="J224" s="32">
        <f t="shared" si="48"/>
        <v>0</v>
      </c>
      <c r="K224" s="33">
        <v>220</v>
      </c>
    </row>
    <row r="225" spans="1:11" ht="30" hidden="1" outlineLevel="1" x14ac:dyDescent="0.25">
      <c r="A225" s="31"/>
      <c r="B225" s="17" t="s">
        <v>71</v>
      </c>
      <c r="C225" s="32"/>
      <c r="D225" s="32"/>
      <c r="E225" s="32"/>
      <c r="F225" s="32"/>
      <c r="G225" s="32"/>
      <c r="H225" s="32">
        <f t="shared" si="49"/>
        <v>0</v>
      </c>
      <c r="I225" s="32"/>
      <c r="J225" s="32">
        <f t="shared" si="48"/>
        <v>0</v>
      </c>
      <c r="K225" s="33">
        <v>221</v>
      </c>
    </row>
    <row r="226" spans="1:11" hidden="1" outlineLevel="1" x14ac:dyDescent="0.25">
      <c r="A226" s="31"/>
      <c r="B226" s="16" t="s">
        <v>72</v>
      </c>
      <c r="C226" s="32"/>
      <c r="D226" s="32"/>
      <c r="E226" s="32"/>
      <c r="F226" s="32"/>
      <c r="G226" s="32"/>
      <c r="H226" s="32">
        <f t="shared" si="49"/>
        <v>0</v>
      </c>
      <c r="I226" s="32"/>
      <c r="J226" s="32">
        <f t="shared" si="48"/>
        <v>0</v>
      </c>
      <c r="K226" s="33">
        <v>222</v>
      </c>
    </row>
    <row r="227" spans="1:11" ht="30" hidden="1" outlineLevel="1" x14ac:dyDescent="0.25">
      <c r="A227" s="31"/>
      <c r="B227" s="17" t="s">
        <v>73</v>
      </c>
      <c r="C227" s="32"/>
      <c r="D227" s="32"/>
      <c r="E227" s="32"/>
      <c r="F227" s="32"/>
      <c r="G227" s="32"/>
      <c r="H227" s="32">
        <f t="shared" si="49"/>
        <v>0</v>
      </c>
      <c r="I227" s="32"/>
      <c r="J227" s="32">
        <f t="shared" si="48"/>
        <v>0</v>
      </c>
      <c r="K227" s="33">
        <v>223</v>
      </c>
    </row>
    <row r="228" spans="1:11" hidden="1" outlineLevel="1" x14ac:dyDescent="0.25">
      <c r="A228" s="28"/>
      <c r="B228" s="15" t="s">
        <v>74</v>
      </c>
      <c r="C228" s="29">
        <f t="shared" ref="C228:G228" si="55">+SUM(C229:C231)</f>
        <v>0</v>
      </c>
      <c r="D228" s="29">
        <f t="shared" si="55"/>
        <v>0</v>
      </c>
      <c r="E228" s="29">
        <f t="shared" si="55"/>
        <v>0</v>
      </c>
      <c r="F228" s="29">
        <f t="shared" si="55"/>
        <v>0</v>
      </c>
      <c r="G228" s="29">
        <f t="shared" si="55"/>
        <v>0</v>
      </c>
      <c r="H228" s="29">
        <f t="shared" si="49"/>
        <v>0</v>
      </c>
      <c r="I228" s="29"/>
      <c r="J228" s="29">
        <f t="shared" si="48"/>
        <v>0</v>
      </c>
      <c r="K228" s="30">
        <v>224</v>
      </c>
    </row>
    <row r="229" spans="1:11" ht="30" hidden="1" outlineLevel="1" x14ac:dyDescent="0.25">
      <c r="A229" s="34"/>
      <c r="B229" s="17" t="s">
        <v>75</v>
      </c>
      <c r="C229" s="35"/>
      <c r="D229" s="35"/>
      <c r="E229" s="35"/>
      <c r="F229" s="35"/>
      <c r="G229" s="35"/>
      <c r="H229" s="35">
        <f t="shared" si="49"/>
        <v>0</v>
      </c>
      <c r="I229" s="35"/>
      <c r="J229" s="35">
        <f t="shared" si="48"/>
        <v>0</v>
      </c>
      <c r="K229" s="36">
        <v>225</v>
      </c>
    </row>
    <row r="230" spans="1:11" ht="30" hidden="1" outlineLevel="1" x14ac:dyDescent="0.25">
      <c r="A230" s="34"/>
      <c r="B230" s="17" t="s">
        <v>76</v>
      </c>
      <c r="C230" s="35"/>
      <c r="D230" s="35"/>
      <c r="E230" s="35"/>
      <c r="F230" s="35"/>
      <c r="G230" s="35"/>
      <c r="H230" s="35">
        <f t="shared" si="49"/>
        <v>0</v>
      </c>
      <c r="I230" s="35"/>
      <c r="J230" s="35">
        <f t="shared" si="48"/>
        <v>0</v>
      </c>
      <c r="K230" s="36">
        <v>226</v>
      </c>
    </row>
    <row r="231" spans="1:11" ht="30" hidden="1" outlineLevel="1" x14ac:dyDescent="0.25">
      <c r="A231" s="34"/>
      <c r="B231" s="17" t="s">
        <v>77</v>
      </c>
      <c r="C231" s="35"/>
      <c r="D231" s="35"/>
      <c r="E231" s="35"/>
      <c r="F231" s="35"/>
      <c r="G231" s="35"/>
      <c r="H231" s="35">
        <f t="shared" si="49"/>
        <v>0</v>
      </c>
      <c r="I231" s="35"/>
      <c r="J231" s="35">
        <f t="shared" si="48"/>
        <v>0</v>
      </c>
      <c r="K231" s="36">
        <v>227</v>
      </c>
    </row>
    <row r="232" spans="1:11" hidden="1" outlineLevel="1" x14ac:dyDescent="0.25">
      <c r="A232" s="28"/>
      <c r="B232" s="15" t="s">
        <v>78</v>
      </c>
      <c r="C232" s="29">
        <f t="shared" ref="C232:G232" si="56">+SUM(C233:C237)</f>
        <v>0</v>
      </c>
      <c r="D232" s="29">
        <f t="shared" si="56"/>
        <v>0</v>
      </c>
      <c r="E232" s="29">
        <f t="shared" si="56"/>
        <v>0</v>
      </c>
      <c r="F232" s="29">
        <f t="shared" si="56"/>
        <v>0</v>
      </c>
      <c r="G232" s="29">
        <f t="shared" si="56"/>
        <v>0</v>
      </c>
      <c r="H232" s="29">
        <f t="shared" si="49"/>
        <v>0</v>
      </c>
      <c r="I232" s="29"/>
      <c r="J232" s="29">
        <f t="shared" si="48"/>
        <v>0</v>
      </c>
      <c r="K232" s="30">
        <v>228</v>
      </c>
    </row>
    <row r="233" spans="1:11" hidden="1" outlineLevel="1" x14ac:dyDescent="0.25">
      <c r="A233" s="34"/>
      <c r="B233" s="18" t="s">
        <v>79</v>
      </c>
      <c r="C233" s="35"/>
      <c r="D233" s="35"/>
      <c r="E233" s="35"/>
      <c r="F233" s="35"/>
      <c r="G233" s="35"/>
      <c r="H233" s="35">
        <f t="shared" si="49"/>
        <v>0</v>
      </c>
      <c r="I233" s="35"/>
      <c r="J233" s="35">
        <f t="shared" si="48"/>
        <v>0</v>
      </c>
      <c r="K233" s="36">
        <v>229</v>
      </c>
    </row>
    <row r="234" spans="1:11" ht="30" hidden="1" outlineLevel="1" x14ac:dyDescent="0.25">
      <c r="A234" s="34"/>
      <c r="B234" s="17" t="s">
        <v>80</v>
      </c>
      <c r="C234" s="35"/>
      <c r="D234" s="35"/>
      <c r="E234" s="35"/>
      <c r="F234" s="35"/>
      <c r="G234" s="35"/>
      <c r="H234" s="35">
        <f t="shared" si="49"/>
        <v>0</v>
      </c>
      <c r="I234" s="35"/>
      <c r="J234" s="35">
        <f t="shared" si="48"/>
        <v>0</v>
      </c>
      <c r="K234" s="36">
        <v>230</v>
      </c>
    </row>
    <row r="235" spans="1:11" hidden="1" outlineLevel="1" x14ac:dyDescent="0.25">
      <c r="A235" s="34"/>
      <c r="B235" s="17" t="s">
        <v>81</v>
      </c>
      <c r="C235" s="35"/>
      <c r="D235" s="35"/>
      <c r="E235" s="35"/>
      <c r="F235" s="35"/>
      <c r="G235" s="35"/>
      <c r="H235" s="35">
        <f t="shared" si="49"/>
        <v>0</v>
      </c>
      <c r="I235" s="35"/>
      <c r="J235" s="35">
        <f t="shared" si="48"/>
        <v>0</v>
      </c>
      <c r="K235" s="36">
        <v>231</v>
      </c>
    </row>
    <row r="236" spans="1:11" hidden="1" outlineLevel="1" x14ac:dyDescent="0.25">
      <c r="A236" s="34"/>
      <c r="B236" s="18" t="s">
        <v>82</v>
      </c>
      <c r="C236" s="35"/>
      <c r="D236" s="35"/>
      <c r="E236" s="35"/>
      <c r="F236" s="35"/>
      <c r="G236" s="35"/>
      <c r="H236" s="35">
        <f t="shared" si="49"/>
        <v>0</v>
      </c>
      <c r="I236" s="35"/>
      <c r="J236" s="35">
        <f t="shared" si="48"/>
        <v>0</v>
      </c>
      <c r="K236" s="36">
        <v>232</v>
      </c>
    </row>
    <row r="237" spans="1:11" ht="30" hidden="1" outlineLevel="1" x14ac:dyDescent="0.25">
      <c r="A237" s="34"/>
      <c r="B237" s="17" t="s">
        <v>83</v>
      </c>
      <c r="C237" s="35"/>
      <c r="D237" s="35"/>
      <c r="E237" s="35"/>
      <c r="F237" s="35"/>
      <c r="G237" s="35"/>
      <c r="H237" s="35">
        <f t="shared" si="49"/>
        <v>0</v>
      </c>
      <c r="I237" s="35"/>
      <c r="J237" s="35">
        <f t="shared" si="48"/>
        <v>0</v>
      </c>
      <c r="K237" s="36">
        <v>233</v>
      </c>
    </row>
    <row r="238" spans="1:11" hidden="1" outlineLevel="1" x14ac:dyDescent="0.25">
      <c r="A238" s="28"/>
      <c r="B238" s="15" t="s">
        <v>84</v>
      </c>
      <c r="C238" s="29">
        <f>+SUM(C239:C243)</f>
        <v>0</v>
      </c>
      <c r="D238" s="29">
        <f t="shared" ref="D238:G238" si="57">+SUM(D239:D243)</f>
        <v>0</v>
      </c>
      <c r="E238" s="29">
        <f t="shared" si="57"/>
        <v>0</v>
      </c>
      <c r="F238" s="29">
        <f t="shared" si="57"/>
        <v>0</v>
      </c>
      <c r="G238" s="29">
        <f t="shared" si="57"/>
        <v>0</v>
      </c>
      <c r="H238" s="29">
        <f t="shared" si="49"/>
        <v>0</v>
      </c>
      <c r="I238" s="29"/>
      <c r="J238" s="29">
        <f t="shared" si="48"/>
        <v>0</v>
      </c>
      <c r="K238" s="30">
        <v>234</v>
      </c>
    </row>
    <row r="239" spans="1:11" hidden="1" outlineLevel="1" x14ac:dyDescent="0.25">
      <c r="A239" s="34"/>
      <c r="B239" s="17"/>
      <c r="C239" s="35"/>
      <c r="D239" s="35"/>
      <c r="E239" s="35"/>
      <c r="F239" s="35"/>
      <c r="G239" s="35"/>
      <c r="H239" s="35">
        <f t="shared" si="49"/>
        <v>0</v>
      </c>
      <c r="I239" s="35"/>
      <c r="J239" s="35">
        <f t="shared" si="48"/>
        <v>0</v>
      </c>
      <c r="K239" s="36">
        <v>235</v>
      </c>
    </row>
    <row r="240" spans="1:11" hidden="1" outlineLevel="1" x14ac:dyDescent="0.25">
      <c r="A240" s="34"/>
      <c r="B240" s="17"/>
      <c r="C240" s="35"/>
      <c r="D240" s="35"/>
      <c r="E240" s="35"/>
      <c r="F240" s="35"/>
      <c r="G240" s="35"/>
      <c r="H240" s="35">
        <f t="shared" si="49"/>
        <v>0</v>
      </c>
      <c r="I240" s="35"/>
      <c r="J240" s="35">
        <f t="shared" si="48"/>
        <v>0</v>
      </c>
      <c r="K240" s="36">
        <v>236</v>
      </c>
    </row>
    <row r="241" spans="1:11" hidden="1" outlineLevel="1" x14ac:dyDescent="0.25">
      <c r="A241" s="34"/>
      <c r="B241" s="17"/>
      <c r="C241" s="35"/>
      <c r="D241" s="35"/>
      <c r="E241" s="35"/>
      <c r="F241" s="35"/>
      <c r="G241" s="35"/>
      <c r="H241" s="35">
        <f t="shared" si="49"/>
        <v>0</v>
      </c>
      <c r="I241" s="35"/>
      <c r="J241" s="35">
        <f t="shared" si="48"/>
        <v>0</v>
      </c>
      <c r="K241" s="36">
        <v>237</v>
      </c>
    </row>
    <row r="242" spans="1:11" hidden="1" outlineLevel="1" x14ac:dyDescent="0.25">
      <c r="A242" s="34"/>
      <c r="B242" s="17" t="s">
        <v>86</v>
      </c>
      <c r="C242" s="35"/>
      <c r="D242" s="35"/>
      <c r="E242" s="35"/>
      <c r="F242" s="35"/>
      <c r="G242" s="35"/>
      <c r="H242" s="35">
        <f t="shared" si="49"/>
        <v>0</v>
      </c>
      <c r="I242" s="35"/>
      <c r="J242" s="35">
        <f t="shared" si="48"/>
        <v>0</v>
      </c>
      <c r="K242" s="36">
        <v>238</v>
      </c>
    </row>
    <row r="243" spans="1:11" hidden="1" outlineLevel="1" collapsed="1" x14ac:dyDescent="0.25">
      <c r="A243" s="34"/>
      <c r="B243" s="17"/>
      <c r="C243" s="35"/>
      <c r="D243" s="35"/>
      <c r="E243" s="35"/>
      <c r="F243" s="35"/>
      <c r="G243" s="35"/>
      <c r="H243" s="35">
        <f t="shared" si="49"/>
        <v>0</v>
      </c>
      <c r="I243" s="35"/>
      <c r="J243" s="35">
        <f t="shared" si="48"/>
        <v>0</v>
      </c>
      <c r="K243" s="36">
        <v>239</v>
      </c>
    </row>
    <row r="244" spans="1:11" ht="45" collapsed="1" x14ac:dyDescent="0.25">
      <c r="A244" s="38">
        <v>2</v>
      </c>
      <c r="B244" s="13" t="s">
        <v>104</v>
      </c>
      <c r="C244" s="19">
        <f>+C245+C298+C325</f>
        <v>0</v>
      </c>
      <c r="D244" s="19">
        <f t="shared" ref="D244:G244" si="58">+D245+D298+D325</f>
        <v>0</v>
      </c>
      <c r="E244" s="19">
        <f t="shared" si="58"/>
        <v>0</v>
      </c>
      <c r="F244" s="19">
        <f t="shared" si="58"/>
        <v>0</v>
      </c>
      <c r="G244" s="19">
        <f t="shared" si="58"/>
        <v>0</v>
      </c>
      <c r="H244" s="19">
        <f t="shared" si="49"/>
        <v>0</v>
      </c>
      <c r="I244" s="19"/>
      <c r="J244" s="19">
        <f t="shared" si="48"/>
        <v>0</v>
      </c>
      <c r="K244" s="23">
        <v>240</v>
      </c>
    </row>
    <row r="245" spans="1:11" ht="45" collapsed="1" x14ac:dyDescent="0.25">
      <c r="A245" s="39" t="s">
        <v>105</v>
      </c>
      <c r="B245" s="14" t="s">
        <v>106</v>
      </c>
      <c r="C245" s="24">
        <f>+C246+C272</f>
        <v>0</v>
      </c>
      <c r="D245" s="24">
        <f t="shared" ref="D245:G245" si="59">+D246+D272</f>
        <v>0</v>
      </c>
      <c r="E245" s="24">
        <f t="shared" si="59"/>
        <v>0</v>
      </c>
      <c r="F245" s="24">
        <f t="shared" si="59"/>
        <v>0</v>
      </c>
      <c r="G245" s="24">
        <f t="shared" si="59"/>
        <v>0</v>
      </c>
      <c r="H245" s="24">
        <f t="shared" si="49"/>
        <v>0</v>
      </c>
      <c r="I245" s="24"/>
      <c r="J245" s="24">
        <f t="shared" si="48"/>
        <v>0</v>
      </c>
      <c r="K245" s="25">
        <v>241</v>
      </c>
    </row>
    <row r="246" spans="1:11" x14ac:dyDescent="0.25">
      <c r="A246" s="40" t="s">
        <v>23</v>
      </c>
      <c r="B246" s="10" t="s">
        <v>107</v>
      </c>
      <c r="C246" s="26">
        <f t="shared" ref="C246:G246" si="60">+C247+C256+C260+C266</f>
        <v>0</v>
      </c>
      <c r="D246" s="26">
        <f t="shared" si="60"/>
        <v>0</v>
      </c>
      <c r="E246" s="26">
        <f t="shared" si="60"/>
        <v>0</v>
      </c>
      <c r="F246" s="26">
        <f t="shared" si="60"/>
        <v>0</v>
      </c>
      <c r="G246" s="26">
        <f t="shared" si="60"/>
        <v>0</v>
      </c>
      <c r="H246" s="26">
        <f t="shared" si="49"/>
        <v>0</v>
      </c>
      <c r="I246" s="26">
        <v>0</v>
      </c>
      <c r="J246" s="26">
        <f t="shared" si="48"/>
        <v>0</v>
      </c>
      <c r="K246" s="27">
        <v>242</v>
      </c>
    </row>
    <row r="247" spans="1:11" hidden="1" outlineLevel="1" x14ac:dyDescent="0.25">
      <c r="A247" s="28"/>
      <c r="B247" s="15" t="s">
        <v>65</v>
      </c>
      <c r="C247" s="29">
        <f t="shared" ref="C247:G247" si="61">+SUM(C248:C255)</f>
        <v>0</v>
      </c>
      <c r="D247" s="29">
        <f t="shared" si="61"/>
        <v>0</v>
      </c>
      <c r="E247" s="29">
        <f t="shared" si="61"/>
        <v>0</v>
      </c>
      <c r="F247" s="29">
        <f t="shared" si="61"/>
        <v>0</v>
      </c>
      <c r="G247" s="29">
        <f t="shared" si="61"/>
        <v>0</v>
      </c>
      <c r="H247" s="29">
        <f t="shared" si="49"/>
        <v>0</v>
      </c>
      <c r="I247" s="29">
        <v>0</v>
      </c>
      <c r="J247" s="29">
        <f t="shared" si="48"/>
        <v>0</v>
      </c>
      <c r="K247" s="30">
        <v>243</v>
      </c>
    </row>
    <row r="248" spans="1:11" hidden="1" outlineLevel="1" x14ac:dyDescent="0.25">
      <c r="A248" s="31"/>
      <c r="B248" s="16" t="s">
        <v>66</v>
      </c>
      <c r="C248" s="32"/>
      <c r="D248" s="32"/>
      <c r="E248" s="32"/>
      <c r="F248" s="32"/>
      <c r="G248" s="32"/>
      <c r="H248" s="32">
        <f t="shared" si="49"/>
        <v>0</v>
      </c>
      <c r="I248" s="32"/>
      <c r="J248" s="32">
        <f t="shared" si="48"/>
        <v>0</v>
      </c>
      <c r="K248" s="33">
        <v>244</v>
      </c>
    </row>
    <row r="249" spans="1:11" hidden="1" outlineLevel="1" x14ac:dyDescent="0.25">
      <c r="A249" s="31"/>
      <c r="B249" s="17" t="s">
        <v>67</v>
      </c>
      <c r="C249" s="32"/>
      <c r="D249" s="32"/>
      <c r="E249" s="32"/>
      <c r="F249" s="32"/>
      <c r="G249" s="32"/>
      <c r="H249" s="32">
        <f t="shared" si="49"/>
        <v>0</v>
      </c>
      <c r="I249" s="32"/>
      <c r="J249" s="32">
        <f t="shared" si="48"/>
        <v>0</v>
      </c>
      <c r="K249" s="33">
        <v>245</v>
      </c>
    </row>
    <row r="250" spans="1:11" ht="30" hidden="1" outlineLevel="1" x14ac:dyDescent="0.25">
      <c r="A250" s="31"/>
      <c r="B250" s="17" t="s">
        <v>68</v>
      </c>
      <c r="C250" s="32"/>
      <c r="D250" s="32"/>
      <c r="E250" s="32"/>
      <c r="F250" s="32"/>
      <c r="G250" s="32"/>
      <c r="H250" s="32">
        <f t="shared" si="49"/>
        <v>0</v>
      </c>
      <c r="I250" s="32"/>
      <c r="J250" s="32">
        <f t="shared" si="48"/>
        <v>0</v>
      </c>
      <c r="K250" s="33">
        <v>246</v>
      </c>
    </row>
    <row r="251" spans="1:11" hidden="1" outlineLevel="1" x14ac:dyDescent="0.25">
      <c r="A251" s="31"/>
      <c r="B251" s="16" t="s">
        <v>69</v>
      </c>
      <c r="C251" s="32"/>
      <c r="D251" s="32"/>
      <c r="E251" s="32"/>
      <c r="F251" s="32"/>
      <c r="G251" s="32"/>
      <c r="H251" s="32">
        <f t="shared" si="49"/>
        <v>0</v>
      </c>
      <c r="I251" s="32"/>
      <c r="J251" s="32">
        <f t="shared" si="48"/>
        <v>0</v>
      </c>
      <c r="K251" s="33">
        <v>247</v>
      </c>
    </row>
    <row r="252" spans="1:11" hidden="1" outlineLevel="1" x14ac:dyDescent="0.25">
      <c r="A252" s="31"/>
      <c r="B252" s="17" t="s">
        <v>70</v>
      </c>
      <c r="C252" s="32"/>
      <c r="D252" s="32"/>
      <c r="E252" s="32"/>
      <c r="F252" s="32"/>
      <c r="G252" s="32"/>
      <c r="H252" s="32">
        <f t="shared" si="49"/>
        <v>0</v>
      </c>
      <c r="I252" s="32"/>
      <c r="J252" s="32">
        <f t="shared" si="48"/>
        <v>0</v>
      </c>
      <c r="K252" s="33">
        <v>248</v>
      </c>
    </row>
    <row r="253" spans="1:11" ht="30" hidden="1" outlineLevel="1" x14ac:dyDescent="0.25">
      <c r="A253" s="31"/>
      <c r="B253" s="17" t="s">
        <v>71</v>
      </c>
      <c r="C253" s="32"/>
      <c r="D253" s="32"/>
      <c r="E253" s="32"/>
      <c r="F253" s="32"/>
      <c r="G253" s="32"/>
      <c r="H253" s="32">
        <f t="shared" si="49"/>
        <v>0</v>
      </c>
      <c r="I253" s="32"/>
      <c r="J253" s="32">
        <f t="shared" si="48"/>
        <v>0</v>
      </c>
      <c r="K253" s="33">
        <v>249</v>
      </c>
    </row>
    <row r="254" spans="1:11" hidden="1" outlineLevel="1" x14ac:dyDescent="0.25">
      <c r="A254" s="31"/>
      <c r="B254" s="16" t="s">
        <v>72</v>
      </c>
      <c r="C254" s="32"/>
      <c r="D254" s="32"/>
      <c r="E254" s="32"/>
      <c r="F254" s="32"/>
      <c r="G254" s="32"/>
      <c r="H254" s="32">
        <f t="shared" si="49"/>
        <v>0</v>
      </c>
      <c r="I254" s="32"/>
      <c r="J254" s="32">
        <f t="shared" si="48"/>
        <v>0</v>
      </c>
      <c r="K254" s="33">
        <v>250</v>
      </c>
    </row>
    <row r="255" spans="1:11" ht="30" hidden="1" outlineLevel="1" x14ac:dyDescent="0.25">
      <c r="A255" s="31"/>
      <c r="B255" s="17" t="s">
        <v>73</v>
      </c>
      <c r="C255" s="32"/>
      <c r="D255" s="32"/>
      <c r="E255" s="32"/>
      <c r="F255" s="32"/>
      <c r="G255" s="32"/>
      <c r="H255" s="32">
        <f t="shared" si="49"/>
        <v>0</v>
      </c>
      <c r="I255" s="32"/>
      <c r="J255" s="32">
        <f t="shared" si="48"/>
        <v>0</v>
      </c>
      <c r="K255" s="33">
        <v>251</v>
      </c>
    </row>
    <row r="256" spans="1:11" hidden="1" outlineLevel="1" x14ac:dyDescent="0.25">
      <c r="A256" s="28"/>
      <c r="B256" s="15" t="s">
        <v>74</v>
      </c>
      <c r="C256" s="29">
        <f t="shared" ref="C256:G256" si="62">+SUM(C257:C259)</f>
        <v>0</v>
      </c>
      <c r="D256" s="29">
        <f t="shared" si="62"/>
        <v>0</v>
      </c>
      <c r="E256" s="29">
        <f t="shared" si="62"/>
        <v>0</v>
      </c>
      <c r="F256" s="29">
        <f t="shared" si="62"/>
        <v>0</v>
      </c>
      <c r="G256" s="29">
        <f t="shared" si="62"/>
        <v>0</v>
      </c>
      <c r="H256" s="29">
        <f t="shared" si="49"/>
        <v>0</v>
      </c>
      <c r="I256" s="29"/>
      <c r="J256" s="29">
        <f t="shared" si="48"/>
        <v>0</v>
      </c>
      <c r="K256" s="30">
        <v>252</v>
      </c>
    </row>
    <row r="257" spans="1:11" ht="30" hidden="1" outlineLevel="1" x14ac:dyDescent="0.25">
      <c r="A257" s="34"/>
      <c r="B257" s="17" t="s">
        <v>75</v>
      </c>
      <c r="C257" s="35"/>
      <c r="D257" s="35"/>
      <c r="E257" s="35"/>
      <c r="F257" s="35"/>
      <c r="G257" s="35"/>
      <c r="H257" s="35">
        <f t="shared" si="49"/>
        <v>0</v>
      </c>
      <c r="I257" s="35"/>
      <c r="J257" s="35">
        <f t="shared" si="48"/>
        <v>0</v>
      </c>
      <c r="K257" s="36">
        <v>253</v>
      </c>
    </row>
    <row r="258" spans="1:11" ht="30" hidden="1" outlineLevel="1" x14ac:dyDescent="0.25">
      <c r="A258" s="34"/>
      <c r="B258" s="17" t="s">
        <v>76</v>
      </c>
      <c r="C258" s="35"/>
      <c r="D258" s="35"/>
      <c r="E258" s="35"/>
      <c r="F258" s="35"/>
      <c r="G258" s="35"/>
      <c r="H258" s="35">
        <f t="shared" si="49"/>
        <v>0</v>
      </c>
      <c r="I258" s="35"/>
      <c r="J258" s="35">
        <f t="shared" si="48"/>
        <v>0</v>
      </c>
      <c r="K258" s="36">
        <v>254</v>
      </c>
    </row>
    <row r="259" spans="1:11" ht="30" hidden="1" outlineLevel="1" x14ac:dyDescent="0.25">
      <c r="A259" s="34"/>
      <c r="B259" s="17" t="s">
        <v>77</v>
      </c>
      <c r="C259" s="35"/>
      <c r="D259" s="35"/>
      <c r="E259" s="35"/>
      <c r="F259" s="35"/>
      <c r="G259" s="35"/>
      <c r="H259" s="35">
        <f t="shared" si="49"/>
        <v>0</v>
      </c>
      <c r="I259" s="35"/>
      <c r="J259" s="35">
        <f t="shared" si="48"/>
        <v>0</v>
      </c>
      <c r="K259" s="36">
        <v>255</v>
      </c>
    </row>
    <row r="260" spans="1:11" hidden="1" outlineLevel="1" x14ac:dyDescent="0.25">
      <c r="A260" s="28"/>
      <c r="B260" s="15" t="s">
        <v>78</v>
      </c>
      <c r="C260" s="29">
        <f t="shared" ref="C260:G260" si="63">+SUM(C261:C265)</f>
        <v>0</v>
      </c>
      <c r="D260" s="29">
        <f t="shared" si="63"/>
        <v>0</v>
      </c>
      <c r="E260" s="29">
        <f t="shared" si="63"/>
        <v>0</v>
      </c>
      <c r="F260" s="29">
        <f t="shared" si="63"/>
        <v>0</v>
      </c>
      <c r="G260" s="29">
        <f t="shared" si="63"/>
        <v>0</v>
      </c>
      <c r="H260" s="29">
        <f t="shared" si="49"/>
        <v>0</v>
      </c>
      <c r="I260" s="29"/>
      <c r="J260" s="29">
        <f t="shared" si="48"/>
        <v>0</v>
      </c>
      <c r="K260" s="30">
        <v>256</v>
      </c>
    </row>
    <row r="261" spans="1:11" hidden="1" outlineLevel="1" x14ac:dyDescent="0.25">
      <c r="A261" s="34"/>
      <c r="B261" s="18" t="s">
        <v>79</v>
      </c>
      <c r="C261" s="35"/>
      <c r="D261" s="35"/>
      <c r="E261" s="35"/>
      <c r="F261" s="35"/>
      <c r="G261" s="35"/>
      <c r="H261" s="35">
        <f t="shared" si="49"/>
        <v>0</v>
      </c>
      <c r="I261" s="35"/>
      <c r="J261" s="35">
        <f t="shared" ref="J261:J324" si="64">+I261-H261</f>
        <v>0</v>
      </c>
      <c r="K261" s="36">
        <v>257</v>
      </c>
    </row>
    <row r="262" spans="1:11" ht="30" hidden="1" outlineLevel="1" x14ac:dyDescent="0.25">
      <c r="A262" s="34"/>
      <c r="B262" s="17" t="s">
        <v>80</v>
      </c>
      <c r="C262" s="35"/>
      <c r="D262" s="35"/>
      <c r="E262" s="35"/>
      <c r="F262" s="35"/>
      <c r="G262" s="35"/>
      <c r="H262" s="35">
        <f t="shared" ref="H262:H325" si="65">+SUM(C262:G262)</f>
        <v>0</v>
      </c>
      <c r="I262" s="35"/>
      <c r="J262" s="35">
        <f t="shared" si="64"/>
        <v>0</v>
      </c>
      <c r="K262" s="36">
        <v>258</v>
      </c>
    </row>
    <row r="263" spans="1:11" hidden="1" outlineLevel="1" x14ac:dyDescent="0.25">
      <c r="A263" s="34"/>
      <c r="B263" s="17" t="s">
        <v>81</v>
      </c>
      <c r="C263" s="35"/>
      <c r="D263" s="35"/>
      <c r="E263" s="35"/>
      <c r="F263" s="35"/>
      <c r="G263" s="35"/>
      <c r="H263" s="35">
        <f t="shared" si="65"/>
        <v>0</v>
      </c>
      <c r="I263" s="35"/>
      <c r="J263" s="35">
        <f t="shared" si="64"/>
        <v>0</v>
      </c>
      <c r="K263" s="36">
        <v>259</v>
      </c>
    </row>
    <row r="264" spans="1:11" hidden="1" outlineLevel="1" x14ac:dyDescent="0.25">
      <c r="A264" s="34"/>
      <c r="B264" s="18" t="s">
        <v>82</v>
      </c>
      <c r="C264" s="35"/>
      <c r="D264" s="35"/>
      <c r="E264" s="35"/>
      <c r="F264" s="35"/>
      <c r="G264" s="35"/>
      <c r="H264" s="35">
        <f t="shared" si="65"/>
        <v>0</v>
      </c>
      <c r="I264" s="35"/>
      <c r="J264" s="35">
        <f t="shared" si="64"/>
        <v>0</v>
      </c>
      <c r="K264" s="36">
        <v>260</v>
      </c>
    </row>
    <row r="265" spans="1:11" ht="30" hidden="1" outlineLevel="1" x14ac:dyDescent="0.25">
      <c r="A265" s="34"/>
      <c r="B265" s="17" t="s">
        <v>83</v>
      </c>
      <c r="C265" s="35"/>
      <c r="D265" s="35"/>
      <c r="E265" s="35"/>
      <c r="F265" s="35"/>
      <c r="G265" s="35"/>
      <c r="H265" s="35">
        <f t="shared" si="65"/>
        <v>0</v>
      </c>
      <c r="I265" s="35"/>
      <c r="J265" s="35">
        <f t="shared" si="64"/>
        <v>0</v>
      </c>
      <c r="K265" s="36">
        <v>261</v>
      </c>
    </row>
    <row r="266" spans="1:11" hidden="1" outlineLevel="1" x14ac:dyDescent="0.25">
      <c r="A266" s="28"/>
      <c r="B266" s="15" t="s">
        <v>84</v>
      </c>
      <c r="C266" s="29">
        <f>+SUM(C267:C271)</f>
        <v>0</v>
      </c>
      <c r="D266" s="29">
        <f t="shared" ref="D266:G266" si="66">+SUM(D267:D271)</f>
        <v>0</v>
      </c>
      <c r="E266" s="29">
        <f t="shared" si="66"/>
        <v>0</v>
      </c>
      <c r="F266" s="29">
        <f t="shared" si="66"/>
        <v>0</v>
      </c>
      <c r="G266" s="29">
        <f t="shared" si="66"/>
        <v>0</v>
      </c>
      <c r="H266" s="29">
        <f t="shared" si="65"/>
        <v>0</v>
      </c>
      <c r="I266" s="29"/>
      <c r="J266" s="29">
        <f t="shared" si="64"/>
        <v>0</v>
      </c>
      <c r="K266" s="30">
        <v>262</v>
      </c>
    </row>
    <row r="267" spans="1:11" hidden="1" outlineLevel="1" x14ac:dyDescent="0.25">
      <c r="A267" s="34"/>
      <c r="B267" s="17"/>
      <c r="C267" s="35"/>
      <c r="D267" s="35"/>
      <c r="E267" s="35"/>
      <c r="F267" s="35"/>
      <c r="G267" s="35"/>
      <c r="H267" s="35">
        <f t="shared" si="65"/>
        <v>0</v>
      </c>
      <c r="I267" s="35"/>
      <c r="J267" s="35">
        <f t="shared" si="64"/>
        <v>0</v>
      </c>
      <c r="K267" s="36">
        <v>263</v>
      </c>
    </row>
    <row r="268" spans="1:11" hidden="1" outlineLevel="1" x14ac:dyDescent="0.25">
      <c r="A268" s="34"/>
      <c r="B268" s="17"/>
      <c r="C268" s="35"/>
      <c r="D268" s="35"/>
      <c r="E268" s="35"/>
      <c r="F268" s="35"/>
      <c r="G268" s="35"/>
      <c r="H268" s="35">
        <f t="shared" si="65"/>
        <v>0</v>
      </c>
      <c r="I268" s="35"/>
      <c r="J268" s="35">
        <f t="shared" si="64"/>
        <v>0</v>
      </c>
      <c r="K268" s="36">
        <v>264</v>
      </c>
    </row>
    <row r="269" spans="1:11" hidden="1" outlineLevel="1" collapsed="1" x14ac:dyDescent="0.25">
      <c r="A269" s="34"/>
      <c r="B269" s="17"/>
      <c r="C269" s="35"/>
      <c r="D269" s="35"/>
      <c r="E269" s="35"/>
      <c r="F269" s="35"/>
      <c r="G269" s="35"/>
      <c r="H269" s="35">
        <f t="shared" si="65"/>
        <v>0</v>
      </c>
      <c r="I269" s="35"/>
      <c r="J269" s="35">
        <f t="shared" si="64"/>
        <v>0</v>
      </c>
      <c r="K269" s="36">
        <v>265</v>
      </c>
    </row>
    <row r="270" spans="1:11" hidden="1" outlineLevel="1" x14ac:dyDescent="0.25">
      <c r="A270" s="34"/>
      <c r="B270" s="17" t="s">
        <v>86</v>
      </c>
      <c r="C270" s="35"/>
      <c r="D270" s="35"/>
      <c r="E270" s="35"/>
      <c r="F270" s="35"/>
      <c r="G270" s="35"/>
      <c r="H270" s="35">
        <f t="shared" si="65"/>
        <v>0</v>
      </c>
      <c r="I270" s="35"/>
      <c r="J270" s="35">
        <f t="shared" si="64"/>
        <v>0</v>
      </c>
      <c r="K270" s="36">
        <v>266</v>
      </c>
    </row>
    <row r="271" spans="1:11" hidden="1" outlineLevel="1" collapsed="1" x14ac:dyDescent="0.25">
      <c r="A271" s="34"/>
      <c r="B271" s="17"/>
      <c r="C271" s="35"/>
      <c r="D271" s="35"/>
      <c r="E271" s="35"/>
      <c r="F271" s="35"/>
      <c r="G271" s="35"/>
      <c r="H271" s="35">
        <f t="shared" si="65"/>
        <v>0</v>
      </c>
      <c r="I271" s="35"/>
      <c r="J271" s="35">
        <f t="shared" si="64"/>
        <v>0</v>
      </c>
      <c r="K271" s="36">
        <v>267</v>
      </c>
    </row>
    <row r="272" spans="1:11" ht="30" collapsed="1" x14ac:dyDescent="0.25">
      <c r="A272" s="40" t="s">
        <v>24</v>
      </c>
      <c r="B272" s="10" t="s">
        <v>196</v>
      </c>
      <c r="C272" s="26">
        <f t="shared" ref="C272:G272" si="67">+C273+C282+C286+C292</f>
        <v>0</v>
      </c>
      <c r="D272" s="26">
        <f t="shared" si="67"/>
        <v>0</v>
      </c>
      <c r="E272" s="26">
        <f t="shared" si="67"/>
        <v>0</v>
      </c>
      <c r="F272" s="26">
        <f t="shared" si="67"/>
        <v>0</v>
      </c>
      <c r="G272" s="26">
        <f t="shared" si="67"/>
        <v>0</v>
      </c>
      <c r="H272" s="26">
        <f t="shared" si="65"/>
        <v>0</v>
      </c>
      <c r="I272" s="26">
        <v>0</v>
      </c>
      <c r="J272" s="26">
        <f t="shared" si="64"/>
        <v>0</v>
      </c>
      <c r="K272" s="27">
        <v>268</v>
      </c>
    </row>
    <row r="273" spans="1:11" hidden="1" outlineLevel="1" collapsed="1" x14ac:dyDescent="0.25">
      <c r="A273" s="28"/>
      <c r="B273" s="15" t="s">
        <v>65</v>
      </c>
      <c r="C273" s="29">
        <f t="shared" ref="C273:G273" si="68">+SUM(C274:C281)</f>
        <v>0</v>
      </c>
      <c r="D273" s="29">
        <f t="shared" si="68"/>
        <v>0</v>
      </c>
      <c r="E273" s="29">
        <f t="shared" si="68"/>
        <v>0</v>
      </c>
      <c r="F273" s="29">
        <f t="shared" si="68"/>
        <v>0</v>
      </c>
      <c r="G273" s="29">
        <f t="shared" si="68"/>
        <v>0</v>
      </c>
      <c r="H273" s="29">
        <f t="shared" si="65"/>
        <v>0</v>
      </c>
      <c r="I273" s="29">
        <v>0</v>
      </c>
      <c r="J273" s="29">
        <f t="shared" si="64"/>
        <v>0</v>
      </c>
      <c r="K273" s="30">
        <v>269</v>
      </c>
    </row>
    <row r="274" spans="1:11" hidden="1" outlineLevel="1" x14ac:dyDescent="0.25">
      <c r="A274" s="31"/>
      <c r="B274" s="16" t="s">
        <v>66</v>
      </c>
      <c r="C274" s="32"/>
      <c r="D274" s="32"/>
      <c r="E274" s="32"/>
      <c r="F274" s="32"/>
      <c r="G274" s="32"/>
      <c r="H274" s="32">
        <f t="shared" si="65"/>
        <v>0</v>
      </c>
      <c r="I274" s="32"/>
      <c r="J274" s="32">
        <f t="shared" si="64"/>
        <v>0</v>
      </c>
      <c r="K274" s="33">
        <v>270</v>
      </c>
    </row>
    <row r="275" spans="1:11" hidden="1" outlineLevel="1" x14ac:dyDescent="0.25">
      <c r="A275" s="31"/>
      <c r="B275" s="17" t="s">
        <v>67</v>
      </c>
      <c r="C275" s="32"/>
      <c r="D275" s="32"/>
      <c r="E275" s="32"/>
      <c r="F275" s="32"/>
      <c r="G275" s="32"/>
      <c r="H275" s="32">
        <f t="shared" si="65"/>
        <v>0</v>
      </c>
      <c r="I275" s="32"/>
      <c r="J275" s="32">
        <f t="shared" si="64"/>
        <v>0</v>
      </c>
      <c r="K275" s="33">
        <v>271</v>
      </c>
    </row>
    <row r="276" spans="1:11" ht="30" hidden="1" outlineLevel="1" x14ac:dyDescent="0.25">
      <c r="A276" s="31"/>
      <c r="B276" s="17" t="s">
        <v>68</v>
      </c>
      <c r="C276" s="32"/>
      <c r="D276" s="32"/>
      <c r="E276" s="32"/>
      <c r="F276" s="32"/>
      <c r="G276" s="32"/>
      <c r="H276" s="32">
        <f t="shared" si="65"/>
        <v>0</v>
      </c>
      <c r="I276" s="32"/>
      <c r="J276" s="32">
        <f t="shared" si="64"/>
        <v>0</v>
      </c>
      <c r="K276" s="33">
        <v>272</v>
      </c>
    </row>
    <row r="277" spans="1:11" hidden="1" outlineLevel="1" x14ac:dyDescent="0.25">
      <c r="A277" s="31"/>
      <c r="B277" s="16" t="s">
        <v>69</v>
      </c>
      <c r="C277" s="32"/>
      <c r="D277" s="32"/>
      <c r="E277" s="32"/>
      <c r="F277" s="32"/>
      <c r="G277" s="32"/>
      <c r="H277" s="32">
        <f t="shared" si="65"/>
        <v>0</v>
      </c>
      <c r="I277" s="32"/>
      <c r="J277" s="32">
        <f t="shared" si="64"/>
        <v>0</v>
      </c>
      <c r="K277" s="33">
        <v>273</v>
      </c>
    </row>
    <row r="278" spans="1:11" hidden="1" outlineLevel="1" x14ac:dyDescent="0.25">
      <c r="A278" s="31"/>
      <c r="B278" s="17" t="s">
        <v>70</v>
      </c>
      <c r="C278" s="32"/>
      <c r="D278" s="32"/>
      <c r="E278" s="32"/>
      <c r="F278" s="32"/>
      <c r="G278" s="32"/>
      <c r="H278" s="32">
        <f t="shared" si="65"/>
        <v>0</v>
      </c>
      <c r="I278" s="32"/>
      <c r="J278" s="32">
        <f t="shared" si="64"/>
        <v>0</v>
      </c>
      <c r="K278" s="33">
        <v>274</v>
      </c>
    </row>
    <row r="279" spans="1:11" ht="30" hidden="1" outlineLevel="1" x14ac:dyDescent="0.25">
      <c r="A279" s="31"/>
      <c r="B279" s="17" t="s">
        <v>71</v>
      </c>
      <c r="C279" s="32"/>
      <c r="D279" s="32"/>
      <c r="E279" s="32"/>
      <c r="F279" s="32"/>
      <c r="G279" s="32"/>
      <c r="H279" s="32">
        <f t="shared" si="65"/>
        <v>0</v>
      </c>
      <c r="I279" s="32"/>
      <c r="J279" s="32">
        <f t="shared" si="64"/>
        <v>0</v>
      </c>
      <c r="K279" s="33">
        <v>275</v>
      </c>
    </row>
    <row r="280" spans="1:11" hidden="1" outlineLevel="1" x14ac:dyDescent="0.25">
      <c r="A280" s="31"/>
      <c r="B280" s="16" t="s">
        <v>72</v>
      </c>
      <c r="C280" s="32"/>
      <c r="D280" s="32"/>
      <c r="E280" s="32"/>
      <c r="F280" s="32"/>
      <c r="G280" s="32"/>
      <c r="H280" s="32">
        <f t="shared" si="65"/>
        <v>0</v>
      </c>
      <c r="I280" s="32"/>
      <c r="J280" s="32">
        <f t="shared" si="64"/>
        <v>0</v>
      </c>
      <c r="K280" s="33">
        <v>276</v>
      </c>
    </row>
    <row r="281" spans="1:11" ht="30" hidden="1" outlineLevel="1" x14ac:dyDescent="0.25">
      <c r="A281" s="31"/>
      <c r="B281" s="17" t="s">
        <v>73</v>
      </c>
      <c r="C281" s="32"/>
      <c r="D281" s="32"/>
      <c r="E281" s="32"/>
      <c r="F281" s="32"/>
      <c r="G281" s="32"/>
      <c r="H281" s="32">
        <f t="shared" si="65"/>
        <v>0</v>
      </c>
      <c r="I281" s="32"/>
      <c r="J281" s="32">
        <f t="shared" si="64"/>
        <v>0</v>
      </c>
      <c r="K281" s="33">
        <v>277</v>
      </c>
    </row>
    <row r="282" spans="1:11" hidden="1" outlineLevel="1" x14ac:dyDescent="0.25">
      <c r="A282" s="28"/>
      <c r="B282" s="15" t="s">
        <v>74</v>
      </c>
      <c r="C282" s="29">
        <f t="shared" ref="C282:G282" si="69">+SUM(C283:C285)</f>
        <v>0</v>
      </c>
      <c r="D282" s="29">
        <f t="shared" si="69"/>
        <v>0</v>
      </c>
      <c r="E282" s="29">
        <f t="shared" si="69"/>
        <v>0</v>
      </c>
      <c r="F282" s="29">
        <f t="shared" si="69"/>
        <v>0</v>
      </c>
      <c r="G282" s="29">
        <f t="shared" si="69"/>
        <v>0</v>
      </c>
      <c r="H282" s="29">
        <f t="shared" si="65"/>
        <v>0</v>
      </c>
      <c r="I282" s="29"/>
      <c r="J282" s="29">
        <f t="shared" si="64"/>
        <v>0</v>
      </c>
      <c r="K282" s="30">
        <v>278</v>
      </c>
    </row>
    <row r="283" spans="1:11" ht="30" hidden="1" outlineLevel="1" x14ac:dyDescent="0.25">
      <c r="A283" s="34"/>
      <c r="B283" s="17" t="s">
        <v>75</v>
      </c>
      <c r="C283" s="35"/>
      <c r="D283" s="35"/>
      <c r="E283" s="35"/>
      <c r="F283" s="35"/>
      <c r="G283" s="35"/>
      <c r="H283" s="35">
        <f t="shared" si="65"/>
        <v>0</v>
      </c>
      <c r="I283" s="35"/>
      <c r="J283" s="35">
        <f t="shared" si="64"/>
        <v>0</v>
      </c>
      <c r="K283" s="36">
        <v>279</v>
      </c>
    </row>
    <row r="284" spans="1:11" ht="30" hidden="1" outlineLevel="1" x14ac:dyDescent="0.25">
      <c r="A284" s="34"/>
      <c r="B284" s="17" t="s">
        <v>76</v>
      </c>
      <c r="C284" s="35"/>
      <c r="D284" s="35"/>
      <c r="E284" s="35"/>
      <c r="F284" s="35"/>
      <c r="G284" s="35"/>
      <c r="H284" s="35">
        <f t="shared" si="65"/>
        <v>0</v>
      </c>
      <c r="I284" s="35"/>
      <c r="J284" s="35">
        <f t="shared" si="64"/>
        <v>0</v>
      </c>
      <c r="K284" s="36">
        <v>280</v>
      </c>
    </row>
    <row r="285" spans="1:11" ht="30" hidden="1" outlineLevel="1" x14ac:dyDescent="0.25">
      <c r="A285" s="34"/>
      <c r="B285" s="17" t="s">
        <v>77</v>
      </c>
      <c r="C285" s="35"/>
      <c r="D285" s="35"/>
      <c r="E285" s="35"/>
      <c r="F285" s="35"/>
      <c r="G285" s="35"/>
      <c r="H285" s="35">
        <f t="shared" si="65"/>
        <v>0</v>
      </c>
      <c r="I285" s="35"/>
      <c r="J285" s="35">
        <f t="shared" si="64"/>
        <v>0</v>
      </c>
      <c r="K285" s="36">
        <v>281</v>
      </c>
    </row>
    <row r="286" spans="1:11" hidden="1" outlineLevel="1" x14ac:dyDescent="0.25">
      <c r="A286" s="28"/>
      <c r="B286" s="15" t="s">
        <v>78</v>
      </c>
      <c r="C286" s="29">
        <f t="shared" ref="C286:G286" si="70">+SUM(C287:C291)</f>
        <v>0</v>
      </c>
      <c r="D286" s="29">
        <f t="shared" si="70"/>
        <v>0</v>
      </c>
      <c r="E286" s="29">
        <f t="shared" si="70"/>
        <v>0</v>
      </c>
      <c r="F286" s="29">
        <f t="shared" si="70"/>
        <v>0</v>
      </c>
      <c r="G286" s="29">
        <f t="shared" si="70"/>
        <v>0</v>
      </c>
      <c r="H286" s="29">
        <f t="shared" si="65"/>
        <v>0</v>
      </c>
      <c r="I286" s="29"/>
      <c r="J286" s="29">
        <f t="shared" si="64"/>
        <v>0</v>
      </c>
      <c r="K286" s="30">
        <v>282</v>
      </c>
    </row>
    <row r="287" spans="1:11" hidden="1" outlineLevel="1" x14ac:dyDescent="0.25">
      <c r="A287" s="34"/>
      <c r="B287" s="18" t="s">
        <v>79</v>
      </c>
      <c r="C287" s="35"/>
      <c r="D287" s="35"/>
      <c r="E287" s="35"/>
      <c r="F287" s="35"/>
      <c r="G287" s="35"/>
      <c r="H287" s="35">
        <f t="shared" si="65"/>
        <v>0</v>
      </c>
      <c r="I287" s="35"/>
      <c r="J287" s="35">
        <f t="shared" si="64"/>
        <v>0</v>
      </c>
      <c r="K287" s="36">
        <v>283</v>
      </c>
    </row>
    <row r="288" spans="1:11" ht="30" hidden="1" outlineLevel="1" x14ac:dyDescent="0.25">
      <c r="A288" s="34"/>
      <c r="B288" s="17" t="s">
        <v>80</v>
      </c>
      <c r="C288" s="35"/>
      <c r="D288" s="35"/>
      <c r="E288" s="35"/>
      <c r="F288" s="35"/>
      <c r="G288" s="35"/>
      <c r="H288" s="35">
        <f t="shared" si="65"/>
        <v>0</v>
      </c>
      <c r="I288" s="35"/>
      <c r="J288" s="35">
        <f t="shared" si="64"/>
        <v>0</v>
      </c>
      <c r="K288" s="36">
        <v>284</v>
      </c>
    </row>
    <row r="289" spans="1:11" hidden="1" outlineLevel="1" x14ac:dyDescent="0.25">
      <c r="A289" s="34"/>
      <c r="B289" s="17" t="s">
        <v>81</v>
      </c>
      <c r="C289" s="35"/>
      <c r="D289" s="35"/>
      <c r="E289" s="35"/>
      <c r="F289" s="35"/>
      <c r="G289" s="35"/>
      <c r="H289" s="35">
        <f t="shared" si="65"/>
        <v>0</v>
      </c>
      <c r="I289" s="35"/>
      <c r="J289" s="35">
        <f t="shared" si="64"/>
        <v>0</v>
      </c>
      <c r="K289" s="36">
        <v>285</v>
      </c>
    </row>
    <row r="290" spans="1:11" hidden="1" outlineLevel="1" x14ac:dyDescent="0.25">
      <c r="A290" s="34"/>
      <c r="B290" s="18" t="s">
        <v>82</v>
      </c>
      <c r="C290" s="35"/>
      <c r="D290" s="35"/>
      <c r="E290" s="35"/>
      <c r="F290" s="35"/>
      <c r="G290" s="35"/>
      <c r="H290" s="35">
        <f t="shared" si="65"/>
        <v>0</v>
      </c>
      <c r="I290" s="35"/>
      <c r="J290" s="35">
        <f t="shared" si="64"/>
        <v>0</v>
      </c>
      <c r="K290" s="36">
        <v>286</v>
      </c>
    </row>
    <row r="291" spans="1:11" ht="30" hidden="1" outlineLevel="1" x14ac:dyDescent="0.25">
      <c r="A291" s="34"/>
      <c r="B291" s="17" t="s">
        <v>83</v>
      </c>
      <c r="C291" s="35"/>
      <c r="D291" s="35"/>
      <c r="E291" s="35"/>
      <c r="F291" s="35"/>
      <c r="G291" s="35"/>
      <c r="H291" s="35">
        <f t="shared" si="65"/>
        <v>0</v>
      </c>
      <c r="I291" s="35"/>
      <c r="J291" s="35">
        <f t="shared" si="64"/>
        <v>0</v>
      </c>
      <c r="K291" s="36">
        <v>287</v>
      </c>
    </row>
    <row r="292" spans="1:11" hidden="1" outlineLevel="1" x14ac:dyDescent="0.25">
      <c r="A292" s="28"/>
      <c r="B292" s="15" t="s">
        <v>84</v>
      </c>
      <c r="C292" s="29">
        <f>+SUM(C293:C297)</f>
        <v>0</v>
      </c>
      <c r="D292" s="29">
        <f t="shared" ref="D292:G292" si="71">+SUM(D293:D297)</f>
        <v>0</v>
      </c>
      <c r="E292" s="29">
        <f t="shared" si="71"/>
        <v>0</v>
      </c>
      <c r="F292" s="29">
        <f t="shared" si="71"/>
        <v>0</v>
      </c>
      <c r="G292" s="29">
        <f t="shared" si="71"/>
        <v>0</v>
      </c>
      <c r="H292" s="29">
        <f t="shared" si="65"/>
        <v>0</v>
      </c>
      <c r="I292" s="29"/>
      <c r="J292" s="29">
        <f t="shared" si="64"/>
        <v>0</v>
      </c>
      <c r="K292" s="30">
        <v>288</v>
      </c>
    </row>
    <row r="293" spans="1:11" hidden="1" outlineLevel="1" x14ac:dyDescent="0.25">
      <c r="A293" s="34"/>
      <c r="B293" s="17"/>
      <c r="C293" s="35"/>
      <c r="D293" s="35"/>
      <c r="E293" s="35"/>
      <c r="F293" s="35"/>
      <c r="G293" s="35"/>
      <c r="H293" s="35">
        <f t="shared" si="65"/>
        <v>0</v>
      </c>
      <c r="I293" s="35"/>
      <c r="J293" s="35">
        <f t="shared" si="64"/>
        <v>0</v>
      </c>
      <c r="K293" s="36">
        <v>289</v>
      </c>
    </row>
    <row r="294" spans="1:11" hidden="1" outlineLevel="1" x14ac:dyDescent="0.25">
      <c r="A294" s="34"/>
      <c r="B294" s="17"/>
      <c r="C294" s="35"/>
      <c r="D294" s="35"/>
      <c r="E294" s="35"/>
      <c r="F294" s="35"/>
      <c r="G294" s="35"/>
      <c r="H294" s="35">
        <f t="shared" si="65"/>
        <v>0</v>
      </c>
      <c r="I294" s="35"/>
      <c r="J294" s="35">
        <f t="shared" si="64"/>
        <v>0</v>
      </c>
      <c r="K294" s="36">
        <v>290</v>
      </c>
    </row>
    <row r="295" spans="1:11" hidden="1" outlineLevel="1" x14ac:dyDescent="0.25">
      <c r="A295" s="34"/>
      <c r="B295" s="17"/>
      <c r="C295" s="35"/>
      <c r="D295" s="35"/>
      <c r="E295" s="35"/>
      <c r="F295" s="35"/>
      <c r="G295" s="35"/>
      <c r="H295" s="35">
        <f t="shared" si="65"/>
        <v>0</v>
      </c>
      <c r="I295" s="35"/>
      <c r="J295" s="35">
        <f t="shared" si="64"/>
        <v>0</v>
      </c>
      <c r="K295" s="36">
        <v>291</v>
      </c>
    </row>
    <row r="296" spans="1:11" hidden="1" outlineLevel="1" collapsed="1" x14ac:dyDescent="0.25">
      <c r="A296" s="34"/>
      <c r="B296" s="17" t="s">
        <v>86</v>
      </c>
      <c r="C296" s="35"/>
      <c r="D296" s="35"/>
      <c r="E296" s="35"/>
      <c r="F296" s="35"/>
      <c r="G296" s="35"/>
      <c r="H296" s="35">
        <f t="shared" si="65"/>
        <v>0</v>
      </c>
      <c r="I296" s="35"/>
      <c r="J296" s="35">
        <f t="shared" si="64"/>
        <v>0</v>
      </c>
      <c r="K296" s="36">
        <v>292</v>
      </c>
    </row>
    <row r="297" spans="1:11" hidden="1" outlineLevel="1" x14ac:dyDescent="0.25">
      <c r="A297" s="34"/>
      <c r="B297" s="17"/>
      <c r="C297" s="35"/>
      <c r="D297" s="35"/>
      <c r="E297" s="35"/>
      <c r="F297" s="35"/>
      <c r="G297" s="35"/>
      <c r="H297" s="35">
        <f t="shared" si="65"/>
        <v>0</v>
      </c>
      <c r="I297" s="35"/>
      <c r="J297" s="35">
        <f t="shared" si="64"/>
        <v>0</v>
      </c>
      <c r="K297" s="36">
        <v>293</v>
      </c>
    </row>
    <row r="298" spans="1:11" ht="30" collapsed="1" x14ac:dyDescent="0.25">
      <c r="A298" s="39" t="s">
        <v>108</v>
      </c>
      <c r="B298" s="14" t="s">
        <v>109</v>
      </c>
      <c r="C298" s="24">
        <f>+C299</f>
        <v>0</v>
      </c>
      <c r="D298" s="24">
        <f t="shared" ref="D298:G298" si="72">+D299</f>
        <v>0</v>
      </c>
      <c r="E298" s="24">
        <f t="shared" si="72"/>
        <v>0</v>
      </c>
      <c r="F298" s="24">
        <f t="shared" si="72"/>
        <v>0</v>
      </c>
      <c r="G298" s="24">
        <f t="shared" si="72"/>
        <v>0</v>
      </c>
      <c r="H298" s="24">
        <f t="shared" si="65"/>
        <v>0</v>
      </c>
      <c r="I298" s="24"/>
      <c r="J298" s="24">
        <f t="shared" si="64"/>
        <v>0</v>
      </c>
      <c r="K298" s="25">
        <v>294</v>
      </c>
    </row>
    <row r="299" spans="1:11" ht="30" collapsed="1" x14ac:dyDescent="0.25">
      <c r="A299" s="40" t="s">
        <v>42</v>
      </c>
      <c r="B299" s="10" t="s">
        <v>110</v>
      </c>
      <c r="C299" s="26">
        <f t="shared" ref="C299:G299" si="73">+C300+C309+C313+C319</f>
        <v>0</v>
      </c>
      <c r="D299" s="26">
        <f t="shared" si="73"/>
        <v>0</v>
      </c>
      <c r="E299" s="26">
        <f t="shared" si="73"/>
        <v>0</v>
      </c>
      <c r="F299" s="26">
        <f t="shared" si="73"/>
        <v>0</v>
      </c>
      <c r="G299" s="26">
        <f t="shared" si="73"/>
        <v>0</v>
      </c>
      <c r="H299" s="26">
        <f t="shared" si="65"/>
        <v>0</v>
      </c>
      <c r="I299" s="26">
        <v>0</v>
      </c>
      <c r="J299" s="26">
        <f t="shared" si="64"/>
        <v>0</v>
      </c>
      <c r="K299" s="27">
        <v>295</v>
      </c>
    </row>
    <row r="300" spans="1:11" hidden="1" outlineLevel="1" x14ac:dyDescent="0.25">
      <c r="A300" s="28"/>
      <c r="B300" s="15" t="s">
        <v>65</v>
      </c>
      <c r="C300" s="29">
        <f t="shared" ref="C300:G300" si="74">+SUM(C301:C308)</f>
        <v>0</v>
      </c>
      <c r="D300" s="29">
        <f t="shared" si="74"/>
        <v>0</v>
      </c>
      <c r="E300" s="29">
        <f t="shared" si="74"/>
        <v>0</v>
      </c>
      <c r="F300" s="29">
        <f t="shared" si="74"/>
        <v>0</v>
      </c>
      <c r="G300" s="29">
        <f t="shared" si="74"/>
        <v>0</v>
      </c>
      <c r="H300" s="29">
        <f t="shared" si="65"/>
        <v>0</v>
      </c>
      <c r="I300" s="29">
        <v>0</v>
      </c>
      <c r="J300" s="29">
        <f t="shared" si="64"/>
        <v>0</v>
      </c>
      <c r="K300" s="30">
        <v>296</v>
      </c>
    </row>
    <row r="301" spans="1:11" hidden="1" outlineLevel="1" x14ac:dyDescent="0.25">
      <c r="A301" s="31"/>
      <c r="B301" s="16" t="s">
        <v>66</v>
      </c>
      <c r="C301" s="32"/>
      <c r="D301" s="32"/>
      <c r="E301" s="32"/>
      <c r="F301" s="32"/>
      <c r="G301" s="32"/>
      <c r="H301" s="32">
        <f t="shared" si="65"/>
        <v>0</v>
      </c>
      <c r="I301" s="32"/>
      <c r="J301" s="32">
        <f t="shared" si="64"/>
        <v>0</v>
      </c>
      <c r="K301" s="33">
        <v>297</v>
      </c>
    </row>
    <row r="302" spans="1:11" hidden="1" outlineLevel="1" x14ac:dyDescent="0.25">
      <c r="A302" s="31"/>
      <c r="B302" s="17" t="s">
        <v>67</v>
      </c>
      <c r="C302" s="32"/>
      <c r="D302" s="32"/>
      <c r="E302" s="32"/>
      <c r="F302" s="32"/>
      <c r="G302" s="32"/>
      <c r="H302" s="32">
        <f t="shared" si="65"/>
        <v>0</v>
      </c>
      <c r="I302" s="32"/>
      <c r="J302" s="32">
        <f t="shared" si="64"/>
        <v>0</v>
      </c>
      <c r="K302" s="33">
        <v>298</v>
      </c>
    </row>
    <row r="303" spans="1:11" ht="30" hidden="1" outlineLevel="1" x14ac:dyDescent="0.25">
      <c r="A303" s="31"/>
      <c r="B303" s="17" t="s">
        <v>68</v>
      </c>
      <c r="C303" s="32"/>
      <c r="D303" s="32"/>
      <c r="E303" s="32"/>
      <c r="F303" s="32"/>
      <c r="G303" s="32"/>
      <c r="H303" s="32">
        <f t="shared" si="65"/>
        <v>0</v>
      </c>
      <c r="I303" s="32"/>
      <c r="J303" s="32">
        <f t="shared" si="64"/>
        <v>0</v>
      </c>
      <c r="K303" s="33">
        <v>299</v>
      </c>
    </row>
    <row r="304" spans="1:11" hidden="1" outlineLevel="1" x14ac:dyDescent="0.25">
      <c r="A304" s="31"/>
      <c r="B304" s="16" t="s">
        <v>69</v>
      </c>
      <c r="C304" s="32"/>
      <c r="D304" s="32"/>
      <c r="E304" s="32"/>
      <c r="F304" s="32"/>
      <c r="G304" s="32"/>
      <c r="H304" s="32">
        <f t="shared" si="65"/>
        <v>0</v>
      </c>
      <c r="I304" s="32"/>
      <c r="J304" s="32">
        <f t="shared" si="64"/>
        <v>0</v>
      </c>
      <c r="K304" s="33">
        <v>300</v>
      </c>
    </row>
    <row r="305" spans="1:11" hidden="1" outlineLevel="1" x14ac:dyDescent="0.25">
      <c r="A305" s="31"/>
      <c r="B305" s="17" t="s">
        <v>70</v>
      </c>
      <c r="C305" s="32"/>
      <c r="D305" s="32"/>
      <c r="E305" s="32"/>
      <c r="F305" s="32"/>
      <c r="G305" s="32"/>
      <c r="H305" s="32">
        <f t="shared" si="65"/>
        <v>0</v>
      </c>
      <c r="I305" s="32"/>
      <c r="J305" s="32">
        <f t="shared" si="64"/>
        <v>0</v>
      </c>
      <c r="K305" s="33">
        <v>301</v>
      </c>
    </row>
    <row r="306" spans="1:11" ht="30" hidden="1" outlineLevel="1" x14ac:dyDescent="0.25">
      <c r="A306" s="31"/>
      <c r="B306" s="17" t="s">
        <v>71</v>
      </c>
      <c r="C306" s="32"/>
      <c r="D306" s="32"/>
      <c r="E306" s="32"/>
      <c r="F306" s="32"/>
      <c r="G306" s="32"/>
      <c r="H306" s="32">
        <f t="shared" si="65"/>
        <v>0</v>
      </c>
      <c r="I306" s="32"/>
      <c r="J306" s="32">
        <f t="shared" si="64"/>
        <v>0</v>
      </c>
      <c r="K306" s="33">
        <v>302</v>
      </c>
    </row>
    <row r="307" spans="1:11" hidden="1" outlineLevel="1" x14ac:dyDescent="0.25">
      <c r="A307" s="31"/>
      <c r="B307" s="16" t="s">
        <v>72</v>
      </c>
      <c r="C307" s="32"/>
      <c r="D307" s="32"/>
      <c r="E307" s="32"/>
      <c r="F307" s="32"/>
      <c r="G307" s="32"/>
      <c r="H307" s="32">
        <f t="shared" si="65"/>
        <v>0</v>
      </c>
      <c r="I307" s="32"/>
      <c r="J307" s="32">
        <f t="shared" si="64"/>
        <v>0</v>
      </c>
      <c r="K307" s="33">
        <v>303</v>
      </c>
    </row>
    <row r="308" spans="1:11" ht="30" hidden="1" outlineLevel="1" x14ac:dyDescent="0.25">
      <c r="A308" s="31"/>
      <c r="B308" s="17" t="s">
        <v>73</v>
      </c>
      <c r="C308" s="32"/>
      <c r="D308" s="32"/>
      <c r="E308" s="32"/>
      <c r="F308" s="32"/>
      <c r="G308" s="32"/>
      <c r="H308" s="32">
        <f t="shared" si="65"/>
        <v>0</v>
      </c>
      <c r="I308" s="32"/>
      <c r="J308" s="32">
        <f t="shared" si="64"/>
        <v>0</v>
      </c>
      <c r="K308" s="33">
        <v>304</v>
      </c>
    </row>
    <row r="309" spans="1:11" hidden="1" outlineLevel="1" x14ac:dyDescent="0.25">
      <c r="A309" s="28"/>
      <c r="B309" s="15" t="s">
        <v>74</v>
      </c>
      <c r="C309" s="29">
        <f t="shared" ref="C309:G309" si="75">+SUM(C310:C312)</f>
        <v>0</v>
      </c>
      <c r="D309" s="29">
        <f t="shared" si="75"/>
        <v>0</v>
      </c>
      <c r="E309" s="29">
        <f t="shared" si="75"/>
        <v>0</v>
      </c>
      <c r="F309" s="29">
        <f t="shared" si="75"/>
        <v>0</v>
      </c>
      <c r="G309" s="29">
        <f t="shared" si="75"/>
        <v>0</v>
      </c>
      <c r="H309" s="29">
        <f t="shared" si="65"/>
        <v>0</v>
      </c>
      <c r="I309" s="29"/>
      <c r="J309" s="29">
        <f t="shared" si="64"/>
        <v>0</v>
      </c>
      <c r="K309" s="30">
        <v>305</v>
      </c>
    </row>
    <row r="310" spans="1:11" ht="30" hidden="1" outlineLevel="1" x14ac:dyDescent="0.25">
      <c r="A310" s="34"/>
      <c r="B310" s="17" t="s">
        <v>75</v>
      </c>
      <c r="C310" s="35"/>
      <c r="D310" s="35"/>
      <c r="E310" s="35"/>
      <c r="F310" s="35"/>
      <c r="G310" s="35"/>
      <c r="H310" s="35">
        <f t="shared" si="65"/>
        <v>0</v>
      </c>
      <c r="I310" s="35"/>
      <c r="J310" s="35">
        <f t="shared" si="64"/>
        <v>0</v>
      </c>
      <c r="K310" s="36">
        <v>306</v>
      </c>
    </row>
    <row r="311" spans="1:11" ht="30" hidden="1" outlineLevel="1" x14ac:dyDescent="0.25">
      <c r="A311" s="34"/>
      <c r="B311" s="17" t="s">
        <v>76</v>
      </c>
      <c r="C311" s="35"/>
      <c r="D311" s="35"/>
      <c r="E311" s="35"/>
      <c r="F311" s="35"/>
      <c r="G311" s="35"/>
      <c r="H311" s="35">
        <f t="shared" si="65"/>
        <v>0</v>
      </c>
      <c r="I311" s="35"/>
      <c r="J311" s="35">
        <f t="shared" si="64"/>
        <v>0</v>
      </c>
      <c r="K311" s="36">
        <v>307</v>
      </c>
    </row>
    <row r="312" spans="1:11" ht="30" hidden="1" outlineLevel="1" x14ac:dyDescent="0.25">
      <c r="A312" s="34"/>
      <c r="B312" s="17" t="s">
        <v>77</v>
      </c>
      <c r="C312" s="35"/>
      <c r="D312" s="35"/>
      <c r="E312" s="35"/>
      <c r="F312" s="35"/>
      <c r="G312" s="35"/>
      <c r="H312" s="35">
        <f t="shared" si="65"/>
        <v>0</v>
      </c>
      <c r="I312" s="35"/>
      <c r="J312" s="35">
        <f t="shared" si="64"/>
        <v>0</v>
      </c>
      <c r="K312" s="36">
        <v>308</v>
      </c>
    </row>
    <row r="313" spans="1:11" hidden="1" outlineLevel="1" x14ac:dyDescent="0.25">
      <c r="A313" s="28"/>
      <c r="B313" s="15" t="s">
        <v>78</v>
      </c>
      <c r="C313" s="29">
        <f t="shared" ref="C313:G313" si="76">+SUM(C314:C318)</f>
        <v>0</v>
      </c>
      <c r="D313" s="29">
        <f t="shared" si="76"/>
        <v>0</v>
      </c>
      <c r="E313" s="29">
        <f t="shared" si="76"/>
        <v>0</v>
      </c>
      <c r="F313" s="29">
        <f t="shared" si="76"/>
        <v>0</v>
      </c>
      <c r="G313" s="29">
        <f t="shared" si="76"/>
        <v>0</v>
      </c>
      <c r="H313" s="29">
        <f t="shared" si="65"/>
        <v>0</v>
      </c>
      <c r="I313" s="29"/>
      <c r="J313" s="29">
        <f t="shared" si="64"/>
        <v>0</v>
      </c>
      <c r="K313" s="30">
        <v>309</v>
      </c>
    </row>
    <row r="314" spans="1:11" hidden="1" outlineLevel="1" x14ac:dyDescent="0.25">
      <c r="A314" s="34"/>
      <c r="B314" s="18" t="s">
        <v>79</v>
      </c>
      <c r="C314" s="35"/>
      <c r="D314" s="35"/>
      <c r="E314" s="35"/>
      <c r="F314" s="35"/>
      <c r="G314" s="35"/>
      <c r="H314" s="35">
        <f t="shared" si="65"/>
        <v>0</v>
      </c>
      <c r="I314" s="35"/>
      <c r="J314" s="35">
        <f t="shared" si="64"/>
        <v>0</v>
      </c>
      <c r="K314" s="36">
        <v>310</v>
      </c>
    </row>
    <row r="315" spans="1:11" ht="30" hidden="1" outlineLevel="1" x14ac:dyDescent="0.25">
      <c r="A315" s="34"/>
      <c r="B315" s="17" t="s">
        <v>80</v>
      </c>
      <c r="C315" s="35"/>
      <c r="D315" s="35"/>
      <c r="E315" s="35"/>
      <c r="F315" s="35"/>
      <c r="G315" s="35"/>
      <c r="H315" s="35">
        <f t="shared" si="65"/>
        <v>0</v>
      </c>
      <c r="I315" s="35"/>
      <c r="J315" s="35">
        <f t="shared" si="64"/>
        <v>0</v>
      </c>
      <c r="K315" s="36">
        <v>311</v>
      </c>
    </row>
    <row r="316" spans="1:11" hidden="1" outlineLevel="1" x14ac:dyDescent="0.25">
      <c r="A316" s="34"/>
      <c r="B316" s="17" t="s">
        <v>81</v>
      </c>
      <c r="C316" s="35"/>
      <c r="D316" s="35"/>
      <c r="E316" s="35"/>
      <c r="F316" s="35"/>
      <c r="G316" s="35"/>
      <c r="H316" s="35">
        <f t="shared" si="65"/>
        <v>0</v>
      </c>
      <c r="I316" s="35"/>
      <c r="J316" s="35">
        <f t="shared" si="64"/>
        <v>0</v>
      </c>
      <c r="K316" s="36">
        <v>312</v>
      </c>
    </row>
    <row r="317" spans="1:11" hidden="1" outlineLevel="1" x14ac:dyDescent="0.25">
      <c r="A317" s="34"/>
      <c r="B317" s="18" t="s">
        <v>82</v>
      </c>
      <c r="C317" s="35"/>
      <c r="D317" s="35"/>
      <c r="E317" s="35"/>
      <c r="F317" s="35"/>
      <c r="G317" s="35"/>
      <c r="H317" s="35">
        <f t="shared" si="65"/>
        <v>0</v>
      </c>
      <c r="I317" s="35"/>
      <c r="J317" s="35">
        <f t="shared" si="64"/>
        <v>0</v>
      </c>
      <c r="K317" s="36">
        <v>313</v>
      </c>
    </row>
    <row r="318" spans="1:11" ht="30" hidden="1" outlineLevel="1" x14ac:dyDescent="0.25">
      <c r="A318" s="34"/>
      <c r="B318" s="17" t="s">
        <v>83</v>
      </c>
      <c r="C318" s="35"/>
      <c r="D318" s="35"/>
      <c r="E318" s="35"/>
      <c r="F318" s="35"/>
      <c r="G318" s="35"/>
      <c r="H318" s="35">
        <f t="shared" si="65"/>
        <v>0</v>
      </c>
      <c r="I318" s="35"/>
      <c r="J318" s="35">
        <f t="shared" si="64"/>
        <v>0</v>
      </c>
      <c r="K318" s="36">
        <v>314</v>
      </c>
    </row>
    <row r="319" spans="1:11" hidden="1" outlineLevel="1" x14ac:dyDescent="0.25">
      <c r="A319" s="28"/>
      <c r="B319" s="15" t="s">
        <v>84</v>
      </c>
      <c r="C319" s="29">
        <f>+SUM(C320:C324)</f>
        <v>0</v>
      </c>
      <c r="D319" s="29">
        <f t="shared" ref="D319:G319" si="77">+SUM(D320:D324)</f>
        <v>0</v>
      </c>
      <c r="E319" s="29">
        <f t="shared" si="77"/>
        <v>0</v>
      </c>
      <c r="F319" s="29">
        <f t="shared" si="77"/>
        <v>0</v>
      </c>
      <c r="G319" s="29">
        <f t="shared" si="77"/>
        <v>0</v>
      </c>
      <c r="H319" s="29">
        <f t="shared" si="65"/>
        <v>0</v>
      </c>
      <c r="I319" s="29"/>
      <c r="J319" s="29">
        <f t="shared" si="64"/>
        <v>0</v>
      </c>
      <c r="K319" s="30">
        <v>315</v>
      </c>
    </row>
    <row r="320" spans="1:11" hidden="1" outlineLevel="1" x14ac:dyDescent="0.25">
      <c r="A320" s="34"/>
      <c r="B320" s="17"/>
      <c r="C320" s="35"/>
      <c r="D320" s="35"/>
      <c r="E320" s="35"/>
      <c r="F320" s="35"/>
      <c r="G320" s="35"/>
      <c r="H320" s="35">
        <f t="shared" si="65"/>
        <v>0</v>
      </c>
      <c r="I320" s="35"/>
      <c r="J320" s="35">
        <f t="shared" si="64"/>
        <v>0</v>
      </c>
      <c r="K320" s="36">
        <v>316</v>
      </c>
    </row>
    <row r="321" spans="1:11" hidden="1" outlineLevel="1" x14ac:dyDescent="0.25">
      <c r="A321" s="34"/>
      <c r="B321" s="17"/>
      <c r="C321" s="35"/>
      <c r="D321" s="35"/>
      <c r="E321" s="35"/>
      <c r="F321" s="35"/>
      <c r="G321" s="35"/>
      <c r="H321" s="35">
        <f t="shared" si="65"/>
        <v>0</v>
      </c>
      <c r="I321" s="35"/>
      <c r="J321" s="35">
        <f t="shared" si="64"/>
        <v>0</v>
      </c>
      <c r="K321" s="36">
        <v>317</v>
      </c>
    </row>
    <row r="322" spans="1:11" hidden="1" outlineLevel="1" collapsed="1" x14ac:dyDescent="0.25">
      <c r="A322" s="34"/>
      <c r="B322" s="17"/>
      <c r="C322" s="35"/>
      <c r="D322" s="35"/>
      <c r="E322" s="35"/>
      <c r="F322" s="35"/>
      <c r="G322" s="35"/>
      <c r="H322" s="35">
        <f t="shared" si="65"/>
        <v>0</v>
      </c>
      <c r="I322" s="35"/>
      <c r="J322" s="35">
        <f t="shared" si="64"/>
        <v>0</v>
      </c>
      <c r="K322" s="36">
        <v>318</v>
      </c>
    </row>
    <row r="323" spans="1:11" hidden="1" outlineLevel="1" x14ac:dyDescent="0.25">
      <c r="A323" s="34"/>
      <c r="B323" s="17" t="s">
        <v>86</v>
      </c>
      <c r="C323" s="35"/>
      <c r="D323" s="35"/>
      <c r="E323" s="35"/>
      <c r="F323" s="35"/>
      <c r="G323" s="35"/>
      <c r="H323" s="35">
        <f t="shared" si="65"/>
        <v>0</v>
      </c>
      <c r="I323" s="35"/>
      <c r="J323" s="35">
        <f t="shared" si="64"/>
        <v>0</v>
      </c>
      <c r="K323" s="36">
        <v>319</v>
      </c>
    </row>
    <row r="324" spans="1:11" hidden="1" outlineLevel="1" collapsed="1" x14ac:dyDescent="0.25">
      <c r="A324" s="34"/>
      <c r="B324" s="17"/>
      <c r="C324" s="35"/>
      <c r="D324" s="35"/>
      <c r="E324" s="35"/>
      <c r="F324" s="35"/>
      <c r="G324" s="35"/>
      <c r="H324" s="35">
        <f t="shared" si="65"/>
        <v>0</v>
      </c>
      <c r="I324" s="35"/>
      <c r="J324" s="35">
        <f t="shared" si="64"/>
        <v>0</v>
      </c>
      <c r="K324" s="36">
        <v>320</v>
      </c>
    </row>
    <row r="325" spans="1:11" ht="30" collapsed="1" x14ac:dyDescent="0.25">
      <c r="A325" s="39" t="s">
        <v>111</v>
      </c>
      <c r="B325" s="14" t="s">
        <v>112</v>
      </c>
      <c r="C325" s="24">
        <f>+C326</f>
        <v>0</v>
      </c>
      <c r="D325" s="24">
        <f t="shared" ref="D325:G325" si="78">+D326</f>
        <v>0</v>
      </c>
      <c r="E325" s="24">
        <f t="shared" si="78"/>
        <v>0</v>
      </c>
      <c r="F325" s="24">
        <f t="shared" si="78"/>
        <v>0</v>
      </c>
      <c r="G325" s="24">
        <f t="shared" si="78"/>
        <v>0</v>
      </c>
      <c r="H325" s="24">
        <f t="shared" si="65"/>
        <v>0</v>
      </c>
      <c r="I325" s="24"/>
      <c r="J325" s="24">
        <f t="shared" ref="J325:J388" si="79">+I325-H325</f>
        <v>0</v>
      </c>
      <c r="K325" s="25">
        <v>321</v>
      </c>
    </row>
    <row r="326" spans="1:11" ht="30" collapsed="1" x14ac:dyDescent="0.25">
      <c r="A326" s="40" t="s">
        <v>113</v>
      </c>
      <c r="B326" s="10" t="s">
        <v>114</v>
      </c>
      <c r="C326" s="26">
        <f t="shared" ref="C326:G326" si="80">+C327+C336+C340+C346</f>
        <v>0</v>
      </c>
      <c r="D326" s="26">
        <f t="shared" si="80"/>
        <v>0</v>
      </c>
      <c r="E326" s="26">
        <f t="shared" si="80"/>
        <v>0</v>
      </c>
      <c r="F326" s="26">
        <f t="shared" si="80"/>
        <v>0</v>
      </c>
      <c r="G326" s="26">
        <f t="shared" si="80"/>
        <v>0</v>
      </c>
      <c r="H326" s="26">
        <f t="shared" ref="H326:H389" si="81">+SUM(C326:G326)</f>
        <v>0</v>
      </c>
      <c r="I326" s="26">
        <v>0</v>
      </c>
      <c r="J326" s="26">
        <f t="shared" si="79"/>
        <v>0</v>
      </c>
      <c r="K326" s="27">
        <v>322</v>
      </c>
    </row>
    <row r="327" spans="1:11" hidden="1" outlineLevel="1" x14ac:dyDescent="0.25">
      <c r="A327" s="28"/>
      <c r="B327" s="15" t="s">
        <v>65</v>
      </c>
      <c r="C327" s="29">
        <f t="shared" ref="C327:G327" si="82">+SUM(C328:C335)</f>
        <v>0</v>
      </c>
      <c r="D327" s="29">
        <f t="shared" si="82"/>
        <v>0</v>
      </c>
      <c r="E327" s="29">
        <f t="shared" si="82"/>
        <v>0</v>
      </c>
      <c r="F327" s="29">
        <f t="shared" si="82"/>
        <v>0</v>
      </c>
      <c r="G327" s="29">
        <f t="shared" si="82"/>
        <v>0</v>
      </c>
      <c r="H327" s="29">
        <f t="shared" si="81"/>
        <v>0</v>
      </c>
      <c r="I327" s="29">
        <v>0</v>
      </c>
      <c r="J327" s="29">
        <f t="shared" si="79"/>
        <v>0</v>
      </c>
      <c r="K327" s="30">
        <v>323</v>
      </c>
    </row>
    <row r="328" spans="1:11" hidden="1" outlineLevel="1" x14ac:dyDescent="0.25">
      <c r="A328" s="31"/>
      <c r="B328" s="16" t="s">
        <v>66</v>
      </c>
      <c r="C328" s="32"/>
      <c r="D328" s="32"/>
      <c r="E328" s="32"/>
      <c r="F328" s="32"/>
      <c r="G328" s="32"/>
      <c r="H328" s="32">
        <f t="shared" si="81"/>
        <v>0</v>
      </c>
      <c r="I328" s="32"/>
      <c r="J328" s="32">
        <f t="shared" si="79"/>
        <v>0</v>
      </c>
      <c r="K328" s="33">
        <v>324</v>
      </c>
    </row>
    <row r="329" spans="1:11" hidden="1" outlineLevel="1" x14ac:dyDescent="0.25">
      <c r="A329" s="31"/>
      <c r="B329" s="17" t="s">
        <v>67</v>
      </c>
      <c r="C329" s="32"/>
      <c r="D329" s="32"/>
      <c r="E329" s="32"/>
      <c r="F329" s="32"/>
      <c r="G329" s="32"/>
      <c r="H329" s="32">
        <f t="shared" si="81"/>
        <v>0</v>
      </c>
      <c r="I329" s="32"/>
      <c r="J329" s="32">
        <f t="shared" si="79"/>
        <v>0</v>
      </c>
      <c r="K329" s="33">
        <v>325</v>
      </c>
    </row>
    <row r="330" spans="1:11" ht="30" hidden="1" outlineLevel="1" x14ac:dyDescent="0.25">
      <c r="A330" s="31"/>
      <c r="B330" s="17" t="s">
        <v>68</v>
      </c>
      <c r="C330" s="32"/>
      <c r="D330" s="32"/>
      <c r="E330" s="32"/>
      <c r="F330" s="32"/>
      <c r="G330" s="32"/>
      <c r="H330" s="32">
        <f t="shared" si="81"/>
        <v>0</v>
      </c>
      <c r="I330" s="32"/>
      <c r="J330" s="32">
        <f t="shared" si="79"/>
        <v>0</v>
      </c>
      <c r="K330" s="33">
        <v>326</v>
      </c>
    </row>
    <row r="331" spans="1:11" hidden="1" outlineLevel="1" x14ac:dyDescent="0.25">
      <c r="A331" s="31"/>
      <c r="B331" s="16" t="s">
        <v>69</v>
      </c>
      <c r="C331" s="32"/>
      <c r="D331" s="32"/>
      <c r="E331" s="32"/>
      <c r="F331" s="32"/>
      <c r="G331" s="32"/>
      <c r="H331" s="32">
        <f t="shared" si="81"/>
        <v>0</v>
      </c>
      <c r="I331" s="32"/>
      <c r="J331" s="32">
        <f t="shared" si="79"/>
        <v>0</v>
      </c>
      <c r="K331" s="33">
        <v>327</v>
      </c>
    </row>
    <row r="332" spans="1:11" hidden="1" outlineLevel="1" x14ac:dyDescent="0.25">
      <c r="A332" s="31"/>
      <c r="B332" s="17" t="s">
        <v>70</v>
      </c>
      <c r="C332" s="32"/>
      <c r="D332" s="32"/>
      <c r="E332" s="32"/>
      <c r="F332" s="32"/>
      <c r="G332" s="32"/>
      <c r="H332" s="32">
        <f t="shared" si="81"/>
        <v>0</v>
      </c>
      <c r="I332" s="32"/>
      <c r="J332" s="32">
        <f t="shared" si="79"/>
        <v>0</v>
      </c>
      <c r="K332" s="33">
        <v>328</v>
      </c>
    </row>
    <row r="333" spans="1:11" ht="30" hidden="1" outlineLevel="1" x14ac:dyDescent="0.25">
      <c r="A333" s="31"/>
      <c r="B333" s="17" t="s">
        <v>71</v>
      </c>
      <c r="C333" s="32"/>
      <c r="D333" s="32"/>
      <c r="E333" s="32"/>
      <c r="F333" s="32"/>
      <c r="G333" s="32"/>
      <c r="H333" s="32">
        <f t="shared" si="81"/>
        <v>0</v>
      </c>
      <c r="I333" s="32"/>
      <c r="J333" s="32">
        <f t="shared" si="79"/>
        <v>0</v>
      </c>
      <c r="K333" s="33">
        <v>329</v>
      </c>
    </row>
    <row r="334" spans="1:11" hidden="1" outlineLevel="1" x14ac:dyDescent="0.25">
      <c r="A334" s="31"/>
      <c r="B334" s="16" t="s">
        <v>72</v>
      </c>
      <c r="C334" s="32"/>
      <c r="D334" s="32"/>
      <c r="E334" s="32"/>
      <c r="F334" s="32"/>
      <c r="G334" s="32"/>
      <c r="H334" s="32">
        <f t="shared" si="81"/>
        <v>0</v>
      </c>
      <c r="I334" s="32"/>
      <c r="J334" s="32">
        <f t="shared" si="79"/>
        <v>0</v>
      </c>
      <c r="K334" s="33">
        <v>330</v>
      </c>
    </row>
    <row r="335" spans="1:11" ht="30" hidden="1" outlineLevel="1" x14ac:dyDescent="0.25">
      <c r="A335" s="31"/>
      <c r="B335" s="17" t="s">
        <v>73</v>
      </c>
      <c r="C335" s="32"/>
      <c r="D335" s="32"/>
      <c r="E335" s="32"/>
      <c r="F335" s="32"/>
      <c r="G335" s="32"/>
      <c r="H335" s="32">
        <f t="shared" si="81"/>
        <v>0</v>
      </c>
      <c r="I335" s="32"/>
      <c r="J335" s="32">
        <f t="shared" si="79"/>
        <v>0</v>
      </c>
      <c r="K335" s="33">
        <v>331</v>
      </c>
    </row>
    <row r="336" spans="1:11" hidden="1" outlineLevel="1" x14ac:dyDescent="0.25">
      <c r="A336" s="28"/>
      <c r="B336" s="15" t="s">
        <v>74</v>
      </c>
      <c r="C336" s="29">
        <f t="shared" ref="C336:G336" si="83">+SUM(C337:C339)</f>
        <v>0</v>
      </c>
      <c r="D336" s="29">
        <f t="shared" si="83"/>
        <v>0</v>
      </c>
      <c r="E336" s="29">
        <f t="shared" si="83"/>
        <v>0</v>
      </c>
      <c r="F336" s="29">
        <f t="shared" si="83"/>
        <v>0</v>
      </c>
      <c r="G336" s="29">
        <f t="shared" si="83"/>
        <v>0</v>
      </c>
      <c r="H336" s="29">
        <f t="shared" si="81"/>
        <v>0</v>
      </c>
      <c r="I336" s="29"/>
      <c r="J336" s="29">
        <f t="shared" si="79"/>
        <v>0</v>
      </c>
      <c r="K336" s="30">
        <v>332</v>
      </c>
    </row>
    <row r="337" spans="1:11" ht="30" hidden="1" outlineLevel="1" x14ac:dyDescent="0.25">
      <c r="A337" s="34"/>
      <c r="B337" s="17" t="s">
        <v>75</v>
      </c>
      <c r="C337" s="35"/>
      <c r="D337" s="35"/>
      <c r="E337" s="35"/>
      <c r="F337" s="35"/>
      <c r="G337" s="35"/>
      <c r="H337" s="35">
        <f t="shared" si="81"/>
        <v>0</v>
      </c>
      <c r="I337" s="35"/>
      <c r="J337" s="35">
        <f t="shared" si="79"/>
        <v>0</v>
      </c>
      <c r="K337" s="36">
        <v>333</v>
      </c>
    </row>
    <row r="338" spans="1:11" ht="30" hidden="1" outlineLevel="1" x14ac:dyDescent="0.25">
      <c r="A338" s="34"/>
      <c r="B338" s="17" t="s">
        <v>76</v>
      </c>
      <c r="C338" s="35"/>
      <c r="D338" s="35"/>
      <c r="E338" s="35"/>
      <c r="F338" s="35"/>
      <c r="G338" s="35"/>
      <c r="H338" s="35">
        <f t="shared" si="81"/>
        <v>0</v>
      </c>
      <c r="I338" s="35"/>
      <c r="J338" s="35">
        <f t="shared" si="79"/>
        <v>0</v>
      </c>
      <c r="K338" s="36">
        <v>334</v>
      </c>
    </row>
    <row r="339" spans="1:11" ht="30" hidden="1" outlineLevel="1" x14ac:dyDescent="0.25">
      <c r="A339" s="34"/>
      <c r="B339" s="17" t="s">
        <v>77</v>
      </c>
      <c r="C339" s="35"/>
      <c r="D339" s="35"/>
      <c r="E339" s="35"/>
      <c r="F339" s="35"/>
      <c r="G339" s="35"/>
      <c r="H339" s="35">
        <f t="shared" si="81"/>
        <v>0</v>
      </c>
      <c r="I339" s="35"/>
      <c r="J339" s="35">
        <f t="shared" si="79"/>
        <v>0</v>
      </c>
      <c r="K339" s="36">
        <v>335</v>
      </c>
    </row>
    <row r="340" spans="1:11" hidden="1" outlineLevel="1" x14ac:dyDescent="0.25">
      <c r="A340" s="28"/>
      <c r="B340" s="15" t="s">
        <v>78</v>
      </c>
      <c r="C340" s="29">
        <f t="shared" ref="C340:G340" si="84">+SUM(C341:C345)</f>
        <v>0</v>
      </c>
      <c r="D340" s="29">
        <f t="shared" si="84"/>
        <v>0</v>
      </c>
      <c r="E340" s="29">
        <f t="shared" si="84"/>
        <v>0</v>
      </c>
      <c r="F340" s="29">
        <f t="shared" si="84"/>
        <v>0</v>
      </c>
      <c r="G340" s="29">
        <f t="shared" si="84"/>
        <v>0</v>
      </c>
      <c r="H340" s="29">
        <f t="shared" si="81"/>
        <v>0</v>
      </c>
      <c r="I340" s="29"/>
      <c r="J340" s="29">
        <f t="shared" si="79"/>
        <v>0</v>
      </c>
      <c r="K340" s="30">
        <v>336</v>
      </c>
    </row>
    <row r="341" spans="1:11" hidden="1" outlineLevel="1" x14ac:dyDescent="0.25">
      <c r="A341" s="34"/>
      <c r="B341" s="18" t="s">
        <v>79</v>
      </c>
      <c r="C341" s="35"/>
      <c r="D341" s="35"/>
      <c r="E341" s="35"/>
      <c r="F341" s="35"/>
      <c r="G341" s="35"/>
      <c r="H341" s="35">
        <f t="shared" si="81"/>
        <v>0</v>
      </c>
      <c r="I341" s="35"/>
      <c r="J341" s="35">
        <f t="shared" si="79"/>
        <v>0</v>
      </c>
      <c r="K341" s="36">
        <v>337</v>
      </c>
    </row>
    <row r="342" spans="1:11" ht="30" hidden="1" outlineLevel="1" x14ac:dyDescent="0.25">
      <c r="A342" s="34"/>
      <c r="B342" s="17" t="s">
        <v>80</v>
      </c>
      <c r="C342" s="35"/>
      <c r="D342" s="35"/>
      <c r="E342" s="35"/>
      <c r="F342" s="35"/>
      <c r="G342" s="35"/>
      <c r="H342" s="35">
        <f t="shared" si="81"/>
        <v>0</v>
      </c>
      <c r="I342" s="35"/>
      <c r="J342" s="35">
        <f t="shared" si="79"/>
        <v>0</v>
      </c>
      <c r="K342" s="36">
        <v>338</v>
      </c>
    </row>
    <row r="343" spans="1:11" hidden="1" outlineLevel="1" x14ac:dyDescent="0.25">
      <c r="A343" s="34"/>
      <c r="B343" s="17" t="s">
        <v>81</v>
      </c>
      <c r="C343" s="35"/>
      <c r="D343" s="35"/>
      <c r="E343" s="35"/>
      <c r="F343" s="35"/>
      <c r="G343" s="35"/>
      <c r="H343" s="35">
        <f t="shared" si="81"/>
        <v>0</v>
      </c>
      <c r="I343" s="35"/>
      <c r="J343" s="35">
        <f t="shared" si="79"/>
        <v>0</v>
      </c>
      <c r="K343" s="36">
        <v>339</v>
      </c>
    </row>
    <row r="344" spans="1:11" hidden="1" outlineLevel="1" x14ac:dyDescent="0.25">
      <c r="A344" s="34"/>
      <c r="B344" s="18" t="s">
        <v>82</v>
      </c>
      <c r="C344" s="35"/>
      <c r="D344" s="35"/>
      <c r="E344" s="35"/>
      <c r="F344" s="35"/>
      <c r="G344" s="35"/>
      <c r="H344" s="35">
        <f t="shared" si="81"/>
        <v>0</v>
      </c>
      <c r="I344" s="35"/>
      <c r="J344" s="35">
        <f t="shared" si="79"/>
        <v>0</v>
      </c>
      <c r="K344" s="36">
        <v>340</v>
      </c>
    </row>
    <row r="345" spans="1:11" ht="30" hidden="1" outlineLevel="1" x14ac:dyDescent="0.25">
      <c r="A345" s="34"/>
      <c r="B345" s="17" t="s">
        <v>83</v>
      </c>
      <c r="C345" s="35"/>
      <c r="D345" s="35"/>
      <c r="E345" s="35"/>
      <c r="F345" s="35"/>
      <c r="G345" s="35"/>
      <c r="H345" s="35">
        <f t="shared" si="81"/>
        <v>0</v>
      </c>
      <c r="I345" s="35"/>
      <c r="J345" s="35">
        <f t="shared" si="79"/>
        <v>0</v>
      </c>
      <c r="K345" s="36">
        <v>341</v>
      </c>
    </row>
    <row r="346" spans="1:11" hidden="1" outlineLevel="1" x14ac:dyDescent="0.25">
      <c r="A346" s="28"/>
      <c r="B346" s="15" t="s">
        <v>84</v>
      </c>
      <c r="C346" s="29">
        <f>+SUM(C347:C351)</f>
        <v>0</v>
      </c>
      <c r="D346" s="29">
        <f t="shared" ref="D346:G346" si="85">+SUM(D347:D351)</f>
        <v>0</v>
      </c>
      <c r="E346" s="29">
        <f t="shared" si="85"/>
        <v>0</v>
      </c>
      <c r="F346" s="29">
        <f t="shared" si="85"/>
        <v>0</v>
      </c>
      <c r="G346" s="29">
        <f t="shared" si="85"/>
        <v>0</v>
      </c>
      <c r="H346" s="29">
        <f t="shared" si="81"/>
        <v>0</v>
      </c>
      <c r="I346" s="29"/>
      <c r="J346" s="29">
        <f t="shared" si="79"/>
        <v>0</v>
      </c>
      <c r="K346" s="30">
        <v>342</v>
      </c>
    </row>
    <row r="347" spans="1:11" hidden="1" outlineLevel="1" x14ac:dyDescent="0.25">
      <c r="A347" s="34"/>
      <c r="B347" s="17"/>
      <c r="C347" s="35"/>
      <c r="D347" s="35"/>
      <c r="E347" s="35"/>
      <c r="F347" s="35"/>
      <c r="G347" s="35"/>
      <c r="H347" s="35">
        <f t="shared" si="81"/>
        <v>0</v>
      </c>
      <c r="I347" s="35"/>
      <c r="J347" s="35">
        <f t="shared" si="79"/>
        <v>0</v>
      </c>
      <c r="K347" s="36">
        <v>343</v>
      </c>
    </row>
    <row r="348" spans="1:11" hidden="1" outlineLevel="1" x14ac:dyDescent="0.25">
      <c r="A348" s="34"/>
      <c r="B348" s="17"/>
      <c r="C348" s="35"/>
      <c r="D348" s="35"/>
      <c r="E348" s="35"/>
      <c r="F348" s="35"/>
      <c r="G348" s="35"/>
      <c r="H348" s="35">
        <f t="shared" si="81"/>
        <v>0</v>
      </c>
      <c r="I348" s="35"/>
      <c r="J348" s="35">
        <f t="shared" si="79"/>
        <v>0</v>
      </c>
      <c r="K348" s="36">
        <v>344</v>
      </c>
    </row>
    <row r="349" spans="1:11" hidden="1" outlineLevel="1" collapsed="1" x14ac:dyDescent="0.25">
      <c r="A349" s="34"/>
      <c r="B349" s="17"/>
      <c r="C349" s="35"/>
      <c r="D349" s="35"/>
      <c r="E349" s="35"/>
      <c r="F349" s="35"/>
      <c r="G349" s="35"/>
      <c r="H349" s="35">
        <f t="shared" si="81"/>
        <v>0</v>
      </c>
      <c r="I349" s="35"/>
      <c r="J349" s="35">
        <f t="shared" si="79"/>
        <v>0</v>
      </c>
      <c r="K349" s="36">
        <v>345</v>
      </c>
    </row>
    <row r="350" spans="1:11" hidden="1" outlineLevel="1" collapsed="1" x14ac:dyDescent="0.25">
      <c r="A350" s="34"/>
      <c r="B350" s="17" t="s">
        <v>86</v>
      </c>
      <c r="C350" s="35"/>
      <c r="D350" s="35"/>
      <c r="E350" s="35"/>
      <c r="F350" s="35"/>
      <c r="G350" s="35"/>
      <c r="H350" s="35">
        <f t="shared" si="81"/>
        <v>0</v>
      </c>
      <c r="I350" s="35"/>
      <c r="J350" s="35">
        <f t="shared" si="79"/>
        <v>0</v>
      </c>
      <c r="K350" s="36">
        <v>346</v>
      </c>
    </row>
    <row r="351" spans="1:11" hidden="1" outlineLevel="1" x14ac:dyDescent="0.25">
      <c r="A351" s="34"/>
      <c r="B351" s="17"/>
      <c r="C351" s="35"/>
      <c r="D351" s="35"/>
      <c r="E351" s="35"/>
      <c r="F351" s="35"/>
      <c r="G351" s="35"/>
      <c r="H351" s="35">
        <f t="shared" si="81"/>
        <v>0</v>
      </c>
      <c r="I351" s="35"/>
      <c r="J351" s="35">
        <f t="shared" si="79"/>
        <v>0</v>
      </c>
      <c r="K351" s="36">
        <v>347</v>
      </c>
    </row>
    <row r="352" spans="1:11" ht="60" collapsed="1" x14ac:dyDescent="0.25">
      <c r="A352" s="38">
        <v>3</v>
      </c>
      <c r="B352" s="13" t="s">
        <v>115</v>
      </c>
      <c r="C352" s="19">
        <f>+C353+C432+C459</f>
        <v>0</v>
      </c>
      <c r="D352" s="19">
        <f t="shared" ref="D352:G352" si="86">+D353+D432+D459</f>
        <v>0</v>
      </c>
      <c r="E352" s="19">
        <f t="shared" si="86"/>
        <v>0</v>
      </c>
      <c r="F352" s="19">
        <f t="shared" si="86"/>
        <v>0</v>
      </c>
      <c r="G352" s="19">
        <f t="shared" si="86"/>
        <v>0</v>
      </c>
      <c r="H352" s="19">
        <f t="shared" si="81"/>
        <v>0</v>
      </c>
      <c r="I352" s="19"/>
      <c r="J352" s="19">
        <f t="shared" si="79"/>
        <v>0</v>
      </c>
      <c r="K352" s="23">
        <v>348</v>
      </c>
    </row>
    <row r="353" spans="1:11" ht="45" x14ac:dyDescent="0.25">
      <c r="A353" s="39" t="s">
        <v>116</v>
      </c>
      <c r="B353" s="14" t="s">
        <v>117</v>
      </c>
      <c r="C353" s="24">
        <f>+C354+C380+C406</f>
        <v>0</v>
      </c>
      <c r="D353" s="24">
        <f t="shared" ref="D353:G353" si="87">+D354+D380+D406</f>
        <v>0</v>
      </c>
      <c r="E353" s="24">
        <f t="shared" si="87"/>
        <v>0</v>
      </c>
      <c r="F353" s="24">
        <f t="shared" si="87"/>
        <v>0</v>
      </c>
      <c r="G353" s="24">
        <f t="shared" si="87"/>
        <v>0</v>
      </c>
      <c r="H353" s="24">
        <f t="shared" si="81"/>
        <v>0</v>
      </c>
      <c r="I353" s="24"/>
      <c r="J353" s="24">
        <f t="shared" si="79"/>
        <v>0</v>
      </c>
      <c r="K353" s="25">
        <v>349</v>
      </c>
    </row>
    <row r="354" spans="1:11" ht="45" x14ac:dyDescent="0.25">
      <c r="A354" s="40" t="s">
        <v>47</v>
      </c>
      <c r="B354" s="10" t="s">
        <v>118</v>
      </c>
      <c r="C354" s="26">
        <f t="shared" ref="C354:G354" si="88">+C355+C364+C368+C374</f>
        <v>0</v>
      </c>
      <c r="D354" s="26">
        <f t="shared" si="88"/>
        <v>0</v>
      </c>
      <c r="E354" s="26">
        <f t="shared" si="88"/>
        <v>0</v>
      </c>
      <c r="F354" s="26">
        <f t="shared" si="88"/>
        <v>0</v>
      </c>
      <c r="G354" s="26">
        <f t="shared" si="88"/>
        <v>0</v>
      </c>
      <c r="H354" s="26">
        <f t="shared" si="81"/>
        <v>0</v>
      </c>
      <c r="I354" s="26">
        <v>0</v>
      </c>
      <c r="J354" s="26">
        <f t="shared" si="79"/>
        <v>0</v>
      </c>
      <c r="K354" s="27">
        <v>350</v>
      </c>
    </row>
    <row r="355" spans="1:11" hidden="1" outlineLevel="1" x14ac:dyDescent="0.25">
      <c r="A355" s="28"/>
      <c r="B355" s="15" t="s">
        <v>65</v>
      </c>
      <c r="C355" s="29">
        <f t="shared" ref="C355:G355" si="89">+SUM(C356:C363)</f>
        <v>0</v>
      </c>
      <c r="D355" s="29">
        <f t="shared" si="89"/>
        <v>0</v>
      </c>
      <c r="E355" s="29">
        <f t="shared" si="89"/>
        <v>0</v>
      </c>
      <c r="F355" s="29">
        <f t="shared" si="89"/>
        <v>0</v>
      </c>
      <c r="G355" s="29">
        <f t="shared" si="89"/>
        <v>0</v>
      </c>
      <c r="H355" s="29">
        <f t="shared" si="81"/>
        <v>0</v>
      </c>
      <c r="I355" s="29">
        <v>0</v>
      </c>
      <c r="J355" s="29">
        <f t="shared" si="79"/>
        <v>0</v>
      </c>
      <c r="K355" s="30">
        <v>351</v>
      </c>
    </row>
    <row r="356" spans="1:11" hidden="1" outlineLevel="1" x14ac:dyDescent="0.25">
      <c r="A356" s="31"/>
      <c r="B356" s="16" t="s">
        <v>66</v>
      </c>
      <c r="C356" s="32"/>
      <c r="D356" s="32"/>
      <c r="E356" s="32"/>
      <c r="F356" s="32"/>
      <c r="G356" s="32"/>
      <c r="H356" s="32">
        <f t="shared" si="81"/>
        <v>0</v>
      </c>
      <c r="I356" s="32"/>
      <c r="J356" s="32">
        <f t="shared" si="79"/>
        <v>0</v>
      </c>
      <c r="K356" s="33">
        <v>352</v>
      </c>
    </row>
    <row r="357" spans="1:11" hidden="1" outlineLevel="1" x14ac:dyDescent="0.25">
      <c r="A357" s="31"/>
      <c r="B357" s="17" t="s">
        <v>67</v>
      </c>
      <c r="C357" s="32"/>
      <c r="D357" s="32"/>
      <c r="E357" s="32"/>
      <c r="F357" s="32"/>
      <c r="G357" s="32"/>
      <c r="H357" s="32">
        <f t="shared" si="81"/>
        <v>0</v>
      </c>
      <c r="I357" s="32"/>
      <c r="J357" s="32">
        <f t="shared" si="79"/>
        <v>0</v>
      </c>
      <c r="K357" s="33">
        <v>353</v>
      </c>
    </row>
    <row r="358" spans="1:11" ht="30" hidden="1" outlineLevel="1" x14ac:dyDescent="0.25">
      <c r="A358" s="31"/>
      <c r="B358" s="17" t="s">
        <v>68</v>
      </c>
      <c r="C358" s="32"/>
      <c r="D358" s="32"/>
      <c r="E358" s="32"/>
      <c r="F358" s="32"/>
      <c r="G358" s="32"/>
      <c r="H358" s="32">
        <f t="shared" si="81"/>
        <v>0</v>
      </c>
      <c r="I358" s="32"/>
      <c r="J358" s="32">
        <f t="shared" si="79"/>
        <v>0</v>
      </c>
      <c r="K358" s="33">
        <v>354</v>
      </c>
    </row>
    <row r="359" spans="1:11" hidden="1" outlineLevel="1" x14ac:dyDescent="0.25">
      <c r="A359" s="31"/>
      <c r="B359" s="16" t="s">
        <v>69</v>
      </c>
      <c r="C359" s="32"/>
      <c r="D359" s="32"/>
      <c r="E359" s="32"/>
      <c r="F359" s="32"/>
      <c r="G359" s="32"/>
      <c r="H359" s="32">
        <f t="shared" si="81"/>
        <v>0</v>
      </c>
      <c r="I359" s="32"/>
      <c r="J359" s="32">
        <f t="shared" si="79"/>
        <v>0</v>
      </c>
      <c r="K359" s="33">
        <v>355</v>
      </c>
    </row>
    <row r="360" spans="1:11" hidden="1" outlineLevel="1" x14ac:dyDescent="0.25">
      <c r="A360" s="31"/>
      <c r="B360" s="17" t="s">
        <v>70</v>
      </c>
      <c r="C360" s="32"/>
      <c r="D360" s="32"/>
      <c r="E360" s="32"/>
      <c r="F360" s="32"/>
      <c r="G360" s="32"/>
      <c r="H360" s="32">
        <f t="shared" si="81"/>
        <v>0</v>
      </c>
      <c r="I360" s="32"/>
      <c r="J360" s="32">
        <f t="shared" si="79"/>
        <v>0</v>
      </c>
      <c r="K360" s="33">
        <v>356</v>
      </c>
    </row>
    <row r="361" spans="1:11" ht="30" hidden="1" outlineLevel="1" x14ac:dyDescent="0.25">
      <c r="A361" s="31"/>
      <c r="B361" s="17" t="s">
        <v>71</v>
      </c>
      <c r="C361" s="32"/>
      <c r="D361" s="32"/>
      <c r="E361" s="32"/>
      <c r="F361" s="32"/>
      <c r="G361" s="32"/>
      <c r="H361" s="32">
        <f t="shared" si="81"/>
        <v>0</v>
      </c>
      <c r="I361" s="32"/>
      <c r="J361" s="32">
        <f t="shared" si="79"/>
        <v>0</v>
      </c>
      <c r="K361" s="33">
        <v>357</v>
      </c>
    </row>
    <row r="362" spans="1:11" hidden="1" outlineLevel="1" x14ac:dyDescent="0.25">
      <c r="A362" s="31"/>
      <c r="B362" s="16" t="s">
        <v>72</v>
      </c>
      <c r="C362" s="32"/>
      <c r="D362" s="32"/>
      <c r="E362" s="32"/>
      <c r="F362" s="32"/>
      <c r="G362" s="32"/>
      <c r="H362" s="32">
        <f t="shared" si="81"/>
        <v>0</v>
      </c>
      <c r="I362" s="32"/>
      <c r="J362" s="32">
        <f t="shared" si="79"/>
        <v>0</v>
      </c>
      <c r="K362" s="33">
        <v>358</v>
      </c>
    </row>
    <row r="363" spans="1:11" ht="30" hidden="1" outlineLevel="1" x14ac:dyDescent="0.25">
      <c r="A363" s="31"/>
      <c r="B363" s="17" t="s">
        <v>73</v>
      </c>
      <c r="C363" s="32"/>
      <c r="D363" s="32"/>
      <c r="E363" s="32"/>
      <c r="F363" s="32"/>
      <c r="G363" s="32"/>
      <c r="H363" s="32">
        <f t="shared" si="81"/>
        <v>0</v>
      </c>
      <c r="I363" s="32"/>
      <c r="J363" s="32">
        <f t="shared" si="79"/>
        <v>0</v>
      </c>
      <c r="K363" s="33">
        <v>359</v>
      </c>
    </row>
    <row r="364" spans="1:11" hidden="1" outlineLevel="1" x14ac:dyDescent="0.25">
      <c r="A364" s="28"/>
      <c r="B364" s="15" t="s">
        <v>74</v>
      </c>
      <c r="C364" s="29">
        <f t="shared" ref="C364:G364" si="90">+SUM(C365:C367)</f>
        <v>0</v>
      </c>
      <c r="D364" s="29">
        <f t="shared" si="90"/>
        <v>0</v>
      </c>
      <c r="E364" s="29">
        <f t="shared" si="90"/>
        <v>0</v>
      </c>
      <c r="F364" s="29">
        <f t="shared" si="90"/>
        <v>0</v>
      </c>
      <c r="G364" s="29">
        <f t="shared" si="90"/>
        <v>0</v>
      </c>
      <c r="H364" s="29">
        <f t="shared" si="81"/>
        <v>0</v>
      </c>
      <c r="I364" s="29"/>
      <c r="J364" s="29">
        <f t="shared" si="79"/>
        <v>0</v>
      </c>
      <c r="K364" s="30">
        <v>360</v>
      </c>
    </row>
    <row r="365" spans="1:11" ht="30" hidden="1" outlineLevel="1" x14ac:dyDescent="0.25">
      <c r="A365" s="34"/>
      <c r="B365" s="17" t="s">
        <v>75</v>
      </c>
      <c r="C365" s="35"/>
      <c r="D365" s="35"/>
      <c r="E365" s="35"/>
      <c r="F365" s="35"/>
      <c r="G365" s="35"/>
      <c r="H365" s="35">
        <f t="shared" si="81"/>
        <v>0</v>
      </c>
      <c r="I365" s="35"/>
      <c r="J365" s="35">
        <f t="shared" si="79"/>
        <v>0</v>
      </c>
      <c r="K365" s="36">
        <v>361</v>
      </c>
    </row>
    <row r="366" spans="1:11" ht="30" hidden="1" outlineLevel="1" x14ac:dyDescent="0.25">
      <c r="A366" s="34"/>
      <c r="B366" s="17" t="s">
        <v>76</v>
      </c>
      <c r="C366" s="35"/>
      <c r="D366" s="35"/>
      <c r="E366" s="35"/>
      <c r="F366" s="35"/>
      <c r="G366" s="35"/>
      <c r="H366" s="35">
        <f t="shared" si="81"/>
        <v>0</v>
      </c>
      <c r="I366" s="35"/>
      <c r="J366" s="35">
        <f t="shared" si="79"/>
        <v>0</v>
      </c>
      <c r="K366" s="36">
        <v>362</v>
      </c>
    </row>
    <row r="367" spans="1:11" ht="30" hidden="1" outlineLevel="1" x14ac:dyDescent="0.25">
      <c r="A367" s="34"/>
      <c r="B367" s="17" t="s">
        <v>77</v>
      </c>
      <c r="C367" s="35"/>
      <c r="D367" s="35"/>
      <c r="E367" s="35"/>
      <c r="F367" s="35"/>
      <c r="G367" s="35"/>
      <c r="H367" s="35">
        <f t="shared" si="81"/>
        <v>0</v>
      </c>
      <c r="I367" s="35"/>
      <c r="J367" s="35">
        <f t="shared" si="79"/>
        <v>0</v>
      </c>
      <c r="K367" s="36">
        <v>363</v>
      </c>
    </row>
    <row r="368" spans="1:11" hidden="1" outlineLevel="1" x14ac:dyDescent="0.25">
      <c r="A368" s="28"/>
      <c r="B368" s="15" t="s">
        <v>78</v>
      </c>
      <c r="C368" s="29">
        <f t="shared" ref="C368:G368" si="91">+SUM(C369:C373)</f>
        <v>0</v>
      </c>
      <c r="D368" s="29">
        <f t="shared" si="91"/>
        <v>0</v>
      </c>
      <c r="E368" s="29">
        <f t="shared" si="91"/>
        <v>0</v>
      </c>
      <c r="F368" s="29">
        <f t="shared" si="91"/>
        <v>0</v>
      </c>
      <c r="G368" s="29">
        <f t="shared" si="91"/>
        <v>0</v>
      </c>
      <c r="H368" s="29">
        <f t="shared" si="81"/>
        <v>0</v>
      </c>
      <c r="I368" s="29"/>
      <c r="J368" s="29">
        <f t="shared" si="79"/>
        <v>0</v>
      </c>
      <c r="K368" s="30">
        <v>364</v>
      </c>
    </row>
    <row r="369" spans="1:11" hidden="1" outlineLevel="1" x14ac:dyDescent="0.25">
      <c r="A369" s="34"/>
      <c r="B369" s="18" t="s">
        <v>79</v>
      </c>
      <c r="C369" s="35"/>
      <c r="D369" s="35"/>
      <c r="E369" s="35"/>
      <c r="F369" s="35"/>
      <c r="G369" s="35"/>
      <c r="H369" s="35">
        <f t="shared" si="81"/>
        <v>0</v>
      </c>
      <c r="I369" s="35"/>
      <c r="J369" s="35">
        <f t="shared" si="79"/>
        <v>0</v>
      </c>
      <c r="K369" s="36">
        <v>365</v>
      </c>
    </row>
    <row r="370" spans="1:11" ht="30" hidden="1" outlineLevel="1" x14ac:dyDescent="0.25">
      <c r="A370" s="34"/>
      <c r="B370" s="17" t="s">
        <v>80</v>
      </c>
      <c r="C370" s="35"/>
      <c r="D370" s="35"/>
      <c r="E370" s="35"/>
      <c r="F370" s="35"/>
      <c r="G370" s="35"/>
      <c r="H370" s="35">
        <f t="shared" si="81"/>
        <v>0</v>
      </c>
      <c r="I370" s="35"/>
      <c r="J370" s="35">
        <f t="shared" si="79"/>
        <v>0</v>
      </c>
      <c r="K370" s="36">
        <v>366</v>
      </c>
    </row>
    <row r="371" spans="1:11" hidden="1" outlineLevel="1" x14ac:dyDescent="0.25">
      <c r="A371" s="34"/>
      <c r="B371" s="17" t="s">
        <v>81</v>
      </c>
      <c r="C371" s="35"/>
      <c r="D371" s="35"/>
      <c r="E371" s="35"/>
      <c r="F371" s="35"/>
      <c r="G371" s="35"/>
      <c r="H371" s="35">
        <f t="shared" si="81"/>
        <v>0</v>
      </c>
      <c r="I371" s="35"/>
      <c r="J371" s="35">
        <f t="shared" si="79"/>
        <v>0</v>
      </c>
      <c r="K371" s="36">
        <v>367</v>
      </c>
    </row>
    <row r="372" spans="1:11" hidden="1" outlineLevel="1" x14ac:dyDescent="0.25">
      <c r="A372" s="34"/>
      <c r="B372" s="18" t="s">
        <v>82</v>
      </c>
      <c r="C372" s="35"/>
      <c r="D372" s="35"/>
      <c r="E372" s="35"/>
      <c r="F372" s="35"/>
      <c r="G372" s="35"/>
      <c r="H372" s="35">
        <f t="shared" si="81"/>
        <v>0</v>
      </c>
      <c r="I372" s="35"/>
      <c r="J372" s="35">
        <f t="shared" si="79"/>
        <v>0</v>
      </c>
      <c r="K372" s="36">
        <v>368</v>
      </c>
    </row>
    <row r="373" spans="1:11" ht="30" hidden="1" outlineLevel="1" x14ac:dyDescent="0.25">
      <c r="A373" s="34"/>
      <c r="B373" s="17" t="s">
        <v>83</v>
      </c>
      <c r="C373" s="35"/>
      <c r="D373" s="35"/>
      <c r="E373" s="35"/>
      <c r="F373" s="35"/>
      <c r="G373" s="35"/>
      <c r="H373" s="35">
        <f t="shared" si="81"/>
        <v>0</v>
      </c>
      <c r="I373" s="35"/>
      <c r="J373" s="35">
        <f t="shared" si="79"/>
        <v>0</v>
      </c>
      <c r="K373" s="36">
        <v>369</v>
      </c>
    </row>
    <row r="374" spans="1:11" hidden="1" outlineLevel="1" x14ac:dyDescent="0.25">
      <c r="A374" s="28"/>
      <c r="B374" s="15" t="s">
        <v>84</v>
      </c>
      <c r="C374" s="29">
        <f>+SUM(C375:C379)</f>
        <v>0</v>
      </c>
      <c r="D374" s="29">
        <f t="shared" ref="D374:G374" si="92">+SUM(D375:D379)</f>
        <v>0</v>
      </c>
      <c r="E374" s="29">
        <f t="shared" si="92"/>
        <v>0</v>
      </c>
      <c r="F374" s="29">
        <f t="shared" si="92"/>
        <v>0</v>
      </c>
      <c r="G374" s="29">
        <f t="shared" si="92"/>
        <v>0</v>
      </c>
      <c r="H374" s="29">
        <f t="shared" si="81"/>
        <v>0</v>
      </c>
      <c r="I374" s="29"/>
      <c r="J374" s="29">
        <f t="shared" si="79"/>
        <v>0</v>
      </c>
      <c r="K374" s="30">
        <v>370</v>
      </c>
    </row>
    <row r="375" spans="1:11" hidden="1" outlineLevel="1" collapsed="1" x14ac:dyDescent="0.25">
      <c r="A375" s="34"/>
      <c r="B375" s="17"/>
      <c r="C375" s="35"/>
      <c r="D375" s="35"/>
      <c r="E375" s="35"/>
      <c r="F375" s="35"/>
      <c r="G375" s="35"/>
      <c r="H375" s="35">
        <f t="shared" si="81"/>
        <v>0</v>
      </c>
      <c r="I375" s="35"/>
      <c r="J375" s="35">
        <f t="shared" si="79"/>
        <v>0</v>
      </c>
      <c r="K375" s="36">
        <v>371</v>
      </c>
    </row>
    <row r="376" spans="1:11" hidden="1" outlineLevel="1" x14ac:dyDescent="0.25">
      <c r="A376" s="34"/>
      <c r="B376" s="17"/>
      <c r="C376" s="35"/>
      <c r="D376" s="35"/>
      <c r="E376" s="35"/>
      <c r="F376" s="35"/>
      <c r="G376" s="35"/>
      <c r="H376" s="35">
        <f t="shared" si="81"/>
        <v>0</v>
      </c>
      <c r="I376" s="35"/>
      <c r="J376" s="35">
        <f t="shared" si="79"/>
        <v>0</v>
      </c>
      <c r="K376" s="36">
        <v>372</v>
      </c>
    </row>
    <row r="377" spans="1:11" hidden="1" outlineLevel="1" collapsed="1" x14ac:dyDescent="0.25">
      <c r="A377" s="34"/>
      <c r="B377" s="17"/>
      <c r="C377" s="35"/>
      <c r="D377" s="35"/>
      <c r="E377" s="35"/>
      <c r="F377" s="35"/>
      <c r="G377" s="35"/>
      <c r="H377" s="35">
        <f t="shared" si="81"/>
        <v>0</v>
      </c>
      <c r="I377" s="35"/>
      <c r="J377" s="35">
        <f t="shared" si="79"/>
        <v>0</v>
      </c>
      <c r="K377" s="36">
        <v>373</v>
      </c>
    </row>
    <row r="378" spans="1:11" hidden="1" outlineLevel="1" x14ac:dyDescent="0.25">
      <c r="A378" s="34"/>
      <c r="B378" s="17" t="s">
        <v>86</v>
      </c>
      <c r="C378" s="35"/>
      <c r="D378" s="35"/>
      <c r="E378" s="35"/>
      <c r="F378" s="35"/>
      <c r="G378" s="35"/>
      <c r="H378" s="35">
        <f t="shared" si="81"/>
        <v>0</v>
      </c>
      <c r="I378" s="35"/>
      <c r="J378" s="35">
        <f t="shared" si="79"/>
        <v>0</v>
      </c>
      <c r="K378" s="36">
        <v>374</v>
      </c>
    </row>
    <row r="379" spans="1:11" hidden="1" outlineLevel="1" x14ac:dyDescent="0.25">
      <c r="A379" s="34"/>
      <c r="B379" s="17"/>
      <c r="C379" s="35"/>
      <c r="D379" s="35"/>
      <c r="E379" s="35"/>
      <c r="F379" s="35"/>
      <c r="G379" s="35"/>
      <c r="H379" s="35">
        <f t="shared" si="81"/>
        <v>0</v>
      </c>
      <c r="I379" s="35"/>
      <c r="J379" s="35">
        <f t="shared" si="79"/>
        <v>0</v>
      </c>
      <c r="K379" s="36">
        <v>375</v>
      </c>
    </row>
    <row r="380" spans="1:11" ht="60" collapsed="1" x14ac:dyDescent="0.25">
      <c r="A380" s="40" t="s">
        <v>48</v>
      </c>
      <c r="B380" s="10" t="s">
        <v>119</v>
      </c>
      <c r="C380" s="26">
        <f t="shared" ref="C380:G380" si="93">+C381+C390+C394+C400</f>
        <v>0</v>
      </c>
      <c r="D380" s="26">
        <f t="shared" si="93"/>
        <v>0</v>
      </c>
      <c r="E380" s="26">
        <f t="shared" si="93"/>
        <v>0</v>
      </c>
      <c r="F380" s="26">
        <f t="shared" si="93"/>
        <v>0</v>
      </c>
      <c r="G380" s="26">
        <f t="shared" si="93"/>
        <v>0</v>
      </c>
      <c r="H380" s="26">
        <f t="shared" si="81"/>
        <v>0</v>
      </c>
      <c r="I380" s="26">
        <v>0</v>
      </c>
      <c r="J380" s="26">
        <f t="shared" si="79"/>
        <v>0</v>
      </c>
      <c r="K380" s="27">
        <v>376</v>
      </c>
    </row>
    <row r="381" spans="1:11" hidden="1" outlineLevel="1" x14ac:dyDescent="0.25">
      <c r="A381" s="28"/>
      <c r="B381" s="15" t="s">
        <v>65</v>
      </c>
      <c r="C381" s="29">
        <f t="shared" ref="C381:G381" si="94">+SUM(C382:C389)</f>
        <v>0</v>
      </c>
      <c r="D381" s="29">
        <f t="shared" si="94"/>
        <v>0</v>
      </c>
      <c r="E381" s="29">
        <f t="shared" si="94"/>
        <v>0</v>
      </c>
      <c r="F381" s="29">
        <f t="shared" si="94"/>
        <v>0</v>
      </c>
      <c r="G381" s="29">
        <f t="shared" si="94"/>
        <v>0</v>
      </c>
      <c r="H381" s="29">
        <f t="shared" si="81"/>
        <v>0</v>
      </c>
      <c r="I381" s="29">
        <v>0</v>
      </c>
      <c r="J381" s="29">
        <f t="shared" si="79"/>
        <v>0</v>
      </c>
      <c r="K381" s="30">
        <v>377</v>
      </c>
    </row>
    <row r="382" spans="1:11" hidden="1" outlineLevel="1" x14ac:dyDescent="0.25">
      <c r="A382" s="31"/>
      <c r="B382" s="16" t="s">
        <v>66</v>
      </c>
      <c r="C382" s="32"/>
      <c r="D382" s="32"/>
      <c r="E382" s="32"/>
      <c r="F382" s="32"/>
      <c r="G382" s="32"/>
      <c r="H382" s="32">
        <f t="shared" si="81"/>
        <v>0</v>
      </c>
      <c r="I382" s="32"/>
      <c r="J382" s="32">
        <f t="shared" si="79"/>
        <v>0</v>
      </c>
      <c r="K382" s="33">
        <v>378</v>
      </c>
    </row>
    <row r="383" spans="1:11" hidden="1" outlineLevel="1" x14ac:dyDescent="0.25">
      <c r="A383" s="31"/>
      <c r="B383" s="17" t="s">
        <v>67</v>
      </c>
      <c r="C383" s="32"/>
      <c r="D383" s="32"/>
      <c r="E383" s="32"/>
      <c r="F383" s="32"/>
      <c r="G383" s="32"/>
      <c r="H383" s="32">
        <f t="shared" si="81"/>
        <v>0</v>
      </c>
      <c r="I383" s="32"/>
      <c r="J383" s="32">
        <f t="shared" si="79"/>
        <v>0</v>
      </c>
      <c r="K383" s="33">
        <v>379</v>
      </c>
    </row>
    <row r="384" spans="1:11" ht="30" hidden="1" outlineLevel="1" x14ac:dyDescent="0.25">
      <c r="A384" s="31"/>
      <c r="B384" s="17" t="s">
        <v>68</v>
      </c>
      <c r="C384" s="32"/>
      <c r="D384" s="32"/>
      <c r="E384" s="32"/>
      <c r="F384" s="32"/>
      <c r="G384" s="32"/>
      <c r="H384" s="32">
        <f t="shared" si="81"/>
        <v>0</v>
      </c>
      <c r="I384" s="32"/>
      <c r="J384" s="32">
        <f t="shared" si="79"/>
        <v>0</v>
      </c>
      <c r="K384" s="33">
        <v>380</v>
      </c>
    </row>
    <row r="385" spans="1:11" hidden="1" outlineLevel="1" x14ac:dyDescent="0.25">
      <c r="A385" s="31"/>
      <c r="B385" s="16" t="s">
        <v>69</v>
      </c>
      <c r="C385" s="32"/>
      <c r="D385" s="32"/>
      <c r="E385" s="32"/>
      <c r="F385" s="32"/>
      <c r="G385" s="32"/>
      <c r="H385" s="32">
        <f t="shared" si="81"/>
        <v>0</v>
      </c>
      <c r="I385" s="32"/>
      <c r="J385" s="32">
        <f t="shared" si="79"/>
        <v>0</v>
      </c>
      <c r="K385" s="33">
        <v>381</v>
      </c>
    </row>
    <row r="386" spans="1:11" hidden="1" outlineLevel="1" x14ac:dyDescent="0.25">
      <c r="A386" s="31"/>
      <c r="B386" s="17" t="s">
        <v>70</v>
      </c>
      <c r="C386" s="32"/>
      <c r="D386" s="32"/>
      <c r="E386" s="32"/>
      <c r="F386" s="32"/>
      <c r="G386" s="32"/>
      <c r="H386" s="32">
        <f t="shared" si="81"/>
        <v>0</v>
      </c>
      <c r="I386" s="32"/>
      <c r="J386" s="32">
        <f t="shared" si="79"/>
        <v>0</v>
      </c>
      <c r="K386" s="33">
        <v>382</v>
      </c>
    </row>
    <row r="387" spans="1:11" ht="30" hidden="1" outlineLevel="1" x14ac:dyDescent="0.25">
      <c r="A387" s="31"/>
      <c r="B387" s="17" t="s">
        <v>71</v>
      </c>
      <c r="C387" s="32"/>
      <c r="D387" s="32"/>
      <c r="E387" s="32"/>
      <c r="F387" s="32"/>
      <c r="G387" s="32"/>
      <c r="H387" s="32">
        <f t="shared" si="81"/>
        <v>0</v>
      </c>
      <c r="I387" s="32"/>
      <c r="J387" s="32">
        <f t="shared" si="79"/>
        <v>0</v>
      </c>
      <c r="K387" s="33">
        <v>383</v>
      </c>
    </row>
    <row r="388" spans="1:11" hidden="1" outlineLevel="1" x14ac:dyDescent="0.25">
      <c r="A388" s="31"/>
      <c r="B388" s="16" t="s">
        <v>72</v>
      </c>
      <c r="C388" s="32"/>
      <c r="D388" s="32"/>
      <c r="E388" s="32"/>
      <c r="F388" s="32"/>
      <c r="G388" s="32"/>
      <c r="H388" s="32">
        <f t="shared" si="81"/>
        <v>0</v>
      </c>
      <c r="I388" s="32"/>
      <c r="J388" s="32">
        <f t="shared" si="79"/>
        <v>0</v>
      </c>
      <c r="K388" s="33">
        <v>384</v>
      </c>
    </row>
    <row r="389" spans="1:11" ht="30" hidden="1" outlineLevel="1" x14ac:dyDescent="0.25">
      <c r="A389" s="31"/>
      <c r="B389" s="17" t="s">
        <v>73</v>
      </c>
      <c r="C389" s="32"/>
      <c r="D389" s="32"/>
      <c r="E389" s="32"/>
      <c r="F389" s="32"/>
      <c r="G389" s="32"/>
      <c r="H389" s="32">
        <f t="shared" si="81"/>
        <v>0</v>
      </c>
      <c r="I389" s="32"/>
      <c r="J389" s="32">
        <f t="shared" ref="J389:J452" si="95">+I389-H389</f>
        <v>0</v>
      </c>
      <c r="K389" s="33">
        <v>385</v>
      </c>
    </row>
    <row r="390" spans="1:11" hidden="1" outlineLevel="1" x14ac:dyDescent="0.25">
      <c r="A390" s="28"/>
      <c r="B390" s="15" t="s">
        <v>74</v>
      </c>
      <c r="C390" s="29">
        <f t="shared" ref="C390:G390" si="96">+SUM(C391:C393)</f>
        <v>0</v>
      </c>
      <c r="D390" s="29">
        <f t="shared" si="96"/>
        <v>0</v>
      </c>
      <c r="E390" s="29">
        <f t="shared" si="96"/>
        <v>0</v>
      </c>
      <c r="F390" s="29">
        <f t="shared" si="96"/>
        <v>0</v>
      </c>
      <c r="G390" s="29">
        <f t="shared" si="96"/>
        <v>0</v>
      </c>
      <c r="H390" s="29">
        <f t="shared" ref="H390:H453" si="97">+SUM(C390:G390)</f>
        <v>0</v>
      </c>
      <c r="I390" s="29"/>
      <c r="J390" s="29">
        <f t="shared" si="95"/>
        <v>0</v>
      </c>
      <c r="K390" s="30">
        <v>386</v>
      </c>
    </row>
    <row r="391" spans="1:11" ht="30" hidden="1" outlineLevel="1" x14ac:dyDescent="0.25">
      <c r="A391" s="34"/>
      <c r="B391" s="17" t="s">
        <v>75</v>
      </c>
      <c r="C391" s="35"/>
      <c r="D391" s="35"/>
      <c r="E391" s="35"/>
      <c r="F391" s="35"/>
      <c r="G391" s="35"/>
      <c r="H391" s="35">
        <f t="shared" si="97"/>
        <v>0</v>
      </c>
      <c r="I391" s="35"/>
      <c r="J391" s="35">
        <f t="shared" si="95"/>
        <v>0</v>
      </c>
      <c r="K391" s="36">
        <v>387</v>
      </c>
    </row>
    <row r="392" spans="1:11" ht="30" hidden="1" outlineLevel="1" x14ac:dyDescent="0.25">
      <c r="A392" s="34"/>
      <c r="B392" s="17" t="s">
        <v>76</v>
      </c>
      <c r="C392" s="35"/>
      <c r="D392" s="35"/>
      <c r="E392" s="35"/>
      <c r="F392" s="35"/>
      <c r="G392" s="35"/>
      <c r="H392" s="35">
        <f t="shared" si="97"/>
        <v>0</v>
      </c>
      <c r="I392" s="35"/>
      <c r="J392" s="35">
        <f t="shared" si="95"/>
        <v>0</v>
      </c>
      <c r="K392" s="36">
        <v>388</v>
      </c>
    </row>
    <row r="393" spans="1:11" ht="30" hidden="1" outlineLevel="1" x14ac:dyDescent="0.25">
      <c r="A393" s="34"/>
      <c r="B393" s="17" t="s">
        <v>77</v>
      </c>
      <c r="C393" s="35"/>
      <c r="D393" s="35"/>
      <c r="E393" s="35"/>
      <c r="F393" s="35"/>
      <c r="G393" s="35"/>
      <c r="H393" s="35">
        <f t="shared" si="97"/>
        <v>0</v>
      </c>
      <c r="I393" s="35"/>
      <c r="J393" s="35">
        <f t="shared" si="95"/>
        <v>0</v>
      </c>
      <c r="K393" s="36">
        <v>389</v>
      </c>
    </row>
    <row r="394" spans="1:11" hidden="1" outlineLevel="1" x14ac:dyDescent="0.25">
      <c r="A394" s="28"/>
      <c r="B394" s="15" t="s">
        <v>78</v>
      </c>
      <c r="C394" s="29">
        <f t="shared" ref="C394:G394" si="98">+SUM(C395:C399)</f>
        <v>0</v>
      </c>
      <c r="D394" s="29">
        <f t="shared" si="98"/>
        <v>0</v>
      </c>
      <c r="E394" s="29">
        <f t="shared" si="98"/>
        <v>0</v>
      </c>
      <c r="F394" s="29">
        <f t="shared" si="98"/>
        <v>0</v>
      </c>
      <c r="G394" s="29">
        <f t="shared" si="98"/>
        <v>0</v>
      </c>
      <c r="H394" s="29">
        <f t="shared" si="97"/>
        <v>0</v>
      </c>
      <c r="I394" s="29"/>
      <c r="J394" s="29">
        <f t="shared" si="95"/>
        <v>0</v>
      </c>
      <c r="K394" s="30">
        <v>390</v>
      </c>
    </row>
    <row r="395" spans="1:11" hidden="1" outlineLevel="1" x14ac:dyDescent="0.25">
      <c r="A395" s="34"/>
      <c r="B395" s="18" t="s">
        <v>79</v>
      </c>
      <c r="C395" s="35"/>
      <c r="D395" s="35"/>
      <c r="E395" s="35"/>
      <c r="F395" s="35"/>
      <c r="G395" s="35"/>
      <c r="H395" s="35">
        <f t="shared" si="97"/>
        <v>0</v>
      </c>
      <c r="I395" s="35"/>
      <c r="J395" s="35">
        <f t="shared" si="95"/>
        <v>0</v>
      </c>
      <c r="K395" s="36">
        <v>391</v>
      </c>
    </row>
    <row r="396" spans="1:11" ht="30" hidden="1" outlineLevel="1" x14ac:dyDescent="0.25">
      <c r="A396" s="34"/>
      <c r="B396" s="17" t="s">
        <v>80</v>
      </c>
      <c r="C396" s="35"/>
      <c r="D396" s="35"/>
      <c r="E396" s="35"/>
      <c r="F396" s="35"/>
      <c r="G396" s="35"/>
      <c r="H396" s="35">
        <f t="shared" si="97"/>
        <v>0</v>
      </c>
      <c r="I396" s="35"/>
      <c r="J396" s="35">
        <f t="shared" si="95"/>
        <v>0</v>
      </c>
      <c r="K396" s="36">
        <v>392</v>
      </c>
    </row>
    <row r="397" spans="1:11" hidden="1" outlineLevel="1" x14ac:dyDescent="0.25">
      <c r="A397" s="34"/>
      <c r="B397" s="17" t="s">
        <v>81</v>
      </c>
      <c r="C397" s="35"/>
      <c r="D397" s="35"/>
      <c r="E397" s="35"/>
      <c r="F397" s="35"/>
      <c r="G397" s="35"/>
      <c r="H397" s="35">
        <f t="shared" si="97"/>
        <v>0</v>
      </c>
      <c r="I397" s="35"/>
      <c r="J397" s="35">
        <f t="shared" si="95"/>
        <v>0</v>
      </c>
      <c r="K397" s="36">
        <v>393</v>
      </c>
    </row>
    <row r="398" spans="1:11" hidden="1" outlineLevel="1" x14ac:dyDescent="0.25">
      <c r="A398" s="34"/>
      <c r="B398" s="18" t="s">
        <v>82</v>
      </c>
      <c r="C398" s="35"/>
      <c r="D398" s="35"/>
      <c r="E398" s="35"/>
      <c r="F398" s="35"/>
      <c r="G398" s="35"/>
      <c r="H398" s="35">
        <f t="shared" si="97"/>
        <v>0</v>
      </c>
      <c r="I398" s="35"/>
      <c r="J398" s="35">
        <f t="shared" si="95"/>
        <v>0</v>
      </c>
      <c r="K398" s="36">
        <v>394</v>
      </c>
    </row>
    <row r="399" spans="1:11" ht="30" hidden="1" outlineLevel="1" x14ac:dyDescent="0.25">
      <c r="A399" s="34"/>
      <c r="B399" s="17" t="s">
        <v>83</v>
      </c>
      <c r="C399" s="35"/>
      <c r="D399" s="35"/>
      <c r="E399" s="35"/>
      <c r="F399" s="35"/>
      <c r="G399" s="35"/>
      <c r="H399" s="35">
        <f t="shared" si="97"/>
        <v>0</v>
      </c>
      <c r="I399" s="35"/>
      <c r="J399" s="35">
        <f t="shared" si="95"/>
        <v>0</v>
      </c>
      <c r="K399" s="36">
        <v>395</v>
      </c>
    </row>
    <row r="400" spans="1:11" hidden="1" outlineLevel="1" x14ac:dyDescent="0.25">
      <c r="A400" s="28"/>
      <c r="B400" s="15" t="s">
        <v>84</v>
      </c>
      <c r="C400" s="29">
        <f>+SUM(C401:C405)</f>
        <v>0</v>
      </c>
      <c r="D400" s="29">
        <f t="shared" ref="D400:G400" si="99">+SUM(D401:D405)</f>
        <v>0</v>
      </c>
      <c r="E400" s="29">
        <f t="shared" si="99"/>
        <v>0</v>
      </c>
      <c r="F400" s="29">
        <f t="shared" si="99"/>
        <v>0</v>
      </c>
      <c r="G400" s="29">
        <f t="shared" si="99"/>
        <v>0</v>
      </c>
      <c r="H400" s="29">
        <f t="shared" si="97"/>
        <v>0</v>
      </c>
      <c r="I400" s="29"/>
      <c r="J400" s="29">
        <f t="shared" si="95"/>
        <v>0</v>
      </c>
      <c r="K400" s="30">
        <v>396</v>
      </c>
    </row>
    <row r="401" spans="1:11" hidden="1" outlineLevel="1" collapsed="1" x14ac:dyDescent="0.25">
      <c r="A401" s="34"/>
      <c r="B401" s="17"/>
      <c r="C401" s="35"/>
      <c r="D401" s="35"/>
      <c r="E401" s="35"/>
      <c r="F401" s="35"/>
      <c r="G401" s="35"/>
      <c r="H401" s="35">
        <f t="shared" si="97"/>
        <v>0</v>
      </c>
      <c r="I401" s="35"/>
      <c r="J401" s="35">
        <f t="shared" si="95"/>
        <v>0</v>
      </c>
      <c r="K401" s="36">
        <v>397</v>
      </c>
    </row>
    <row r="402" spans="1:11" hidden="1" outlineLevel="1" collapsed="1" x14ac:dyDescent="0.25">
      <c r="A402" s="34"/>
      <c r="B402" s="17"/>
      <c r="C402" s="35"/>
      <c r="D402" s="35"/>
      <c r="E402" s="35"/>
      <c r="F402" s="35"/>
      <c r="G402" s="35"/>
      <c r="H402" s="35">
        <f t="shared" si="97"/>
        <v>0</v>
      </c>
      <c r="I402" s="35"/>
      <c r="J402" s="35">
        <f t="shared" si="95"/>
        <v>0</v>
      </c>
      <c r="K402" s="36">
        <v>398</v>
      </c>
    </row>
    <row r="403" spans="1:11" hidden="1" outlineLevel="1" collapsed="1" x14ac:dyDescent="0.25">
      <c r="A403" s="34"/>
      <c r="B403" s="17"/>
      <c r="C403" s="35"/>
      <c r="D403" s="35"/>
      <c r="E403" s="35"/>
      <c r="F403" s="35"/>
      <c r="G403" s="35"/>
      <c r="H403" s="35">
        <f t="shared" si="97"/>
        <v>0</v>
      </c>
      <c r="I403" s="35"/>
      <c r="J403" s="35">
        <f t="shared" si="95"/>
        <v>0</v>
      </c>
      <c r="K403" s="36">
        <v>399</v>
      </c>
    </row>
    <row r="404" spans="1:11" hidden="1" outlineLevel="1" x14ac:dyDescent="0.25">
      <c r="A404" s="34"/>
      <c r="B404" s="17" t="s">
        <v>86</v>
      </c>
      <c r="C404" s="35"/>
      <c r="D404" s="35"/>
      <c r="E404" s="35"/>
      <c r="F404" s="35"/>
      <c r="G404" s="35"/>
      <c r="H404" s="35">
        <f t="shared" si="97"/>
        <v>0</v>
      </c>
      <c r="I404" s="35"/>
      <c r="J404" s="35">
        <f t="shared" si="95"/>
        <v>0</v>
      </c>
      <c r="K404" s="36">
        <v>400</v>
      </c>
    </row>
    <row r="405" spans="1:11" hidden="1" outlineLevel="1" x14ac:dyDescent="0.25">
      <c r="A405" s="34"/>
      <c r="B405" s="17"/>
      <c r="C405" s="35"/>
      <c r="D405" s="35"/>
      <c r="E405" s="35"/>
      <c r="F405" s="35"/>
      <c r="G405" s="35"/>
      <c r="H405" s="35">
        <f t="shared" si="97"/>
        <v>0</v>
      </c>
      <c r="I405" s="35"/>
      <c r="J405" s="35">
        <f t="shared" si="95"/>
        <v>0</v>
      </c>
      <c r="K405" s="36">
        <v>401</v>
      </c>
    </row>
    <row r="406" spans="1:11" ht="45" collapsed="1" x14ac:dyDescent="0.25">
      <c r="A406" s="40" t="s">
        <v>50</v>
      </c>
      <c r="B406" s="10" t="s">
        <v>120</v>
      </c>
      <c r="C406" s="26">
        <f t="shared" ref="C406:G406" si="100">+C407+C416+C420+C426</f>
        <v>0</v>
      </c>
      <c r="D406" s="26">
        <f t="shared" si="100"/>
        <v>0</v>
      </c>
      <c r="E406" s="26">
        <f t="shared" si="100"/>
        <v>0</v>
      </c>
      <c r="F406" s="26">
        <f t="shared" si="100"/>
        <v>0</v>
      </c>
      <c r="G406" s="26">
        <f t="shared" si="100"/>
        <v>0</v>
      </c>
      <c r="H406" s="26">
        <f t="shared" si="97"/>
        <v>0</v>
      </c>
      <c r="I406" s="26">
        <v>0</v>
      </c>
      <c r="J406" s="26">
        <f t="shared" si="95"/>
        <v>0</v>
      </c>
      <c r="K406" s="27">
        <v>402</v>
      </c>
    </row>
    <row r="407" spans="1:11" hidden="1" outlineLevel="1" x14ac:dyDescent="0.25">
      <c r="A407" s="28"/>
      <c r="B407" s="15" t="s">
        <v>65</v>
      </c>
      <c r="C407" s="29">
        <f t="shared" ref="C407:G407" si="101">+SUM(C408:C415)</f>
        <v>0</v>
      </c>
      <c r="D407" s="29">
        <f t="shared" si="101"/>
        <v>0</v>
      </c>
      <c r="E407" s="29">
        <f t="shared" si="101"/>
        <v>0</v>
      </c>
      <c r="F407" s="29">
        <f t="shared" si="101"/>
        <v>0</v>
      </c>
      <c r="G407" s="29">
        <f t="shared" si="101"/>
        <v>0</v>
      </c>
      <c r="H407" s="29">
        <f t="shared" si="97"/>
        <v>0</v>
      </c>
      <c r="I407" s="29">
        <v>0</v>
      </c>
      <c r="J407" s="29">
        <f t="shared" si="95"/>
        <v>0</v>
      </c>
      <c r="K407" s="30">
        <v>403</v>
      </c>
    </row>
    <row r="408" spans="1:11" hidden="1" outlineLevel="1" x14ac:dyDescent="0.25">
      <c r="A408" s="31"/>
      <c r="B408" s="16" t="s">
        <v>66</v>
      </c>
      <c r="C408" s="32"/>
      <c r="D408" s="32"/>
      <c r="E408" s="32"/>
      <c r="F408" s="32"/>
      <c r="G408" s="32"/>
      <c r="H408" s="32">
        <f t="shared" si="97"/>
        <v>0</v>
      </c>
      <c r="I408" s="32"/>
      <c r="J408" s="32">
        <f t="shared" si="95"/>
        <v>0</v>
      </c>
      <c r="K408" s="33">
        <v>404</v>
      </c>
    </row>
    <row r="409" spans="1:11" hidden="1" outlineLevel="1" x14ac:dyDescent="0.25">
      <c r="A409" s="31"/>
      <c r="B409" s="17" t="s">
        <v>67</v>
      </c>
      <c r="C409" s="32"/>
      <c r="D409" s="32"/>
      <c r="E409" s="32"/>
      <c r="F409" s="32"/>
      <c r="G409" s="32"/>
      <c r="H409" s="32">
        <f t="shared" si="97"/>
        <v>0</v>
      </c>
      <c r="I409" s="32"/>
      <c r="J409" s="32">
        <f t="shared" si="95"/>
        <v>0</v>
      </c>
      <c r="K409" s="33">
        <v>405</v>
      </c>
    </row>
    <row r="410" spans="1:11" ht="30" hidden="1" outlineLevel="1" x14ac:dyDescent="0.25">
      <c r="A410" s="31"/>
      <c r="B410" s="17" t="s">
        <v>68</v>
      </c>
      <c r="C410" s="32"/>
      <c r="D410" s="32"/>
      <c r="E410" s="32"/>
      <c r="F410" s="32"/>
      <c r="G410" s="32"/>
      <c r="H410" s="32">
        <f t="shared" si="97"/>
        <v>0</v>
      </c>
      <c r="I410" s="32"/>
      <c r="J410" s="32">
        <f t="shared" si="95"/>
        <v>0</v>
      </c>
      <c r="K410" s="33">
        <v>406</v>
      </c>
    </row>
    <row r="411" spans="1:11" hidden="1" outlineLevel="1" x14ac:dyDescent="0.25">
      <c r="A411" s="31"/>
      <c r="B411" s="16" t="s">
        <v>69</v>
      </c>
      <c r="C411" s="32"/>
      <c r="D411" s="32"/>
      <c r="E411" s="32"/>
      <c r="F411" s="32"/>
      <c r="G411" s="32"/>
      <c r="H411" s="32">
        <f t="shared" si="97"/>
        <v>0</v>
      </c>
      <c r="I411" s="32"/>
      <c r="J411" s="32">
        <f t="shared" si="95"/>
        <v>0</v>
      </c>
      <c r="K411" s="33">
        <v>407</v>
      </c>
    </row>
    <row r="412" spans="1:11" hidden="1" outlineLevel="1" x14ac:dyDescent="0.25">
      <c r="A412" s="31"/>
      <c r="B412" s="17" t="s">
        <v>70</v>
      </c>
      <c r="C412" s="32"/>
      <c r="D412" s="32"/>
      <c r="E412" s="32"/>
      <c r="F412" s="32"/>
      <c r="G412" s="32"/>
      <c r="H412" s="32">
        <f t="shared" si="97"/>
        <v>0</v>
      </c>
      <c r="I412" s="32"/>
      <c r="J412" s="32">
        <f t="shared" si="95"/>
        <v>0</v>
      </c>
      <c r="K412" s="33">
        <v>408</v>
      </c>
    </row>
    <row r="413" spans="1:11" ht="30" hidden="1" outlineLevel="1" x14ac:dyDescent="0.25">
      <c r="A413" s="31"/>
      <c r="B413" s="17" t="s">
        <v>71</v>
      </c>
      <c r="C413" s="32"/>
      <c r="D413" s="32"/>
      <c r="E413" s="32"/>
      <c r="F413" s="32"/>
      <c r="G413" s="32"/>
      <c r="H413" s="32">
        <f t="shared" si="97"/>
        <v>0</v>
      </c>
      <c r="I413" s="32"/>
      <c r="J413" s="32">
        <f t="shared" si="95"/>
        <v>0</v>
      </c>
      <c r="K413" s="33">
        <v>409</v>
      </c>
    </row>
    <row r="414" spans="1:11" hidden="1" outlineLevel="1" x14ac:dyDescent="0.25">
      <c r="A414" s="31"/>
      <c r="B414" s="16" t="s">
        <v>72</v>
      </c>
      <c r="C414" s="32"/>
      <c r="D414" s="32"/>
      <c r="E414" s="32"/>
      <c r="F414" s="32"/>
      <c r="G414" s="32"/>
      <c r="H414" s="32">
        <f t="shared" si="97"/>
        <v>0</v>
      </c>
      <c r="I414" s="32"/>
      <c r="J414" s="32">
        <f t="shared" si="95"/>
        <v>0</v>
      </c>
      <c r="K414" s="33">
        <v>410</v>
      </c>
    </row>
    <row r="415" spans="1:11" ht="30" hidden="1" outlineLevel="1" x14ac:dyDescent="0.25">
      <c r="A415" s="31"/>
      <c r="B415" s="17" t="s">
        <v>73</v>
      </c>
      <c r="C415" s="32"/>
      <c r="D415" s="32"/>
      <c r="E415" s="32"/>
      <c r="F415" s="32"/>
      <c r="G415" s="32"/>
      <c r="H415" s="32">
        <f t="shared" si="97"/>
        <v>0</v>
      </c>
      <c r="I415" s="32"/>
      <c r="J415" s="32">
        <f t="shared" si="95"/>
        <v>0</v>
      </c>
      <c r="K415" s="33">
        <v>411</v>
      </c>
    </row>
    <row r="416" spans="1:11" hidden="1" outlineLevel="1" x14ac:dyDescent="0.25">
      <c r="A416" s="28"/>
      <c r="B416" s="15" t="s">
        <v>74</v>
      </c>
      <c r="C416" s="29">
        <f t="shared" ref="C416:G416" si="102">+SUM(C417:C419)</f>
        <v>0</v>
      </c>
      <c r="D416" s="29">
        <f t="shared" si="102"/>
        <v>0</v>
      </c>
      <c r="E416" s="29">
        <f t="shared" si="102"/>
        <v>0</v>
      </c>
      <c r="F416" s="29">
        <f t="shared" si="102"/>
        <v>0</v>
      </c>
      <c r="G416" s="29">
        <f t="shared" si="102"/>
        <v>0</v>
      </c>
      <c r="H416" s="29">
        <f t="shared" si="97"/>
        <v>0</v>
      </c>
      <c r="I416" s="29"/>
      <c r="J416" s="29">
        <f t="shared" si="95"/>
        <v>0</v>
      </c>
      <c r="K416" s="30">
        <v>412</v>
      </c>
    </row>
    <row r="417" spans="1:11" ht="30" hidden="1" outlineLevel="1" x14ac:dyDescent="0.25">
      <c r="A417" s="34"/>
      <c r="B417" s="17" t="s">
        <v>75</v>
      </c>
      <c r="C417" s="35"/>
      <c r="D417" s="35"/>
      <c r="E417" s="35"/>
      <c r="F417" s="35"/>
      <c r="G417" s="35"/>
      <c r="H417" s="35">
        <f t="shared" si="97"/>
        <v>0</v>
      </c>
      <c r="I417" s="35"/>
      <c r="J417" s="35">
        <f t="shared" si="95"/>
        <v>0</v>
      </c>
      <c r="K417" s="36">
        <v>413</v>
      </c>
    </row>
    <row r="418" spans="1:11" ht="30" hidden="1" outlineLevel="1" x14ac:dyDescent="0.25">
      <c r="A418" s="34"/>
      <c r="B418" s="17" t="s">
        <v>76</v>
      </c>
      <c r="C418" s="35"/>
      <c r="D418" s="35"/>
      <c r="E418" s="35"/>
      <c r="F418" s="35"/>
      <c r="G418" s="35"/>
      <c r="H418" s="35">
        <f t="shared" si="97"/>
        <v>0</v>
      </c>
      <c r="I418" s="35"/>
      <c r="J418" s="35">
        <f t="shared" si="95"/>
        <v>0</v>
      </c>
      <c r="K418" s="36">
        <v>414</v>
      </c>
    </row>
    <row r="419" spans="1:11" ht="30" hidden="1" outlineLevel="1" x14ac:dyDescent="0.25">
      <c r="A419" s="34"/>
      <c r="B419" s="17" t="s">
        <v>77</v>
      </c>
      <c r="C419" s="35"/>
      <c r="D419" s="35"/>
      <c r="E419" s="35"/>
      <c r="F419" s="35"/>
      <c r="G419" s="35"/>
      <c r="H419" s="35">
        <f t="shared" si="97"/>
        <v>0</v>
      </c>
      <c r="I419" s="35"/>
      <c r="J419" s="35">
        <f t="shared" si="95"/>
        <v>0</v>
      </c>
      <c r="K419" s="36">
        <v>415</v>
      </c>
    </row>
    <row r="420" spans="1:11" hidden="1" outlineLevel="1" x14ac:dyDescent="0.25">
      <c r="A420" s="28"/>
      <c r="B420" s="15" t="s">
        <v>78</v>
      </c>
      <c r="C420" s="29">
        <f t="shared" ref="C420:G420" si="103">+SUM(C421:C425)</f>
        <v>0</v>
      </c>
      <c r="D420" s="29">
        <f t="shared" si="103"/>
        <v>0</v>
      </c>
      <c r="E420" s="29">
        <f t="shared" si="103"/>
        <v>0</v>
      </c>
      <c r="F420" s="29">
        <f t="shared" si="103"/>
        <v>0</v>
      </c>
      <c r="G420" s="29">
        <f t="shared" si="103"/>
        <v>0</v>
      </c>
      <c r="H420" s="29">
        <f t="shared" si="97"/>
        <v>0</v>
      </c>
      <c r="I420" s="29"/>
      <c r="J420" s="29">
        <f t="shared" si="95"/>
        <v>0</v>
      </c>
      <c r="K420" s="30">
        <v>416</v>
      </c>
    </row>
    <row r="421" spans="1:11" hidden="1" outlineLevel="1" x14ac:dyDescent="0.25">
      <c r="A421" s="34"/>
      <c r="B421" s="18" t="s">
        <v>79</v>
      </c>
      <c r="C421" s="35"/>
      <c r="D421" s="35"/>
      <c r="E421" s="35"/>
      <c r="F421" s="35"/>
      <c r="G421" s="35"/>
      <c r="H421" s="35">
        <f t="shared" si="97"/>
        <v>0</v>
      </c>
      <c r="I421" s="35"/>
      <c r="J421" s="35">
        <f t="shared" si="95"/>
        <v>0</v>
      </c>
      <c r="K421" s="36">
        <v>417</v>
      </c>
    </row>
    <row r="422" spans="1:11" ht="30" hidden="1" outlineLevel="1" x14ac:dyDescent="0.25">
      <c r="A422" s="34"/>
      <c r="B422" s="17" t="s">
        <v>80</v>
      </c>
      <c r="C422" s="35"/>
      <c r="D422" s="35"/>
      <c r="E422" s="35"/>
      <c r="F422" s="35"/>
      <c r="G422" s="35"/>
      <c r="H422" s="35">
        <f t="shared" si="97"/>
        <v>0</v>
      </c>
      <c r="I422" s="35"/>
      <c r="J422" s="35">
        <f t="shared" si="95"/>
        <v>0</v>
      </c>
      <c r="K422" s="36">
        <v>418</v>
      </c>
    </row>
    <row r="423" spans="1:11" hidden="1" outlineLevel="1" x14ac:dyDescent="0.25">
      <c r="A423" s="34"/>
      <c r="B423" s="17" t="s">
        <v>81</v>
      </c>
      <c r="C423" s="35"/>
      <c r="D423" s="35"/>
      <c r="E423" s="35"/>
      <c r="F423" s="35"/>
      <c r="G423" s="35"/>
      <c r="H423" s="35">
        <f t="shared" si="97"/>
        <v>0</v>
      </c>
      <c r="I423" s="35"/>
      <c r="J423" s="35">
        <f t="shared" si="95"/>
        <v>0</v>
      </c>
      <c r="K423" s="36">
        <v>419</v>
      </c>
    </row>
    <row r="424" spans="1:11" hidden="1" outlineLevel="1" x14ac:dyDescent="0.25">
      <c r="A424" s="34"/>
      <c r="B424" s="18" t="s">
        <v>82</v>
      </c>
      <c r="C424" s="35"/>
      <c r="D424" s="35"/>
      <c r="E424" s="35"/>
      <c r="F424" s="35"/>
      <c r="G424" s="35"/>
      <c r="H424" s="35">
        <f t="shared" si="97"/>
        <v>0</v>
      </c>
      <c r="I424" s="35"/>
      <c r="J424" s="35">
        <f t="shared" si="95"/>
        <v>0</v>
      </c>
      <c r="K424" s="36">
        <v>420</v>
      </c>
    </row>
    <row r="425" spans="1:11" ht="30" hidden="1" outlineLevel="1" x14ac:dyDescent="0.25">
      <c r="A425" s="34"/>
      <c r="B425" s="17" t="s">
        <v>83</v>
      </c>
      <c r="C425" s="35"/>
      <c r="D425" s="35"/>
      <c r="E425" s="35"/>
      <c r="F425" s="35"/>
      <c r="G425" s="35"/>
      <c r="H425" s="35">
        <f t="shared" si="97"/>
        <v>0</v>
      </c>
      <c r="I425" s="35"/>
      <c r="J425" s="35">
        <f t="shared" si="95"/>
        <v>0</v>
      </c>
      <c r="K425" s="36">
        <v>421</v>
      </c>
    </row>
    <row r="426" spans="1:11" hidden="1" outlineLevel="1" x14ac:dyDescent="0.25">
      <c r="A426" s="28"/>
      <c r="B426" s="15" t="s">
        <v>84</v>
      </c>
      <c r="C426" s="29">
        <f>+SUM(C427:C431)</f>
        <v>0</v>
      </c>
      <c r="D426" s="29">
        <f t="shared" ref="D426:G426" si="104">+SUM(D427:D431)</f>
        <v>0</v>
      </c>
      <c r="E426" s="29">
        <f t="shared" si="104"/>
        <v>0</v>
      </c>
      <c r="F426" s="29">
        <f t="shared" si="104"/>
        <v>0</v>
      </c>
      <c r="G426" s="29">
        <f t="shared" si="104"/>
        <v>0</v>
      </c>
      <c r="H426" s="29">
        <f t="shared" si="97"/>
        <v>0</v>
      </c>
      <c r="I426" s="29"/>
      <c r="J426" s="29">
        <f t="shared" si="95"/>
        <v>0</v>
      </c>
      <c r="K426" s="30">
        <v>422</v>
      </c>
    </row>
    <row r="427" spans="1:11" hidden="1" outlineLevel="1" x14ac:dyDescent="0.25">
      <c r="A427" s="34"/>
      <c r="B427" s="17"/>
      <c r="C427" s="35"/>
      <c r="D427" s="35"/>
      <c r="E427" s="35"/>
      <c r="F427" s="35"/>
      <c r="G427" s="35"/>
      <c r="H427" s="35">
        <f t="shared" si="97"/>
        <v>0</v>
      </c>
      <c r="I427" s="35"/>
      <c r="J427" s="35">
        <f t="shared" si="95"/>
        <v>0</v>
      </c>
      <c r="K427" s="36">
        <v>423</v>
      </c>
    </row>
    <row r="428" spans="1:11" hidden="1" outlineLevel="1" x14ac:dyDescent="0.25">
      <c r="A428" s="34"/>
      <c r="B428" s="17"/>
      <c r="C428" s="35"/>
      <c r="D428" s="35"/>
      <c r="E428" s="35"/>
      <c r="F428" s="35"/>
      <c r="G428" s="35"/>
      <c r="H428" s="35">
        <f t="shared" si="97"/>
        <v>0</v>
      </c>
      <c r="I428" s="35"/>
      <c r="J428" s="35">
        <f t="shared" si="95"/>
        <v>0</v>
      </c>
      <c r="K428" s="36">
        <v>424</v>
      </c>
    </row>
    <row r="429" spans="1:11" hidden="1" outlineLevel="1" collapsed="1" x14ac:dyDescent="0.25">
      <c r="A429" s="34"/>
      <c r="B429" s="17"/>
      <c r="C429" s="35"/>
      <c r="D429" s="35"/>
      <c r="E429" s="35"/>
      <c r="F429" s="35"/>
      <c r="G429" s="35"/>
      <c r="H429" s="35">
        <f t="shared" si="97"/>
        <v>0</v>
      </c>
      <c r="I429" s="35"/>
      <c r="J429" s="35">
        <f t="shared" si="95"/>
        <v>0</v>
      </c>
      <c r="K429" s="36">
        <v>425</v>
      </c>
    </row>
    <row r="430" spans="1:11" hidden="1" outlineLevel="1" x14ac:dyDescent="0.25">
      <c r="A430" s="34"/>
      <c r="B430" s="17" t="s">
        <v>86</v>
      </c>
      <c r="C430" s="35"/>
      <c r="D430" s="35"/>
      <c r="E430" s="35"/>
      <c r="F430" s="35"/>
      <c r="G430" s="35"/>
      <c r="H430" s="35">
        <f t="shared" si="97"/>
        <v>0</v>
      </c>
      <c r="I430" s="35"/>
      <c r="J430" s="35">
        <f t="shared" si="95"/>
        <v>0</v>
      </c>
      <c r="K430" s="36">
        <v>426</v>
      </c>
    </row>
    <row r="431" spans="1:11" hidden="1" outlineLevel="1" collapsed="1" x14ac:dyDescent="0.25">
      <c r="A431" s="34"/>
      <c r="B431" s="17"/>
      <c r="C431" s="35"/>
      <c r="D431" s="35"/>
      <c r="E431" s="35"/>
      <c r="F431" s="35"/>
      <c r="G431" s="35"/>
      <c r="H431" s="35">
        <f t="shared" si="97"/>
        <v>0</v>
      </c>
      <c r="I431" s="35"/>
      <c r="J431" s="35">
        <f t="shared" si="95"/>
        <v>0</v>
      </c>
      <c r="K431" s="36">
        <v>427</v>
      </c>
    </row>
    <row r="432" spans="1:11" ht="30" collapsed="1" x14ac:dyDescent="0.25">
      <c r="A432" s="39" t="s">
        <v>121</v>
      </c>
      <c r="B432" s="14" t="s">
        <v>122</v>
      </c>
      <c r="C432" s="24">
        <f>+C433</f>
        <v>0</v>
      </c>
      <c r="D432" s="24">
        <f t="shared" ref="D432:G432" si="105">+D433</f>
        <v>0</v>
      </c>
      <c r="E432" s="24">
        <f t="shared" si="105"/>
        <v>0</v>
      </c>
      <c r="F432" s="24">
        <f t="shared" si="105"/>
        <v>0</v>
      </c>
      <c r="G432" s="24">
        <f t="shared" si="105"/>
        <v>0</v>
      </c>
      <c r="H432" s="24">
        <f t="shared" si="97"/>
        <v>0</v>
      </c>
      <c r="I432" s="24"/>
      <c r="J432" s="24">
        <f t="shared" si="95"/>
        <v>0</v>
      </c>
      <c r="K432" s="25">
        <v>428</v>
      </c>
    </row>
    <row r="433" spans="1:11" x14ac:dyDescent="0.25">
      <c r="A433" s="40" t="s">
        <v>51</v>
      </c>
      <c r="B433" s="10" t="s">
        <v>123</v>
      </c>
      <c r="C433" s="26">
        <f t="shared" ref="C433:G433" si="106">+C434+C443+C447+C453</f>
        <v>0</v>
      </c>
      <c r="D433" s="26">
        <f t="shared" si="106"/>
        <v>0</v>
      </c>
      <c r="E433" s="26">
        <f t="shared" si="106"/>
        <v>0</v>
      </c>
      <c r="F433" s="26">
        <f t="shared" si="106"/>
        <v>0</v>
      </c>
      <c r="G433" s="26">
        <f t="shared" si="106"/>
        <v>0</v>
      </c>
      <c r="H433" s="26">
        <f t="shared" si="97"/>
        <v>0</v>
      </c>
      <c r="I433" s="26">
        <v>0</v>
      </c>
      <c r="J433" s="26">
        <f t="shared" si="95"/>
        <v>0</v>
      </c>
      <c r="K433" s="27">
        <v>429</v>
      </c>
    </row>
    <row r="434" spans="1:11" hidden="1" outlineLevel="1" x14ac:dyDescent="0.25">
      <c r="A434" s="28"/>
      <c r="B434" s="15" t="s">
        <v>65</v>
      </c>
      <c r="C434" s="29">
        <f t="shared" ref="C434:G434" si="107">+SUM(C435:C442)</f>
        <v>0</v>
      </c>
      <c r="D434" s="29">
        <f t="shared" si="107"/>
        <v>0</v>
      </c>
      <c r="E434" s="29">
        <f t="shared" si="107"/>
        <v>0</v>
      </c>
      <c r="F434" s="29">
        <f t="shared" si="107"/>
        <v>0</v>
      </c>
      <c r="G434" s="29">
        <f t="shared" si="107"/>
        <v>0</v>
      </c>
      <c r="H434" s="29">
        <f t="shared" si="97"/>
        <v>0</v>
      </c>
      <c r="I434" s="29">
        <v>0</v>
      </c>
      <c r="J434" s="29">
        <f t="shared" si="95"/>
        <v>0</v>
      </c>
      <c r="K434" s="30">
        <v>430</v>
      </c>
    </row>
    <row r="435" spans="1:11" hidden="1" outlineLevel="1" x14ac:dyDescent="0.25">
      <c r="A435" s="31"/>
      <c r="B435" s="16" t="s">
        <v>66</v>
      </c>
      <c r="C435" s="32"/>
      <c r="D435" s="32"/>
      <c r="E435" s="32"/>
      <c r="F435" s="32"/>
      <c r="G435" s="32"/>
      <c r="H435" s="32">
        <f t="shared" si="97"/>
        <v>0</v>
      </c>
      <c r="I435" s="32"/>
      <c r="J435" s="32">
        <f t="shared" si="95"/>
        <v>0</v>
      </c>
      <c r="K435" s="33">
        <v>431</v>
      </c>
    </row>
    <row r="436" spans="1:11" hidden="1" outlineLevel="1" x14ac:dyDescent="0.25">
      <c r="A436" s="31"/>
      <c r="B436" s="17" t="s">
        <v>67</v>
      </c>
      <c r="C436" s="32"/>
      <c r="D436" s="32"/>
      <c r="E436" s="32"/>
      <c r="F436" s="32"/>
      <c r="G436" s="32"/>
      <c r="H436" s="32">
        <f t="shared" si="97"/>
        <v>0</v>
      </c>
      <c r="I436" s="32"/>
      <c r="J436" s="32">
        <f t="shared" si="95"/>
        <v>0</v>
      </c>
      <c r="K436" s="33">
        <v>432</v>
      </c>
    </row>
    <row r="437" spans="1:11" ht="30" hidden="1" outlineLevel="1" x14ac:dyDescent="0.25">
      <c r="A437" s="31"/>
      <c r="B437" s="17" t="s">
        <v>68</v>
      </c>
      <c r="C437" s="32"/>
      <c r="D437" s="32"/>
      <c r="E437" s="32"/>
      <c r="F437" s="32"/>
      <c r="G437" s="32"/>
      <c r="H437" s="32">
        <f t="shared" si="97"/>
        <v>0</v>
      </c>
      <c r="I437" s="32"/>
      <c r="J437" s="32">
        <f t="shared" si="95"/>
        <v>0</v>
      </c>
      <c r="K437" s="33">
        <v>433</v>
      </c>
    </row>
    <row r="438" spans="1:11" hidden="1" outlineLevel="1" x14ac:dyDescent="0.25">
      <c r="A438" s="31"/>
      <c r="B438" s="16" t="s">
        <v>69</v>
      </c>
      <c r="C438" s="32"/>
      <c r="D438" s="32"/>
      <c r="E438" s="32"/>
      <c r="F438" s="32"/>
      <c r="G438" s="32"/>
      <c r="H438" s="32">
        <f t="shared" si="97"/>
        <v>0</v>
      </c>
      <c r="I438" s="32"/>
      <c r="J438" s="32">
        <f t="shared" si="95"/>
        <v>0</v>
      </c>
      <c r="K438" s="33">
        <v>434</v>
      </c>
    </row>
    <row r="439" spans="1:11" hidden="1" outlineLevel="1" x14ac:dyDescent="0.25">
      <c r="A439" s="31"/>
      <c r="B439" s="17" t="s">
        <v>70</v>
      </c>
      <c r="C439" s="32"/>
      <c r="D439" s="32"/>
      <c r="E439" s="32"/>
      <c r="F439" s="32"/>
      <c r="G439" s="32"/>
      <c r="H439" s="32">
        <f t="shared" si="97"/>
        <v>0</v>
      </c>
      <c r="I439" s="32"/>
      <c r="J439" s="32">
        <f t="shared" si="95"/>
        <v>0</v>
      </c>
      <c r="K439" s="33">
        <v>435</v>
      </c>
    </row>
    <row r="440" spans="1:11" ht="30" hidden="1" outlineLevel="1" x14ac:dyDescent="0.25">
      <c r="A440" s="31"/>
      <c r="B440" s="17" t="s">
        <v>71</v>
      </c>
      <c r="C440" s="32"/>
      <c r="D440" s="32"/>
      <c r="E440" s="32"/>
      <c r="F440" s="32"/>
      <c r="G440" s="32"/>
      <c r="H440" s="32">
        <f t="shared" si="97"/>
        <v>0</v>
      </c>
      <c r="I440" s="32"/>
      <c r="J440" s="32">
        <f t="shared" si="95"/>
        <v>0</v>
      </c>
      <c r="K440" s="33">
        <v>436</v>
      </c>
    </row>
    <row r="441" spans="1:11" hidden="1" outlineLevel="1" x14ac:dyDescent="0.25">
      <c r="A441" s="31"/>
      <c r="B441" s="16" t="s">
        <v>72</v>
      </c>
      <c r="C441" s="32"/>
      <c r="D441" s="32"/>
      <c r="E441" s="32"/>
      <c r="F441" s="32"/>
      <c r="G441" s="32"/>
      <c r="H441" s="32">
        <f t="shared" si="97"/>
        <v>0</v>
      </c>
      <c r="I441" s="32"/>
      <c r="J441" s="32">
        <f t="shared" si="95"/>
        <v>0</v>
      </c>
      <c r="K441" s="33">
        <v>437</v>
      </c>
    </row>
    <row r="442" spans="1:11" ht="30" hidden="1" outlineLevel="1" x14ac:dyDescent="0.25">
      <c r="A442" s="31"/>
      <c r="B442" s="17" t="s">
        <v>73</v>
      </c>
      <c r="C442" s="32"/>
      <c r="D442" s="32"/>
      <c r="E442" s="32"/>
      <c r="F442" s="32"/>
      <c r="G442" s="32"/>
      <c r="H442" s="32">
        <f t="shared" si="97"/>
        <v>0</v>
      </c>
      <c r="I442" s="32"/>
      <c r="J442" s="32">
        <f t="shared" si="95"/>
        <v>0</v>
      </c>
      <c r="K442" s="33">
        <v>438</v>
      </c>
    </row>
    <row r="443" spans="1:11" hidden="1" outlineLevel="1" x14ac:dyDescent="0.25">
      <c r="A443" s="28"/>
      <c r="B443" s="15" t="s">
        <v>74</v>
      </c>
      <c r="C443" s="29">
        <f t="shared" ref="C443:G443" si="108">+SUM(C444:C446)</f>
        <v>0</v>
      </c>
      <c r="D443" s="29">
        <f t="shared" si="108"/>
        <v>0</v>
      </c>
      <c r="E443" s="29">
        <f t="shared" si="108"/>
        <v>0</v>
      </c>
      <c r="F443" s="29">
        <f t="shared" si="108"/>
        <v>0</v>
      </c>
      <c r="G443" s="29">
        <f t="shared" si="108"/>
        <v>0</v>
      </c>
      <c r="H443" s="29">
        <f t="shared" si="97"/>
        <v>0</v>
      </c>
      <c r="I443" s="29"/>
      <c r="J443" s="29">
        <f t="shared" si="95"/>
        <v>0</v>
      </c>
      <c r="K443" s="30">
        <v>439</v>
      </c>
    </row>
    <row r="444" spans="1:11" ht="30" hidden="1" outlineLevel="1" x14ac:dyDescent="0.25">
      <c r="A444" s="34"/>
      <c r="B444" s="17" t="s">
        <v>75</v>
      </c>
      <c r="C444" s="35"/>
      <c r="D444" s="35"/>
      <c r="E444" s="35"/>
      <c r="F444" s="35"/>
      <c r="G444" s="35"/>
      <c r="H444" s="35">
        <f t="shared" si="97"/>
        <v>0</v>
      </c>
      <c r="I444" s="35"/>
      <c r="J444" s="35">
        <f t="shared" si="95"/>
        <v>0</v>
      </c>
      <c r="K444" s="36">
        <v>440</v>
      </c>
    </row>
    <row r="445" spans="1:11" ht="30" hidden="1" outlineLevel="1" x14ac:dyDescent="0.25">
      <c r="A445" s="34"/>
      <c r="B445" s="17" t="s">
        <v>76</v>
      </c>
      <c r="C445" s="35"/>
      <c r="D445" s="35"/>
      <c r="E445" s="35"/>
      <c r="F445" s="35"/>
      <c r="G445" s="35"/>
      <c r="H445" s="35">
        <f t="shared" si="97"/>
        <v>0</v>
      </c>
      <c r="I445" s="35"/>
      <c r="J445" s="35">
        <f t="shared" si="95"/>
        <v>0</v>
      </c>
      <c r="K445" s="36">
        <v>441</v>
      </c>
    </row>
    <row r="446" spans="1:11" ht="30" hidden="1" outlineLevel="1" x14ac:dyDescent="0.25">
      <c r="A446" s="34"/>
      <c r="B446" s="17" t="s">
        <v>77</v>
      </c>
      <c r="C446" s="35"/>
      <c r="D446" s="35"/>
      <c r="E446" s="35"/>
      <c r="F446" s="35"/>
      <c r="G446" s="35"/>
      <c r="H446" s="35">
        <f t="shared" si="97"/>
        <v>0</v>
      </c>
      <c r="I446" s="35"/>
      <c r="J446" s="35">
        <f t="shared" si="95"/>
        <v>0</v>
      </c>
      <c r="K446" s="36">
        <v>442</v>
      </c>
    </row>
    <row r="447" spans="1:11" hidden="1" outlineLevel="1" x14ac:dyDescent="0.25">
      <c r="A447" s="28"/>
      <c r="B447" s="15" t="s">
        <v>78</v>
      </c>
      <c r="C447" s="29">
        <f t="shared" ref="C447:G447" si="109">+SUM(C448:C452)</f>
        <v>0</v>
      </c>
      <c r="D447" s="29">
        <f t="shared" si="109"/>
        <v>0</v>
      </c>
      <c r="E447" s="29">
        <f t="shared" si="109"/>
        <v>0</v>
      </c>
      <c r="F447" s="29">
        <f t="shared" si="109"/>
        <v>0</v>
      </c>
      <c r="G447" s="29">
        <f t="shared" si="109"/>
        <v>0</v>
      </c>
      <c r="H447" s="29">
        <f t="shared" si="97"/>
        <v>0</v>
      </c>
      <c r="I447" s="29"/>
      <c r="J447" s="29">
        <f t="shared" si="95"/>
        <v>0</v>
      </c>
      <c r="K447" s="30">
        <v>443</v>
      </c>
    </row>
    <row r="448" spans="1:11" hidden="1" outlineLevel="1" x14ac:dyDescent="0.25">
      <c r="A448" s="34"/>
      <c r="B448" s="18" t="s">
        <v>79</v>
      </c>
      <c r="C448" s="35"/>
      <c r="D448" s="35"/>
      <c r="E448" s="35"/>
      <c r="F448" s="35"/>
      <c r="G448" s="35"/>
      <c r="H448" s="35">
        <f t="shared" si="97"/>
        <v>0</v>
      </c>
      <c r="I448" s="35"/>
      <c r="J448" s="35">
        <f t="shared" si="95"/>
        <v>0</v>
      </c>
      <c r="K448" s="36">
        <v>444</v>
      </c>
    </row>
    <row r="449" spans="1:11" ht="30" hidden="1" outlineLevel="1" x14ac:dyDescent="0.25">
      <c r="A449" s="34"/>
      <c r="B449" s="17" t="s">
        <v>80</v>
      </c>
      <c r="C449" s="35"/>
      <c r="D449" s="35"/>
      <c r="E449" s="35"/>
      <c r="F449" s="35"/>
      <c r="G449" s="35"/>
      <c r="H449" s="35">
        <f t="shared" si="97"/>
        <v>0</v>
      </c>
      <c r="I449" s="35"/>
      <c r="J449" s="35">
        <f t="shared" si="95"/>
        <v>0</v>
      </c>
      <c r="K449" s="36">
        <v>445</v>
      </c>
    </row>
    <row r="450" spans="1:11" hidden="1" outlineLevel="1" x14ac:dyDescent="0.25">
      <c r="A450" s="34"/>
      <c r="B450" s="17" t="s">
        <v>81</v>
      </c>
      <c r="C450" s="35"/>
      <c r="D450" s="35"/>
      <c r="E450" s="35"/>
      <c r="F450" s="35"/>
      <c r="G450" s="35"/>
      <c r="H450" s="35">
        <f t="shared" si="97"/>
        <v>0</v>
      </c>
      <c r="I450" s="35"/>
      <c r="J450" s="35">
        <f t="shared" si="95"/>
        <v>0</v>
      </c>
      <c r="K450" s="36">
        <v>446</v>
      </c>
    </row>
    <row r="451" spans="1:11" hidden="1" outlineLevel="1" x14ac:dyDescent="0.25">
      <c r="A451" s="34"/>
      <c r="B451" s="18" t="s">
        <v>82</v>
      </c>
      <c r="C451" s="35"/>
      <c r="D451" s="35"/>
      <c r="E451" s="35"/>
      <c r="F451" s="35"/>
      <c r="G451" s="35"/>
      <c r="H451" s="35">
        <f t="shared" si="97"/>
        <v>0</v>
      </c>
      <c r="I451" s="35"/>
      <c r="J451" s="35">
        <f t="shared" si="95"/>
        <v>0</v>
      </c>
      <c r="K451" s="36">
        <v>447</v>
      </c>
    </row>
    <row r="452" spans="1:11" ht="30" hidden="1" outlineLevel="1" x14ac:dyDescent="0.25">
      <c r="A452" s="34"/>
      <c r="B452" s="17" t="s">
        <v>83</v>
      </c>
      <c r="C452" s="35"/>
      <c r="D452" s="35"/>
      <c r="E452" s="35"/>
      <c r="F452" s="35"/>
      <c r="G452" s="35"/>
      <c r="H452" s="35">
        <f t="shared" si="97"/>
        <v>0</v>
      </c>
      <c r="I452" s="35"/>
      <c r="J452" s="35">
        <f t="shared" si="95"/>
        <v>0</v>
      </c>
      <c r="K452" s="36">
        <v>448</v>
      </c>
    </row>
    <row r="453" spans="1:11" hidden="1" outlineLevel="1" x14ac:dyDescent="0.25">
      <c r="A453" s="28"/>
      <c r="B453" s="15" t="s">
        <v>84</v>
      </c>
      <c r="C453" s="29">
        <f>+SUM(C454:C458)</f>
        <v>0</v>
      </c>
      <c r="D453" s="29">
        <f t="shared" ref="D453:G453" si="110">+SUM(D454:D458)</f>
        <v>0</v>
      </c>
      <c r="E453" s="29">
        <f t="shared" si="110"/>
        <v>0</v>
      </c>
      <c r="F453" s="29">
        <f t="shared" si="110"/>
        <v>0</v>
      </c>
      <c r="G453" s="29">
        <f t="shared" si="110"/>
        <v>0</v>
      </c>
      <c r="H453" s="29">
        <f t="shared" si="97"/>
        <v>0</v>
      </c>
      <c r="I453" s="29"/>
      <c r="J453" s="29">
        <f t="shared" ref="J453:J516" si="111">+I453-H453</f>
        <v>0</v>
      </c>
      <c r="K453" s="30">
        <v>449</v>
      </c>
    </row>
    <row r="454" spans="1:11" hidden="1" outlineLevel="1" x14ac:dyDescent="0.25">
      <c r="A454" s="34"/>
      <c r="B454" s="17"/>
      <c r="C454" s="35"/>
      <c r="D454" s="35"/>
      <c r="E454" s="35"/>
      <c r="F454" s="35"/>
      <c r="G454" s="35"/>
      <c r="H454" s="35">
        <f t="shared" ref="H454:H517" si="112">+SUM(C454:G454)</f>
        <v>0</v>
      </c>
      <c r="I454" s="35"/>
      <c r="J454" s="35">
        <f t="shared" si="111"/>
        <v>0</v>
      </c>
      <c r="K454" s="36">
        <v>450</v>
      </c>
    </row>
    <row r="455" spans="1:11" hidden="1" outlineLevel="1" collapsed="1" x14ac:dyDescent="0.25">
      <c r="A455" s="34"/>
      <c r="B455" s="17"/>
      <c r="C455" s="35"/>
      <c r="D455" s="35"/>
      <c r="E455" s="35"/>
      <c r="F455" s="35"/>
      <c r="G455" s="35"/>
      <c r="H455" s="35">
        <f t="shared" si="112"/>
        <v>0</v>
      </c>
      <c r="I455" s="35"/>
      <c r="J455" s="35">
        <f t="shared" si="111"/>
        <v>0</v>
      </c>
      <c r="K455" s="36">
        <v>451</v>
      </c>
    </row>
    <row r="456" spans="1:11" hidden="1" outlineLevel="1" collapsed="1" x14ac:dyDescent="0.25">
      <c r="A456" s="34"/>
      <c r="B456" s="17"/>
      <c r="C456" s="35"/>
      <c r="D456" s="35"/>
      <c r="E456" s="35"/>
      <c r="F456" s="35"/>
      <c r="G456" s="35"/>
      <c r="H456" s="35">
        <f t="shared" si="112"/>
        <v>0</v>
      </c>
      <c r="I456" s="35"/>
      <c r="J456" s="35">
        <f t="shared" si="111"/>
        <v>0</v>
      </c>
      <c r="K456" s="36">
        <v>452</v>
      </c>
    </row>
    <row r="457" spans="1:11" hidden="1" outlineLevel="1" collapsed="1" x14ac:dyDescent="0.25">
      <c r="A457" s="34"/>
      <c r="B457" s="17" t="s">
        <v>86</v>
      </c>
      <c r="C457" s="35"/>
      <c r="D457" s="35"/>
      <c r="E457" s="35"/>
      <c r="F457" s="35"/>
      <c r="G457" s="35"/>
      <c r="H457" s="35">
        <f t="shared" si="112"/>
        <v>0</v>
      </c>
      <c r="I457" s="35"/>
      <c r="J457" s="35">
        <f t="shared" si="111"/>
        <v>0</v>
      </c>
      <c r="K457" s="36">
        <v>453</v>
      </c>
    </row>
    <row r="458" spans="1:11" hidden="1" outlineLevel="1" x14ac:dyDescent="0.25">
      <c r="A458" s="34"/>
      <c r="B458" s="17"/>
      <c r="C458" s="35"/>
      <c r="D458" s="35"/>
      <c r="E458" s="35"/>
      <c r="F458" s="35"/>
      <c r="G458" s="35"/>
      <c r="H458" s="35">
        <f t="shared" si="112"/>
        <v>0</v>
      </c>
      <c r="I458" s="35"/>
      <c r="J458" s="35">
        <f t="shared" si="111"/>
        <v>0</v>
      </c>
      <c r="K458" s="36">
        <v>454</v>
      </c>
    </row>
    <row r="459" spans="1:11" collapsed="1" x14ac:dyDescent="0.25">
      <c r="A459" s="39" t="s">
        <v>124</v>
      </c>
      <c r="B459" s="14" t="s">
        <v>125</v>
      </c>
      <c r="C459" s="24">
        <f>+C460</f>
        <v>0</v>
      </c>
      <c r="D459" s="24">
        <f t="shared" ref="D459:G459" si="113">+D460</f>
        <v>0</v>
      </c>
      <c r="E459" s="24">
        <f t="shared" si="113"/>
        <v>0</v>
      </c>
      <c r="F459" s="24">
        <f t="shared" si="113"/>
        <v>0</v>
      </c>
      <c r="G459" s="24">
        <f t="shared" si="113"/>
        <v>0</v>
      </c>
      <c r="H459" s="24">
        <f t="shared" si="112"/>
        <v>0</v>
      </c>
      <c r="I459" s="24"/>
      <c r="J459" s="24">
        <f t="shared" si="111"/>
        <v>0</v>
      </c>
      <c r="K459" s="25">
        <v>455</v>
      </c>
    </row>
    <row r="460" spans="1:11" ht="30" x14ac:dyDescent="0.25">
      <c r="A460" s="40" t="s">
        <v>193</v>
      </c>
      <c r="B460" s="10" t="s">
        <v>127</v>
      </c>
      <c r="C460" s="26">
        <f t="shared" ref="C460:G460" si="114">+C461+C470+C474+C480</f>
        <v>0</v>
      </c>
      <c r="D460" s="26">
        <f t="shared" si="114"/>
        <v>0</v>
      </c>
      <c r="E460" s="26">
        <f t="shared" si="114"/>
        <v>0</v>
      </c>
      <c r="F460" s="26">
        <f t="shared" si="114"/>
        <v>0</v>
      </c>
      <c r="G460" s="26">
        <f t="shared" si="114"/>
        <v>0</v>
      </c>
      <c r="H460" s="26">
        <f t="shared" si="112"/>
        <v>0</v>
      </c>
      <c r="I460" s="26">
        <v>0</v>
      </c>
      <c r="J460" s="26">
        <f t="shared" si="111"/>
        <v>0</v>
      </c>
      <c r="K460" s="27">
        <v>456</v>
      </c>
    </row>
    <row r="461" spans="1:11" hidden="1" outlineLevel="1" x14ac:dyDescent="0.25">
      <c r="A461" s="28"/>
      <c r="B461" s="15" t="s">
        <v>65</v>
      </c>
      <c r="C461" s="29">
        <f t="shared" ref="C461:G461" si="115">+SUM(C462:C469)</f>
        <v>0</v>
      </c>
      <c r="D461" s="29">
        <f t="shared" si="115"/>
        <v>0</v>
      </c>
      <c r="E461" s="29">
        <f t="shared" si="115"/>
        <v>0</v>
      </c>
      <c r="F461" s="29">
        <f t="shared" si="115"/>
        <v>0</v>
      </c>
      <c r="G461" s="29">
        <f t="shared" si="115"/>
        <v>0</v>
      </c>
      <c r="H461" s="29">
        <f t="shared" si="112"/>
        <v>0</v>
      </c>
      <c r="I461" s="29">
        <v>0</v>
      </c>
      <c r="J461" s="29">
        <f t="shared" si="111"/>
        <v>0</v>
      </c>
      <c r="K461" s="30">
        <v>457</v>
      </c>
    </row>
    <row r="462" spans="1:11" hidden="1" outlineLevel="1" x14ac:dyDescent="0.25">
      <c r="A462" s="31"/>
      <c r="B462" s="16" t="s">
        <v>66</v>
      </c>
      <c r="C462" s="32"/>
      <c r="D462" s="32"/>
      <c r="E462" s="32"/>
      <c r="F462" s="32"/>
      <c r="G462" s="32"/>
      <c r="H462" s="32">
        <f t="shared" si="112"/>
        <v>0</v>
      </c>
      <c r="I462" s="32"/>
      <c r="J462" s="32">
        <f t="shared" si="111"/>
        <v>0</v>
      </c>
      <c r="K462" s="33">
        <v>458</v>
      </c>
    </row>
    <row r="463" spans="1:11" hidden="1" outlineLevel="1" x14ac:dyDescent="0.25">
      <c r="A463" s="31"/>
      <c r="B463" s="17" t="s">
        <v>67</v>
      </c>
      <c r="C463" s="32"/>
      <c r="D463" s="32"/>
      <c r="E463" s="32"/>
      <c r="F463" s="32"/>
      <c r="G463" s="32"/>
      <c r="H463" s="32">
        <f t="shared" si="112"/>
        <v>0</v>
      </c>
      <c r="I463" s="32"/>
      <c r="J463" s="32">
        <f t="shared" si="111"/>
        <v>0</v>
      </c>
      <c r="K463" s="33">
        <v>459</v>
      </c>
    </row>
    <row r="464" spans="1:11" ht="30" hidden="1" outlineLevel="1" x14ac:dyDescent="0.25">
      <c r="A464" s="31"/>
      <c r="B464" s="17" t="s">
        <v>68</v>
      </c>
      <c r="C464" s="32"/>
      <c r="D464" s="32"/>
      <c r="E464" s="32"/>
      <c r="F464" s="32"/>
      <c r="G464" s="32"/>
      <c r="H464" s="32">
        <f t="shared" si="112"/>
        <v>0</v>
      </c>
      <c r="I464" s="32"/>
      <c r="J464" s="32">
        <f t="shared" si="111"/>
        <v>0</v>
      </c>
      <c r="K464" s="33">
        <v>460</v>
      </c>
    </row>
    <row r="465" spans="1:11" hidden="1" outlineLevel="1" x14ac:dyDescent="0.25">
      <c r="A465" s="31"/>
      <c r="B465" s="16" t="s">
        <v>69</v>
      </c>
      <c r="C465" s="32"/>
      <c r="D465" s="32"/>
      <c r="E465" s="32"/>
      <c r="F465" s="32"/>
      <c r="G465" s="32"/>
      <c r="H465" s="32">
        <f t="shared" si="112"/>
        <v>0</v>
      </c>
      <c r="I465" s="32"/>
      <c r="J465" s="32">
        <f t="shared" si="111"/>
        <v>0</v>
      </c>
      <c r="K465" s="33">
        <v>461</v>
      </c>
    </row>
    <row r="466" spans="1:11" hidden="1" outlineLevel="1" x14ac:dyDescent="0.25">
      <c r="A466" s="31"/>
      <c r="B466" s="17" t="s">
        <v>70</v>
      </c>
      <c r="C466" s="32"/>
      <c r="D466" s="32"/>
      <c r="E466" s="32"/>
      <c r="F466" s="32"/>
      <c r="G466" s="32"/>
      <c r="H466" s="32">
        <f t="shared" si="112"/>
        <v>0</v>
      </c>
      <c r="I466" s="32"/>
      <c r="J466" s="32">
        <f t="shared" si="111"/>
        <v>0</v>
      </c>
      <c r="K466" s="33">
        <v>462</v>
      </c>
    </row>
    <row r="467" spans="1:11" ht="30" hidden="1" outlineLevel="1" x14ac:dyDescent="0.25">
      <c r="A467" s="31"/>
      <c r="B467" s="17" t="s">
        <v>71</v>
      </c>
      <c r="C467" s="32"/>
      <c r="D467" s="32"/>
      <c r="E467" s="32"/>
      <c r="F467" s="32"/>
      <c r="G467" s="32"/>
      <c r="H467" s="32">
        <f t="shared" si="112"/>
        <v>0</v>
      </c>
      <c r="I467" s="32"/>
      <c r="J467" s="32">
        <f t="shared" si="111"/>
        <v>0</v>
      </c>
      <c r="K467" s="33">
        <v>463</v>
      </c>
    </row>
    <row r="468" spans="1:11" hidden="1" outlineLevel="1" x14ac:dyDescent="0.25">
      <c r="A468" s="31"/>
      <c r="B468" s="16" t="s">
        <v>72</v>
      </c>
      <c r="C468" s="32"/>
      <c r="D468" s="32"/>
      <c r="E468" s="32"/>
      <c r="F468" s="32"/>
      <c r="G468" s="32"/>
      <c r="H468" s="32">
        <f t="shared" si="112"/>
        <v>0</v>
      </c>
      <c r="I468" s="32"/>
      <c r="J468" s="32">
        <f t="shared" si="111"/>
        <v>0</v>
      </c>
      <c r="K468" s="33">
        <v>464</v>
      </c>
    </row>
    <row r="469" spans="1:11" ht="30" hidden="1" outlineLevel="1" x14ac:dyDescent="0.25">
      <c r="A469" s="31"/>
      <c r="B469" s="17" t="s">
        <v>73</v>
      </c>
      <c r="C469" s="32"/>
      <c r="D469" s="32"/>
      <c r="E469" s="32"/>
      <c r="F469" s="32"/>
      <c r="G469" s="32"/>
      <c r="H469" s="32">
        <f t="shared" si="112"/>
        <v>0</v>
      </c>
      <c r="I469" s="32"/>
      <c r="J469" s="32">
        <f t="shared" si="111"/>
        <v>0</v>
      </c>
      <c r="K469" s="33">
        <v>465</v>
      </c>
    </row>
    <row r="470" spans="1:11" hidden="1" outlineLevel="1" x14ac:dyDescent="0.25">
      <c r="A470" s="28"/>
      <c r="B470" s="15" t="s">
        <v>74</v>
      </c>
      <c r="C470" s="29">
        <f t="shared" ref="C470:G470" si="116">+SUM(C471:C473)</f>
        <v>0</v>
      </c>
      <c r="D470" s="29">
        <f t="shared" si="116"/>
        <v>0</v>
      </c>
      <c r="E470" s="29">
        <f t="shared" si="116"/>
        <v>0</v>
      </c>
      <c r="F470" s="29">
        <f t="shared" si="116"/>
        <v>0</v>
      </c>
      <c r="G470" s="29">
        <f t="shared" si="116"/>
        <v>0</v>
      </c>
      <c r="H470" s="29">
        <f t="shared" si="112"/>
        <v>0</v>
      </c>
      <c r="I470" s="29"/>
      <c r="J470" s="29">
        <f t="shared" si="111"/>
        <v>0</v>
      </c>
      <c r="K470" s="30">
        <v>466</v>
      </c>
    </row>
    <row r="471" spans="1:11" ht="30" hidden="1" outlineLevel="1" x14ac:dyDescent="0.25">
      <c r="A471" s="34"/>
      <c r="B471" s="17" t="s">
        <v>75</v>
      </c>
      <c r="C471" s="35"/>
      <c r="D471" s="35"/>
      <c r="E471" s="35"/>
      <c r="F471" s="35"/>
      <c r="G471" s="35"/>
      <c r="H471" s="35">
        <f t="shared" si="112"/>
        <v>0</v>
      </c>
      <c r="I471" s="35"/>
      <c r="J471" s="35">
        <f t="shared" si="111"/>
        <v>0</v>
      </c>
      <c r="K471" s="36">
        <v>467</v>
      </c>
    </row>
    <row r="472" spans="1:11" ht="30" hidden="1" outlineLevel="1" x14ac:dyDescent="0.25">
      <c r="A472" s="34"/>
      <c r="B472" s="17" t="s">
        <v>76</v>
      </c>
      <c r="C472" s="35"/>
      <c r="D472" s="35"/>
      <c r="E472" s="35"/>
      <c r="F472" s="35"/>
      <c r="G472" s="35"/>
      <c r="H472" s="35">
        <f t="shared" si="112"/>
        <v>0</v>
      </c>
      <c r="I472" s="35"/>
      <c r="J472" s="35">
        <f t="shared" si="111"/>
        <v>0</v>
      </c>
      <c r="K472" s="36">
        <v>468</v>
      </c>
    </row>
    <row r="473" spans="1:11" ht="30" hidden="1" outlineLevel="1" x14ac:dyDescent="0.25">
      <c r="A473" s="34"/>
      <c r="B473" s="17" t="s">
        <v>77</v>
      </c>
      <c r="C473" s="35"/>
      <c r="D473" s="35"/>
      <c r="E473" s="35"/>
      <c r="F473" s="35"/>
      <c r="G473" s="35"/>
      <c r="H473" s="35">
        <f t="shared" si="112"/>
        <v>0</v>
      </c>
      <c r="I473" s="35"/>
      <c r="J473" s="35">
        <f t="shared" si="111"/>
        <v>0</v>
      </c>
      <c r="K473" s="36">
        <v>469</v>
      </c>
    </row>
    <row r="474" spans="1:11" hidden="1" outlineLevel="1" x14ac:dyDescent="0.25">
      <c r="A474" s="28"/>
      <c r="B474" s="15" t="s">
        <v>78</v>
      </c>
      <c r="C474" s="29">
        <f t="shared" ref="C474:G474" si="117">+SUM(C475:C479)</f>
        <v>0</v>
      </c>
      <c r="D474" s="29">
        <f t="shared" si="117"/>
        <v>0</v>
      </c>
      <c r="E474" s="29">
        <f t="shared" si="117"/>
        <v>0</v>
      </c>
      <c r="F474" s="29">
        <f t="shared" si="117"/>
        <v>0</v>
      </c>
      <c r="G474" s="29">
        <f t="shared" si="117"/>
        <v>0</v>
      </c>
      <c r="H474" s="29">
        <f t="shared" si="112"/>
        <v>0</v>
      </c>
      <c r="I474" s="29"/>
      <c r="J474" s="29">
        <f t="shared" si="111"/>
        <v>0</v>
      </c>
      <c r="K474" s="30">
        <v>470</v>
      </c>
    </row>
    <row r="475" spans="1:11" hidden="1" outlineLevel="1" x14ac:dyDescent="0.25">
      <c r="A475" s="34"/>
      <c r="B475" s="18" t="s">
        <v>79</v>
      </c>
      <c r="C475" s="35"/>
      <c r="D475" s="35"/>
      <c r="E475" s="35"/>
      <c r="F475" s="35"/>
      <c r="G475" s="35"/>
      <c r="H475" s="35">
        <f t="shared" si="112"/>
        <v>0</v>
      </c>
      <c r="I475" s="35"/>
      <c r="J475" s="35">
        <f t="shared" si="111"/>
        <v>0</v>
      </c>
      <c r="K475" s="36">
        <v>471</v>
      </c>
    </row>
    <row r="476" spans="1:11" ht="30" hidden="1" outlineLevel="1" x14ac:dyDescent="0.25">
      <c r="A476" s="34"/>
      <c r="B476" s="17" t="s">
        <v>80</v>
      </c>
      <c r="C476" s="35"/>
      <c r="D476" s="35"/>
      <c r="E476" s="35"/>
      <c r="F476" s="35"/>
      <c r="G476" s="35"/>
      <c r="H476" s="35">
        <f t="shared" si="112"/>
        <v>0</v>
      </c>
      <c r="I476" s="35"/>
      <c r="J476" s="35">
        <f t="shared" si="111"/>
        <v>0</v>
      </c>
      <c r="K476" s="36">
        <v>472</v>
      </c>
    </row>
    <row r="477" spans="1:11" hidden="1" outlineLevel="1" x14ac:dyDescent="0.25">
      <c r="A477" s="34"/>
      <c r="B477" s="17" t="s">
        <v>81</v>
      </c>
      <c r="C477" s="35"/>
      <c r="D477" s="35"/>
      <c r="E477" s="35"/>
      <c r="F477" s="35"/>
      <c r="G477" s="35"/>
      <c r="H477" s="35">
        <f t="shared" si="112"/>
        <v>0</v>
      </c>
      <c r="I477" s="35"/>
      <c r="J477" s="35">
        <f t="shared" si="111"/>
        <v>0</v>
      </c>
      <c r="K477" s="36">
        <v>473</v>
      </c>
    </row>
    <row r="478" spans="1:11" hidden="1" outlineLevel="1" x14ac:dyDescent="0.25">
      <c r="A478" s="34"/>
      <c r="B478" s="18" t="s">
        <v>82</v>
      </c>
      <c r="C478" s="35"/>
      <c r="D478" s="35"/>
      <c r="E478" s="35"/>
      <c r="F478" s="35"/>
      <c r="G478" s="35"/>
      <c r="H478" s="35">
        <f t="shared" si="112"/>
        <v>0</v>
      </c>
      <c r="I478" s="35"/>
      <c r="J478" s="35">
        <f t="shared" si="111"/>
        <v>0</v>
      </c>
      <c r="K478" s="36">
        <v>474</v>
      </c>
    </row>
    <row r="479" spans="1:11" ht="30" hidden="1" outlineLevel="1" x14ac:dyDescent="0.25">
      <c r="A479" s="34"/>
      <c r="B479" s="17" t="s">
        <v>83</v>
      </c>
      <c r="C479" s="35"/>
      <c r="D479" s="35"/>
      <c r="E479" s="35"/>
      <c r="F479" s="35"/>
      <c r="G479" s="35"/>
      <c r="H479" s="35">
        <f t="shared" si="112"/>
        <v>0</v>
      </c>
      <c r="I479" s="35"/>
      <c r="J479" s="35">
        <f t="shared" si="111"/>
        <v>0</v>
      </c>
      <c r="K479" s="36">
        <v>475</v>
      </c>
    </row>
    <row r="480" spans="1:11" hidden="1" outlineLevel="1" x14ac:dyDescent="0.25">
      <c r="A480" s="28"/>
      <c r="B480" s="15" t="s">
        <v>84</v>
      </c>
      <c r="C480" s="29">
        <f>+SUM(C481:C485)</f>
        <v>0</v>
      </c>
      <c r="D480" s="29">
        <f t="shared" ref="D480:G480" si="118">+SUM(D481:D485)</f>
        <v>0</v>
      </c>
      <c r="E480" s="29">
        <f t="shared" si="118"/>
        <v>0</v>
      </c>
      <c r="F480" s="29">
        <f t="shared" si="118"/>
        <v>0</v>
      </c>
      <c r="G480" s="29">
        <f t="shared" si="118"/>
        <v>0</v>
      </c>
      <c r="H480" s="29">
        <f t="shared" si="112"/>
        <v>0</v>
      </c>
      <c r="I480" s="29"/>
      <c r="J480" s="29">
        <f t="shared" si="111"/>
        <v>0</v>
      </c>
      <c r="K480" s="30">
        <v>476</v>
      </c>
    </row>
    <row r="481" spans="1:11" hidden="1" outlineLevel="1" x14ac:dyDescent="0.25">
      <c r="A481" s="34"/>
      <c r="B481" s="17"/>
      <c r="C481" s="35"/>
      <c r="D481" s="35"/>
      <c r="E481" s="35"/>
      <c r="F481" s="35"/>
      <c r="G481" s="35"/>
      <c r="H481" s="35">
        <f t="shared" si="112"/>
        <v>0</v>
      </c>
      <c r="I481" s="35"/>
      <c r="J481" s="35">
        <f t="shared" si="111"/>
        <v>0</v>
      </c>
      <c r="K481" s="36">
        <v>477</v>
      </c>
    </row>
    <row r="482" spans="1:11" hidden="1" outlineLevel="1" collapsed="1" x14ac:dyDescent="0.25">
      <c r="A482" s="34"/>
      <c r="B482" s="17"/>
      <c r="C482" s="35"/>
      <c r="D482" s="35"/>
      <c r="E482" s="35"/>
      <c r="F482" s="35"/>
      <c r="G482" s="35"/>
      <c r="H482" s="35">
        <f t="shared" si="112"/>
        <v>0</v>
      </c>
      <c r="I482" s="35"/>
      <c r="J482" s="35">
        <f t="shared" si="111"/>
        <v>0</v>
      </c>
      <c r="K482" s="36">
        <v>478</v>
      </c>
    </row>
    <row r="483" spans="1:11" hidden="1" outlineLevel="1" x14ac:dyDescent="0.25">
      <c r="A483" s="34"/>
      <c r="B483" s="17"/>
      <c r="C483" s="35"/>
      <c r="D483" s="35"/>
      <c r="E483" s="35"/>
      <c r="F483" s="35"/>
      <c r="G483" s="35"/>
      <c r="H483" s="35">
        <f t="shared" si="112"/>
        <v>0</v>
      </c>
      <c r="I483" s="35"/>
      <c r="J483" s="35">
        <f t="shared" si="111"/>
        <v>0</v>
      </c>
      <c r="K483" s="36">
        <v>479</v>
      </c>
    </row>
    <row r="484" spans="1:11" hidden="1" outlineLevel="1" collapsed="1" x14ac:dyDescent="0.25">
      <c r="A484" s="34"/>
      <c r="B484" s="17" t="s">
        <v>86</v>
      </c>
      <c r="C484" s="35"/>
      <c r="D484" s="35"/>
      <c r="E484" s="35"/>
      <c r="F484" s="35"/>
      <c r="G484" s="35"/>
      <c r="H484" s="35">
        <f t="shared" si="112"/>
        <v>0</v>
      </c>
      <c r="I484" s="35"/>
      <c r="J484" s="35">
        <f t="shared" si="111"/>
        <v>0</v>
      </c>
      <c r="K484" s="36">
        <v>480</v>
      </c>
    </row>
    <row r="485" spans="1:11" hidden="1" outlineLevel="1" collapsed="1" x14ac:dyDescent="0.25">
      <c r="A485" s="34"/>
      <c r="B485" s="17"/>
      <c r="C485" s="35"/>
      <c r="D485" s="35"/>
      <c r="E485" s="35"/>
      <c r="F485" s="35"/>
      <c r="G485" s="35"/>
      <c r="H485" s="35">
        <f t="shared" si="112"/>
        <v>0</v>
      </c>
      <c r="I485" s="35"/>
      <c r="J485" s="35">
        <f t="shared" si="111"/>
        <v>0</v>
      </c>
      <c r="K485" s="36">
        <v>481</v>
      </c>
    </row>
    <row r="486" spans="1:11" ht="30" collapsed="1" x14ac:dyDescent="0.25">
      <c r="A486" s="38">
        <v>4</v>
      </c>
      <c r="B486" s="13" t="s">
        <v>128</v>
      </c>
      <c r="C486" s="19">
        <f>+C487+C540+C645+C672</f>
        <v>0</v>
      </c>
      <c r="D486" s="19">
        <f t="shared" ref="D486:G486" si="119">+D487+D540+D645+D672</f>
        <v>0</v>
      </c>
      <c r="E486" s="19">
        <f t="shared" si="119"/>
        <v>0</v>
      </c>
      <c r="F486" s="19">
        <f t="shared" si="119"/>
        <v>0</v>
      </c>
      <c r="G486" s="19">
        <f t="shared" si="119"/>
        <v>0</v>
      </c>
      <c r="H486" s="19">
        <f t="shared" si="112"/>
        <v>0</v>
      </c>
      <c r="I486" s="19"/>
      <c r="J486" s="19">
        <f t="shared" si="111"/>
        <v>0</v>
      </c>
      <c r="K486" s="23">
        <v>482</v>
      </c>
    </row>
    <row r="487" spans="1:11" x14ac:dyDescent="0.25">
      <c r="A487" s="39" t="s">
        <v>52</v>
      </c>
      <c r="B487" s="14" t="s">
        <v>129</v>
      </c>
      <c r="C487" s="24">
        <f>+C488+C514</f>
        <v>0</v>
      </c>
      <c r="D487" s="24">
        <f t="shared" ref="D487:G487" si="120">+D488+D514</f>
        <v>0</v>
      </c>
      <c r="E487" s="24">
        <f t="shared" si="120"/>
        <v>0</v>
      </c>
      <c r="F487" s="24">
        <f t="shared" si="120"/>
        <v>0</v>
      </c>
      <c r="G487" s="24">
        <f t="shared" si="120"/>
        <v>0</v>
      </c>
      <c r="H487" s="24">
        <f t="shared" si="112"/>
        <v>0</v>
      </c>
      <c r="I487" s="24"/>
      <c r="J487" s="24">
        <f t="shared" si="111"/>
        <v>0</v>
      </c>
      <c r="K487" s="25">
        <v>483</v>
      </c>
    </row>
    <row r="488" spans="1:11" ht="30" x14ac:dyDescent="0.25">
      <c r="A488" s="40" t="s">
        <v>53</v>
      </c>
      <c r="B488" s="10" t="s">
        <v>130</v>
      </c>
      <c r="C488" s="26">
        <f t="shared" ref="C488:G488" si="121">+C489+C498+C502+C508</f>
        <v>0</v>
      </c>
      <c r="D488" s="26">
        <f t="shared" si="121"/>
        <v>0</v>
      </c>
      <c r="E488" s="26">
        <f t="shared" si="121"/>
        <v>0</v>
      </c>
      <c r="F488" s="26">
        <f t="shared" si="121"/>
        <v>0</v>
      </c>
      <c r="G488" s="26">
        <f t="shared" si="121"/>
        <v>0</v>
      </c>
      <c r="H488" s="26">
        <f t="shared" si="112"/>
        <v>0</v>
      </c>
      <c r="I488" s="26">
        <v>0</v>
      </c>
      <c r="J488" s="26">
        <f t="shared" si="111"/>
        <v>0</v>
      </c>
      <c r="K488" s="27">
        <v>484</v>
      </c>
    </row>
    <row r="489" spans="1:11" hidden="1" outlineLevel="1" x14ac:dyDescent="0.25">
      <c r="A489" s="28"/>
      <c r="B489" s="15" t="s">
        <v>65</v>
      </c>
      <c r="C489" s="29">
        <f t="shared" ref="C489:G489" si="122">+SUM(C490:C497)</f>
        <v>0</v>
      </c>
      <c r="D489" s="29">
        <f t="shared" si="122"/>
        <v>0</v>
      </c>
      <c r="E489" s="29">
        <f t="shared" si="122"/>
        <v>0</v>
      </c>
      <c r="F489" s="29">
        <f t="shared" si="122"/>
        <v>0</v>
      </c>
      <c r="G489" s="29">
        <f t="shared" si="122"/>
        <v>0</v>
      </c>
      <c r="H489" s="29">
        <f t="shared" si="112"/>
        <v>0</v>
      </c>
      <c r="I489" s="29">
        <v>0</v>
      </c>
      <c r="J489" s="29">
        <f t="shared" si="111"/>
        <v>0</v>
      </c>
      <c r="K489" s="30">
        <v>485</v>
      </c>
    </row>
    <row r="490" spans="1:11" hidden="1" outlineLevel="1" x14ac:dyDescent="0.25">
      <c r="A490" s="31"/>
      <c r="B490" s="16" t="s">
        <v>66</v>
      </c>
      <c r="C490" s="32"/>
      <c r="D490" s="32"/>
      <c r="E490" s="32"/>
      <c r="F490" s="32"/>
      <c r="G490" s="32"/>
      <c r="H490" s="32">
        <f t="shared" si="112"/>
        <v>0</v>
      </c>
      <c r="I490" s="32"/>
      <c r="J490" s="32">
        <f t="shared" si="111"/>
        <v>0</v>
      </c>
      <c r="K490" s="33">
        <v>486</v>
      </c>
    </row>
    <row r="491" spans="1:11" hidden="1" outlineLevel="1" x14ac:dyDescent="0.25">
      <c r="A491" s="31"/>
      <c r="B491" s="17" t="s">
        <v>67</v>
      </c>
      <c r="C491" s="32"/>
      <c r="D491" s="32"/>
      <c r="E491" s="32"/>
      <c r="F491" s="32"/>
      <c r="G491" s="32"/>
      <c r="H491" s="32">
        <f t="shared" si="112"/>
        <v>0</v>
      </c>
      <c r="I491" s="32"/>
      <c r="J491" s="32">
        <f t="shared" si="111"/>
        <v>0</v>
      </c>
      <c r="K491" s="33">
        <v>487</v>
      </c>
    </row>
    <row r="492" spans="1:11" ht="30" hidden="1" outlineLevel="1" x14ac:dyDescent="0.25">
      <c r="A492" s="31"/>
      <c r="B492" s="17" t="s">
        <v>68</v>
      </c>
      <c r="C492" s="32"/>
      <c r="D492" s="32"/>
      <c r="E492" s="32"/>
      <c r="F492" s="32"/>
      <c r="G492" s="32"/>
      <c r="H492" s="32">
        <f t="shared" si="112"/>
        <v>0</v>
      </c>
      <c r="I492" s="32"/>
      <c r="J492" s="32">
        <f t="shared" si="111"/>
        <v>0</v>
      </c>
      <c r="K492" s="33">
        <v>488</v>
      </c>
    </row>
    <row r="493" spans="1:11" hidden="1" outlineLevel="1" x14ac:dyDescent="0.25">
      <c r="A493" s="31"/>
      <c r="B493" s="16" t="s">
        <v>69</v>
      </c>
      <c r="C493" s="32"/>
      <c r="D493" s="32"/>
      <c r="E493" s="32"/>
      <c r="F493" s="32"/>
      <c r="G493" s="32"/>
      <c r="H493" s="32">
        <f t="shared" si="112"/>
        <v>0</v>
      </c>
      <c r="I493" s="32"/>
      <c r="J493" s="32">
        <f t="shared" si="111"/>
        <v>0</v>
      </c>
      <c r="K493" s="33">
        <v>489</v>
      </c>
    </row>
    <row r="494" spans="1:11" hidden="1" outlineLevel="1" x14ac:dyDescent="0.25">
      <c r="A494" s="31"/>
      <c r="B494" s="17" t="s">
        <v>70</v>
      </c>
      <c r="C494" s="32"/>
      <c r="D494" s="32"/>
      <c r="E494" s="32"/>
      <c r="F494" s="32"/>
      <c r="G494" s="32"/>
      <c r="H494" s="32">
        <f t="shared" si="112"/>
        <v>0</v>
      </c>
      <c r="I494" s="32"/>
      <c r="J494" s="32">
        <f t="shared" si="111"/>
        <v>0</v>
      </c>
      <c r="K494" s="33">
        <v>490</v>
      </c>
    </row>
    <row r="495" spans="1:11" ht="30" hidden="1" outlineLevel="1" x14ac:dyDescent="0.25">
      <c r="A495" s="31"/>
      <c r="B495" s="17" t="s">
        <v>71</v>
      </c>
      <c r="C495" s="32"/>
      <c r="D495" s="32"/>
      <c r="E495" s="32"/>
      <c r="F495" s="32"/>
      <c r="G495" s="32"/>
      <c r="H495" s="32">
        <f t="shared" si="112"/>
        <v>0</v>
      </c>
      <c r="I495" s="32"/>
      <c r="J495" s="32">
        <f t="shared" si="111"/>
        <v>0</v>
      </c>
      <c r="K495" s="33">
        <v>491</v>
      </c>
    </row>
    <row r="496" spans="1:11" hidden="1" outlineLevel="1" x14ac:dyDescent="0.25">
      <c r="A496" s="31"/>
      <c r="B496" s="16" t="s">
        <v>72</v>
      </c>
      <c r="C496" s="32"/>
      <c r="D496" s="32"/>
      <c r="E496" s="32"/>
      <c r="F496" s="32"/>
      <c r="G496" s="32"/>
      <c r="H496" s="32">
        <f t="shared" si="112"/>
        <v>0</v>
      </c>
      <c r="I496" s="32"/>
      <c r="J496" s="32">
        <f t="shared" si="111"/>
        <v>0</v>
      </c>
      <c r="K496" s="33">
        <v>492</v>
      </c>
    </row>
    <row r="497" spans="1:11" ht="30" hidden="1" outlineLevel="1" x14ac:dyDescent="0.25">
      <c r="A497" s="31"/>
      <c r="B497" s="17" t="s">
        <v>73</v>
      </c>
      <c r="C497" s="32"/>
      <c r="D497" s="32"/>
      <c r="E497" s="32"/>
      <c r="F497" s="32"/>
      <c r="G497" s="32"/>
      <c r="H497" s="32">
        <f t="shared" si="112"/>
        <v>0</v>
      </c>
      <c r="I497" s="32"/>
      <c r="J497" s="32">
        <f t="shared" si="111"/>
        <v>0</v>
      </c>
      <c r="K497" s="33">
        <v>493</v>
      </c>
    </row>
    <row r="498" spans="1:11" hidden="1" outlineLevel="1" x14ac:dyDescent="0.25">
      <c r="A498" s="28"/>
      <c r="B498" s="15" t="s">
        <v>74</v>
      </c>
      <c r="C498" s="29">
        <f t="shared" ref="C498:G498" si="123">+SUM(C499:C501)</f>
        <v>0</v>
      </c>
      <c r="D498" s="29">
        <f t="shared" si="123"/>
        <v>0</v>
      </c>
      <c r="E498" s="29">
        <f t="shared" si="123"/>
        <v>0</v>
      </c>
      <c r="F498" s="29">
        <f t="shared" si="123"/>
        <v>0</v>
      </c>
      <c r="G498" s="29">
        <f t="shared" si="123"/>
        <v>0</v>
      </c>
      <c r="H498" s="29">
        <f t="shared" si="112"/>
        <v>0</v>
      </c>
      <c r="I498" s="29"/>
      <c r="J498" s="29">
        <f t="shared" si="111"/>
        <v>0</v>
      </c>
      <c r="K498" s="30">
        <v>494</v>
      </c>
    </row>
    <row r="499" spans="1:11" ht="30" hidden="1" outlineLevel="1" x14ac:dyDescent="0.25">
      <c r="A499" s="34"/>
      <c r="B499" s="17" t="s">
        <v>75</v>
      </c>
      <c r="C499" s="35"/>
      <c r="D499" s="35"/>
      <c r="E499" s="35"/>
      <c r="F499" s="35"/>
      <c r="G499" s="35"/>
      <c r="H499" s="35">
        <f t="shared" si="112"/>
        <v>0</v>
      </c>
      <c r="I499" s="35"/>
      <c r="J499" s="35">
        <f t="shared" si="111"/>
        <v>0</v>
      </c>
      <c r="K499" s="36">
        <v>495</v>
      </c>
    </row>
    <row r="500" spans="1:11" ht="30" hidden="1" outlineLevel="1" x14ac:dyDescent="0.25">
      <c r="A500" s="34"/>
      <c r="B500" s="17" t="s">
        <v>76</v>
      </c>
      <c r="C500" s="35"/>
      <c r="D500" s="35"/>
      <c r="E500" s="35"/>
      <c r="F500" s="35"/>
      <c r="G500" s="35"/>
      <c r="H500" s="35">
        <f t="shared" si="112"/>
        <v>0</v>
      </c>
      <c r="I500" s="35"/>
      <c r="J500" s="35">
        <f t="shared" si="111"/>
        <v>0</v>
      </c>
      <c r="K500" s="36">
        <v>496</v>
      </c>
    </row>
    <row r="501" spans="1:11" ht="30" hidden="1" outlineLevel="1" x14ac:dyDescent="0.25">
      <c r="A501" s="34"/>
      <c r="B501" s="17" t="s">
        <v>77</v>
      </c>
      <c r="C501" s="35"/>
      <c r="D501" s="35"/>
      <c r="E501" s="35"/>
      <c r="F501" s="35"/>
      <c r="G501" s="35"/>
      <c r="H501" s="35">
        <f t="shared" si="112"/>
        <v>0</v>
      </c>
      <c r="I501" s="35"/>
      <c r="J501" s="35">
        <f t="shared" si="111"/>
        <v>0</v>
      </c>
      <c r="K501" s="36">
        <v>497</v>
      </c>
    </row>
    <row r="502" spans="1:11" hidden="1" outlineLevel="1" x14ac:dyDescent="0.25">
      <c r="A502" s="28"/>
      <c r="B502" s="15" t="s">
        <v>78</v>
      </c>
      <c r="C502" s="29">
        <f t="shared" ref="C502:G502" si="124">+SUM(C503:C507)</f>
        <v>0</v>
      </c>
      <c r="D502" s="29">
        <f t="shared" si="124"/>
        <v>0</v>
      </c>
      <c r="E502" s="29">
        <f t="shared" si="124"/>
        <v>0</v>
      </c>
      <c r="F502" s="29">
        <f t="shared" si="124"/>
        <v>0</v>
      </c>
      <c r="G502" s="29">
        <f t="shared" si="124"/>
        <v>0</v>
      </c>
      <c r="H502" s="29">
        <f t="shared" si="112"/>
        <v>0</v>
      </c>
      <c r="I502" s="29"/>
      <c r="J502" s="29">
        <f t="shared" si="111"/>
        <v>0</v>
      </c>
      <c r="K502" s="30">
        <v>498</v>
      </c>
    </row>
    <row r="503" spans="1:11" hidden="1" outlineLevel="1" x14ac:dyDescent="0.25">
      <c r="A503" s="34"/>
      <c r="B503" s="18" t="s">
        <v>79</v>
      </c>
      <c r="C503" s="35"/>
      <c r="D503" s="35"/>
      <c r="E503" s="35"/>
      <c r="F503" s="35"/>
      <c r="G503" s="35"/>
      <c r="H503" s="35">
        <f t="shared" si="112"/>
        <v>0</v>
      </c>
      <c r="I503" s="35"/>
      <c r="J503" s="35">
        <f t="shared" si="111"/>
        <v>0</v>
      </c>
      <c r="K503" s="36">
        <v>499</v>
      </c>
    </row>
    <row r="504" spans="1:11" ht="30" hidden="1" outlineLevel="1" x14ac:dyDescent="0.25">
      <c r="A504" s="34"/>
      <c r="B504" s="17" t="s">
        <v>80</v>
      </c>
      <c r="C504" s="35"/>
      <c r="D504" s="35"/>
      <c r="E504" s="35"/>
      <c r="F504" s="35"/>
      <c r="G504" s="35"/>
      <c r="H504" s="35">
        <f t="shared" si="112"/>
        <v>0</v>
      </c>
      <c r="I504" s="35"/>
      <c r="J504" s="35">
        <f t="shared" si="111"/>
        <v>0</v>
      </c>
      <c r="K504" s="36">
        <v>500</v>
      </c>
    </row>
    <row r="505" spans="1:11" hidden="1" outlineLevel="1" x14ac:dyDescent="0.25">
      <c r="A505" s="34"/>
      <c r="B505" s="17" t="s">
        <v>81</v>
      </c>
      <c r="C505" s="35"/>
      <c r="D505" s="35"/>
      <c r="E505" s="35"/>
      <c r="F505" s="35"/>
      <c r="G505" s="35"/>
      <c r="H505" s="35">
        <f t="shared" si="112"/>
        <v>0</v>
      </c>
      <c r="I505" s="35"/>
      <c r="J505" s="35">
        <f t="shared" si="111"/>
        <v>0</v>
      </c>
      <c r="K505" s="36">
        <v>501</v>
      </c>
    </row>
    <row r="506" spans="1:11" hidden="1" outlineLevel="1" x14ac:dyDescent="0.25">
      <c r="A506" s="34"/>
      <c r="B506" s="18" t="s">
        <v>82</v>
      </c>
      <c r="C506" s="35"/>
      <c r="D506" s="35"/>
      <c r="E506" s="35"/>
      <c r="F506" s="35"/>
      <c r="G506" s="35"/>
      <c r="H506" s="35">
        <f t="shared" si="112"/>
        <v>0</v>
      </c>
      <c r="I506" s="35"/>
      <c r="J506" s="35">
        <f t="shared" si="111"/>
        <v>0</v>
      </c>
      <c r="K506" s="36">
        <v>502</v>
      </c>
    </row>
    <row r="507" spans="1:11" ht="30" hidden="1" outlineLevel="1" x14ac:dyDescent="0.25">
      <c r="A507" s="34"/>
      <c r="B507" s="17" t="s">
        <v>83</v>
      </c>
      <c r="C507" s="35"/>
      <c r="D507" s="35"/>
      <c r="E507" s="35"/>
      <c r="F507" s="35"/>
      <c r="G507" s="35"/>
      <c r="H507" s="35">
        <f t="shared" si="112"/>
        <v>0</v>
      </c>
      <c r="I507" s="35"/>
      <c r="J507" s="35">
        <f t="shared" si="111"/>
        <v>0</v>
      </c>
      <c r="K507" s="36">
        <v>503</v>
      </c>
    </row>
    <row r="508" spans="1:11" hidden="1" outlineLevel="1" collapsed="1" x14ac:dyDescent="0.25">
      <c r="A508" s="28"/>
      <c r="B508" s="15" t="s">
        <v>84</v>
      </c>
      <c r="C508" s="29">
        <f>+SUM(C509:C513)</f>
        <v>0</v>
      </c>
      <c r="D508" s="29">
        <f t="shared" ref="D508:G508" si="125">+SUM(D509:D513)</f>
        <v>0</v>
      </c>
      <c r="E508" s="29">
        <f t="shared" si="125"/>
        <v>0</v>
      </c>
      <c r="F508" s="29">
        <f t="shared" si="125"/>
        <v>0</v>
      </c>
      <c r="G508" s="29">
        <f t="shared" si="125"/>
        <v>0</v>
      </c>
      <c r="H508" s="29">
        <f t="shared" si="112"/>
        <v>0</v>
      </c>
      <c r="I508" s="29"/>
      <c r="J508" s="29">
        <f t="shared" si="111"/>
        <v>0</v>
      </c>
      <c r="K508" s="30">
        <v>504</v>
      </c>
    </row>
    <row r="509" spans="1:11" hidden="1" outlineLevel="1" x14ac:dyDescent="0.25">
      <c r="A509" s="34"/>
      <c r="B509" s="17"/>
      <c r="C509" s="35"/>
      <c r="D509" s="35"/>
      <c r="E509" s="35"/>
      <c r="F509" s="35"/>
      <c r="G509" s="35"/>
      <c r="H509" s="35">
        <f t="shared" si="112"/>
        <v>0</v>
      </c>
      <c r="I509" s="35"/>
      <c r="J509" s="35">
        <f t="shared" si="111"/>
        <v>0</v>
      </c>
      <c r="K509" s="36">
        <v>505</v>
      </c>
    </row>
    <row r="510" spans="1:11" hidden="1" outlineLevel="1" collapsed="1" x14ac:dyDescent="0.25">
      <c r="A510" s="34"/>
      <c r="B510" s="17"/>
      <c r="C510" s="35"/>
      <c r="D510" s="35"/>
      <c r="E510" s="35"/>
      <c r="F510" s="35"/>
      <c r="G510" s="35"/>
      <c r="H510" s="35">
        <f t="shared" si="112"/>
        <v>0</v>
      </c>
      <c r="I510" s="35"/>
      <c r="J510" s="35">
        <f t="shared" si="111"/>
        <v>0</v>
      </c>
      <c r="K510" s="36">
        <v>506</v>
      </c>
    </row>
    <row r="511" spans="1:11" hidden="1" outlineLevel="1" collapsed="1" x14ac:dyDescent="0.25">
      <c r="A511" s="34"/>
      <c r="B511" s="17"/>
      <c r="C511" s="35"/>
      <c r="D511" s="35"/>
      <c r="E511" s="35"/>
      <c r="F511" s="35"/>
      <c r="G511" s="35"/>
      <c r="H511" s="35">
        <f t="shared" si="112"/>
        <v>0</v>
      </c>
      <c r="I511" s="35"/>
      <c r="J511" s="35">
        <f t="shared" si="111"/>
        <v>0</v>
      </c>
      <c r="K511" s="36">
        <v>507</v>
      </c>
    </row>
    <row r="512" spans="1:11" hidden="1" outlineLevel="1" x14ac:dyDescent="0.25">
      <c r="A512" s="34"/>
      <c r="B512" s="17" t="s">
        <v>86</v>
      </c>
      <c r="C512" s="35"/>
      <c r="D512" s="35"/>
      <c r="E512" s="35"/>
      <c r="F512" s="35"/>
      <c r="G512" s="35"/>
      <c r="H512" s="35">
        <f t="shared" si="112"/>
        <v>0</v>
      </c>
      <c r="I512" s="35"/>
      <c r="J512" s="35">
        <f t="shared" si="111"/>
        <v>0</v>
      </c>
      <c r="K512" s="36">
        <v>508</v>
      </c>
    </row>
    <row r="513" spans="1:11" hidden="1" outlineLevel="1" x14ac:dyDescent="0.25">
      <c r="A513" s="34"/>
      <c r="B513" s="17"/>
      <c r="C513" s="35"/>
      <c r="D513" s="35"/>
      <c r="E513" s="35"/>
      <c r="F513" s="35"/>
      <c r="G513" s="35"/>
      <c r="H513" s="35">
        <f t="shared" si="112"/>
        <v>0</v>
      </c>
      <c r="I513" s="35"/>
      <c r="J513" s="35">
        <f t="shared" si="111"/>
        <v>0</v>
      </c>
      <c r="K513" s="36">
        <v>509</v>
      </c>
    </row>
    <row r="514" spans="1:11" ht="30" collapsed="1" x14ac:dyDescent="0.25">
      <c r="A514" s="40" t="s">
        <v>54</v>
      </c>
      <c r="B514" s="10" t="s">
        <v>131</v>
      </c>
      <c r="C514" s="26">
        <f t="shared" ref="C514:G514" si="126">+C515+C524+C528+C534</f>
        <v>0</v>
      </c>
      <c r="D514" s="26">
        <f t="shared" si="126"/>
        <v>0</v>
      </c>
      <c r="E514" s="26">
        <f t="shared" si="126"/>
        <v>0</v>
      </c>
      <c r="F514" s="26">
        <f t="shared" si="126"/>
        <v>0</v>
      </c>
      <c r="G514" s="26">
        <f t="shared" si="126"/>
        <v>0</v>
      </c>
      <c r="H514" s="26">
        <f t="shared" si="112"/>
        <v>0</v>
      </c>
      <c r="I514" s="26">
        <v>0</v>
      </c>
      <c r="J514" s="26">
        <f t="shared" si="111"/>
        <v>0</v>
      </c>
      <c r="K514" s="27">
        <v>510</v>
      </c>
    </row>
    <row r="515" spans="1:11" hidden="1" outlineLevel="1" x14ac:dyDescent="0.25">
      <c r="A515" s="28"/>
      <c r="B515" s="15" t="s">
        <v>65</v>
      </c>
      <c r="C515" s="29">
        <f t="shared" ref="C515:G515" si="127">+SUM(C516:C523)</f>
        <v>0</v>
      </c>
      <c r="D515" s="29">
        <f t="shared" si="127"/>
        <v>0</v>
      </c>
      <c r="E515" s="29">
        <f t="shared" si="127"/>
        <v>0</v>
      </c>
      <c r="F515" s="29">
        <f t="shared" si="127"/>
        <v>0</v>
      </c>
      <c r="G515" s="29">
        <f t="shared" si="127"/>
        <v>0</v>
      </c>
      <c r="H515" s="29">
        <f t="shared" si="112"/>
        <v>0</v>
      </c>
      <c r="I515" s="29">
        <v>0</v>
      </c>
      <c r="J515" s="29">
        <f t="shared" si="111"/>
        <v>0</v>
      </c>
      <c r="K515" s="30">
        <v>511</v>
      </c>
    </row>
    <row r="516" spans="1:11" hidden="1" outlineLevel="1" x14ac:dyDescent="0.25">
      <c r="A516" s="31"/>
      <c r="B516" s="16" t="s">
        <v>66</v>
      </c>
      <c r="C516" s="32"/>
      <c r="D516" s="32"/>
      <c r="E516" s="32"/>
      <c r="F516" s="32"/>
      <c r="G516" s="32"/>
      <c r="H516" s="32">
        <f t="shared" si="112"/>
        <v>0</v>
      </c>
      <c r="I516" s="32"/>
      <c r="J516" s="32">
        <f t="shared" si="111"/>
        <v>0</v>
      </c>
      <c r="K516" s="33">
        <v>512</v>
      </c>
    </row>
    <row r="517" spans="1:11" hidden="1" outlineLevel="1" x14ac:dyDescent="0.25">
      <c r="A517" s="31"/>
      <c r="B517" s="17" t="s">
        <v>67</v>
      </c>
      <c r="C517" s="32"/>
      <c r="D517" s="32"/>
      <c r="E517" s="32"/>
      <c r="F517" s="32"/>
      <c r="G517" s="32"/>
      <c r="H517" s="32">
        <f t="shared" si="112"/>
        <v>0</v>
      </c>
      <c r="I517" s="32"/>
      <c r="J517" s="32">
        <f t="shared" ref="J517:J580" si="128">+I517-H517</f>
        <v>0</v>
      </c>
      <c r="K517" s="33">
        <v>513</v>
      </c>
    </row>
    <row r="518" spans="1:11" ht="30" hidden="1" outlineLevel="1" x14ac:dyDescent="0.25">
      <c r="A518" s="31"/>
      <c r="B518" s="17" t="s">
        <v>68</v>
      </c>
      <c r="C518" s="32"/>
      <c r="D518" s="32"/>
      <c r="E518" s="32"/>
      <c r="F518" s="32"/>
      <c r="G518" s="32"/>
      <c r="H518" s="32">
        <f t="shared" ref="H518:H581" si="129">+SUM(C518:G518)</f>
        <v>0</v>
      </c>
      <c r="I518" s="32"/>
      <c r="J518" s="32">
        <f t="shared" si="128"/>
        <v>0</v>
      </c>
      <c r="K518" s="33">
        <v>514</v>
      </c>
    </row>
    <row r="519" spans="1:11" hidden="1" outlineLevel="1" x14ac:dyDescent="0.25">
      <c r="A519" s="31"/>
      <c r="B519" s="16" t="s">
        <v>69</v>
      </c>
      <c r="C519" s="32"/>
      <c r="D519" s="32"/>
      <c r="E519" s="32"/>
      <c r="F519" s="32"/>
      <c r="G519" s="32"/>
      <c r="H519" s="32">
        <f t="shared" si="129"/>
        <v>0</v>
      </c>
      <c r="I519" s="32"/>
      <c r="J519" s="32">
        <f t="shared" si="128"/>
        <v>0</v>
      </c>
      <c r="K519" s="33">
        <v>515</v>
      </c>
    </row>
    <row r="520" spans="1:11" hidden="1" outlineLevel="1" x14ac:dyDescent="0.25">
      <c r="A520" s="31"/>
      <c r="B520" s="17" t="s">
        <v>70</v>
      </c>
      <c r="C520" s="32"/>
      <c r="D520" s="32"/>
      <c r="E520" s="32"/>
      <c r="F520" s="32"/>
      <c r="G520" s="32"/>
      <c r="H520" s="32">
        <f t="shared" si="129"/>
        <v>0</v>
      </c>
      <c r="I520" s="32"/>
      <c r="J520" s="32">
        <f t="shared" si="128"/>
        <v>0</v>
      </c>
      <c r="K520" s="33">
        <v>516</v>
      </c>
    </row>
    <row r="521" spans="1:11" ht="30" hidden="1" outlineLevel="1" x14ac:dyDescent="0.25">
      <c r="A521" s="31"/>
      <c r="B521" s="17" t="s">
        <v>71</v>
      </c>
      <c r="C521" s="32"/>
      <c r="D521" s="32"/>
      <c r="E521" s="32"/>
      <c r="F521" s="32"/>
      <c r="G521" s="32"/>
      <c r="H521" s="32">
        <f t="shared" si="129"/>
        <v>0</v>
      </c>
      <c r="I521" s="32"/>
      <c r="J521" s="32">
        <f t="shared" si="128"/>
        <v>0</v>
      </c>
      <c r="K521" s="33">
        <v>517</v>
      </c>
    </row>
    <row r="522" spans="1:11" hidden="1" outlineLevel="1" x14ac:dyDescent="0.25">
      <c r="A522" s="31"/>
      <c r="B522" s="16" t="s">
        <v>72</v>
      </c>
      <c r="C522" s="32"/>
      <c r="D522" s="32"/>
      <c r="E522" s="32"/>
      <c r="F522" s="32"/>
      <c r="G522" s="32"/>
      <c r="H522" s="32">
        <f t="shared" si="129"/>
        <v>0</v>
      </c>
      <c r="I522" s="32"/>
      <c r="J522" s="32">
        <f t="shared" si="128"/>
        <v>0</v>
      </c>
      <c r="K522" s="33">
        <v>518</v>
      </c>
    </row>
    <row r="523" spans="1:11" ht="30" hidden="1" outlineLevel="1" x14ac:dyDescent="0.25">
      <c r="A523" s="31"/>
      <c r="B523" s="17" t="s">
        <v>73</v>
      </c>
      <c r="C523" s="32"/>
      <c r="D523" s="32"/>
      <c r="E523" s="32"/>
      <c r="F523" s="32"/>
      <c r="G523" s="32"/>
      <c r="H523" s="32">
        <f t="shared" si="129"/>
        <v>0</v>
      </c>
      <c r="I523" s="32"/>
      <c r="J523" s="32">
        <f t="shared" si="128"/>
        <v>0</v>
      </c>
      <c r="K523" s="33">
        <v>519</v>
      </c>
    </row>
    <row r="524" spans="1:11" hidden="1" outlineLevel="1" x14ac:dyDescent="0.25">
      <c r="A524" s="28"/>
      <c r="B524" s="15" t="s">
        <v>74</v>
      </c>
      <c r="C524" s="29">
        <f t="shared" ref="C524:G524" si="130">+SUM(C525:C527)</f>
        <v>0</v>
      </c>
      <c r="D524" s="29">
        <f t="shared" si="130"/>
        <v>0</v>
      </c>
      <c r="E524" s="29">
        <f t="shared" si="130"/>
        <v>0</v>
      </c>
      <c r="F524" s="29">
        <f t="shared" si="130"/>
        <v>0</v>
      </c>
      <c r="G524" s="29">
        <f t="shared" si="130"/>
        <v>0</v>
      </c>
      <c r="H524" s="29">
        <f t="shared" si="129"/>
        <v>0</v>
      </c>
      <c r="I524" s="29"/>
      <c r="J524" s="29">
        <f t="shared" si="128"/>
        <v>0</v>
      </c>
      <c r="K524" s="30">
        <v>520</v>
      </c>
    </row>
    <row r="525" spans="1:11" ht="30" hidden="1" outlineLevel="1" x14ac:dyDescent="0.25">
      <c r="A525" s="34"/>
      <c r="B525" s="17" t="s">
        <v>75</v>
      </c>
      <c r="C525" s="35"/>
      <c r="D525" s="35"/>
      <c r="E525" s="35"/>
      <c r="F525" s="35"/>
      <c r="G525" s="35"/>
      <c r="H525" s="35">
        <f t="shared" si="129"/>
        <v>0</v>
      </c>
      <c r="I525" s="35"/>
      <c r="J525" s="35">
        <f t="shared" si="128"/>
        <v>0</v>
      </c>
      <c r="K525" s="36">
        <v>521</v>
      </c>
    </row>
    <row r="526" spans="1:11" ht="30" hidden="1" outlineLevel="1" x14ac:dyDescent="0.25">
      <c r="A526" s="34"/>
      <c r="B526" s="17" t="s">
        <v>76</v>
      </c>
      <c r="C526" s="35"/>
      <c r="D526" s="35"/>
      <c r="E526" s="35"/>
      <c r="F526" s="35"/>
      <c r="G526" s="35"/>
      <c r="H526" s="35">
        <f t="shared" si="129"/>
        <v>0</v>
      </c>
      <c r="I526" s="35"/>
      <c r="J526" s="35">
        <f t="shared" si="128"/>
        <v>0</v>
      </c>
      <c r="K526" s="36">
        <v>522</v>
      </c>
    </row>
    <row r="527" spans="1:11" ht="30" hidden="1" outlineLevel="1" x14ac:dyDescent="0.25">
      <c r="A527" s="34"/>
      <c r="B527" s="17" t="s">
        <v>77</v>
      </c>
      <c r="C527" s="35"/>
      <c r="D527" s="35"/>
      <c r="E527" s="35"/>
      <c r="F527" s="35"/>
      <c r="G527" s="35"/>
      <c r="H527" s="35">
        <f t="shared" si="129"/>
        <v>0</v>
      </c>
      <c r="I527" s="35"/>
      <c r="J527" s="35">
        <f t="shared" si="128"/>
        <v>0</v>
      </c>
      <c r="K527" s="36">
        <v>523</v>
      </c>
    </row>
    <row r="528" spans="1:11" hidden="1" outlineLevel="1" x14ac:dyDescent="0.25">
      <c r="A528" s="28"/>
      <c r="B528" s="15" t="s">
        <v>78</v>
      </c>
      <c r="C528" s="29">
        <f t="shared" ref="C528:G528" si="131">+SUM(C529:C533)</f>
        <v>0</v>
      </c>
      <c r="D528" s="29">
        <f t="shared" si="131"/>
        <v>0</v>
      </c>
      <c r="E528" s="29">
        <f t="shared" si="131"/>
        <v>0</v>
      </c>
      <c r="F528" s="29">
        <f t="shared" si="131"/>
        <v>0</v>
      </c>
      <c r="G528" s="29">
        <f t="shared" si="131"/>
        <v>0</v>
      </c>
      <c r="H528" s="29">
        <f t="shared" si="129"/>
        <v>0</v>
      </c>
      <c r="I528" s="29"/>
      <c r="J528" s="29">
        <f t="shared" si="128"/>
        <v>0</v>
      </c>
      <c r="K528" s="30">
        <v>524</v>
      </c>
    </row>
    <row r="529" spans="1:11" hidden="1" outlineLevel="1" x14ac:dyDescent="0.25">
      <c r="A529" s="34"/>
      <c r="B529" s="18" t="s">
        <v>79</v>
      </c>
      <c r="C529" s="35"/>
      <c r="D529" s="35"/>
      <c r="E529" s="35"/>
      <c r="F529" s="35"/>
      <c r="G529" s="35"/>
      <c r="H529" s="35">
        <f t="shared" si="129"/>
        <v>0</v>
      </c>
      <c r="I529" s="35"/>
      <c r="J529" s="35">
        <f t="shared" si="128"/>
        <v>0</v>
      </c>
      <c r="K529" s="36">
        <v>525</v>
      </c>
    </row>
    <row r="530" spans="1:11" ht="30" hidden="1" outlineLevel="1" x14ac:dyDescent="0.25">
      <c r="A530" s="34"/>
      <c r="B530" s="17" t="s">
        <v>80</v>
      </c>
      <c r="C530" s="35"/>
      <c r="D530" s="35"/>
      <c r="E530" s="35"/>
      <c r="F530" s="35"/>
      <c r="G530" s="35"/>
      <c r="H530" s="35">
        <f t="shared" si="129"/>
        <v>0</v>
      </c>
      <c r="I530" s="35"/>
      <c r="J530" s="35">
        <f t="shared" si="128"/>
        <v>0</v>
      </c>
      <c r="K530" s="36">
        <v>526</v>
      </c>
    </row>
    <row r="531" spans="1:11" hidden="1" outlineLevel="1" x14ac:dyDescent="0.25">
      <c r="A531" s="34"/>
      <c r="B531" s="17" t="s">
        <v>81</v>
      </c>
      <c r="C531" s="35"/>
      <c r="D531" s="35"/>
      <c r="E531" s="35"/>
      <c r="F531" s="35"/>
      <c r="G531" s="35"/>
      <c r="H531" s="35">
        <f t="shared" si="129"/>
        <v>0</v>
      </c>
      <c r="I531" s="35"/>
      <c r="J531" s="35">
        <f t="shared" si="128"/>
        <v>0</v>
      </c>
      <c r="K531" s="36">
        <v>527</v>
      </c>
    </row>
    <row r="532" spans="1:11" hidden="1" outlineLevel="1" x14ac:dyDescent="0.25">
      <c r="A532" s="34"/>
      <c r="B532" s="18" t="s">
        <v>82</v>
      </c>
      <c r="C532" s="35"/>
      <c r="D532" s="35"/>
      <c r="E532" s="35"/>
      <c r="F532" s="35"/>
      <c r="G532" s="35"/>
      <c r="H532" s="35">
        <f t="shared" si="129"/>
        <v>0</v>
      </c>
      <c r="I532" s="35"/>
      <c r="J532" s="35">
        <f t="shared" si="128"/>
        <v>0</v>
      </c>
      <c r="K532" s="36">
        <v>528</v>
      </c>
    </row>
    <row r="533" spans="1:11" ht="30" hidden="1" outlineLevel="1" x14ac:dyDescent="0.25">
      <c r="A533" s="34"/>
      <c r="B533" s="17" t="s">
        <v>83</v>
      </c>
      <c r="C533" s="35"/>
      <c r="D533" s="35"/>
      <c r="E533" s="35"/>
      <c r="F533" s="35"/>
      <c r="G533" s="35"/>
      <c r="H533" s="35">
        <f t="shared" si="129"/>
        <v>0</v>
      </c>
      <c r="I533" s="35"/>
      <c r="J533" s="35">
        <f t="shared" si="128"/>
        <v>0</v>
      </c>
      <c r="K533" s="36">
        <v>529</v>
      </c>
    </row>
    <row r="534" spans="1:11" hidden="1" outlineLevel="1" collapsed="1" x14ac:dyDescent="0.25">
      <c r="A534" s="28"/>
      <c r="B534" s="15" t="s">
        <v>84</v>
      </c>
      <c r="C534" s="29">
        <f>+SUM(C535:C539)</f>
        <v>0</v>
      </c>
      <c r="D534" s="29">
        <f t="shared" ref="D534:G534" si="132">+SUM(D535:D539)</f>
        <v>0</v>
      </c>
      <c r="E534" s="29">
        <f t="shared" si="132"/>
        <v>0</v>
      </c>
      <c r="F534" s="29">
        <f t="shared" si="132"/>
        <v>0</v>
      </c>
      <c r="G534" s="29">
        <f t="shared" si="132"/>
        <v>0</v>
      </c>
      <c r="H534" s="29">
        <f t="shared" si="129"/>
        <v>0</v>
      </c>
      <c r="I534" s="29"/>
      <c r="J534" s="29">
        <f t="shared" si="128"/>
        <v>0</v>
      </c>
      <c r="K534" s="30">
        <v>530</v>
      </c>
    </row>
    <row r="535" spans="1:11" hidden="1" outlineLevel="1" x14ac:dyDescent="0.25">
      <c r="A535" s="34"/>
      <c r="B535" s="17"/>
      <c r="C535" s="35"/>
      <c r="D535" s="35"/>
      <c r="E535" s="35"/>
      <c r="F535" s="35"/>
      <c r="G535" s="35"/>
      <c r="H535" s="35">
        <f t="shared" si="129"/>
        <v>0</v>
      </c>
      <c r="I535" s="35"/>
      <c r="J535" s="35">
        <f t="shared" si="128"/>
        <v>0</v>
      </c>
      <c r="K535" s="36">
        <v>531</v>
      </c>
    </row>
    <row r="536" spans="1:11" hidden="1" outlineLevel="1" x14ac:dyDescent="0.25">
      <c r="A536" s="34"/>
      <c r="B536" s="17"/>
      <c r="C536" s="35"/>
      <c r="D536" s="35"/>
      <c r="E536" s="35"/>
      <c r="F536" s="35"/>
      <c r="G536" s="35"/>
      <c r="H536" s="35">
        <f t="shared" si="129"/>
        <v>0</v>
      </c>
      <c r="I536" s="35"/>
      <c r="J536" s="35">
        <f t="shared" si="128"/>
        <v>0</v>
      </c>
      <c r="K536" s="36">
        <v>532</v>
      </c>
    </row>
    <row r="537" spans="1:11" hidden="1" outlineLevel="1" collapsed="1" x14ac:dyDescent="0.25">
      <c r="A537" s="34"/>
      <c r="B537" s="17"/>
      <c r="C537" s="35"/>
      <c r="D537" s="35"/>
      <c r="E537" s="35"/>
      <c r="F537" s="35"/>
      <c r="G537" s="35"/>
      <c r="H537" s="35">
        <f t="shared" si="129"/>
        <v>0</v>
      </c>
      <c r="I537" s="35"/>
      <c r="J537" s="35">
        <f t="shared" si="128"/>
        <v>0</v>
      </c>
      <c r="K537" s="36">
        <v>533</v>
      </c>
    </row>
    <row r="538" spans="1:11" hidden="1" outlineLevel="1" collapsed="1" x14ac:dyDescent="0.25">
      <c r="A538" s="34"/>
      <c r="B538" s="17" t="s">
        <v>86</v>
      </c>
      <c r="C538" s="35"/>
      <c r="D538" s="35"/>
      <c r="E538" s="35"/>
      <c r="F538" s="35"/>
      <c r="G538" s="35"/>
      <c r="H538" s="35">
        <f t="shared" si="129"/>
        <v>0</v>
      </c>
      <c r="I538" s="35"/>
      <c r="J538" s="35">
        <f t="shared" si="128"/>
        <v>0</v>
      </c>
      <c r="K538" s="36">
        <v>534</v>
      </c>
    </row>
    <row r="539" spans="1:11" hidden="1" outlineLevel="1" x14ac:dyDescent="0.25">
      <c r="A539" s="34"/>
      <c r="B539" s="17"/>
      <c r="C539" s="35"/>
      <c r="D539" s="35"/>
      <c r="E539" s="35"/>
      <c r="F539" s="35"/>
      <c r="G539" s="35"/>
      <c r="H539" s="35">
        <f t="shared" si="129"/>
        <v>0</v>
      </c>
      <c r="I539" s="35"/>
      <c r="J539" s="35">
        <f t="shared" si="128"/>
        <v>0</v>
      </c>
      <c r="K539" s="36">
        <v>535</v>
      </c>
    </row>
    <row r="540" spans="1:11" ht="30" collapsed="1" x14ac:dyDescent="0.25">
      <c r="A540" s="39" t="s">
        <v>56</v>
      </c>
      <c r="B540" s="14" t="s">
        <v>132</v>
      </c>
      <c r="C540" s="24">
        <f>+C541+C567+C593+C619</f>
        <v>0</v>
      </c>
      <c r="D540" s="24">
        <f t="shared" ref="D540:G540" si="133">+D541+D567+D593+D619</f>
        <v>0</v>
      </c>
      <c r="E540" s="24">
        <f t="shared" si="133"/>
        <v>0</v>
      </c>
      <c r="F540" s="24">
        <f t="shared" si="133"/>
        <v>0</v>
      </c>
      <c r="G540" s="24">
        <f t="shared" si="133"/>
        <v>0</v>
      </c>
      <c r="H540" s="24">
        <f t="shared" si="129"/>
        <v>0</v>
      </c>
      <c r="I540" s="24"/>
      <c r="J540" s="24">
        <f t="shared" si="128"/>
        <v>0</v>
      </c>
      <c r="K540" s="25">
        <v>536</v>
      </c>
    </row>
    <row r="541" spans="1:11" ht="30" x14ac:dyDescent="0.25">
      <c r="A541" s="40" t="s">
        <v>57</v>
      </c>
      <c r="B541" s="10" t="s">
        <v>133</v>
      </c>
      <c r="C541" s="26">
        <f t="shared" ref="C541:G541" si="134">+C542+C551+C555+C561</f>
        <v>0</v>
      </c>
      <c r="D541" s="26">
        <f t="shared" si="134"/>
        <v>0</v>
      </c>
      <c r="E541" s="26">
        <f t="shared" si="134"/>
        <v>0</v>
      </c>
      <c r="F541" s="26">
        <f t="shared" si="134"/>
        <v>0</v>
      </c>
      <c r="G541" s="26">
        <f t="shared" si="134"/>
        <v>0</v>
      </c>
      <c r="H541" s="26">
        <f t="shared" si="129"/>
        <v>0</v>
      </c>
      <c r="I541" s="26">
        <v>0</v>
      </c>
      <c r="J541" s="26">
        <f t="shared" si="128"/>
        <v>0</v>
      </c>
      <c r="K541" s="27">
        <v>537</v>
      </c>
    </row>
    <row r="542" spans="1:11" hidden="1" outlineLevel="1" x14ac:dyDescent="0.25">
      <c r="A542" s="28"/>
      <c r="B542" s="15" t="s">
        <v>65</v>
      </c>
      <c r="C542" s="29">
        <f t="shared" ref="C542:G542" si="135">+SUM(C543:C550)</f>
        <v>0</v>
      </c>
      <c r="D542" s="29">
        <f t="shared" si="135"/>
        <v>0</v>
      </c>
      <c r="E542" s="29">
        <f t="shared" si="135"/>
        <v>0</v>
      </c>
      <c r="F542" s="29">
        <f t="shared" si="135"/>
        <v>0</v>
      </c>
      <c r="G542" s="29">
        <f t="shared" si="135"/>
        <v>0</v>
      </c>
      <c r="H542" s="29">
        <f t="shared" si="129"/>
        <v>0</v>
      </c>
      <c r="I542" s="29">
        <v>0</v>
      </c>
      <c r="J542" s="29">
        <f t="shared" si="128"/>
        <v>0</v>
      </c>
      <c r="K542" s="30">
        <v>538</v>
      </c>
    </row>
    <row r="543" spans="1:11" hidden="1" outlineLevel="1" x14ac:dyDescent="0.25">
      <c r="A543" s="31"/>
      <c r="B543" s="16" t="s">
        <v>66</v>
      </c>
      <c r="C543" s="32"/>
      <c r="D543" s="32"/>
      <c r="E543" s="32"/>
      <c r="F543" s="32"/>
      <c r="G543" s="32"/>
      <c r="H543" s="32">
        <f t="shared" si="129"/>
        <v>0</v>
      </c>
      <c r="I543" s="32"/>
      <c r="J543" s="32">
        <f t="shared" si="128"/>
        <v>0</v>
      </c>
      <c r="K543" s="33">
        <v>539</v>
      </c>
    </row>
    <row r="544" spans="1:11" hidden="1" outlineLevel="1" x14ac:dyDescent="0.25">
      <c r="A544" s="31"/>
      <c r="B544" s="17" t="s">
        <v>67</v>
      </c>
      <c r="C544" s="32"/>
      <c r="D544" s="32"/>
      <c r="E544" s="32"/>
      <c r="F544" s="32"/>
      <c r="G544" s="32"/>
      <c r="H544" s="32">
        <f t="shared" si="129"/>
        <v>0</v>
      </c>
      <c r="I544" s="32"/>
      <c r="J544" s="32">
        <f t="shared" si="128"/>
        <v>0</v>
      </c>
      <c r="K544" s="33">
        <v>540</v>
      </c>
    </row>
    <row r="545" spans="1:11" ht="30" hidden="1" outlineLevel="1" x14ac:dyDescent="0.25">
      <c r="A545" s="31"/>
      <c r="B545" s="17" t="s">
        <v>68</v>
      </c>
      <c r="C545" s="32"/>
      <c r="D545" s="32"/>
      <c r="E545" s="32"/>
      <c r="F545" s="32"/>
      <c r="G545" s="32"/>
      <c r="H545" s="32">
        <f t="shared" si="129"/>
        <v>0</v>
      </c>
      <c r="I545" s="32"/>
      <c r="J545" s="32">
        <f t="shared" si="128"/>
        <v>0</v>
      </c>
      <c r="K545" s="33">
        <v>541</v>
      </c>
    </row>
    <row r="546" spans="1:11" hidden="1" outlineLevel="1" x14ac:dyDescent="0.25">
      <c r="A546" s="31"/>
      <c r="B546" s="16" t="s">
        <v>69</v>
      </c>
      <c r="C546" s="32"/>
      <c r="D546" s="32"/>
      <c r="E546" s="32"/>
      <c r="F546" s="32"/>
      <c r="G546" s="32"/>
      <c r="H546" s="32">
        <f t="shared" si="129"/>
        <v>0</v>
      </c>
      <c r="I546" s="32"/>
      <c r="J546" s="32">
        <f t="shared" si="128"/>
        <v>0</v>
      </c>
      <c r="K546" s="33">
        <v>542</v>
      </c>
    </row>
    <row r="547" spans="1:11" hidden="1" outlineLevel="1" x14ac:dyDescent="0.25">
      <c r="A547" s="31"/>
      <c r="B547" s="17" t="s">
        <v>70</v>
      </c>
      <c r="C547" s="32"/>
      <c r="D547" s="32"/>
      <c r="E547" s="32"/>
      <c r="F547" s="32"/>
      <c r="G547" s="32"/>
      <c r="H547" s="32">
        <f t="shared" si="129"/>
        <v>0</v>
      </c>
      <c r="I547" s="32"/>
      <c r="J547" s="32">
        <f t="shared" si="128"/>
        <v>0</v>
      </c>
      <c r="K547" s="33">
        <v>543</v>
      </c>
    </row>
    <row r="548" spans="1:11" ht="30" hidden="1" outlineLevel="1" x14ac:dyDescent="0.25">
      <c r="A548" s="31"/>
      <c r="B548" s="17" t="s">
        <v>71</v>
      </c>
      <c r="C548" s="32"/>
      <c r="D548" s="32"/>
      <c r="E548" s="32"/>
      <c r="F548" s="32"/>
      <c r="G548" s="32"/>
      <c r="H548" s="32">
        <f t="shared" si="129"/>
        <v>0</v>
      </c>
      <c r="I548" s="32"/>
      <c r="J548" s="32">
        <f t="shared" si="128"/>
        <v>0</v>
      </c>
      <c r="K548" s="33">
        <v>544</v>
      </c>
    </row>
    <row r="549" spans="1:11" hidden="1" outlineLevel="1" x14ac:dyDescent="0.25">
      <c r="A549" s="31"/>
      <c r="B549" s="16" t="s">
        <v>72</v>
      </c>
      <c r="C549" s="32"/>
      <c r="D549" s="32"/>
      <c r="E549" s="32"/>
      <c r="F549" s="32"/>
      <c r="G549" s="32"/>
      <c r="H549" s="32">
        <f t="shared" si="129"/>
        <v>0</v>
      </c>
      <c r="I549" s="32"/>
      <c r="J549" s="32">
        <f t="shared" si="128"/>
        <v>0</v>
      </c>
      <c r="K549" s="33">
        <v>545</v>
      </c>
    </row>
    <row r="550" spans="1:11" ht="30" hidden="1" outlineLevel="1" x14ac:dyDescent="0.25">
      <c r="A550" s="31"/>
      <c r="B550" s="17" t="s">
        <v>73</v>
      </c>
      <c r="C550" s="32"/>
      <c r="D550" s="32"/>
      <c r="E550" s="32"/>
      <c r="F550" s="32"/>
      <c r="G550" s="32"/>
      <c r="H550" s="32">
        <f t="shared" si="129"/>
        <v>0</v>
      </c>
      <c r="I550" s="32"/>
      <c r="J550" s="32">
        <f t="shared" si="128"/>
        <v>0</v>
      </c>
      <c r="K550" s="33">
        <v>546</v>
      </c>
    </row>
    <row r="551" spans="1:11" hidden="1" outlineLevel="1" x14ac:dyDescent="0.25">
      <c r="A551" s="28"/>
      <c r="B551" s="15" t="s">
        <v>74</v>
      </c>
      <c r="C551" s="29">
        <f t="shared" ref="C551:G551" si="136">+SUM(C552:C554)</f>
        <v>0</v>
      </c>
      <c r="D551" s="29">
        <f t="shared" si="136"/>
        <v>0</v>
      </c>
      <c r="E551" s="29">
        <f t="shared" si="136"/>
        <v>0</v>
      </c>
      <c r="F551" s="29">
        <f t="shared" si="136"/>
        <v>0</v>
      </c>
      <c r="G551" s="29">
        <f t="shared" si="136"/>
        <v>0</v>
      </c>
      <c r="H551" s="29">
        <f t="shared" si="129"/>
        <v>0</v>
      </c>
      <c r="I551" s="29"/>
      <c r="J551" s="29">
        <f t="shared" si="128"/>
        <v>0</v>
      </c>
      <c r="K551" s="30">
        <v>547</v>
      </c>
    </row>
    <row r="552" spans="1:11" ht="30" hidden="1" outlineLevel="1" x14ac:dyDescent="0.25">
      <c r="A552" s="34"/>
      <c r="B552" s="17" t="s">
        <v>75</v>
      </c>
      <c r="C552" s="35"/>
      <c r="D552" s="35"/>
      <c r="E552" s="35"/>
      <c r="F552" s="35"/>
      <c r="G552" s="35"/>
      <c r="H552" s="35">
        <f t="shared" si="129"/>
        <v>0</v>
      </c>
      <c r="I552" s="35"/>
      <c r="J552" s="35">
        <f t="shared" si="128"/>
        <v>0</v>
      </c>
      <c r="K552" s="36">
        <v>548</v>
      </c>
    </row>
    <row r="553" spans="1:11" ht="30" hidden="1" outlineLevel="1" x14ac:dyDescent="0.25">
      <c r="A553" s="34"/>
      <c r="B553" s="17" t="s">
        <v>76</v>
      </c>
      <c r="C553" s="35"/>
      <c r="D553" s="35"/>
      <c r="E553" s="35"/>
      <c r="F553" s="35"/>
      <c r="G553" s="35"/>
      <c r="H553" s="35">
        <f t="shared" si="129"/>
        <v>0</v>
      </c>
      <c r="I553" s="35"/>
      <c r="J553" s="35">
        <f t="shared" si="128"/>
        <v>0</v>
      </c>
      <c r="K553" s="36">
        <v>549</v>
      </c>
    </row>
    <row r="554" spans="1:11" ht="30" hidden="1" outlineLevel="1" x14ac:dyDescent="0.25">
      <c r="A554" s="34"/>
      <c r="B554" s="17" t="s">
        <v>77</v>
      </c>
      <c r="C554" s="35"/>
      <c r="D554" s="35"/>
      <c r="E554" s="35"/>
      <c r="F554" s="35"/>
      <c r="G554" s="35"/>
      <c r="H554" s="35">
        <f t="shared" si="129"/>
        <v>0</v>
      </c>
      <c r="I554" s="35"/>
      <c r="J554" s="35">
        <f t="shared" si="128"/>
        <v>0</v>
      </c>
      <c r="K554" s="36">
        <v>550</v>
      </c>
    </row>
    <row r="555" spans="1:11" hidden="1" outlineLevel="1" x14ac:dyDescent="0.25">
      <c r="A555" s="28"/>
      <c r="B555" s="15" t="s">
        <v>78</v>
      </c>
      <c r="C555" s="29">
        <f t="shared" ref="C555:G555" si="137">+SUM(C556:C560)</f>
        <v>0</v>
      </c>
      <c r="D555" s="29">
        <f t="shared" si="137"/>
        <v>0</v>
      </c>
      <c r="E555" s="29">
        <f t="shared" si="137"/>
        <v>0</v>
      </c>
      <c r="F555" s="29">
        <f t="shared" si="137"/>
        <v>0</v>
      </c>
      <c r="G555" s="29">
        <f t="shared" si="137"/>
        <v>0</v>
      </c>
      <c r="H555" s="29">
        <f t="shared" si="129"/>
        <v>0</v>
      </c>
      <c r="I555" s="29"/>
      <c r="J555" s="29">
        <f t="shared" si="128"/>
        <v>0</v>
      </c>
      <c r="K555" s="30">
        <v>551</v>
      </c>
    </row>
    <row r="556" spans="1:11" hidden="1" outlineLevel="1" x14ac:dyDescent="0.25">
      <c r="A556" s="34"/>
      <c r="B556" s="18" t="s">
        <v>79</v>
      </c>
      <c r="C556" s="35"/>
      <c r="D556" s="35"/>
      <c r="E556" s="35"/>
      <c r="F556" s="35"/>
      <c r="G556" s="35"/>
      <c r="H556" s="35">
        <f t="shared" si="129"/>
        <v>0</v>
      </c>
      <c r="I556" s="35"/>
      <c r="J556" s="35">
        <f t="shared" si="128"/>
        <v>0</v>
      </c>
      <c r="K556" s="36">
        <v>552</v>
      </c>
    </row>
    <row r="557" spans="1:11" ht="30" hidden="1" outlineLevel="1" x14ac:dyDescent="0.25">
      <c r="A557" s="34"/>
      <c r="B557" s="17" t="s">
        <v>80</v>
      </c>
      <c r="C557" s="35"/>
      <c r="D557" s="35"/>
      <c r="E557" s="35"/>
      <c r="F557" s="35"/>
      <c r="G557" s="35"/>
      <c r="H557" s="35">
        <f t="shared" si="129"/>
        <v>0</v>
      </c>
      <c r="I557" s="35"/>
      <c r="J557" s="35">
        <f t="shared" si="128"/>
        <v>0</v>
      </c>
      <c r="K557" s="36">
        <v>553</v>
      </c>
    </row>
    <row r="558" spans="1:11" hidden="1" outlineLevel="1" x14ac:dyDescent="0.25">
      <c r="A558" s="34"/>
      <c r="B558" s="17" t="s">
        <v>81</v>
      </c>
      <c r="C558" s="35"/>
      <c r="D558" s="35"/>
      <c r="E558" s="35"/>
      <c r="F558" s="35"/>
      <c r="G558" s="35"/>
      <c r="H558" s="35">
        <f t="shared" si="129"/>
        <v>0</v>
      </c>
      <c r="I558" s="35"/>
      <c r="J558" s="35">
        <f t="shared" si="128"/>
        <v>0</v>
      </c>
      <c r="K558" s="36">
        <v>554</v>
      </c>
    </row>
    <row r="559" spans="1:11" hidden="1" outlineLevel="1" x14ac:dyDescent="0.25">
      <c r="A559" s="34"/>
      <c r="B559" s="18" t="s">
        <v>82</v>
      </c>
      <c r="C559" s="35"/>
      <c r="D559" s="35"/>
      <c r="E559" s="35"/>
      <c r="F559" s="35"/>
      <c r="G559" s="35"/>
      <c r="H559" s="35">
        <f t="shared" si="129"/>
        <v>0</v>
      </c>
      <c r="I559" s="35"/>
      <c r="J559" s="35">
        <f t="shared" si="128"/>
        <v>0</v>
      </c>
      <c r="K559" s="36">
        <v>555</v>
      </c>
    </row>
    <row r="560" spans="1:11" ht="30" hidden="1" outlineLevel="1" collapsed="1" x14ac:dyDescent="0.25">
      <c r="A560" s="34"/>
      <c r="B560" s="17" t="s">
        <v>83</v>
      </c>
      <c r="C560" s="35"/>
      <c r="D560" s="35"/>
      <c r="E560" s="35"/>
      <c r="F560" s="35"/>
      <c r="G560" s="35"/>
      <c r="H560" s="35">
        <f t="shared" si="129"/>
        <v>0</v>
      </c>
      <c r="I560" s="35"/>
      <c r="J560" s="35">
        <f t="shared" si="128"/>
        <v>0</v>
      </c>
      <c r="K560" s="36">
        <v>556</v>
      </c>
    </row>
    <row r="561" spans="1:11" hidden="1" outlineLevel="1" collapsed="1" x14ac:dyDescent="0.25">
      <c r="A561" s="28"/>
      <c r="B561" s="15" t="s">
        <v>84</v>
      </c>
      <c r="C561" s="29">
        <f>+SUM(C562:C566)</f>
        <v>0</v>
      </c>
      <c r="D561" s="29">
        <f t="shared" ref="D561:G561" si="138">+SUM(D562:D566)</f>
        <v>0</v>
      </c>
      <c r="E561" s="29">
        <f t="shared" si="138"/>
        <v>0</v>
      </c>
      <c r="F561" s="29">
        <f t="shared" si="138"/>
        <v>0</v>
      </c>
      <c r="G561" s="29">
        <f t="shared" si="138"/>
        <v>0</v>
      </c>
      <c r="H561" s="29">
        <f t="shared" si="129"/>
        <v>0</v>
      </c>
      <c r="I561" s="29"/>
      <c r="J561" s="29">
        <f t="shared" si="128"/>
        <v>0</v>
      </c>
      <c r="K561" s="30">
        <v>557</v>
      </c>
    </row>
    <row r="562" spans="1:11" hidden="1" outlineLevel="1" x14ac:dyDescent="0.25">
      <c r="A562" s="34"/>
      <c r="B562" s="17"/>
      <c r="C562" s="35"/>
      <c r="D562" s="35"/>
      <c r="E562" s="35"/>
      <c r="F562" s="35"/>
      <c r="G562" s="35"/>
      <c r="H562" s="35">
        <f t="shared" si="129"/>
        <v>0</v>
      </c>
      <c r="I562" s="35"/>
      <c r="J562" s="35">
        <f t="shared" si="128"/>
        <v>0</v>
      </c>
      <c r="K562" s="36">
        <v>558</v>
      </c>
    </row>
    <row r="563" spans="1:11" hidden="1" outlineLevel="1" collapsed="1" x14ac:dyDescent="0.25">
      <c r="A563" s="34"/>
      <c r="B563" s="17"/>
      <c r="C563" s="35"/>
      <c r="D563" s="35"/>
      <c r="E563" s="35"/>
      <c r="F563" s="35"/>
      <c r="G563" s="35"/>
      <c r="H563" s="35">
        <f t="shared" si="129"/>
        <v>0</v>
      </c>
      <c r="I563" s="35"/>
      <c r="J563" s="35">
        <f t="shared" si="128"/>
        <v>0</v>
      </c>
      <c r="K563" s="36">
        <v>559</v>
      </c>
    </row>
    <row r="564" spans="1:11" hidden="1" outlineLevel="1" collapsed="1" x14ac:dyDescent="0.25">
      <c r="A564" s="34"/>
      <c r="B564" s="17"/>
      <c r="C564" s="35"/>
      <c r="D564" s="35"/>
      <c r="E564" s="35"/>
      <c r="F564" s="35"/>
      <c r="G564" s="35"/>
      <c r="H564" s="35">
        <f t="shared" si="129"/>
        <v>0</v>
      </c>
      <c r="I564" s="35"/>
      <c r="J564" s="35">
        <f t="shared" si="128"/>
        <v>0</v>
      </c>
      <c r="K564" s="36">
        <v>560</v>
      </c>
    </row>
    <row r="565" spans="1:11" hidden="1" outlineLevel="1" x14ac:dyDescent="0.25">
      <c r="A565" s="34"/>
      <c r="B565" s="17" t="s">
        <v>86</v>
      </c>
      <c r="C565" s="35"/>
      <c r="D565" s="35"/>
      <c r="E565" s="35"/>
      <c r="F565" s="35"/>
      <c r="G565" s="35"/>
      <c r="H565" s="35">
        <f t="shared" si="129"/>
        <v>0</v>
      </c>
      <c r="I565" s="35"/>
      <c r="J565" s="35">
        <f t="shared" si="128"/>
        <v>0</v>
      </c>
      <c r="K565" s="36">
        <v>561</v>
      </c>
    </row>
    <row r="566" spans="1:11" hidden="1" outlineLevel="1" x14ac:dyDescent="0.25">
      <c r="A566" s="34"/>
      <c r="B566" s="17"/>
      <c r="C566" s="35"/>
      <c r="D566" s="35"/>
      <c r="E566" s="35"/>
      <c r="F566" s="35"/>
      <c r="G566" s="35"/>
      <c r="H566" s="35">
        <f t="shared" si="129"/>
        <v>0</v>
      </c>
      <c r="I566" s="35"/>
      <c r="J566" s="35">
        <f t="shared" si="128"/>
        <v>0</v>
      </c>
      <c r="K566" s="36">
        <v>562</v>
      </c>
    </row>
    <row r="567" spans="1:11" ht="30" collapsed="1" x14ac:dyDescent="0.25">
      <c r="A567" s="40" t="s">
        <v>58</v>
      </c>
      <c r="B567" s="10" t="s">
        <v>134</v>
      </c>
      <c r="C567" s="26">
        <f t="shared" ref="C567:G567" si="139">+C568+C577+C581+C587</f>
        <v>0</v>
      </c>
      <c r="D567" s="26">
        <f t="shared" si="139"/>
        <v>0</v>
      </c>
      <c r="E567" s="26">
        <f t="shared" si="139"/>
        <v>0</v>
      </c>
      <c r="F567" s="26">
        <f t="shared" si="139"/>
        <v>0</v>
      </c>
      <c r="G567" s="26">
        <f t="shared" si="139"/>
        <v>0</v>
      </c>
      <c r="H567" s="26">
        <f t="shared" si="129"/>
        <v>0</v>
      </c>
      <c r="I567" s="26">
        <v>0</v>
      </c>
      <c r="J567" s="26">
        <f t="shared" si="128"/>
        <v>0</v>
      </c>
      <c r="K567" s="27">
        <v>563</v>
      </c>
    </row>
    <row r="568" spans="1:11" hidden="1" outlineLevel="1" x14ac:dyDescent="0.25">
      <c r="A568" s="28"/>
      <c r="B568" s="15" t="s">
        <v>65</v>
      </c>
      <c r="C568" s="29">
        <f t="shared" ref="C568:G568" si="140">+SUM(C569:C576)</f>
        <v>0</v>
      </c>
      <c r="D568" s="29">
        <f t="shared" si="140"/>
        <v>0</v>
      </c>
      <c r="E568" s="29">
        <f t="shared" si="140"/>
        <v>0</v>
      </c>
      <c r="F568" s="29">
        <f t="shared" si="140"/>
        <v>0</v>
      </c>
      <c r="G568" s="29">
        <f t="shared" si="140"/>
        <v>0</v>
      </c>
      <c r="H568" s="29">
        <f t="shared" si="129"/>
        <v>0</v>
      </c>
      <c r="I568" s="29">
        <v>0</v>
      </c>
      <c r="J568" s="29">
        <f t="shared" si="128"/>
        <v>0</v>
      </c>
      <c r="K568" s="30">
        <v>564</v>
      </c>
    </row>
    <row r="569" spans="1:11" hidden="1" outlineLevel="1" x14ac:dyDescent="0.25">
      <c r="A569" s="31"/>
      <c r="B569" s="16" t="s">
        <v>66</v>
      </c>
      <c r="C569" s="32"/>
      <c r="D569" s="32"/>
      <c r="E569" s="32"/>
      <c r="F569" s="32"/>
      <c r="G569" s="32"/>
      <c r="H569" s="32">
        <f t="shared" si="129"/>
        <v>0</v>
      </c>
      <c r="I569" s="32"/>
      <c r="J569" s="32">
        <f t="shared" si="128"/>
        <v>0</v>
      </c>
      <c r="K569" s="33">
        <v>565</v>
      </c>
    </row>
    <row r="570" spans="1:11" hidden="1" outlineLevel="1" x14ac:dyDescent="0.25">
      <c r="A570" s="31"/>
      <c r="B570" s="17" t="s">
        <v>67</v>
      </c>
      <c r="C570" s="32"/>
      <c r="D570" s="32"/>
      <c r="E570" s="32"/>
      <c r="F570" s="32"/>
      <c r="G570" s="32"/>
      <c r="H570" s="32">
        <f t="shared" si="129"/>
        <v>0</v>
      </c>
      <c r="I570" s="32"/>
      <c r="J570" s="32">
        <f t="shared" si="128"/>
        <v>0</v>
      </c>
      <c r="K570" s="33">
        <v>566</v>
      </c>
    </row>
    <row r="571" spans="1:11" ht="30" hidden="1" outlineLevel="1" x14ac:dyDescent="0.25">
      <c r="A571" s="31"/>
      <c r="B571" s="17" t="s">
        <v>68</v>
      </c>
      <c r="C571" s="32"/>
      <c r="D571" s="32"/>
      <c r="E571" s="32"/>
      <c r="F571" s="32"/>
      <c r="G571" s="32"/>
      <c r="H571" s="32">
        <f t="shared" si="129"/>
        <v>0</v>
      </c>
      <c r="I571" s="32"/>
      <c r="J571" s="32">
        <f t="shared" si="128"/>
        <v>0</v>
      </c>
      <c r="K571" s="33">
        <v>567</v>
      </c>
    </row>
    <row r="572" spans="1:11" hidden="1" outlineLevel="1" x14ac:dyDescent="0.25">
      <c r="A572" s="31"/>
      <c r="B572" s="16" t="s">
        <v>69</v>
      </c>
      <c r="C572" s="32"/>
      <c r="D572" s="32"/>
      <c r="E572" s="32"/>
      <c r="F572" s="32"/>
      <c r="G572" s="32"/>
      <c r="H572" s="32">
        <f t="shared" si="129"/>
        <v>0</v>
      </c>
      <c r="I572" s="32"/>
      <c r="J572" s="32">
        <f t="shared" si="128"/>
        <v>0</v>
      </c>
      <c r="K572" s="33">
        <v>568</v>
      </c>
    </row>
    <row r="573" spans="1:11" hidden="1" outlineLevel="1" x14ac:dyDescent="0.25">
      <c r="A573" s="31"/>
      <c r="B573" s="17" t="s">
        <v>70</v>
      </c>
      <c r="C573" s="32"/>
      <c r="D573" s="32"/>
      <c r="E573" s="32"/>
      <c r="F573" s="32"/>
      <c r="G573" s="32"/>
      <c r="H573" s="32">
        <f t="shared" si="129"/>
        <v>0</v>
      </c>
      <c r="I573" s="32"/>
      <c r="J573" s="32">
        <f t="shared" si="128"/>
        <v>0</v>
      </c>
      <c r="K573" s="33">
        <v>569</v>
      </c>
    </row>
    <row r="574" spans="1:11" ht="30" hidden="1" outlineLevel="1" x14ac:dyDescent="0.25">
      <c r="A574" s="31"/>
      <c r="B574" s="17" t="s">
        <v>71</v>
      </c>
      <c r="C574" s="32"/>
      <c r="D574" s="32"/>
      <c r="E574" s="32"/>
      <c r="F574" s="32"/>
      <c r="G574" s="32"/>
      <c r="H574" s="32">
        <f t="shared" si="129"/>
        <v>0</v>
      </c>
      <c r="I574" s="32"/>
      <c r="J574" s="32">
        <f t="shared" si="128"/>
        <v>0</v>
      </c>
      <c r="K574" s="33">
        <v>570</v>
      </c>
    </row>
    <row r="575" spans="1:11" hidden="1" outlineLevel="1" x14ac:dyDescent="0.25">
      <c r="A575" s="31"/>
      <c r="B575" s="16" t="s">
        <v>72</v>
      </c>
      <c r="C575" s="32"/>
      <c r="D575" s="32"/>
      <c r="E575" s="32"/>
      <c r="F575" s="32"/>
      <c r="G575" s="32"/>
      <c r="H575" s="32">
        <f t="shared" si="129"/>
        <v>0</v>
      </c>
      <c r="I575" s="32"/>
      <c r="J575" s="32">
        <f t="shared" si="128"/>
        <v>0</v>
      </c>
      <c r="K575" s="33">
        <v>571</v>
      </c>
    </row>
    <row r="576" spans="1:11" ht="30" hidden="1" outlineLevel="1" x14ac:dyDescent="0.25">
      <c r="A576" s="31"/>
      <c r="B576" s="17" t="s">
        <v>73</v>
      </c>
      <c r="C576" s="32"/>
      <c r="D576" s="32"/>
      <c r="E576" s="32"/>
      <c r="F576" s="32"/>
      <c r="G576" s="32"/>
      <c r="H576" s="32">
        <f t="shared" si="129"/>
        <v>0</v>
      </c>
      <c r="I576" s="32"/>
      <c r="J576" s="32">
        <f t="shared" si="128"/>
        <v>0</v>
      </c>
      <c r="K576" s="33">
        <v>572</v>
      </c>
    </row>
    <row r="577" spans="1:11" hidden="1" outlineLevel="1" x14ac:dyDescent="0.25">
      <c r="A577" s="28"/>
      <c r="B577" s="15" t="s">
        <v>74</v>
      </c>
      <c r="C577" s="29">
        <f t="shared" ref="C577:G577" si="141">+SUM(C578:C580)</f>
        <v>0</v>
      </c>
      <c r="D577" s="29">
        <f t="shared" si="141"/>
        <v>0</v>
      </c>
      <c r="E577" s="29">
        <f t="shared" si="141"/>
        <v>0</v>
      </c>
      <c r="F577" s="29">
        <f t="shared" si="141"/>
        <v>0</v>
      </c>
      <c r="G577" s="29">
        <f t="shared" si="141"/>
        <v>0</v>
      </c>
      <c r="H577" s="29">
        <f t="shared" si="129"/>
        <v>0</v>
      </c>
      <c r="I577" s="29"/>
      <c r="J577" s="29">
        <f t="shared" si="128"/>
        <v>0</v>
      </c>
      <c r="K577" s="30">
        <v>573</v>
      </c>
    </row>
    <row r="578" spans="1:11" ht="30" hidden="1" outlineLevel="1" x14ac:dyDescent="0.25">
      <c r="A578" s="34"/>
      <c r="B578" s="17" t="s">
        <v>75</v>
      </c>
      <c r="C578" s="35"/>
      <c r="D578" s="35"/>
      <c r="E578" s="35"/>
      <c r="F578" s="35"/>
      <c r="G578" s="35"/>
      <c r="H578" s="35">
        <f t="shared" si="129"/>
        <v>0</v>
      </c>
      <c r="I578" s="35"/>
      <c r="J578" s="35">
        <f t="shared" si="128"/>
        <v>0</v>
      </c>
      <c r="K578" s="36">
        <v>574</v>
      </c>
    </row>
    <row r="579" spans="1:11" ht="30" hidden="1" outlineLevel="1" x14ac:dyDescent="0.25">
      <c r="A579" s="34"/>
      <c r="B579" s="17" t="s">
        <v>76</v>
      </c>
      <c r="C579" s="35"/>
      <c r="D579" s="35"/>
      <c r="E579" s="35"/>
      <c r="F579" s="35"/>
      <c r="G579" s="35"/>
      <c r="H579" s="35">
        <f t="shared" si="129"/>
        <v>0</v>
      </c>
      <c r="I579" s="35"/>
      <c r="J579" s="35">
        <f t="shared" si="128"/>
        <v>0</v>
      </c>
      <c r="K579" s="36">
        <v>575</v>
      </c>
    </row>
    <row r="580" spans="1:11" ht="30" hidden="1" outlineLevel="1" x14ac:dyDescent="0.25">
      <c r="A580" s="34"/>
      <c r="B580" s="17" t="s">
        <v>77</v>
      </c>
      <c r="C580" s="35"/>
      <c r="D580" s="35"/>
      <c r="E580" s="35"/>
      <c r="F580" s="35"/>
      <c r="G580" s="35"/>
      <c r="H580" s="35">
        <f t="shared" si="129"/>
        <v>0</v>
      </c>
      <c r="I580" s="35"/>
      <c r="J580" s="35">
        <f t="shared" si="128"/>
        <v>0</v>
      </c>
      <c r="K580" s="36">
        <v>576</v>
      </c>
    </row>
    <row r="581" spans="1:11" hidden="1" outlineLevel="1" x14ac:dyDescent="0.25">
      <c r="A581" s="28"/>
      <c r="B581" s="15" t="s">
        <v>78</v>
      </c>
      <c r="C581" s="29">
        <f t="shared" ref="C581:G581" si="142">+SUM(C582:C586)</f>
        <v>0</v>
      </c>
      <c r="D581" s="29">
        <f t="shared" si="142"/>
        <v>0</v>
      </c>
      <c r="E581" s="29">
        <f t="shared" si="142"/>
        <v>0</v>
      </c>
      <c r="F581" s="29">
        <f t="shared" si="142"/>
        <v>0</v>
      </c>
      <c r="G581" s="29">
        <f t="shared" si="142"/>
        <v>0</v>
      </c>
      <c r="H581" s="29">
        <f t="shared" si="129"/>
        <v>0</v>
      </c>
      <c r="I581" s="29"/>
      <c r="J581" s="29">
        <f t="shared" ref="J581:J644" si="143">+I581-H581</f>
        <v>0</v>
      </c>
      <c r="K581" s="30">
        <v>577</v>
      </c>
    </row>
    <row r="582" spans="1:11" hidden="1" outlineLevel="1" x14ac:dyDescent="0.25">
      <c r="A582" s="34"/>
      <c r="B582" s="18" t="s">
        <v>79</v>
      </c>
      <c r="C582" s="35"/>
      <c r="D582" s="35"/>
      <c r="E582" s="35"/>
      <c r="F582" s="35"/>
      <c r="G582" s="35"/>
      <c r="H582" s="35">
        <f t="shared" ref="H582:H645" si="144">+SUM(C582:G582)</f>
        <v>0</v>
      </c>
      <c r="I582" s="35"/>
      <c r="J582" s="35">
        <f t="shared" si="143"/>
        <v>0</v>
      </c>
      <c r="K582" s="36">
        <v>578</v>
      </c>
    </row>
    <row r="583" spans="1:11" ht="30" hidden="1" outlineLevel="1" x14ac:dyDescent="0.25">
      <c r="A583" s="34"/>
      <c r="B583" s="17" t="s">
        <v>80</v>
      </c>
      <c r="C583" s="35"/>
      <c r="D583" s="35"/>
      <c r="E583" s="35"/>
      <c r="F583" s="35"/>
      <c r="G583" s="35"/>
      <c r="H583" s="35">
        <f t="shared" si="144"/>
        <v>0</v>
      </c>
      <c r="I583" s="35"/>
      <c r="J583" s="35">
        <f t="shared" si="143"/>
        <v>0</v>
      </c>
      <c r="K583" s="36">
        <v>579</v>
      </c>
    </row>
    <row r="584" spans="1:11" hidden="1" outlineLevel="1" x14ac:dyDescent="0.25">
      <c r="A584" s="34"/>
      <c r="B584" s="17" t="s">
        <v>81</v>
      </c>
      <c r="C584" s="35"/>
      <c r="D584" s="35"/>
      <c r="E584" s="35"/>
      <c r="F584" s="35"/>
      <c r="G584" s="35"/>
      <c r="H584" s="35">
        <f t="shared" si="144"/>
        <v>0</v>
      </c>
      <c r="I584" s="35"/>
      <c r="J584" s="35">
        <f t="shared" si="143"/>
        <v>0</v>
      </c>
      <c r="K584" s="36">
        <v>580</v>
      </c>
    </row>
    <row r="585" spans="1:11" hidden="1" outlineLevel="1" x14ac:dyDescent="0.25">
      <c r="A585" s="34"/>
      <c r="B585" s="18" t="s">
        <v>82</v>
      </c>
      <c r="C585" s="35"/>
      <c r="D585" s="35"/>
      <c r="E585" s="35"/>
      <c r="F585" s="35"/>
      <c r="G585" s="35"/>
      <c r="H585" s="35">
        <f t="shared" si="144"/>
        <v>0</v>
      </c>
      <c r="I585" s="35"/>
      <c r="J585" s="35">
        <f t="shared" si="143"/>
        <v>0</v>
      </c>
      <c r="K585" s="36">
        <v>581</v>
      </c>
    </row>
    <row r="586" spans="1:11" ht="30" hidden="1" outlineLevel="1" collapsed="1" x14ac:dyDescent="0.25">
      <c r="A586" s="34"/>
      <c r="B586" s="17" t="s">
        <v>83</v>
      </c>
      <c r="C586" s="35"/>
      <c r="D586" s="35"/>
      <c r="E586" s="35"/>
      <c r="F586" s="35"/>
      <c r="G586" s="35"/>
      <c r="H586" s="35">
        <f t="shared" si="144"/>
        <v>0</v>
      </c>
      <c r="I586" s="35"/>
      <c r="J586" s="35">
        <f t="shared" si="143"/>
        <v>0</v>
      </c>
      <c r="K586" s="36">
        <v>582</v>
      </c>
    </row>
    <row r="587" spans="1:11" hidden="1" outlineLevel="1" collapsed="1" x14ac:dyDescent="0.25">
      <c r="A587" s="28"/>
      <c r="B587" s="15" t="s">
        <v>84</v>
      </c>
      <c r="C587" s="29">
        <f>+SUM(C588:C592)</f>
        <v>0</v>
      </c>
      <c r="D587" s="29">
        <f t="shared" ref="D587:G587" si="145">+SUM(D588:D592)</f>
        <v>0</v>
      </c>
      <c r="E587" s="29">
        <f t="shared" si="145"/>
        <v>0</v>
      </c>
      <c r="F587" s="29">
        <f t="shared" si="145"/>
        <v>0</v>
      </c>
      <c r="G587" s="29">
        <f t="shared" si="145"/>
        <v>0</v>
      </c>
      <c r="H587" s="29">
        <f t="shared" si="144"/>
        <v>0</v>
      </c>
      <c r="I587" s="29"/>
      <c r="J587" s="29">
        <f t="shared" si="143"/>
        <v>0</v>
      </c>
      <c r="K587" s="30">
        <v>583</v>
      </c>
    </row>
    <row r="588" spans="1:11" hidden="1" outlineLevel="1" x14ac:dyDescent="0.25">
      <c r="A588" s="34"/>
      <c r="B588" s="17"/>
      <c r="C588" s="35"/>
      <c r="D588" s="35"/>
      <c r="E588" s="35"/>
      <c r="F588" s="35"/>
      <c r="G588" s="35"/>
      <c r="H588" s="35">
        <f t="shared" si="144"/>
        <v>0</v>
      </c>
      <c r="I588" s="35"/>
      <c r="J588" s="35">
        <f t="shared" si="143"/>
        <v>0</v>
      </c>
      <c r="K588" s="36">
        <v>584</v>
      </c>
    </row>
    <row r="589" spans="1:11" hidden="1" outlineLevel="1" collapsed="1" x14ac:dyDescent="0.25">
      <c r="A589" s="34"/>
      <c r="B589" s="17"/>
      <c r="C589" s="35"/>
      <c r="D589" s="35"/>
      <c r="E589" s="35"/>
      <c r="F589" s="35"/>
      <c r="G589" s="35"/>
      <c r="H589" s="35">
        <f t="shared" si="144"/>
        <v>0</v>
      </c>
      <c r="I589" s="35"/>
      <c r="J589" s="35">
        <f t="shared" si="143"/>
        <v>0</v>
      </c>
      <c r="K589" s="36">
        <v>585</v>
      </c>
    </row>
    <row r="590" spans="1:11" hidden="1" outlineLevel="1" x14ac:dyDescent="0.25">
      <c r="A590" s="34"/>
      <c r="B590" s="17"/>
      <c r="C590" s="35"/>
      <c r="D590" s="35"/>
      <c r="E590" s="35"/>
      <c r="F590" s="35"/>
      <c r="G590" s="35"/>
      <c r="H590" s="35">
        <f t="shared" si="144"/>
        <v>0</v>
      </c>
      <c r="I590" s="35"/>
      <c r="J590" s="35">
        <f t="shared" si="143"/>
        <v>0</v>
      </c>
      <c r="K590" s="36">
        <v>586</v>
      </c>
    </row>
    <row r="591" spans="1:11" hidden="1" outlineLevel="1" collapsed="1" x14ac:dyDescent="0.25">
      <c r="A591" s="34"/>
      <c r="B591" s="17" t="s">
        <v>86</v>
      </c>
      <c r="C591" s="35"/>
      <c r="D591" s="35"/>
      <c r="E591" s="35"/>
      <c r="F591" s="35"/>
      <c r="G591" s="35"/>
      <c r="H591" s="35">
        <f t="shared" si="144"/>
        <v>0</v>
      </c>
      <c r="I591" s="35"/>
      <c r="J591" s="35">
        <f t="shared" si="143"/>
        <v>0</v>
      </c>
      <c r="K591" s="36">
        <v>587</v>
      </c>
    </row>
    <row r="592" spans="1:11" hidden="1" outlineLevel="1" x14ac:dyDescent="0.25">
      <c r="A592" s="34"/>
      <c r="B592" s="17"/>
      <c r="C592" s="35"/>
      <c r="D592" s="35"/>
      <c r="E592" s="35"/>
      <c r="F592" s="35"/>
      <c r="G592" s="35"/>
      <c r="H592" s="35">
        <f t="shared" si="144"/>
        <v>0</v>
      </c>
      <c r="I592" s="35"/>
      <c r="J592" s="35">
        <f t="shared" si="143"/>
        <v>0</v>
      </c>
      <c r="K592" s="36">
        <v>588</v>
      </c>
    </row>
    <row r="593" spans="1:11" ht="30" collapsed="1" x14ac:dyDescent="0.25">
      <c r="A593" s="40" t="s">
        <v>55</v>
      </c>
      <c r="B593" s="10" t="s">
        <v>135</v>
      </c>
      <c r="C593" s="26">
        <f t="shared" ref="C593:G593" si="146">+C594+C603+C607+C613</f>
        <v>0</v>
      </c>
      <c r="D593" s="26">
        <f t="shared" si="146"/>
        <v>0</v>
      </c>
      <c r="E593" s="26">
        <f t="shared" si="146"/>
        <v>0</v>
      </c>
      <c r="F593" s="26">
        <f t="shared" si="146"/>
        <v>0</v>
      </c>
      <c r="G593" s="26">
        <f t="shared" si="146"/>
        <v>0</v>
      </c>
      <c r="H593" s="26">
        <f t="shared" si="144"/>
        <v>0</v>
      </c>
      <c r="I593" s="26">
        <v>0</v>
      </c>
      <c r="J593" s="26">
        <f t="shared" si="143"/>
        <v>0</v>
      </c>
      <c r="K593" s="27">
        <v>589</v>
      </c>
    </row>
    <row r="594" spans="1:11" hidden="1" outlineLevel="1" x14ac:dyDescent="0.25">
      <c r="A594" s="28"/>
      <c r="B594" s="15" t="s">
        <v>65</v>
      </c>
      <c r="C594" s="29">
        <f t="shared" ref="C594:G594" si="147">+SUM(C595:C602)</f>
        <v>0</v>
      </c>
      <c r="D594" s="29">
        <f t="shared" si="147"/>
        <v>0</v>
      </c>
      <c r="E594" s="29">
        <f t="shared" si="147"/>
        <v>0</v>
      </c>
      <c r="F594" s="29">
        <f t="shared" si="147"/>
        <v>0</v>
      </c>
      <c r="G594" s="29">
        <f t="shared" si="147"/>
        <v>0</v>
      </c>
      <c r="H594" s="29">
        <f t="shared" si="144"/>
        <v>0</v>
      </c>
      <c r="I594" s="29">
        <v>0</v>
      </c>
      <c r="J594" s="29">
        <f t="shared" si="143"/>
        <v>0</v>
      </c>
      <c r="K594" s="30">
        <v>590</v>
      </c>
    </row>
    <row r="595" spans="1:11" hidden="1" outlineLevel="1" x14ac:dyDescent="0.25">
      <c r="A595" s="31"/>
      <c r="B595" s="16" t="s">
        <v>66</v>
      </c>
      <c r="C595" s="32"/>
      <c r="D595" s="32"/>
      <c r="E595" s="32"/>
      <c r="F595" s="32"/>
      <c r="G595" s="32"/>
      <c r="H595" s="32">
        <f t="shared" si="144"/>
        <v>0</v>
      </c>
      <c r="I595" s="32"/>
      <c r="J595" s="32">
        <f t="shared" si="143"/>
        <v>0</v>
      </c>
      <c r="K595" s="33">
        <v>591</v>
      </c>
    </row>
    <row r="596" spans="1:11" hidden="1" outlineLevel="1" x14ac:dyDescent="0.25">
      <c r="A596" s="31"/>
      <c r="B596" s="17" t="s">
        <v>67</v>
      </c>
      <c r="C596" s="32"/>
      <c r="D596" s="32"/>
      <c r="E596" s="32"/>
      <c r="F596" s="32"/>
      <c r="G596" s="32"/>
      <c r="H596" s="32">
        <f t="shared" si="144"/>
        <v>0</v>
      </c>
      <c r="I596" s="32"/>
      <c r="J596" s="32">
        <f t="shared" si="143"/>
        <v>0</v>
      </c>
      <c r="K596" s="33">
        <v>592</v>
      </c>
    </row>
    <row r="597" spans="1:11" ht="30" hidden="1" outlineLevel="1" x14ac:dyDescent="0.25">
      <c r="A597" s="31"/>
      <c r="B597" s="17" t="s">
        <v>68</v>
      </c>
      <c r="C597" s="32"/>
      <c r="D597" s="32"/>
      <c r="E597" s="32"/>
      <c r="F597" s="32"/>
      <c r="G597" s="32"/>
      <c r="H597" s="32">
        <f t="shared" si="144"/>
        <v>0</v>
      </c>
      <c r="I597" s="32"/>
      <c r="J597" s="32">
        <f t="shared" si="143"/>
        <v>0</v>
      </c>
      <c r="K597" s="33">
        <v>593</v>
      </c>
    </row>
    <row r="598" spans="1:11" hidden="1" outlineLevel="1" x14ac:dyDescent="0.25">
      <c r="A598" s="31"/>
      <c r="B598" s="16" t="s">
        <v>69</v>
      </c>
      <c r="C598" s="32"/>
      <c r="D598" s="32"/>
      <c r="E598" s="32"/>
      <c r="F598" s="32"/>
      <c r="G598" s="32"/>
      <c r="H598" s="32">
        <f t="shared" si="144"/>
        <v>0</v>
      </c>
      <c r="I598" s="32"/>
      <c r="J598" s="32">
        <f t="shared" si="143"/>
        <v>0</v>
      </c>
      <c r="K598" s="33">
        <v>594</v>
      </c>
    </row>
    <row r="599" spans="1:11" hidden="1" outlineLevel="1" x14ac:dyDescent="0.25">
      <c r="A599" s="31"/>
      <c r="B599" s="17" t="s">
        <v>70</v>
      </c>
      <c r="C599" s="32"/>
      <c r="D599" s="32"/>
      <c r="E599" s="32"/>
      <c r="F599" s="32"/>
      <c r="G599" s="32"/>
      <c r="H599" s="32">
        <f t="shared" si="144"/>
        <v>0</v>
      </c>
      <c r="I599" s="32"/>
      <c r="J599" s="32">
        <f t="shared" si="143"/>
        <v>0</v>
      </c>
      <c r="K599" s="33">
        <v>595</v>
      </c>
    </row>
    <row r="600" spans="1:11" ht="30" hidden="1" outlineLevel="1" x14ac:dyDescent="0.25">
      <c r="A600" s="31"/>
      <c r="B600" s="17" t="s">
        <v>71</v>
      </c>
      <c r="C600" s="32"/>
      <c r="D600" s="32"/>
      <c r="E600" s="32"/>
      <c r="F600" s="32"/>
      <c r="G600" s="32"/>
      <c r="H600" s="32">
        <f t="shared" si="144"/>
        <v>0</v>
      </c>
      <c r="I600" s="32"/>
      <c r="J600" s="32">
        <f t="shared" si="143"/>
        <v>0</v>
      </c>
      <c r="K600" s="33">
        <v>596</v>
      </c>
    </row>
    <row r="601" spans="1:11" hidden="1" outlineLevel="1" x14ac:dyDescent="0.25">
      <c r="A601" s="31"/>
      <c r="B601" s="16" t="s">
        <v>72</v>
      </c>
      <c r="C601" s="32"/>
      <c r="D601" s="32"/>
      <c r="E601" s="32"/>
      <c r="F601" s="32"/>
      <c r="G601" s="32"/>
      <c r="H601" s="32">
        <f t="shared" si="144"/>
        <v>0</v>
      </c>
      <c r="I601" s="32"/>
      <c r="J601" s="32">
        <f t="shared" si="143"/>
        <v>0</v>
      </c>
      <c r="K601" s="33">
        <v>597</v>
      </c>
    </row>
    <row r="602" spans="1:11" ht="30" hidden="1" outlineLevel="1" x14ac:dyDescent="0.25">
      <c r="A602" s="31"/>
      <c r="B602" s="17" t="s">
        <v>73</v>
      </c>
      <c r="C602" s="32"/>
      <c r="D602" s="32"/>
      <c r="E602" s="32"/>
      <c r="F602" s="32"/>
      <c r="G602" s="32"/>
      <c r="H602" s="32">
        <f t="shared" si="144"/>
        <v>0</v>
      </c>
      <c r="I602" s="32"/>
      <c r="J602" s="32">
        <f t="shared" si="143"/>
        <v>0</v>
      </c>
      <c r="K602" s="33">
        <v>598</v>
      </c>
    </row>
    <row r="603" spans="1:11" hidden="1" outlineLevel="1" x14ac:dyDescent="0.25">
      <c r="A603" s="28"/>
      <c r="B603" s="15" t="s">
        <v>74</v>
      </c>
      <c r="C603" s="29">
        <f t="shared" ref="C603:G603" si="148">+SUM(C604:C606)</f>
        <v>0</v>
      </c>
      <c r="D603" s="29">
        <f t="shared" si="148"/>
        <v>0</v>
      </c>
      <c r="E603" s="29">
        <f t="shared" si="148"/>
        <v>0</v>
      </c>
      <c r="F603" s="29">
        <f t="shared" si="148"/>
        <v>0</v>
      </c>
      <c r="G603" s="29">
        <f t="shared" si="148"/>
        <v>0</v>
      </c>
      <c r="H603" s="29">
        <f t="shared" si="144"/>
        <v>0</v>
      </c>
      <c r="I603" s="29"/>
      <c r="J603" s="29">
        <f t="shared" si="143"/>
        <v>0</v>
      </c>
      <c r="K603" s="30">
        <v>599</v>
      </c>
    </row>
    <row r="604" spans="1:11" ht="30" hidden="1" outlineLevel="1" x14ac:dyDescent="0.25">
      <c r="A604" s="34"/>
      <c r="B604" s="17" t="s">
        <v>75</v>
      </c>
      <c r="C604" s="35"/>
      <c r="D604" s="35"/>
      <c r="E604" s="35"/>
      <c r="F604" s="35"/>
      <c r="G604" s="35"/>
      <c r="H604" s="35">
        <f t="shared" si="144"/>
        <v>0</v>
      </c>
      <c r="I604" s="35"/>
      <c r="J604" s="35">
        <f t="shared" si="143"/>
        <v>0</v>
      </c>
      <c r="K604" s="36">
        <v>600</v>
      </c>
    </row>
    <row r="605" spans="1:11" ht="30" hidden="1" outlineLevel="1" x14ac:dyDescent="0.25">
      <c r="A605" s="34"/>
      <c r="B605" s="17" t="s">
        <v>76</v>
      </c>
      <c r="C605" s="35"/>
      <c r="D605" s="35"/>
      <c r="E605" s="35"/>
      <c r="F605" s="35"/>
      <c r="G605" s="35"/>
      <c r="H605" s="35">
        <f t="shared" si="144"/>
        <v>0</v>
      </c>
      <c r="I605" s="35"/>
      <c r="J605" s="35">
        <f t="shared" si="143"/>
        <v>0</v>
      </c>
      <c r="K605" s="36">
        <v>601</v>
      </c>
    </row>
    <row r="606" spans="1:11" ht="30" hidden="1" outlineLevel="1" x14ac:dyDescent="0.25">
      <c r="A606" s="34"/>
      <c r="B606" s="17" t="s">
        <v>77</v>
      </c>
      <c r="C606" s="35"/>
      <c r="D606" s="35"/>
      <c r="E606" s="35"/>
      <c r="F606" s="35"/>
      <c r="G606" s="35"/>
      <c r="H606" s="35">
        <f t="shared" si="144"/>
        <v>0</v>
      </c>
      <c r="I606" s="35"/>
      <c r="J606" s="35">
        <f t="shared" si="143"/>
        <v>0</v>
      </c>
      <c r="K606" s="36">
        <v>602</v>
      </c>
    </row>
    <row r="607" spans="1:11" hidden="1" outlineLevel="1" x14ac:dyDescent="0.25">
      <c r="A607" s="28"/>
      <c r="B607" s="15" t="s">
        <v>78</v>
      </c>
      <c r="C607" s="29">
        <f t="shared" ref="C607:G607" si="149">+SUM(C608:C612)</f>
        <v>0</v>
      </c>
      <c r="D607" s="29">
        <f t="shared" si="149"/>
        <v>0</v>
      </c>
      <c r="E607" s="29">
        <f t="shared" si="149"/>
        <v>0</v>
      </c>
      <c r="F607" s="29">
        <f t="shared" si="149"/>
        <v>0</v>
      </c>
      <c r="G607" s="29">
        <f t="shared" si="149"/>
        <v>0</v>
      </c>
      <c r="H607" s="29">
        <f t="shared" si="144"/>
        <v>0</v>
      </c>
      <c r="I607" s="29"/>
      <c r="J607" s="29">
        <f t="shared" si="143"/>
        <v>0</v>
      </c>
      <c r="K607" s="30">
        <v>603</v>
      </c>
    </row>
    <row r="608" spans="1:11" hidden="1" outlineLevel="1" x14ac:dyDescent="0.25">
      <c r="A608" s="34"/>
      <c r="B608" s="18" t="s">
        <v>79</v>
      </c>
      <c r="C608" s="35"/>
      <c r="D608" s="35"/>
      <c r="E608" s="35"/>
      <c r="F608" s="35"/>
      <c r="G608" s="35"/>
      <c r="H608" s="35">
        <f t="shared" si="144"/>
        <v>0</v>
      </c>
      <c r="I608" s="35"/>
      <c r="J608" s="35">
        <f t="shared" si="143"/>
        <v>0</v>
      </c>
      <c r="K608" s="36">
        <v>604</v>
      </c>
    </row>
    <row r="609" spans="1:11" ht="30" hidden="1" outlineLevel="1" x14ac:dyDescent="0.25">
      <c r="A609" s="34"/>
      <c r="B609" s="17" t="s">
        <v>80</v>
      </c>
      <c r="C609" s="35"/>
      <c r="D609" s="35"/>
      <c r="E609" s="35"/>
      <c r="F609" s="35"/>
      <c r="G609" s="35"/>
      <c r="H609" s="35">
        <f t="shared" si="144"/>
        <v>0</v>
      </c>
      <c r="I609" s="35"/>
      <c r="J609" s="35">
        <f t="shared" si="143"/>
        <v>0</v>
      </c>
      <c r="K609" s="36">
        <v>605</v>
      </c>
    </row>
    <row r="610" spans="1:11" hidden="1" outlineLevel="1" x14ac:dyDescent="0.25">
      <c r="A610" s="34"/>
      <c r="B610" s="17" t="s">
        <v>81</v>
      </c>
      <c r="C610" s="35"/>
      <c r="D610" s="35"/>
      <c r="E610" s="35"/>
      <c r="F610" s="35"/>
      <c r="G610" s="35"/>
      <c r="H610" s="35">
        <f t="shared" si="144"/>
        <v>0</v>
      </c>
      <c r="I610" s="35"/>
      <c r="J610" s="35">
        <f t="shared" si="143"/>
        <v>0</v>
      </c>
      <c r="K610" s="36">
        <v>606</v>
      </c>
    </row>
    <row r="611" spans="1:11" hidden="1" outlineLevel="1" x14ac:dyDescent="0.25">
      <c r="A611" s="34"/>
      <c r="B611" s="18" t="s">
        <v>82</v>
      </c>
      <c r="C611" s="35"/>
      <c r="D611" s="35"/>
      <c r="E611" s="35"/>
      <c r="F611" s="35"/>
      <c r="G611" s="35"/>
      <c r="H611" s="35">
        <f t="shared" si="144"/>
        <v>0</v>
      </c>
      <c r="I611" s="35"/>
      <c r="J611" s="35">
        <f t="shared" si="143"/>
        <v>0</v>
      </c>
      <c r="K611" s="36">
        <v>607</v>
      </c>
    </row>
    <row r="612" spans="1:11" ht="30" hidden="1" outlineLevel="1" x14ac:dyDescent="0.25">
      <c r="A612" s="34"/>
      <c r="B612" s="17" t="s">
        <v>83</v>
      </c>
      <c r="C612" s="35"/>
      <c r="D612" s="35"/>
      <c r="E612" s="35"/>
      <c r="F612" s="35"/>
      <c r="G612" s="35"/>
      <c r="H612" s="35">
        <f t="shared" si="144"/>
        <v>0</v>
      </c>
      <c r="I612" s="35"/>
      <c r="J612" s="35">
        <f t="shared" si="143"/>
        <v>0</v>
      </c>
      <c r="K612" s="36">
        <v>608</v>
      </c>
    </row>
    <row r="613" spans="1:11" hidden="1" outlineLevel="1" collapsed="1" x14ac:dyDescent="0.25">
      <c r="A613" s="28"/>
      <c r="B613" s="15" t="s">
        <v>84</v>
      </c>
      <c r="C613" s="29">
        <f>+SUM(C614:C618)</f>
        <v>0</v>
      </c>
      <c r="D613" s="29">
        <f t="shared" ref="D613:G613" si="150">+SUM(D614:D618)</f>
        <v>0</v>
      </c>
      <c r="E613" s="29">
        <f t="shared" si="150"/>
        <v>0</v>
      </c>
      <c r="F613" s="29">
        <f t="shared" si="150"/>
        <v>0</v>
      </c>
      <c r="G613" s="29">
        <f t="shared" si="150"/>
        <v>0</v>
      </c>
      <c r="H613" s="29">
        <f t="shared" si="144"/>
        <v>0</v>
      </c>
      <c r="I613" s="29"/>
      <c r="J613" s="29">
        <f t="shared" si="143"/>
        <v>0</v>
      </c>
      <c r="K613" s="30">
        <v>609</v>
      </c>
    </row>
    <row r="614" spans="1:11" hidden="1" outlineLevel="1" x14ac:dyDescent="0.25">
      <c r="A614" s="34"/>
      <c r="B614" s="17"/>
      <c r="C614" s="35"/>
      <c r="D614" s="35"/>
      <c r="E614" s="35"/>
      <c r="F614" s="35"/>
      <c r="G614" s="35"/>
      <c r="H614" s="35">
        <f t="shared" si="144"/>
        <v>0</v>
      </c>
      <c r="I614" s="35"/>
      <c r="J614" s="35">
        <f t="shared" si="143"/>
        <v>0</v>
      </c>
      <c r="K614" s="36">
        <v>610</v>
      </c>
    </row>
    <row r="615" spans="1:11" hidden="1" outlineLevel="1" x14ac:dyDescent="0.25">
      <c r="A615" s="34"/>
      <c r="B615" s="17"/>
      <c r="C615" s="35"/>
      <c r="D615" s="35"/>
      <c r="E615" s="35"/>
      <c r="F615" s="35"/>
      <c r="G615" s="35"/>
      <c r="H615" s="35">
        <f t="shared" si="144"/>
        <v>0</v>
      </c>
      <c r="I615" s="35"/>
      <c r="J615" s="35">
        <f t="shared" si="143"/>
        <v>0</v>
      </c>
      <c r="K615" s="36">
        <v>611</v>
      </c>
    </row>
    <row r="616" spans="1:11" hidden="1" outlineLevel="1" collapsed="1" x14ac:dyDescent="0.25">
      <c r="A616" s="34"/>
      <c r="B616" s="17"/>
      <c r="C616" s="35"/>
      <c r="D616" s="35"/>
      <c r="E616" s="35"/>
      <c r="F616" s="35"/>
      <c r="G616" s="35"/>
      <c r="H616" s="35">
        <f t="shared" si="144"/>
        <v>0</v>
      </c>
      <c r="I616" s="35"/>
      <c r="J616" s="35">
        <f t="shared" si="143"/>
        <v>0</v>
      </c>
      <c r="K616" s="36">
        <v>612</v>
      </c>
    </row>
    <row r="617" spans="1:11" hidden="1" outlineLevel="1" collapsed="1" x14ac:dyDescent="0.25">
      <c r="A617" s="34"/>
      <c r="B617" s="17" t="s">
        <v>86</v>
      </c>
      <c r="C617" s="35"/>
      <c r="D617" s="35"/>
      <c r="E617" s="35"/>
      <c r="F617" s="35"/>
      <c r="G617" s="35"/>
      <c r="H617" s="35">
        <f t="shared" si="144"/>
        <v>0</v>
      </c>
      <c r="I617" s="35"/>
      <c r="J617" s="35">
        <f t="shared" si="143"/>
        <v>0</v>
      </c>
      <c r="K617" s="36">
        <v>613</v>
      </c>
    </row>
    <row r="618" spans="1:11" hidden="1" outlineLevel="1" x14ac:dyDescent="0.25">
      <c r="A618" s="34"/>
      <c r="B618" s="17"/>
      <c r="C618" s="35"/>
      <c r="D618" s="35"/>
      <c r="E618" s="35"/>
      <c r="F618" s="35"/>
      <c r="G618" s="35"/>
      <c r="H618" s="35">
        <f t="shared" si="144"/>
        <v>0</v>
      </c>
      <c r="I618" s="35"/>
      <c r="J618" s="35">
        <f t="shared" si="143"/>
        <v>0</v>
      </c>
      <c r="K618" s="36">
        <v>614</v>
      </c>
    </row>
    <row r="619" spans="1:11" ht="45" collapsed="1" x14ac:dyDescent="0.25">
      <c r="A619" s="40" t="s">
        <v>136</v>
      </c>
      <c r="B619" s="10" t="s">
        <v>137</v>
      </c>
      <c r="C619" s="26">
        <f t="shared" ref="C619:G619" si="151">+C620+C629+C633+C639</f>
        <v>0</v>
      </c>
      <c r="D619" s="26">
        <f t="shared" si="151"/>
        <v>0</v>
      </c>
      <c r="E619" s="26">
        <f t="shared" si="151"/>
        <v>0</v>
      </c>
      <c r="F619" s="26">
        <f t="shared" si="151"/>
        <v>0</v>
      </c>
      <c r="G619" s="26">
        <f t="shared" si="151"/>
        <v>0</v>
      </c>
      <c r="H619" s="26">
        <f t="shared" si="144"/>
        <v>0</v>
      </c>
      <c r="I619" s="26">
        <v>0</v>
      </c>
      <c r="J619" s="26">
        <f t="shared" si="143"/>
        <v>0</v>
      </c>
      <c r="K619" s="27">
        <v>615</v>
      </c>
    </row>
    <row r="620" spans="1:11" hidden="1" outlineLevel="1" x14ac:dyDescent="0.25">
      <c r="A620" s="28"/>
      <c r="B620" s="15" t="s">
        <v>65</v>
      </c>
      <c r="C620" s="29">
        <f t="shared" ref="C620:G620" si="152">+SUM(C621:C628)</f>
        <v>0</v>
      </c>
      <c r="D620" s="29">
        <f t="shared" si="152"/>
        <v>0</v>
      </c>
      <c r="E620" s="29">
        <f t="shared" si="152"/>
        <v>0</v>
      </c>
      <c r="F620" s="29">
        <f t="shared" si="152"/>
        <v>0</v>
      </c>
      <c r="G620" s="29">
        <f t="shared" si="152"/>
        <v>0</v>
      </c>
      <c r="H620" s="29">
        <f t="shared" si="144"/>
        <v>0</v>
      </c>
      <c r="I620" s="29">
        <v>0</v>
      </c>
      <c r="J620" s="29">
        <f t="shared" si="143"/>
        <v>0</v>
      </c>
      <c r="K620" s="30">
        <v>616</v>
      </c>
    </row>
    <row r="621" spans="1:11" hidden="1" outlineLevel="1" x14ac:dyDescent="0.25">
      <c r="A621" s="31"/>
      <c r="B621" s="16" t="s">
        <v>66</v>
      </c>
      <c r="C621" s="32"/>
      <c r="D621" s="32"/>
      <c r="E621" s="32"/>
      <c r="F621" s="32"/>
      <c r="G621" s="32"/>
      <c r="H621" s="32">
        <f t="shared" si="144"/>
        <v>0</v>
      </c>
      <c r="I621" s="32"/>
      <c r="J621" s="32">
        <f t="shared" si="143"/>
        <v>0</v>
      </c>
      <c r="K621" s="33">
        <v>617</v>
      </c>
    </row>
    <row r="622" spans="1:11" hidden="1" outlineLevel="1" x14ac:dyDescent="0.25">
      <c r="A622" s="31"/>
      <c r="B622" s="17" t="s">
        <v>67</v>
      </c>
      <c r="C622" s="32"/>
      <c r="D622" s="32"/>
      <c r="E622" s="32"/>
      <c r="F622" s="32"/>
      <c r="G622" s="32"/>
      <c r="H622" s="32">
        <f t="shared" si="144"/>
        <v>0</v>
      </c>
      <c r="I622" s="32"/>
      <c r="J622" s="32">
        <f t="shared" si="143"/>
        <v>0</v>
      </c>
      <c r="K622" s="33">
        <v>618</v>
      </c>
    </row>
    <row r="623" spans="1:11" ht="30" hidden="1" outlineLevel="1" x14ac:dyDescent="0.25">
      <c r="A623" s="31"/>
      <c r="B623" s="17" t="s">
        <v>68</v>
      </c>
      <c r="C623" s="32"/>
      <c r="D623" s="32"/>
      <c r="E623" s="32"/>
      <c r="F623" s="32"/>
      <c r="G623" s="32"/>
      <c r="H623" s="32">
        <f t="shared" si="144"/>
        <v>0</v>
      </c>
      <c r="I623" s="32"/>
      <c r="J623" s="32">
        <f t="shared" si="143"/>
        <v>0</v>
      </c>
      <c r="K623" s="33">
        <v>619</v>
      </c>
    </row>
    <row r="624" spans="1:11" hidden="1" outlineLevel="1" x14ac:dyDescent="0.25">
      <c r="A624" s="31"/>
      <c r="B624" s="16" t="s">
        <v>69</v>
      </c>
      <c r="C624" s="32"/>
      <c r="D624" s="32"/>
      <c r="E624" s="32"/>
      <c r="F624" s="32"/>
      <c r="G624" s="32"/>
      <c r="H624" s="32">
        <f t="shared" si="144"/>
        <v>0</v>
      </c>
      <c r="I624" s="32"/>
      <c r="J624" s="32">
        <f t="shared" si="143"/>
        <v>0</v>
      </c>
      <c r="K624" s="33">
        <v>620</v>
      </c>
    </row>
    <row r="625" spans="1:11" hidden="1" outlineLevel="1" x14ac:dyDescent="0.25">
      <c r="A625" s="31"/>
      <c r="B625" s="17" t="s">
        <v>70</v>
      </c>
      <c r="C625" s="32"/>
      <c r="D625" s="32"/>
      <c r="E625" s="32"/>
      <c r="F625" s="32"/>
      <c r="G625" s="32"/>
      <c r="H625" s="32">
        <f t="shared" si="144"/>
        <v>0</v>
      </c>
      <c r="I625" s="32"/>
      <c r="J625" s="32">
        <f t="shared" si="143"/>
        <v>0</v>
      </c>
      <c r="K625" s="33">
        <v>621</v>
      </c>
    </row>
    <row r="626" spans="1:11" ht="30" hidden="1" outlineLevel="1" x14ac:dyDescent="0.25">
      <c r="A626" s="31"/>
      <c r="B626" s="17" t="s">
        <v>71</v>
      </c>
      <c r="C626" s="32"/>
      <c r="D626" s="32"/>
      <c r="E626" s="32"/>
      <c r="F626" s="32"/>
      <c r="G626" s="32"/>
      <c r="H626" s="32">
        <f t="shared" si="144"/>
        <v>0</v>
      </c>
      <c r="I626" s="32"/>
      <c r="J626" s="32">
        <f t="shared" si="143"/>
        <v>0</v>
      </c>
      <c r="K626" s="33">
        <v>622</v>
      </c>
    </row>
    <row r="627" spans="1:11" hidden="1" outlineLevel="1" x14ac:dyDescent="0.25">
      <c r="A627" s="31"/>
      <c r="B627" s="16" t="s">
        <v>72</v>
      </c>
      <c r="C627" s="32"/>
      <c r="D627" s="32"/>
      <c r="E627" s="32"/>
      <c r="F627" s="32"/>
      <c r="G627" s="32"/>
      <c r="H627" s="32">
        <f t="shared" si="144"/>
        <v>0</v>
      </c>
      <c r="I627" s="32"/>
      <c r="J627" s="32">
        <f t="shared" si="143"/>
        <v>0</v>
      </c>
      <c r="K627" s="33">
        <v>623</v>
      </c>
    </row>
    <row r="628" spans="1:11" ht="30" hidden="1" outlineLevel="1" x14ac:dyDescent="0.25">
      <c r="A628" s="31"/>
      <c r="B628" s="17" t="s">
        <v>73</v>
      </c>
      <c r="C628" s="32"/>
      <c r="D628" s="32"/>
      <c r="E628" s="32"/>
      <c r="F628" s="32"/>
      <c r="G628" s="32"/>
      <c r="H628" s="32">
        <f t="shared" si="144"/>
        <v>0</v>
      </c>
      <c r="I628" s="32"/>
      <c r="J628" s="32">
        <f t="shared" si="143"/>
        <v>0</v>
      </c>
      <c r="K628" s="33">
        <v>624</v>
      </c>
    </row>
    <row r="629" spans="1:11" hidden="1" outlineLevel="1" x14ac:dyDescent="0.25">
      <c r="A629" s="28"/>
      <c r="B629" s="15" t="s">
        <v>74</v>
      </c>
      <c r="C629" s="29">
        <f t="shared" ref="C629:G629" si="153">+SUM(C630:C632)</f>
        <v>0</v>
      </c>
      <c r="D629" s="29">
        <f t="shared" si="153"/>
        <v>0</v>
      </c>
      <c r="E629" s="29">
        <f t="shared" si="153"/>
        <v>0</v>
      </c>
      <c r="F629" s="29">
        <f t="shared" si="153"/>
        <v>0</v>
      </c>
      <c r="G629" s="29">
        <f t="shared" si="153"/>
        <v>0</v>
      </c>
      <c r="H629" s="29">
        <f t="shared" si="144"/>
        <v>0</v>
      </c>
      <c r="I629" s="29"/>
      <c r="J629" s="29">
        <f t="shared" si="143"/>
        <v>0</v>
      </c>
      <c r="K629" s="30">
        <v>625</v>
      </c>
    </row>
    <row r="630" spans="1:11" ht="30" hidden="1" outlineLevel="1" x14ac:dyDescent="0.25">
      <c r="A630" s="34"/>
      <c r="B630" s="17" t="s">
        <v>75</v>
      </c>
      <c r="C630" s="35"/>
      <c r="D630" s="35"/>
      <c r="E630" s="35"/>
      <c r="F630" s="35"/>
      <c r="G630" s="35"/>
      <c r="H630" s="35">
        <f t="shared" si="144"/>
        <v>0</v>
      </c>
      <c r="I630" s="35"/>
      <c r="J630" s="35">
        <f t="shared" si="143"/>
        <v>0</v>
      </c>
      <c r="K630" s="36">
        <v>626</v>
      </c>
    </row>
    <row r="631" spans="1:11" ht="30" hidden="1" outlineLevel="1" x14ac:dyDescent="0.25">
      <c r="A631" s="34"/>
      <c r="B631" s="17" t="s">
        <v>76</v>
      </c>
      <c r="C631" s="35"/>
      <c r="D631" s="35"/>
      <c r="E631" s="35"/>
      <c r="F631" s="35"/>
      <c r="G631" s="35"/>
      <c r="H631" s="35">
        <f t="shared" si="144"/>
        <v>0</v>
      </c>
      <c r="I631" s="35"/>
      <c r="J631" s="35">
        <f t="shared" si="143"/>
        <v>0</v>
      </c>
      <c r="K631" s="36">
        <v>627</v>
      </c>
    </row>
    <row r="632" spans="1:11" ht="30" hidden="1" outlineLevel="1" x14ac:dyDescent="0.25">
      <c r="A632" s="34"/>
      <c r="B632" s="17" t="s">
        <v>77</v>
      </c>
      <c r="C632" s="35"/>
      <c r="D632" s="35"/>
      <c r="E632" s="35"/>
      <c r="F632" s="35"/>
      <c r="G632" s="35"/>
      <c r="H632" s="35">
        <f t="shared" si="144"/>
        <v>0</v>
      </c>
      <c r="I632" s="35"/>
      <c r="J632" s="35">
        <f t="shared" si="143"/>
        <v>0</v>
      </c>
      <c r="K632" s="36">
        <v>628</v>
      </c>
    </row>
    <row r="633" spans="1:11" hidden="1" outlineLevel="1" x14ac:dyDescent="0.25">
      <c r="A633" s="28"/>
      <c r="B633" s="15" t="s">
        <v>78</v>
      </c>
      <c r="C633" s="29">
        <f t="shared" ref="C633:G633" si="154">+SUM(C634:C638)</f>
        <v>0</v>
      </c>
      <c r="D633" s="29">
        <f t="shared" si="154"/>
        <v>0</v>
      </c>
      <c r="E633" s="29">
        <f t="shared" si="154"/>
        <v>0</v>
      </c>
      <c r="F633" s="29">
        <f t="shared" si="154"/>
        <v>0</v>
      </c>
      <c r="G633" s="29">
        <f t="shared" si="154"/>
        <v>0</v>
      </c>
      <c r="H633" s="29">
        <f t="shared" si="144"/>
        <v>0</v>
      </c>
      <c r="I633" s="29"/>
      <c r="J633" s="29">
        <f t="shared" si="143"/>
        <v>0</v>
      </c>
      <c r="K633" s="30">
        <v>629</v>
      </c>
    </row>
    <row r="634" spans="1:11" hidden="1" outlineLevel="1" x14ac:dyDescent="0.25">
      <c r="A634" s="34"/>
      <c r="B634" s="18" t="s">
        <v>79</v>
      </c>
      <c r="C634" s="35"/>
      <c r="D634" s="35"/>
      <c r="E634" s="35"/>
      <c r="F634" s="35"/>
      <c r="G634" s="35"/>
      <c r="H634" s="35">
        <f t="shared" si="144"/>
        <v>0</v>
      </c>
      <c r="I634" s="35"/>
      <c r="J634" s="35">
        <f t="shared" si="143"/>
        <v>0</v>
      </c>
      <c r="K634" s="36">
        <v>630</v>
      </c>
    </row>
    <row r="635" spans="1:11" ht="30" hidden="1" outlineLevel="1" x14ac:dyDescent="0.25">
      <c r="A635" s="34"/>
      <c r="B635" s="17" t="s">
        <v>80</v>
      </c>
      <c r="C635" s="35"/>
      <c r="D635" s="35"/>
      <c r="E635" s="35"/>
      <c r="F635" s="35"/>
      <c r="G635" s="35"/>
      <c r="H635" s="35">
        <f t="shared" si="144"/>
        <v>0</v>
      </c>
      <c r="I635" s="35"/>
      <c r="J635" s="35">
        <f t="shared" si="143"/>
        <v>0</v>
      </c>
      <c r="K635" s="36">
        <v>631</v>
      </c>
    </row>
    <row r="636" spans="1:11" hidden="1" outlineLevel="1" x14ac:dyDescent="0.25">
      <c r="A636" s="34"/>
      <c r="B636" s="17" t="s">
        <v>81</v>
      </c>
      <c r="C636" s="35"/>
      <c r="D636" s="35"/>
      <c r="E636" s="35"/>
      <c r="F636" s="35"/>
      <c r="G636" s="35"/>
      <c r="H636" s="35">
        <f t="shared" si="144"/>
        <v>0</v>
      </c>
      <c r="I636" s="35"/>
      <c r="J636" s="35">
        <f t="shared" si="143"/>
        <v>0</v>
      </c>
      <c r="K636" s="36">
        <v>632</v>
      </c>
    </row>
    <row r="637" spans="1:11" hidden="1" outlineLevel="1" x14ac:dyDescent="0.25">
      <c r="A637" s="34"/>
      <c r="B637" s="18" t="s">
        <v>82</v>
      </c>
      <c r="C637" s="35"/>
      <c r="D637" s="35"/>
      <c r="E637" s="35"/>
      <c r="F637" s="35"/>
      <c r="G637" s="35"/>
      <c r="H637" s="35">
        <f t="shared" si="144"/>
        <v>0</v>
      </c>
      <c r="I637" s="35"/>
      <c r="J637" s="35">
        <f t="shared" si="143"/>
        <v>0</v>
      </c>
      <c r="K637" s="36">
        <v>633</v>
      </c>
    </row>
    <row r="638" spans="1:11" ht="30" hidden="1" outlineLevel="1" x14ac:dyDescent="0.25">
      <c r="A638" s="34"/>
      <c r="B638" s="17" t="s">
        <v>83</v>
      </c>
      <c r="C638" s="35"/>
      <c r="D638" s="35"/>
      <c r="E638" s="35"/>
      <c r="F638" s="35"/>
      <c r="G638" s="35"/>
      <c r="H638" s="35">
        <f t="shared" si="144"/>
        <v>0</v>
      </c>
      <c r="I638" s="35"/>
      <c r="J638" s="35">
        <f t="shared" si="143"/>
        <v>0</v>
      </c>
      <c r="K638" s="36">
        <v>634</v>
      </c>
    </row>
    <row r="639" spans="1:11" hidden="1" outlineLevel="1" collapsed="1" x14ac:dyDescent="0.25">
      <c r="A639" s="28"/>
      <c r="B639" s="15" t="s">
        <v>84</v>
      </c>
      <c r="C639" s="29">
        <f>+SUM(C640:C644)</f>
        <v>0</v>
      </c>
      <c r="D639" s="29">
        <f t="shared" ref="D639:G639" si="155">+SUM(D640:D644)</f>
        <v>0</v>
      </c>
      <c r="E639" s="29">
        <f t="shared" si="155"/>
        <v>0</v>
      </c>
      <c r="F639" s="29">
        <f t="shared" si="155"/>
        <v>0</v>
      </c>
      <c r="G639" s="29">
        <f t="shared" si="155"/>
        <v>0</v>
      </c>
      <c r="H639" s="29">
        <f t="shared" si="144"/>
        <v>0</v>
      </c>
      <c r="I639" s="29"/>
      <c r="J639" s="29">
        <f t="shared" si="143"/>
        <v>0</v>
      </c>
      <c r="K639" s="30">
        <v>635</v>
      </c>
    </row>
    <row r="640" spans="1:11" hidden="1" outlineLevel="1" x14ac:dyDescent="0.25">
      <c r="A640" s="34"/>
      <c r="B640" s="17"/>
      <c r="C640" s="35"/>
      <c r="D640" s="35"/>
      <c r="E640" s="35"/>
      <c r="F640" s="35"/>
      <c r="G640" s="35"/>
      <c r="H640" s="35">
        <f t="shared" si="144"/>
        <v>0</v>
      </c>
      <c r="I640" s="35"/>
      <c r="J640" s="35">
        <f t="shared" si="143"/>
        <v>0</v>
      </c>
      <c r="K640" s="36">
        <v>636</v>
      </c>
    </row>
    <row r="641" spans="1:11" hidden="1" outlineLevel="1" x14ac:dyDescent="0.25">
      <c r="A641" s="34"/>
      <c r="B641" s="17"/>
      <c r="C641" s="35"/>
      <c r="D641" s="35"/>
      <c r="E641" s="35"/>
      <c r="F641" s="35"/>
      <c r="G641" s="35"/>
      <c r="H641" s="35">
        <f t="shared" si="144"/>
        <v>0</v>
      </c>
      <c r="I641" s="35"/>
      <c r="J641" s="35">
        <f t="shared" si="143"/>
        <v>0</v>
      </c>
      <c r="K641" s="36">
        <v>637</v>
      </c>
    </row>
    <row r="642" spans="1:11" hidden="1" outlineLevel="1" collapsed="1" x14ac:dyDescent="0.25">
      <c r="A642" s="34"/>
      <c r="B642" s="17"/>
      <c r="C642" s="35"/>
      <c r="D642" s="35"/>
      <c r="E642" s="35"/>
      <c r="F642" s="35"/>
      <c r="G642" s="35"/>
      <c r="H642" s="35">
        <f t="shared" si="144"/>
        <v>0</v>
      </c>
      <c r="I642" s="35"/>
      <c r="J642" s="35">
        <f t="shared" si="143"/>
        <v>0</v>
      </c>
      <c r="K642" s="36">
        <v>638</v>
      </c>
    </row>
    <row r="643" spans="1:11" hidden="1" outlineLevel="1" collapsed="1" x14ac:dyDescent="0.25">
      <c r="A643" s="34"/>
      <c r="B643" s="17" t="s">
        <v>86</v>
      </c>
      <c r="C643" s="35"/>
      <c r="D643" s="35"/>
      <c r="E643" s="35"/>
      <c r="F643" s="35"/>
      <c r="G643" s="35"/>
      <c r="H643" s="35">
        <f t="shared" si="144"/>
        <v>0</v>
      </c>
      <c r="I643" s="35"/>
      <c r="J643" s="35">
        <f t="shared" si="143"/>
        <v>0</v>
      </c>
      <c r="K643" s="36">
        <v>639</v>
      </c>
    </row>
    <row r="644" spans="1:11" hidden="1" outlineLevel="1" x14ac:dyDescent="0.25">
      <c r="A644" s="34"/>
      <c r="B644" s="17"/>
      <c r="C644" s="35"/>
      <c r="D644" s="35"/>
      <c r="E644" s="35"/>
      <c r="F644" s="35"/>
      <c r="G644" s="35"/>
      <c r="H644" s="35">
        <f t="shared" si="144"/>
        <v>0</v>
      </c>
      <c r="I644" s="35"/>
      <c r="J644" s="35">
        <f t="shared" si="143"/>
        <v>0</v>
      </c>
      <c r="K644" s="36">
        <v>640</v>
      </c>
    </row>
    <row r="645" spans="1:11" collapsed="1" x14ac:dyDescent="0.25">
      <c r="A645" s="39" t="s">
        <v>138</v>
      </c>
      <c r="B645" s="14" t="s">
        <v>139</v>
      </c>
      <c r="C645" s="24">
        <f>+C646</f>
        <v>0</v>
      </c>
      <c r="D645" s="24">
        <f t="shared" ref="D645:G645" si="156">+D646</f>
        <v>0</v>
      </c>
      <c r="E645" s="24">
        <f t="shared" si="156"/>
        <v>0</v>
      </c>
      <c r="F645" s="24">
        <f t="shared" si="156"/>
        <v>0</v>
      </c>
      <c r="G645" s="24">
        <f t="shared" si="156"/>
        <v>0</v>
      </c>
      <c r="H645" s="24">
        <f t="shared" si="144"/>
        <v>0</v>
      </c>
      <c r="I645" s="24"/>
      <c r="J645" s="24">
        <f t="shared" ref="J645:J708" si="157">+I645-H645</f>
        <v>0</v>
      </c>
      <c r="K645" s="25">
        <v>641</v>
      </c>
    </row>
    <row r="646" spans="1:11" ht="30" x14ac:dyDescent="0.25">
      <c r="A646" s="40" t="s">
        <v>59</v>
      </c>
      <c r="B646" s="10" t="s">
        <v>140</v>
      </c>
      <c r="C646" s="26">
        <f t="shared" ref="C646:G646" si="158">+C647+C656+C660+C666</f>
        <v>0</v>
      </c>
      <c r="D646" s="26">
        <f t="shared" si="158"/>
        <v>0</v>
      </c>
      <c r="E646" s="26">
        <f t="shared" si="158"/>
        <v>0</v>
      </c>
      <c r="F646" s="26">
        <f t="shared" si="158"/>
        <v>0</v>
      </c>
      <c r="G646" s="26">
        <f t="shared" si="158"/>
        <v>0</v>
      </c>
      <c r="H646" s="26">
        <f t="shared" ref="H646:H709" si="159">+SUM(C646:G646)</f>
        <v>0</v>
      </c>
      <c r="I646" s="26">
        <v>0</v>
      </c>
      <c r="J646" s="26">
        <f t="shared" si="157"/>
        <v>0</v>
      </c>
      <c r="K646" s="27">
        <v>642</v>
      </c>
    </row>
    <row r="647" spans="1:11" hidden="1" outlineLevel="1" x14ac:dyDescent="0.25">
      <c r="A647" s="28"/>
      <c r="B647" s="15" t="s">
        <v>65</v>
      </c>
      <c r="C647" s="29">
        <f t="shared" ref="C647:G647" si="160">+SUM(C648:C655)</f>
        <v>0</v>
      </c>
      <c r="D647" s="29">
        <f t="shared" si="160"/>
        <v>0</v>
      </c>
      <c r="E647" s="29">
        <f t="shared" si="160"/>
        <v>0</v>
      </c>
      <c r="F647" s="29">
        <f t="shared" si="160"/>
        <v>0</v>
      </c>
      <c r="G647" s="29">
        <f t="shared" si="160"/>
        <v>0</v>
      </c>
      <c r="H647" s="29">
        <f t="shared" si="159"/>
        <v>0</v>
      </c>
      <c r="I647" s="29">
        <v>0</v>
      </c>
      <c r="J647" s="29">
        <f t="shared" si="157"/>
        <v>0</v>
      </c>
      <c r="K647" s="30">
        <v>643</v>
      </c>
    </row>
    <row r="648" spans="1:11" hidden="1" outlineLevel="1" x14ac:dyDescent="0.25">
      <c r="A648" s="31"/>
      <c r="B648" s="16" t="s">
        <v>66</v>
      </c>
      <c r="C648" s="32"/>
      <c r="D648" s="32"/>
      <c r="E648" s="32"/>
      <c r="F648" s="32"/>
      <c r="G648" s="32"/>
      <c r="H648" s="32">
        <f t="shared" si="159"/>
        <v>0</v>
      </c>
      <c r="I648" s="32"/>
      <c r="J648" s="32">
        <f t="shared" si="157"/>
        <v>0</v>
      </c>
      <c r="K648" s="33">
        <v>644</v>
      </c>
    </row>
    <row r="649" spans="1:11" hidden="1" outlineLevel="1" x14ac:dyDescent="0.25">
      <c r="A649" s="31"/>
      <c r="B649" s="17" t="s">
        <v>67</v>
      </c>
      <c r="C649" s="32"/>
      <c r="D649" s="32"/>
      <c r="E649" s="32"/>
      <c r="F649" s="32"/>
      <c r="G649" s="32"/>
      <c r="H649" s="32">
        <f t="shared" si="159"/>
        <v>0</v>
      </c>
      <c r="I649" s="32"/>
      <c r="J649" s="32">
        <f t="shared" si="157"/>
        <v>0</v>
      </c>
      <c r="K649" s="33">
        <v>645</v>
      </c>
    </row>
    <row r="650" spans="1:11" ht="30" hidden="1" outlineLevel="1" x14ac:dyDescent="0.25">
      <c r="A650" s="31"/>
      <c r="B650" s="17" t="s">
        <v>68</v>
      </c>
      <c r="C650" s="32"/>
      <c r="D650" s="32"/>
      <c r="E650" s="32"/>
      <c r="F650" s="32"/>
      <c r="G650" s="32"/>
      <c r="H650" s="32">
        <f t="shared" si="159"/>
        <v>0</v>
      </c>
      <c r="I650" s="32"/>
      <c r="J650" s="32">
        <f t="shared" si="157"/>
        <v>0</v>
      </c>
      <c r="K650" s="33">
        <v>646</v>
      </c>
    </row>
    <row r="651" spans="1:11" hidden="1" outlineLevel="1" x14ac:dyDescent="0.25">
      <c r="A651" s="31"/>
      <c r="B651" s="16" t="s">
        <v>69</v>
      </c>
      <c r="C651" s="32"/>
      <c r="D651" s="32"/>
      <c r="E651" s="32"/>
      <c r="F651" s="32"/>
      <c r="G651" s="32"/>
      <c r="H651" s="32">
        <f t="shared" si="159"/>
        <v>0</v>
      </c>
      <c r="I651" s="32"/>
      <c r="J651" s="32">
        <f t="shared" si="157"/>
        <v>0</v>
      </c>
      <c r="K651" s="33">
        <v>647</v>
      </c>
    </row>
    <row r="652" spans="1:11" hidden="1" outlineLevel="1" x14ac:dyDescent="0.25">
      <c r="A652" s="31"/>
      <c r="B652" s="17" t="s">
        <v>70</v>
      </c>
      <c r="C652" s="32"/>
      <c r="D652" s="32"/>
      <c r="E652" s="32"/>
      <c r="F652" s="32"/>
      <c r="G652" s="32"/>
      <c r="H652" s="32">
        <f t="shared" si="159"/>
        <v>0</v>
      </c>
      <c r="I652" s="32"/>
      <c r="J652" s="32">
        <f t="shared" si="157"/>
        <v>0</v>
      </c>
      <c r="K652" s="33">
        <v>648</v>
      </c>
    </row>
    <row r="653" spans="1:11" ht="30" hidden="1" outlineLevel="1" x14ac:dyDescent="0.25">
      <c r="A653" s="31"/>
      <c r="B653" s="17" t="s">
        <v>71</v>
      </c>
      <c r="C653" s="32"/>
      <c r="D653" s="32"/>
      <c r="E653" s="32"/>
      <c r="F653" s="32"/>
      <c r="G653" s="32"/>
      <c r="H653" s="32">
        <f t="shared" si="159"/>
        <v>0</v>
      </c>
      <c r="I653" s="32"/>
      <c r="J653" s="32">
        <f t="shared" si="157"/>
        <v>0</v>
      </c>
      <c r="K653" s="33">
        <v>649</v>
      </c>
    </row>
    <row r="654" spans="1:11" hidden="1" outlineLevel="1" x14ac:dyDescent="0.25">
      <c r="A654" s="31"/>
      <c r="B654" s="16" t="s">
        <v>72</v>
      </c>
      <c r="C654" s="32"/>
      <c r="D654" s="32"/>
      <c r="E654" s="32"/>
      <c r="F654" s="32"/>
      <c r="G654" s="32"/>
      <c r="H654" s="32">
        <f t="shared" si="159"/>
        <v>0</v>
      </c>
      <c r="I654" s="32"/>
      <c r="J654" s="32">
        <f t="shared" si="157"/>
        <v>0</v>
      </c>
      <c r="K654" s="33">
        <v>650</v>
      </c>
    </row>
    <row r="655" spans="1:11" ht="30" hidden="1" outlineLevel="1" x14ac:dyDescent="0.25">
      <c r="A655" s="31"/>
      <c r="B655" s="17" t="s">
        <v>73</v>
      </c>
      <c r="C655" s="32"/>
      <c r="D655" s="32"/>
      <c r="E655" s="32"/>
      <c r="F655" s="32"/>
      <c r="G655" s="32"/>
      <c r="H655" s="32">
        <f t="shared" si="159"/>
        <v>0</v>
      </c>
      <c r="I655" s="32"/>
      <c r="J655" s="32">
        <f t="shared" si="157"/>
        <v>0</v>
      </c>
      <c r="K655" s="33">
        <v>651</v>
      </c>
    </row>
    <row r="656" spans="1:11" hidden="1" outlineLevel="1" x14ac:dyDescent="0.25">
      <c r="A656" s="28"/>
      <c r="B656" s="15" t="s">
        <v>74</v>
      </c>
      <c r="C656" s="29">
        <f t="shared" ref="C656:G656" si="161">+SUM(C657:C659)</f>
        <v>0</v>
      </c>
      <c r="D656" s="29">
        <f t="shared" si="161"/>
        <v>0</v>
      </c>
      <c r="E656" s="29">
        <f t="shared" si="161"/>
        <v>0</v>
      </c>
      <c r="F656" s="29">
        <f t="shared" si="161"/>
        <v>0</v>
      </c>
      <c r="G656" s="29">
        <f t="shared" si="161"/>
        <v>0</v>
      </c>
      <c r="H656" s="29">
        <f t="shared" si="159"/>
        <v>0</v>
      </c>
      <c r="I656" s="29"/>
      <c r="J656" s="29">
        <f t="shared" si="157"/>
        <v>0</v>
      </c>
      <c r="K656" s="30">
        <v>652</v>
      </c>
    </row>
    <row r="657" spans="1:11" ht="30" hidden="1" outlineLevel="1" x14ac:dyDescent="0.25">
      <c r="A657" s="34"/>
      <c r="B657" s="17" t="s">
        <v>75</v>
      </c>
      <c r="C657" s="35"/>
      <c r="D657" s="35"/>
      <c r="E657" s="35"/>
      <c r="F657" s="35"/>
      <c r="G657" s="35"/>
      <c r="H657" s="35">
        <f t="shared" si="159"/>
        <v>0</v>
      </c>
      <c r="I657" s="35"/>
      <c r="J657" s="35">
        <f t="shared" si="157"/>
        <v>0</v>
      </c>
      <c r="K657" s="36">
        <v>653</v>
      </c>
    </row>
    <row r="658" spans="1:11" ht="30" hidden="1" outlineLevel="1" x14ac:dyDescent="0.25">
      <c r="A658" s="34"/>
      <c r="B658" s="17" t="s">
        <v>76</v>
      </c>
      <c r="C658" s="35"/>
      <c r="D658" s="35"/>
      <c r="E658" s="35"/>
      <c r="F658" s="35"/>
      <c r="G658" s="35"/>
      <c r="H658" s="35">
        <f t="shared" si="159"/>
        <v>0</v>
      </c>
      <c r="I658" s="35"/>
      <c r="J658" s="35">
        <f t="shared" si="157"/>
        <v>0</v>
      </c>
      <c r="K658" s="36">
        <v>654</v>
      </c>
    </row>
    <row r="659" spans="1:11" ht="30" hidden="1" outlineLevel="1" x14ac:dyDescent="0.25">
      <c r="A659" s="34"/>
      <c r="B659" s="17" t="s">
        <v>77</v>
      </c>
      <c r="C659" s="35"/>
      <c r="D659" s="35"/>
      <c r="E659" s="35"/>
      <c r="F659" s="35"/>
      <c r="G659" s="35"/>
      <c r="H659" s="35">
        <f t="shared" si="159"/>
        <v>0</v>
      </c>
      <c r="I659" s="35"/>
      <c r="J659" s="35">
        <f t="shared" si="157"/>
        <v>0</v>
      </c>
      <c r="K659" s="36">
        <v>655</v>
      </c>
    </row>
    <row r="660" spans="1:11" hidden="1" outlineLevel="1" x14ac:dyDescent="0.25">
      <c r="A660" s="28"/>
      <c r="B660" s="15" t="s">
        <v>78</v>
      </c>
      <c r="C660" s="29">
        <f t="shared" ref="C660:G660" si="162">+SUM(C661:C665)</f>
        <v>0</v>
      </c>
      <c r="D660" s="29">
        <f t="shared" si="162"/>
        <v>0</v>
      </c>
      <c r="E660" s="29">
        <f t="shared" si="162"/>
        <v>0</v>
      </c>
      <c r="F660" s="29">
        <f t="shared" si="162"/>
        <v>0</v>
      </c>
      <c r="G660" s="29">
        <f t="shared" si="162"/>
        <v>0</v>
      </c>
      <c r="H660" s="29">
        <f t="shared" si="159"/>
        <v>0</v>
      </c>
      <c r="I660" s="29"/>
      <c r="J660" s="29">
        <f t="shared" si="157"/>
        <v>0</v>
      </c>
      <c r="K660" s="30">
        <v>656</v>
      </c>
    </row>
    <row r="661" spans="1:11" hidden="1" outlineLevel="1" x14ac:dyDescent="0.25">
      <c r="A661" s="34"/>
      <c r="B661" s="18" t="s">
        <v>79</v>
      </c>
      <c r="C661" s="35"/>
      <c r="D661" s="35"/>
      <c r="E661" s="35"/>
      <c r="F661" s="35"/>
      <c r="G661" s="35"/>
      <c r="H661" s="35">
        <f t="shared" si="159"/>
        <v>0</v>
      </c>
      <c r="I661" s="35"/>
      <c r="J661" s="35">
        <f t="shared" si="157"/>
        <v>0</v>
      </c>
      <c r="K661" s="36">
        <v>657</v>
      </c>
    </row>
    <row r="662" spans="1:11" ht="30" hidden="1" outlineLevel="1" x14ac:dyDescent="0.25">
      <c r="A662" s="34"/>
      <c r="B662" s="17" t="s">
        <v>80</v>
      </c>
      <c r="C662" s="35"/>
      <c r="D662" s="35"/>
      <c r="E662" s="35"/>
      <c r="F662" s="35"/>
      <c r="G662" s="35"/>
      <c r="H662" s="35">
        <f t="shared" si="159"/>
        <v>0</v>
      </c>
      <c r="I662" s="35"/>
      <c r="J662" s="35">
        <f t="shared" si="157"/>
        <v>0</v>
      </c>
      <c r="K662" s="36">
        <v>658</v>
      </c>
    </row>
    <row r="663" spans="1:11" hidden="1" outlineLevel="1" x14ac:dyDescent="0.25">
      <c r="A663" s="34"/>
      <c r="B663" s="17" t="s">
        <v>81</v>
      </c>
      <c r="C663" s="35"/>
      <c r="D663" s="35"/>
      <c r="E663" s="35"/>
      <c r="F663" s="35"/>
      <c r="G663" s="35"/>
      <c r="H663" s="35">
        <f t="shared" si="159"/>
        <v>0</v>
      </c>
      <c r="I663" s="35"/>
      <c r="J663" s="35">
        <f t="shared" si="157"/>
        <v>0</v>
      </c>
      <c r="K663" s="36">
        <v>659</v>
      </c>
    </row>
    <row r="664" spans="1:11" hidden="1" outlineLevel="1" x14ac:dyDescent="0.25">
      <c r="A664" s="34"/>
      <c r="B664" s="18" t="s">
        <v>82</v>
      </c>
      <c r="C664" s="35"/>
      <c r="D664" s="35"/>
      <c r="E664" s="35"/>
      <c r="F664" s="35"/>
      <c r="G664" s="35"/>
      <c r="H664" s="35">
        <f t="shared" si="159"/>
        <v>0</v>
      </c>
      <c r="I664" s="35"/>
      <c r="J664" s="35">
        <f t="shared" si="157"/>
        <v>0</v>
      </c>
      <c r="K664" s="36">
        <v>660</v>
      </c>
    </row>
    <row r="665" spans="1:11" ht="30" hidden="1" outlineLevel="1" collapsed="1" x14ac:dyDescent="0.25">
      <c r="A665" s="34"/>
      <c r="B665" s="17" t="s">
        <v>83</v>
      </c>
      <c r="C665" s="35"/>
      <c r="D665" s="35"/>
      <c r="E665" s="35"/>
      <c r="F665" s="35"/>
      <c r="G665" s="35"/>
      <c r="H665" s="35">
        <f t="shared" si="159"/>
        <v>0</v>
      </c>
      <c r="I665" s="35"/>
      <c r="J665" s="35">
        <f t="shared" si="157"/>
        <v>0</v>
      </c>
      <c r="K665" s="36">
        <v>661</v>
      </c>
    </row>
    <row r="666" spans="1:11" hidden="1" outlineLevel="1" x14ac:dyDescent="0.25">
      <c r="A666" s="28"/>
      <c r="B666" s="15" t="s">
        <v>84</v>
      </c>
      <c r="C666" s="29">
        <f>+SUM(C667:C671)</f>
        <v>0</v>
      </c>
      <c r="D666" s="29">
        <f t="shared" ref="D666:G666" si="163">+SUM(D667:D671)</f>
        <v>0</v>
      </c>
      <c r="E666" s="29">
        <f t="shared" si="163"/>
        <v>0</v>
      </c>
      <c r="F666" s="29">
        <f t="shared" si="163"/>
        <v>0</v>
      </c>
      <c r="G666" s="29">
        <f t="shared" si="163"/>
        <v>0</v>
      </c>
      <c r="H666" s="29">
        <f t="shared" si="159"/>
        <v>0</v>
      </c>
      <c r="I666" s="29"/>
      <c r="J666" s="29">
        <f t="shared" si="157"/>
        <v>0</v>
      </c>
      <c r="K666" s="30">
        <v>662</v>
      </c>
    </row>
    <row r="667" spans="1:11" hidden="1" outlineLevel="1" x14ac:dyDescent="0.25">
      <c r="A667" s="34"/>
      <c r="B667" s="17"/>
      <c r="C667" s="35"/>
      <c r="D667" s="35"/>
      <c r="E667" s="35"/>
      <c r="F667" s="35"/>
      <c r="G667" s="35"/>
      <c r="H667" s="35">
        <f t="shared" si="159"/>
        <v>0</v>
      </c>
      <c r="I667" s="35"/>
      <c r="J667" s="35">
        <f t="shared" si="157"/>
        <v>0</v>
      </c>
      <c r="K667" s="36">
        <v>663</v>
      </c>
    </row>
    <row r="668" spans="1:11" hidden="1" outlineLevel="1" collapsed="1" x14ac:dyDescent="0.25">
      <c r="A668" s="34"/>
      <c r="B668" s="17"/>
      <c r="C668" s="35"/>
      <c r="D668" s="35"/>
      <c r="E668" s="35"/>
      <c r="F668" s="35"/>
      <c r="G668" s="35"/>
      <c r="H668" s="35">
        <f t="shared" si="159"/>
        <v>0</v>
      </c>
      <c r="I668" s="35"/>
      <c r="J668" s="35">
        <f t="shared" si="157"/>
        <v>0</v>
      </c>
      <c r="K668" s="36">
        <v>664</v>
      </c>
    </row>
    <row r="669" spans="1:11" hidden="1" outlineLevel="1" x14ac:dyDescent="0.25">
      <c r="A669" s="34"/>
      <c r="B669" s="17"/>
      <c r="C669" s="35"/>
      <c r="D669" s="35"/>
      <c r="E669" s="35"/>
      <c r="F669" s="35"/>
      <c r="G669" s="35"/>
      <c r="H669" s="35">
        <f t="shared" si="159"/>
        <v>0</v>
      </c>
      <c r="I669" s="35"/>
      <c r="J669" s="35">
        <f t="shared" si="157"/>
        <v>0</v>
      </c>
      <c r="K669" s="36">
        <v>665</v>
      </c>
    </row>
    <row r="670" spans="1:11" hidden="1" outlineLevel="1" x14ac:dyDescent="0.25">
      <c r="A670" s="34"/>
      <c r="B670" s="17" t="s">
        <v>86</v>
      </c>
      <c r="C670" s="35"/>
      <c r="D670" s="35"/>
      <c r="E670" s="35"/>
      <c r="F670" s="35"/>
      <c r="G670" s="35"/>
      <c r="H670" s="35">
        <f t="shared" si="159"/>
        <v>0</v>
      </c>
      <c r="I670" s="35"/>
      <c r="J670" s="35">
        <f t="shared" si="157"/>
        <v>0</v>
      </c>
      <c r="K670" s="36">
        <v>666</v>
      </c>
    </row>
    <row r="671" spans="1:11" hidden="1" outlineLevel="1" collapsed="1" x14ac:dyDescent="0.25">
      <c r="A671" s="34"/>
      <c r="B671" s="17"/>
      <c r="C671" s="35"/>
      <c r="D671" s="35"/>
      <c r="E671" s="35"/>
      <c r="F671" s="35"/>
      <c r="G671" s="35"/>
      <c r="H671" s="35">
        <f t="shared" si="159"/>
        <v>0</v>
      </c>
      <c r="I671" s="35"/>
      <c r="J671" s="35">
        <f t="shared" si="157"/>
        <v>0</v>
      </c>
      <c r="K671" s="36">
        <v>667</v>
      </c>
    </row>
    <row r="672" spans="1:11" ht="45" collapsed="1" x14ac:dyDescent="0.25">
      <c r="A672" s="39" t="s">
        <v>141</v>
      </c>
      <c r="B672" s="14" t="s">
        <v>142</v>
      </c>
      <c r="C672" s="24">
        <f>+C673+C699</f>
        <v>0</v>
      </c>
      <c r="D672" s="24">
        <f t="shared" ref="D672:G672" si="164">+D673+D699</f>
        <v>0</v>
      </c>
      <c r="E672" s="24">
        <f t="shared" si="164"/>
        <v>0</v>
      </c>
      <c r="F672" s="24">
        <f t="shared" si="164"/>
        <v>0</v>
      </c>
      <c r="G672" s="24">
        <f t="shared" si="164"/>
        <v>0</v>
      </c>
      <c r="H672" s="24">
        <f t="shared" si="159"/>
        <v>0</v>
      </c>
      <c r="I672" s="24"/>
      <c r="J672" s="24">
        <f t="shared" si="157"/>
        <v>0</v>
      </c>
      <c r="K672" s="25">
        <v>668</v>
      </c>
    </row>
    <row r="673" spans="1:11" ht="30" x14ac:dyDescent="0.25">
      <c r="A673" s="40" t="s">
        <v>60</v>
      </c>
      <c r="B673" s="10" t="s">
        <v>143</v>
      </c>
      <c r="C673" s="26">
        <f t="shared" ref="C673:G673" si="165">+C674+C683+C687+C693</f>
        <v>0</v>
      </c>
      <c r="D673" s="26">
        <f t="shared" si="165"/>
        <v>0</v>
      </c>
      <c r="E673" s="26">
        <f t="shared" si="165"/>
        <v>0</v>
      </c>
      <c r="F673" s="26">
        <f t="shared" si="165"/>
        <v>0</v>
      </c>
      <c r="G673" s="26">
        <f t="shared" si="165"/>
        <v>0</v>
      </c>
      <c r="H673" s="26">
        <f t="shared" si="159"/>
        <v>0</v>
      </c>
      <c r="I673" s="26">
        <v>0</v>
      </c>
      <c r="J673" s="26">
        <f t="shared" si="157"/>
        <v>0</v>
      </c>
      <c r="K673" s="27">
        <v>669</v>
      </c>
    </row>
    <row r="674" spans="1:11" hidden="1" outlineLevel="1" x14ac:dyDescent="0.25">
      <c r="A674" s="28"/>
      <c r="B674" s="15" t="s">
        <v>65</v>
      </c>
      <c r="C674" s="29">
        <f t="shared" ref="C674:G674" si="166">+SUM(C675:C682)</f>
        <v>0</v>
      </c>
      <c r="D674" s="29">
        <f t="shared" si="166"/>
        <v>0</v>
      </c>
      <c r="E674" s="29">
        <f t="shared" si="166"/>
        <v>0</v>
      </c>
      <c r="F674" s="29">
        <f t="shared" si="166"/>
        <v>0</v>
      </c>
      <c r="G674" s="29">
        <f t="shared" si="166"/>
        <v>0</v>
      </c>
      <c r="H674" s="29">
        <f t="shared" si="159"/>
        <v>0</v>
      </c>
      <c r="I674" s="29">
        <v>0</v>
      </c>
      <c r="J674" s="29">
        <f t="shared" si="157"/>
        <v>0</v>
      </c>
      <c r="K674" s="30">
        <v>670</v>
      </c>
    </row>
    <row r="675" spans="1:11" hidden="1" outlineLevel="1" x14ac:dyDescent="0.25">
      <c r="A675" s="31"/>
      <c r="B675" s="16" t="s">
        <v>66</v>
      </c>
      <c r="C675" s="32"/>
      <c r="D675" s="32"/>
      <c r="E675" s="32"/>
      <c r="F675" s="32"/>
      <c r="G675" s="32"/>
      <c r="H675" s="32">
        <f t="shared" si="159"/>
        <v>0</v>
      </c>
      <c r="I675" s="32"/>
      <c r="J675" s="32">
        <f t="shared" si="157"/>
        <v>0</v>
      </c>
      <c r="K675" s="33">
        <v>671</v>
      </c>
    </row>
    <row r="676" spans="1:11" hidden="1" outlineLevel="1" x14ac:dyDescent="0.25">
      <c r="A676" s="31"/>
      <c r="B676" s="17" t="s">
        <v>67</v>
      </c>
      <c r="C676" s="32"/>
      <c r="D676" s="32"/>
      <c r="E676" s="32"/>
      <c r="F676" s="32"/>
      <c r="G676" s="32"/>
      <c r="H676" s="32">
        <f t="shared" si="159"/>
        <v>0</v>
      </c>
      <c r="I676" s="32"/>
      <c r="J676" s="32">
        <f t="shared" si="157"/>
        <v>0</v>
      </c>
      <c r="K676" s="33">
        <v>672</v>
      </c>
    </row>
    <row r="677" spans="1:11" ht="30" hidden="1" outlineLevel="1" x14ac:dyDescent="0.25">
      <c r="A677" s="31"/>
      <c r="B677" s="17" t="s">
        <v>68</v>
      </c>
      <c r="C677" s="32"/>
      <c r="D677" s="32"/>
      <c r="E677" s="32"/>
      <c r="F677" s="32"/>
      <c r="G677" s="32"/>
      <c r="H677" s="32">
        <f t="shared" si="159"/>
        <v>0</v>
      </c>
      <c r="I677" s="32"/>
      <c r="J677" s="32">
        <f t="shared" si="157"/>
        <v>0</v>
      </c>
      <c r="K677" s="33">
        <v>673</v>
      </c>
    </row>
    <row r="678" spans="1:11" hidden="1" outlineLevel="1" x14ac:dyDescent="0.25">
      <c r="A678" s="31"/>
      <c r="B678" s="16" t="s">
        <v>69</v>
      </c>
      <c r="C678" s="32"/>
      <c r="D678" s="32"/>
      <c r="E678" s="32"/>
      <c r="F678" s="32"/>
      <c r="G678" s="32"/>
      <c r="H678" s="32">
        <f t="shared" si="159"/>
        <v>0</v>
      </c>
      <c r="I678" s="32"/>
      <c r="J678" s="32">
        <f t="shared" si="157"/>
        <v>0</v>
      </c>
      <c r="K678" s="33">
        <v>674</v>
      </c>
    </row>
    <row r="679" spans="1:11" hidden="1" outlineLevel="1" x14ac:dyDescent="0.25">
      <c r="A679" s="31"/>
      <c r="B679" s="17" t="s">
        <v>70</v>
      </c>
      <c r="C679" s="32"/>
      <c r="D679" s="32"/>
      <c r="E679" s="32"/>
      <c r="F679" s="32"/>
      <c r="G679" s="32"/>
      <c r="H679" s="32">
        <f t="shared" si="159"/>
        <v>0</v>
      </c>
      <c r="I679" s="32"/>
      <c r="J679" s="32">
        <f t="shared" si="157"/>
        <v>0</v>
      </c>
      <c r="K679" s="33">
        <v>675</v>
      </c>
    </row>
    <row r="680" spans="1:11" ht="30" hidden="1" outlineLevel="1" x14ac:dyDescent="0.25">
      <c r="A680" s="31"/>
      <c r="B680" s="17" t="s">
        <v>71</v>
      </c>
      <c r="C680" s="32"/>
      <c r="D680" s="32"/>
      <c r="E680" s="32"/>
      <c r="F680" s="32"/>
      <c r="G680" s="32"/>
      <c r="H680" s="32">
        <f t="shared" si="159"/>
        <v>0</v>
      </c>
      <c r="I680" s="32"/>
      <c r="J680" s="32">
        <f t="shared" si="157"/>
        <v>0</v>
      </c>
      <c r="K680" s="33">
        <v>676</v>
      </c>
    </row>
    <row r="681" spans="1:11" hidden="1" outlineLevel="1" x14ac:dyDescent="0.25">
      <c r="A681" s="31"/>
      <c r="B681" s="16" t="s">
        <v>72</v>
      </c>
      <c r="C681" s="32"/>
      <c r="D681" s="32"/>
      <c r="E681" s="32"/>
      <c r="F681" s="32"/>
      <c r="G681" s="32"/>
      <c r="H681" s="32">
        <f t="shared" si="159"/>
        <v>0</v>
      </c>
      <c r="I681" s="32"/>
      <c r="J681" s="32">
        <f t="shared" si="157"/>
        <v>0</v>
      </c>
      <c r="K681" s="33">
        <v>677</v>
      </c>
    </row>
    <row r="682" spans="1:11" ht="30" hidden="1" outlineLevel="1" x14ac:dyDescent="0.25">
      <c r="A682" s="31"/>
      <c r="B682" s="17" t="s">
        <v>73</v>
      </c>
      <c r="C682" s="32"/>
      <c r="D682" s="32"/>
      <c r="E682" s="32"/>
      <c r="F682" s="32"/>
      <c r="G682" s="32"/>
      <c r="H682" s="32">
        <f t="shared" si="159"/>
        <v>0</v>
      </c>
      <c r="I682" s="32"/>
      <c r="J682" s="32">
        <f t="shared" si="157"/>
        <v>0</v>
      </c>
      <c r="K682" s="33">
        <v>678</v>
      </c>
    </row>
    <row r="683" spans="1:11" hidden="1" outlineLevel="1" x14ac:dyDescent="0.25">
      <c r="A683" s="28"/>
      <c r="B683" s="15" t="s">
        <v>74</v>
      </c>
      <c r="C683" s="29">
        <f t="shared" ref="C683:G683" si="167">+SUM(C684:C686)</f>
        <v>0</v>
      </c>
      <c r="D683" s="29">
        <f t="shared" si="167"/>
        <v>0</v>
      </c>
      <c r="E683" s="29">
        <f t="shared" si="167"/>
        <v>0</v>
      </c>
      <c r="F683" s="29">
        <f t="shared" si="167"/>
        <v>0</v>
      </c>
      <c r="G683" s="29">
        <f t="shared" si="167"/>
        <v>0</v>
      </c>
      <c r="H683" s="29">
        <f t="shared" si="159"/>
        <v>0</v>
      </c>
      <c r="I683" s="29"/>
      <c r="J683" s="29">
        <f t="shared" si="157"/>
        <v>0</v>
      </c>
      <c r="K683" s="30">
        <v>679</v>
      </c>
    </row>
    <row r="684" spans="1:11" ht="30" hidden="1" outlineLevel="1" x14ac:dyDescent="0.25">
      <c r="A684" s="34"/>
      <c r="B684" s="17" t="s">
        <v>75</v>
      </c>
      <c r="C684" s="35"/>
      <c r="D684" s="35"/>
      <c r="E684" s="35"/>
      <c r="F684" s="35"/>
      <c r="G684" s="35"/>
      <c r="H684" s="35">
        <f t="shared" si="159"/>
        <v>0</v>
      </c>
      <c r="I684" s="35"/>
      <c r="J684" s="35">
        <f t="shared" si="157"/>
        <v>0</v>
      </c>
      <c r="K684" s="36">
        <v>680</v>
      </c>
    </row>
    <row r="685" spans="1:11" ht="30" hidden="1" outlineLevel="1" x14ac:dyDescent="0.25">
      <c r="A685" s="34"/>
      <c r="B685" s="17" t="s">
        <v>76</v>
      </c>
      <c r="C685" s="35"/>
      <c r="D685" s="35"/>
      <c r="E685" s="35"/>
      <c r="F685" s="35"/>
      <c r="G685" s="35"/>
      <c r="H685" s="35">
        <f t="shared" si="159"/>
        <v>0</v>
      </c>
      <c r="I685" s="35"/>
      <c r="J685" s="35">
        <f t="shared" si="157"/>
        <v>0</v>
      </c>
      <c r="K685" s="36">
        <v>681</v>
      </c>
    </row>
    <row r="686" spans="1:11" ht="30" hidden="1" outlineLevel="1" x14ac:dyDescent="0.25">
      <c r="A686" s="34"/>
      <c r="B686" s="17" t="s">
        <v>77</v>
      </c>
      <c r="C686" s="35"/>
      <c r="D686" s="35"/>
      <c r="E686" s="35"/>
      <c r="F686" s="35"/>
      <c r="G686" s="35"/>
      <c r="H686" s="35">
        <f t="shared" si="159"/>
        <v>0</v>
      </c>
      <c r="I686" s="35"/>
      <c r="J686" s="35">
        <f t="shared" si="157"/>
        <v>0</v>
      </c>
      <c r="K686" s="36">
        <v>682</v>
      </c>
    </row>
    <row r="687" spans="1:11" hidden="1" outlineLevel="1" x14ac:dyDescent="0.25">
      <c r="A687" s="28"/>
      <c r="B687" s="15" t="s">
        <v>78</v>
      </c>
      <c r="C687" s="29">
        <f t="shared" ref="C687:G687" si="168">+SUM(C688:C692)</f>
        <v>0</v>
      </c>
      <c r="D687" s="29">
        <f t="shared" si="168"/>
        <v>0</v>
      </c>
      <c r="E687" s="29">
        <f t="shared" si="168"/>
        <v>0</v>
      </c>
      <c r="F687" s="29">
        <f t="shared" si="168"/>
        <v>0</v>
      </c>
      <c r="G687" s="29">
        <f t="shared" si="168"/>
        <v>0</v>
      </c>
      <c r="H687" s="29">
        <f t="shared" si="159"/>
        <v>0</v>
      </c>
      <c r="I687" s="29"/>
      <c r="J687" s="29">
        <f t="shared" si="157"/>
        <v>0</v>
      </c>
      <c r="K687" s="30">
        <v>683</v>
      </c>
    </row>
    <row r="688" spans="1:11" hidden="1" outlineLevel="1" x14ac:dyDescent="0.25">
      <c r="A688" s="34"/>
      <c r="B688" s="18" t="s">
        <v>79</v>
      </c>
      <c r="C688" s="35"/>
      <c r="D688" s="35"/>
      <c r="E688" s="35"/>
      <c r="F688" s="35"/>
      <c r="G688" s="35"/>
      <c r="H688" s="35">
        <f t="shared" si="159"/>
        <v>0</v>
      </c>
      <c r="I688" s="35"/>
      <c r="J688" s="35">
        <f t="shared" si="157"/>
        <v>0</v>
      </c>
      <c r="K688" s="36">
        <v>684</v>
      </c>
    </row>
    <row r="689" spans="1:11" ht="30" hidden="1" outlineLevel="1" x14ac:dyDescent="0.25">
      <c r="A689" s="34"/>
      <c r="B689" s="17" t="s">
        <v>80</v>
      </c>
      <c r="C689" s="35"/>
      <c r="D689" s="35"/>
      <c r="E689" s="35"/>
      <c r="F689" s="35"/>
      <c r="G689" s="35"/>
      <c r="H689" s="35">
        <f t="shared" si="159"/>
        <v>0</v>
      </c>
      <c r="I689" s="35"/>
      <c r="J689" s="35">
        <f t="shared" si="157"/>
        <v>0</v>
      </c>
      <c r="K689" s="36">
        <v>685</v>
      </c>
    </row>
    <row r="690" spans="1:11" hidden="1" outlineLevel="1" x14ac:dyDescent="0.25">
      <c r="A690" s="34"/>
      <c r="B690" s="17" t="s">
        <v>81</v>
      </c>
      <c r="C690" s="35"/>
      <c r="D690" s="35"/>
      <c r="E690" s="35"/>
      <c r="F690" s="35"/>
      <c r="G690" s="35"/>
      <c r="H690" s="35">
        <f t="shared" si="159"/>
        <v>0</v>
      </c>
      <c r="I690" s="35"/>
      <c r="J690" s="35">
        <f t="shared" si="157"/>
        <v>0</v>
      </c>
      <c r="K690" s="36">
        <v>686</v>
      </c>
    </row>
    <row r="691" spans="1:11" hidden="1" outlineLevel="1" collapsed="1" x14ac:dyDescent="0.25">
      <c r="A691" s="34"/>
      <c r="B691" s="18" t="s">
        <v>82</v>
      </c>
      <c r="C691" s="35"/>
      <c r="D691" s="35"/>
      <c r="E691" s="35"/>
      <c r="F691" s="35"/>
      <c r="G691" s="35"/>
      <c r="H691" s="35">
        <f t="shared" si="159"/>
        <v>0</v>
      </c>
      <c r="I691" s="35"/>
      <c r="J691" s="35">
        <f t="shared" si="157"/>
        <v>0</v>
      </c>
      <c r="K691" s="36">
        <v>687</v>
      </c>
    </row>
    <row r="692" spans="1:11" ht="30" hidden="1" outlineLevel="1" x14ac:dyDescent="0.25">
      <c r="A692" s="34"/>
      <c r="B692" s="17" t="s">
        <v>83</v>
      </c>
      <c r="C692" s="35"/>
      <c r="D692" s="35"/>
      <c r="E692" s="35"/>
      <c r="F692" s="35"/>
      <c r="G692" s="35"/>
      <c r="H692" s="35">
        <f t="shared" si="159"/>
        <v>0</v>
      </c>
      <c r="I692" s="35"/>
      <c r="J692" s="35">
        <f t="shared" si="157"/>
        <v>0</v>
      </c>
      <c r="K692" s="36">
        <v>688</v>
      </c>
    </row>
    <row r="693" spans="1:11" hidden="1" outlineLevel="1" collapsed="1" x14ac:dyDescent="0.25">
      <c r="A693" s="28"/>
      <c r="B693" s="15" t="s">
        <v>84</v>
      </c>
      <c r="C693" s="29">
        <f>+SUM(C694:C698)</f>
        <v>0</v>
      </c>
      <c r="D693" s="29">
        <f t="shared" ref="D693:G693" si="169">+SUM(D694:D698)</f>
        <v>0</v>
      </c>
      <c r="E693" s="29">
        <f t="shared" si="169"/>
        <v>0</v>
      </c>
      <c r="F693" s="29">
        <f t="shared" si="169"/>
        <v>0</v>
      </c>
      <c r="G693" s="29">
        <f t="shared" si="169"/>
        <v>0</v>
      </c>
      <c r="H693" s="29">
        <f t="shared" si="159"/>
        <v>0</v>
      </c>
      <c r="I693" s="29"/>
      <c r="J693" s="29">
        <f t="shared" si="157"/>
        <v>0</v>
      </c>
      <c r="K693" s="30">
        <v>689</v>
      </c>
    </row>
    <row r="694" spans="1:11" hidden="1" outlineLevel="1" x14ac:dyDescent="0.25">
      <c r="A694" s="34"/>
      <c r="B694" s="17"/>
      <c r="C694" s="35"/>
      <c r="D694" s="35"/>
      <c r="E694" s="35"/>
      <c r="F694" s="35"/>
      <c r="G694" s="35"/>
      <c r="H694" s="35">
        <f t="shared" si="159"/>
        <v>0</v>
      </c>
      <c r="I694" s="35"/>
      <c r="J694" s="35">
        <f t="shared" si="157"/>
        <v>0</v>
      </c>
      <c r="K694" s="36">
        <v>690</v>
      </c>
    </row>
    <row r="695" spans="1:11" hidden="1" outlineLevel="1" collapsed="1" x14ac:dyDescent="0.25">
      <c r="A695" s="34"/>
      <c r="B695" s="17"/>
      <c r="C695" s="35"/>
      <c r="D695" s="35"/>
      <c r="E695" s="35"/>
      <c r="F695" s="35"/>
      <c r="G695" s="35"/>
      <c r="H695" s="35">
        <f t="shared" si="159"/>
        <v>0</v>
      </c>
      <c r="I695" s="35"/>
      <c r="J695" s="35">
        <f t="shared" si="157"/>
        <v>0</v>
      </c>
      <c r="K695" s="36">
        <v>691</v>
      </c>
    </row>
    <row r="696" spans="1:11" hidden="1" outlineLevel="1" x14ac:dyDescent="0.25">
      <c r="A696" s="34"/>
      <c r="B696" s="17"/>
      <c r="C696" s="35"/>
      <c r="D696" s="35"/>
      <c r="E696" s="35"/>
      <c r="F696" s="35"/>
      <c r="G696" s="35"/>
      <c r="H696" s="35">
        <f t="shared" si="159"/>
        <v>0</v>
      </c>
      <c r="I696" s="35"/>
      <c r="J696" s="35">
        <f t="shared" si="157"/>
        <v>0</v>
      </c>
      <c r="K696" s="36">
        <v>692</v>
      </c>
    </row>
    <row r="697" spans="1:11" hidden="1" outlineLevel="1" collapsed="1" x14ac:dyDescent="0.25">
      <c r="A697" s="34"/>
      <c r="B697" s="17" t="s">
        <v>86</v>
      </c>
      <c r="C697" s="35"/>
      <c r="D697" s="35"/>
      <c r="E697" s="35"/>
      <c r="F697" s="35"/>
      <c r="G697" s="35"/>
      <c r="H697" s="35">
        <f t="shared" si="159"/>
        <v>0</v>
      </c>
      <c r="I697" s="35"/>
      <c r="J697" s="35">
        <f t="shared" si="157"/>
        <v>0</v>
      </c>
      <c r="K697" s="36">
        <v>693</v>
      </c>
    </row>
    <row r="698" spans="1:11" hidden="1" outlineLevel="1" x14ac:dyDescent="0.25">
      <c r="A698" s="34"/>
      <c r="B698" s="17"/>
      <c r="C698" s="35"/>
      <c r="D698" s="35"/>
      <c r="E698" s="35"/>
      <c r="F698" s="35"/>
      <c r="G698" s="35"/>
      <c r="H698" s="35">
        <f t="shared" si="159"/>
        <v>0</v>
      </c>
      <c r="I698" s="35"/>
      <c r="J698" s="35">
        <f t="shared" si="157"/>
        <v>0</v>
      </c>
      <c r="K698" s="36">
        <v>694</v>
      </c>
    </row>
    <row r="699" spans="1:11" ht="30" collapsed="1" x14ac:dyDescent="0.25">
      <c r="A699" s="40" t="s">
        <v>61</v>
      </c>
      <c r="B699" s="10" t="s">
        <v>144</v>
      </c>
      <c r="C699" s="26">
        <f t="shared" ref="C699:G699" si="170">+C700+C709+C713+C719</f>
        <v>0</v>
      </c>
      <c r="D699" s="26">
        <f t="shared" si="170"/>
        <v>0</v>
      </c>
      <c r="E699" s="26">
        <f t="shared" si="170"/>
        <v>0</v>
      </c>
      <c r="F699" s="26">
        <f t="shared" si="170"/>
        <v>0</v>
      </c>
      <c r="G699" s="26">
        <f t="shared" si="170"/>
        <v>0</v>
      </c>
      <c r="H699" s="26">
        <f t="shared" si="159"/>
        <v>0</v>
      </c>
      <c r="I699" s="26">
        <v>0</v>
      </c>
      <c r="J699" s="26">
        <f t="shared" si="157"/>
        <v>0</v>
      </c>
      <c r="K699" s="27">
        <v>695</v>
      </c>
    </row>
    <row r="700" spans="1:11" hidden="1" outlineLevel="1" x14ac:dyDescent="0.25">
      <c r="A700" s="28"/>
      <c r="B700" s="15" t="s">
        <v>65</v>
      </c>
      <c r="C700" s="29">
        <f t="shared" ref="C700:G700" si="171">+SUM(C701:C708)</f>
        <v>0</v>
      </c>
      <c r="D700" s="29">
        <f t="shared" si="171"/>
        <v>0</v>
      </c>
      <c r="E700" s="29">
        <f t="shared" si="171"/>
        <v>0</v>
      </c>
      <c r="F700" s="29">
        <f t="shared" si="171"/>
        <v>0</v>
      </c>
      <c r="G700" s="29">
        <f t="shared" si="171"/>
        <v>0</v>
      </c>
      <c r="H700" s="29">
        <f t="shared" si="159"/>
        <v>0</v>
      </c>
      <c r="I700" s="29">
        <v>0</v>
      </c>
      <c r="J700" s="29">
        <f t="shared" si="157"/>
        <v>0</v>
      </c>
      <c r="K700" s="30">
        <v>696</v>
      </c>
    </row>
    <row r="701" spans="1:11" hidden="1" outlineLevel="1" x14ac:dyDescent="0.25">
      <c r="A701" s="31"/>
      <c r="B701" s="16" t="s">
        <v>66</v>
      </c>
      <c r="C701" s="32"/>
      <c r="D701" s="32"/>
      <c r="E701" s="32"/>
      <c r="F701" s="32"/>
      <c r="G701" s="32"/>
      <c r="H701" s="32">
        <f t="shared" si="159"/>
        <v>0</v>
      </c>
      <c r="I701" s="32"/>
      <c r="J701" s="32">
        <f t="shared" si="157"/>
        <v>0</v>
      </c>
      <c r="K701" s="33">
        <v>697</v>
      </c>
    </row>
    <row r="702" spans="1:11" hidden="1" outlineLevel="1" x14ac:dyDescent="0.25">
      <c r="A702" s="31"/>
      <c r="B702" s="17" t="s">
        <v>67</v>
      </c>
      <c r="C702" s="32"/>
      <c r="D702" s="32"/>
      <c r="E702" s="32"/>
      <c r="F702" s="32"/>
      <c r="G702" s="32"/>
      <c r="H702" s="32">
        <f t="shared" si="159"/>
        <v>0</v>
      </c>
      <c r="I702" s="32"/>
      <c r="J702" s="32">
        <f t="shared" si="157"/>
        <v>0</v>
      </c>
      <c r="K702" s="33">
        <v>698</v>
      </c>
    </row>
    <row r="703" spans="1:11" ht="30" hidden="1" outlineLevel="1" x14ac:dyDescent="0.25">
      <c r="A703" s="31"/>
      <c r="B703" s="17" t="s">
        <v>68</v>
      </c>
      <c r="C703" s="32"/>
      <c r="D703" s="32"/>
      <c r="E703" s="32"/>
      <c r="F703" s="32"/>
      <c r="G703" s="32"/>
      <c r="H703" s="32">
        <f t="shared" si="159"/>
        <v>0</v>
      </c>
      <c r="I703" s="32"/>
      <c r="J703" s="32">
        <f t="shared" si="157"/>
        <v>0</v>
      </c>
      <c r="K703" s="33">
        <v>699</v>
      </c>
    </row>
    <row r="704" spans="1:11" hidden="1" outlineLevel="1" x14ac:dyDescent="0.25">
      <c r="A704" s="31"/>
      <c r="B704" s="16" t="s">
        <v>69</v>
      </c>
      <c r="C704" s="32"/>
      <c r="D704" s="32"/>
      <c r="E704" s="32"/>
      <c r="F704" s="32"/>
      <c r="G704" s="32"/>
      <c r="H704" s="32">
        <f t="shared" si="159"/>
        <v>0</v>
      </c>
      <c r="I704" s="32"/>
      <c r="J704" s="32">
        <f t="shared" si="157"/>
        <v>0</v>
      </c>
      <c r="K704" s="33">
        <v>700</v>
      </c>
    </row>
    <row r="705" spans="1:11" hidden="1" outlineLevel="1" x14ac:dyDescent="0.25">
      <c r="A705" s="31"/>
      <c r="B705" s="17" t="s">
        <v>70</v>
      </c>
      <c r="C705" s="32"/>
      <c r="D705" s="32"/>
      <c r="E705" s="32"/>
      <c r="F705" s="32"/>
      <c r="G705" s="32"/>
      <c r="H705" s="32">
        <f t="shared" si="159"/>
        <v>0</v>
      </c>
      <c r="I705" s="32"/>
      <c r="J705" s="32">
        <f t="shared" si="157"/>
        <v>0</v>
      </c>
      <c r="K705" s="33">
        <v>701</v>
      </c>
    </row>
    <row r="706" spans="1:11" ht="30" hidden="1" outlineLevel="1" x14ac:dyDescent="0.25">
      <c r="A706" s="31"/>
      <c r="B706" s="17" t="s">
        <v>71</v>
      </c>
      <c r="C706" s="32"/>
      <c r="D706" s="32"/>
      <c r="E706" s="32"/>
      <c r="F706" s="32"/>
      <c r="G706" s="32"/>
      <c r="H706" s="32">
        <f t="shared" si="159"/>
        <v>0</v>
      </c>
      <c r="I706" s="32"/>
      <c r="J706" s="32">
        <f t="shared" si="157"/>
        <v>0</v>
      </c>
      <c r="K706" s="33">
        <v>702</v>
      </c>
    </row>
    <row r="707" spans="1:11" hidden="1" outlineLevel="1" x14ac:dyDescent="0.25">
      <c r="A707" s="31"/>
      <c r="B707" s="16" t="s">
        <v>72</v>
      </c>
      <c r="C707" s="32"/>
      <c r="D707" s="32"/>
      <c r="E707" s="32"/>
      <c r="F707" s="32"/>
      <c r="G707" s="32"/>
      <c r="H707" s="32">
        <f t="shared" si="159"/>
        <v>0</v>
      </c>
      <c r="I707" s="32"/>
      <c r="J707" s="32">
        <f t="shared" si="157"/>
        <v>0</v>
      </c>
      <c r="K707" s="33">
        <v>703</v>
      </c>
    </row>
    <row r="708" spans="1:11" ht="30" hidden="1" outlineLevel="1" x14ac:dyDescent="0.25">
      <c r="A708" s="31"/>
      <c r="B708" s="17" t="s">
        <v>73</v>
      </c>
      <c r="C708" s="32"/>
      <c r="D708" s="32"/>
      <c r="E708" s="32"/>
      <c r="F708" s="32"/>
      <c r="G708" s="32"/>
      <c r="H708" s="32">
        <f t="shared" si="159"/>
        <v>0</v>
      </c>
      <c r="I708" s="32"/>
      <c r="J708" s="32">
        <f t="shared" si="157"/>
        <v>0</v>
      </c>
      <c r="K708" s="33">
        <v>704</v>
      </c>
    </row>
    <row r="709" spans="1:11" hidden="1" outlineLevel="1" x14ac:dyDescent="0.25">
      <c r="A709" s="28"/>
      <c r="B709" s="15" t="s">
        <v>74</v>
      </c>
      <c r="C709" s="29">
        <f t="shared" ref="C709:G709" si="172">+SUM(C710:C712)</f>
        <v>0</v>
      </c>
      <c r="D709" s="29">
        <f t="shared" si="172"/>
        <v>0</v>
      </c>
      <c r="E709" s="29">
        <f t="shared" si="172"/>
        <v>0</v>
      </c>
      <c r="F709" s="29">
        <f t="shared" si="172"/>
        <v>0</v>
      </c>
      <c r="G709" s="29">
        <f t="shared" si="172"/>
        <v>0</v>
      </c>
      <c r="H709" s="29">
        <f t="shared" si="159"/>
        <v>0</v>
      </c>
      <c r="I709" s="29"/>
      <c r="J709" s="29">
        <f t="shared" ref="J709:J772" si="173">+I709-H709</f>
        <v>0</v>
      </c>
      <c r="K709" s="30">
        <v>705</v>
      </c>
    </row>
    <row r="710" spans="1:11" ht="30" hidden="1" outlineLevel="1" x14ac:dyDescent="0.25">
      <c r="A710" s="34"/>
      <c r="B710" s="17" t="s">
        <v>75</v>
      </c>
      <c r="C710" s="35"/>
      <c r="D710" s="35"/>
      <c r="E710" s="35"/>
      <c r="F710" s="35"/>
      <c r="G710" s="35"/>
      <c r="H710" s="35">
        <f t="shared" ref="H710:H773" si="174">+SUM(C710:G710)</f>
        <v>0</v>
      </c>
      <c r="I710" s="35"/>
      <c r="J710" s="35">
        <f t="shared" si="173"/>
        <v>0</v>
      </c>
      <c r="K710" s="36">
        <v>706</v>
      </c>
    </row>
    <row r="711" spans="1:11" ht="30" hidden="1" outlineLevel="1" x14ac:dyDescent="0.25">
      <c r="A711" s="34"/>
      <c r="B711" s="17" t="s">
        <v>76</v>
      </c>
      <c r="C711" s="35"/>
      <c r="D711" s="35"/>
      <c r="E711" s="35"/>
      <c r="F711" s="35"/>
      <c r="G711" s="35"/>
      <c r="H711" s="35">
        <f t="shared" si="174"/>
        <v>0</v>
      </c>
      <c r="I711" s="35"/>
      <c r="J711" s="35">
        <f t="shared" si="173"/>
        <v>0</v>
      </c>
      <c r="K711" s="36">
        <v>707</v>
      </c>
    </row>
    <row r="712" spans="1:11" ht="30" hidden="1" outlineLevel="1" x14ac:dyDescent="0.25">
      <c r="A712" s="34"/>
      <c r="B712" s="17" t="s">
        <v>77</v>
      </c>
      <c r="C712" s="35"/>
      <c r="D712" s="35"/>
      <c r="E712" s="35"/>
      <c r="F712" s="35"/>
      <c r="G712" s="35"/>
      <c r="H712" s="35">
        <f t="shared" si="174"/>
        <v>0</v>
      </c>
      <c r="I712" s="35"/>
      <c r="J712" s="35">
        <f t="shared" si="173"/>
        <v>0</v>
      </c>
      <c r="K712" s="36">
        <v>708</v>
      </c>
    </row>
    <row r="713" spans="1:11" hidden="1" outlineLevel="1" x14ac:dyDescent="0.25">
      <c r="A713" s="28"/>
      <c r="B713" s="15" t="s">
        <v>78</v>
      </c>
      <c r="C713" s="29">
        <f t="shared" ref="C713:G713" si="175">+SUM(C714:C718)</f>
        <v>0</v>
      </c>
      <c r="D713" s="29">
        <f t="shared" si="175"/>
        <v>0</v>
      </c>
      <c r="E713" s="29">
        <f t="shared" si="175"/>
        <v>0</v>
      </c>
      <c r="F713" s="29">
        <f t="shared" si="175"/>
        <v>0</v>
      </c>
      <c r="G713" s="29">
        <f t="shared" si="175"/>
        <v>0</v>
      </c>
      <c r="H713" s="29">
        <f t="shared" si="174"/>
        <v>0</v>
      </c>
      <c r="I713" s="29"/>
      <c r="J713" s="29">
        <f t="shared" si="173"/>
        <v>0</v>
      </c>
      <c r="K713" s="30">
        <v>709</v>
      </c>
    </row>
    <row r="714" spans="1:11" hidden="1" outlineLevel="1" x14ac:dyDescent="0.25">
      <c r="A714" s="34"/>
      <c r="B714" s="18" t="s">
        <v>79</v>
      </c>
      <c r="C714" s="35"/>
      <c r="D714" s="35"/>
      <c r="E714" s="35"/>
      <c r="F714" s="35"/>
      <c r="G714" s="35"/>
      <c r="H714" s="35">
        <f t="shared" si="174"/>
        <v>0</v>
      </c>
      <c r="I714" s="35"/>
      <c r="J714" s="35">
        <f t="shared" si="173"/>
        <v>0</v>
      </c>
      <c r="K714" s="36">
        <v>710</v>
      </c>
    </row>
    <row r="715" spans="1:11" ht="30" hidden="1" outlineLevel="1" x14ac:dyDescent="0.25">
      <c r="A715" s="34"/>
      <c r="B715" s="17" t="s">
        <v>80</v>
      </c>
      <c r="C715" s="35"/>
      <c r="D715" s="35"/>
      <c r="E715" s="35"/>
      <c r="F715" s="35"/>
      <c r="G715" s="35"/>
      <c r="H715" s="35">
        <f t="shared" si="174"/>
        <v>0</v>
      </c>
      <c r="I715" s="35"/>
      <c r="J715" s="35">
        <f t="shared" si="173"/>
        <v>0</v>
      </c>
      <c r="K715" s="36">
        <v>711</v>
      </c>
    </row>
    <row r="716" spans="1:11" hidden="1" outlineLevel="1" x14ac:dyDescent="0.25">
      <c r="A716" s="34"/>
      <c r="B716" s="17" t="s">
        <v>81</v>
      </c>
      <c r="C716" s="35"/>
      <c r="D716" s="35"/>
      <c r="E716" s="35"/>
      <c r="F716" s="35"/>
      <c r="G716" s="35"/>
      <c r="H716" s="35">
        <f t="shared" si="174"/>
        <v>0</v>
      </c>
      <c r="I716" s="35"/>
      <c r="J716" s="35">
        <f t="shared" si="173"/>
        <v>0</v>
      </c>
      <c r="K716" s="36">
        <v>712</v>
      </c>
    </row>
    <row r="717" spans="1:11" hidden="1" outlineLevel="1" x14ac:dyDescent="0.25">
      <c r="A717" s="34"/>
      <c r="B717" s="18" t="s">
        <v>82</v>
      </c>
      <c r="C717" s="35"/>
      <c r="D717" s="35"/>
      <c r="E717" s="35"/>
      <c r="F717" s="35"/>
      <c r="G717" s="35"/>
      <c r="H717" s="35">
        <f t="shared" si="174"/>
        <v>0</v>
      </c>
      <c r="I717" s="35"/>
      <c r="J717" s="35">
        <f t="shared" si="173"/>
        <v>0</v>
      </c>
      <c r="K717" s="36">
        <v>713</v>
      </c>
    </row>
    <row r="718" spans="1:11" ht="30" hidden="1" outlineLevel="1" x14ac:dyDescent="0.25">
      <c r="A718" s="34"/>
      <c r="B718" s="17" t="s">
        <v>83</v>
      </c>
      <c r="C718" s="35"/>
      <c r="D718" s="35"/>
      <c r="E718" s="35"/>
      <c r="F718" s="35"/>
      <c r="G718" s="35"/>
      <c r="H718" s="35">
        <f t="shared" si="174"/>
        <v>0</v>
      </c>
      <c r="I718" s="35"/>
      <c r="J718" s="35">
        <f t="shared" si="173"/>
        <v>0</v>
      </c>
      <c r="K718" s="36">
        <v>714</v>
      </c>
    </row>
    <row r="719" spans="1:11" hidden="1" outlineLevel="1" collapsed="1" x14ac:dyDescent="0.25">
      <c r="A719" s="28"/>
      <c r="B719" s="15" t="s">
        <v>84</v>
      </c>
      <c r="C719" s="29">
        <f>+SUM(C720:C724)</f>
        <v>0</v>
      </c>
      <c r="D719" s="29">
        <f t="shared" ref="D719:G719" si="176">+SUM(D720:D724)</f>
        <v>0</v>
      </c>
      <c r="E719" s="29">
        <f t="shared" si="176"/>
        <v>0</v>
      </c>
      <c r="F719" s="29">
        <f t="shared" si="176"/>
        <v>0</v>
      </c>
      <c r="G719" s="29">
        <f t="shared" si="176"/>
        <v>0</v>
      </c>
      <c r="H719" s="29">
        <f t="shared" si="174"/>
        <v>0</v>
      </c>
      <c r="I719" s="29"/>
      <c r="J719" s="29">
        <f t="shared" si="173"/>
        <v>0</v>
      </c>
      <c r="K719" s="30">
        <v>715</v>
      </c>
    </row>
    <row r="720" spans="1:11" hidden="1" outlineLevel="1" collapsed="1" x14ac:dyDescent="0.25">
      <c r="A720" s="34"/>
      <c r="B720" s="17"/>
      <c r="C720" s="35"/>
      <c r="D720" s="35"/>
      <c r="E720" s="35"/>
      <c r="F720" s="35"/>
      <c r="G720" s="35"/>
      <c r="H720" s="35">
        <f t="shared" si="174"/>
        <v>0</v>
      </c>
      <c r="I720" s="35"/>
      <c r="J720" s="35">
        <f t="shared" si="173"/>
        <v>0</v>
      </c>
      <c r="K720" s="36">
        <v>716</v>
      </c>
    </row>
    <row r="721" spans="1:11" hidden="1" outlineLevel="1" collapsed="1" x14ac:dyDescent="0.25">
      <c r="A721" s="34"/>
      <c r="B721" s="17"/>
      <c r="C721" s="35"/>
      <c r="D721" s="35"/>
      <c r="E721" s="35"/>
      <c r="F721" s="35"/>
      <c r="G721" s="35"/>
      <c r="H721" s="35">
        <f t="shared" si="174"/>
        <v>0</v>
      </c>
      <c r="I721" s="35"/>
      <c r="J721" s="35">
        <f t="shared" si="173"/>
        <v>0</v>
      </c>
      <c r="K721" s="36">
        <v>717</v>
      </c>
    </row>
    <row r="722" spans="1:11" hidden="1" outlineLevel="1" x14ac:dyDescent="0.25">
      <c r="A722" s="34"/>
      <c r="B722" s="17"/>
      <c r="C722" s="35"/>
      <c r="D722" s="35"/>
      <c r="E722" s="35"/>
      <c r="F722" s="35"/>
      <c r="G722" s="35"/>
      <c r="H722" s="35">
        <f t="shared" si="174"/>
        <v>0</v>
      </c>
      <c r="I722" s="35"/>
      <c r="J722" s="35">
        <f t="shared" si="173"/>
        <v>0</v>
      </c>
      <c r="K722" s="36">
        <v>718</v>
      </c>
    </row>
    <row r="723" spans="1:11" hidden="1" outlineLevel="1" x14ac:dyDescent="0.25">
      <c r="A723" s="34"/>
      <c r="B723" s="17" t="s">
        <v>86</v>
      </c>
      <c r="C723" s="35"/>
      <c r="D723" s="35"/>
      <c r="E723" s="35"/>
      <c r="F723" s="35"/>
      <c r="G723" s="35"/>
      <c r="H723" s="35">
        <f t="shared" si="174"/>
        <v>0</v>
      </c>
      <c r="I723" s="35"/>
      <c r="J723" s="35">
        <f t="shared" si="173"/>
        <v>0</v>
      </c>
      <c r="K723" s="36">
        <v>719</v>
      </c>
    </row>
    <row r="724" spans="1:11" hidden="1" outlineLevel="1" x14ac:dyDescent="0.25">
      <c r="A724" s="34"/>
      <c r="B724" s="17"/>
      <c r="C724" s="35"/>
      <c r="D724" s="35"/>
      <c r="E724" s="35"/>
      <c r="F724" s="35"/>
      <c r="G724" s="35"/>
      <c r="H724" s="35">
        <f t="shared" si="174"/>
        <v>0</v>
      </c>
      <c r="I724" s="35"/>
      <c r="J724" s="35">
        <f t="shared" si="173"/>
        <v>0</v>
      </c>
      <c r="K724" s="36">
        <v>720</v>
      </c>
    </row>
    <row r="725" spans="1:11" ht="30" collapsed="1" x14ac:dyDescent="0.25">
      <c r="A725" s="38">
        <v>5</v>
      </c>
      <c r="B725" s="13" t="s">
        <v>145</v>
      </c>
      <c r="C725" s="19">
        <f>+C726+C805+C884</f>
        <v>0</v>
      </c>
      <c r="D725" s="19">
        <f t="shared" ref="D725:G725" si="177">+D726+D805+D884</f>
        <v>0</v>
      </c>
      <c r="E725" s="19">
        <f t="shared" si="177"/>
        <v>0</v>
      </c>
      <c r="F725" s="19">
        <f t="shared" si="177"/>
        <v>0</v>
      </c>
      <c r="G725" s="19">
        <f t="shared" si="177"/>
        <v>0</v>
      </c>
      <c r="H725" s="19">
        <f t="shared" si="174"/>
        <v>0</v>
      </c>
      <c r="I725" s="19"/>
      <c r="J725" s="19">
        <f t="shared" si="173"/>
        <v>0</v>
      </c>
      <c r="K725" s="23">
        <v>721</v>
      </c>
    </row>
    <row r="726" spans="1:11" x14ac:dyDescent="0.25">
      <c r="A726" s="39" t="s">
        <v>146</v>
      </c>
      <c r="B726" s="14" t="s">
        <v>147</v>
      </c>
      <c r="C726" s="24">
        <f>+C727+C753+C779</f>
        <v>0</v>
      </c>
      <c r="D726" s="24">
        <f t="shared" ref="D726:G726" si="178">+D727+D753+D779</f>
        <v>0</v>
      </c>
      <c r="E726" s="24">
        <f t="shared" si="178"/>
        <v>0</v>
      </c>
      <c r="F726" s="24">
        <f t="shared" si="178"/>
        <v>0</v>
      </c>
      <c r="G726" s="24">
        <f t="shared" si="178"/>
        <v>0</v>
      </c>
      <c r="H726" s="24">
        <f t="shared" si="174"/>
        <v>0</v>
      </c>
      <c r="I726" s="24"/>
      <c r="J726" s="24">
        <f t="shared" si="173"/>
        <v>0</v>
      </c>
      <c r="K726" s="25">
        <v>722</v>
      </c>
    </row>
    <row r="727" spans="1:11" ht="45" x14ac:dyDescent="0.25">
      <c r="A727" s="40" t="s">
        <v>49</v>
      </c>
      <c r="B727" s="10" t="s">
        <v>148</v>
      </c>
      <c r="C727" s="26">
        <f t="shared" ref="C727:G727" si="179">+C728+C737+C741+C747</f>
        <v>0</v>
      </c>
      <c r="D727" s="26">
        <f t="shared" si="179"/>
        <v>0</v>
      </c>
      <c r="E727" s="26">
        <f t="shared" si="179"/>
        <v>0</v>
      </c>
      <c r="F727" s="26">
        <f t="shared" si="179"/>
        <v>0</v>
      </c>
      <c r="G727" s="26">
        <f t="shared" si="179"/>
        <v>0</v>
      </c>
      <c r="H727" s="26">
        <f t="shared" si="174"/>
        <v>0</v>
      </c>
      <c r="I727" s="26">
        <v>0</v>
      </c>
      <c r="J727" s="26">
        <f t="shared" si="173"/>
        <v>0</v>
      </c>
      <c r="K727" s="27">
        <v>723</v>
      </c>
    </row>
    <row r="728" spans="1:11" hidden="1" outlineLevel="1" x14ac:dyDescent="0.25">
      <c r="A728" s="28"/>
      <c r="B728" s="15" t="s">
        <v>65</v>
      </c>
      <c r="C728" s="29">
        <f t="shared" ref="C728:G728" si="180">+SUM(C729:C736)</f>
        <v>0</v>
      </c>
      <c r="D728" s="29">
        <f t="shared" si="180"/>
        <v>0</v>
      </c>
      <c r="E728" s="29">
        <f t="shared" si="180"/>
        <v>0</v>
      </c>
      <c r="F728" s="29">
        <f t="shared" si="180"/>
        <v>0</v>
      </c>
      <c r="G728" s="29">
        <f t="shared" si="180"/>
        <v>0</v>
      </c>
      <c r="H728" s="29">
        <f t="shared" si="174"/>
        <v>0</v>
      </c>
      <c r="I728" s="29">
        <v>0</v>
      </c>
      <c r="J728" s="29">
        <f t="shared" si="173"/>
        <v>0</v>
      </c>
      <c r="K728" s="30">
        <v>724</v>
      </c>
    </row>
    <row r="729" spans="1:11" hidden="1" outlineLevel="1" x14ac:dyDescent="0.25">
      <c r="A729" s="31"/>
      <c r="B729" s="16" t="s">
        <v>66</v>
      </c>
      <c r="C729" s="32"/>
      <c r="D729" s="32"/>
      <c r="E729" s="32"/>
      <c r="F729" s="32"/>
      <c r="G729" s="32"/>
      <c r="H729" s="32">
        <f t="shared" si="174"/>
        <v>0</v>
      </c>
      <c r="I729" s="32"/>
      <c r="J729" s="32">
        <f t="shared" si="173"/>
        <v>0</v>
      </c>
      <c r="K729" s="33">
        <v>725</v>
      </c>
    </row>
    <row r="730" spans="1:11" hidden="1" outlineLevel="1" x14ac:dyDescent="0.25">
      <c r="A730" s="31"/>
      <c r="B730" s="17" t="s">
        <v>67</v>
      </c>
      <c r="C730" s="32"/>
      <c r="D730" s="32"/>
      <c r="E730" s="32"/>
      <c r="F730" s="32"/>
      <c r="G730" s="32"/>
      <c r="H730" s="32">
        <f t="shared" si="174"/>
        <v>0</v>
      </c>
      <c r="I730" s="32"/>
      <c r="J730" s="32">
        <f t="shared" si="173"/>
        <v>0</v>
      </c>
      <c r="K730" s="33">
        <v>726</v>
      </c>
    </row>
    <row r="731" spans="1:11" ht="30" hidden="1" outlineLevel="1" x14ac:dyDescent="0.25">
      <c r="A731" s="31"/>
      <c r="B731" s="17" t="s">
        <v>68</v>
      </c>
      <c r="C731" s="32"/>
      <c r="D731" s="32"/>
      <c r="E731" s="32"/>
      <c r="F731" s="32"/>
      <c r="G731" s="32"/>
      <c r="H731" s="32">
        <f t="shared" si="174"/>
        <v>0</v>
      </c>
      <c r="I731" s="32"/>
      <c r="J731" s="32">
        <f t="shared" si="173"/>
        <v>0</v>
      </c>
      <c r="K731" s="33">
        <v>727</v>
      </c>
    </row>
    <row r="732" spans="1:11" hidden="1" outlineLevel="1" x14ac:dyDescent="0.25">
      <c r="A732" s="31"/>
      <c r="B732" s="16" t="s">
        <v>69</v>
      </c>
      <c r="C732" s="32"/>
      <c r="D732" s="32"/>
      <c r="E732" s="32"/>
      <c r="F732" s="32"/>
      <c r="G732" s="32"/>
      <c r="H732" s="32">
        <f t="shared" si="174"/>
        <v>0</v>
      </c>
      <c r="I732" s="32"/>
      <c r="J732" s="32">
        <f t="shared" si="173"/>
        <v>0</v>
      </c>
      <c r="K732" s="33">
        <v>728</v>
      </c>
    </row>
    <row r="733" spans="1:11" hidden="1" outlineLevel="1" x14ac:dyDescent="0.25">
      <c r="A733" s="31"/>
      <c r="B733" s="17" t="s">
        <v>70</v>
      </c>
      <c r="C733" s="32"/>
      <c r="D733" s="32"/>
      <c r="E733" s="32"/>
      <c r="F733" s="32"/>
      <c r="G733" s="32"/>
      <c r="H733" s="32">
        <f t="shared" si="174"/>
        <v>0</v>
      </c>
      <c r="I733" s="32"/>
      <c r="J733" s="32">
        <f t="shared" si="173"/>
        <v>0</v>
      </c>
      <c r="K733" s="33">
        <v>729</v>
      </c>
    </row>
    <row r="734" spans="1:11" ht="30" hidden="1" outlineLevel="1" x14ac:dyDescent="0.25">
      <c r="A734" s="31"/>
      <c r="B734" s="17" t="s">
        <v>71</v>
      </c>
      <c r="C734" s="32"/>
      <c r="D734" s="32"/>
      <c r="E734" s="32"/>
      <c r="F734" s="32"/>
      <c r="G734" s="32"/>
      <c r="H734" s="32">
        <f t="shared" si="174"/>
        <v>0</v>
      </c>
      <c r="I734" s="32"/>
      <c r="J734" s="32">
        <f t="shared" si="173"/>
        <v>0</v>
      </c>
      <c r="K734" s="33">
        <v>730</v>
      </c>
    </row>
    <row r="735" spans="1:11" hidden="1" outlineLevel="1" x14ac:dyDescent="0.25">
      <c r="A735" s="31"/>
      <c r="B735" s="16" t="s">
        <v>72</v>
      </c>
      <c r="C735" s="32"/>
      <c r="D735" s="32"/>
      <c r="E735" s="32"/>
      <c r="F735" s="32"/>
      <c r="G735" s="32"/>
      <c r="H735" s="32">
        <f t="shared" si="174"/>
        <v>0</v>
      </c>
      <c r="I735" s="32"/>
      <c r="J735" s="32">
        <f t="shared" si="173"/>
        <v>0</v>
      </c>
      <c r="K735" s="33">
        <v>731</v>
      </c>
    </row>
    <row r="736" spans="1:11" ht="30" hidden="1" outlineLevel="1" x14ac:dyDescent="0.25">
      <c r="A736" s="31"/>
      <c r="B736" s="17" t="s">
        <v>73</v>
      </c>
      <c r="C736" s="32"/>
      <c r="D736" s="32"/>
      <c r="E736" s="32"/>
      <c r="F736" s="32"/>
      <c r="G736" s="32"/>
      <c r="H736" s="32">
        <f t="shared" si="174"/>
        <v>0</v>
      </c>
      <c r="I736" s="32"/>
      <c r="J736" s="32">
        <f t="shared" si="173"/>
        <v>0</v>
      </c>
      <c r="K736" s="33">
        <v>732</v>
      </c>
    </row>
    <row r="737" spans="1:11" hidden="1" outlineLevel="1" x14ac:dyDescent="0.25">
      <c r="A737" s="28"/>
      <c r="B737" s="15" t="s">
        <v>74</v>
      </c>
      <c r="C737" s="29">
        <f t="shared" ref="C737:G737" si="181">+SUM(C738:C740)</f>
        <v>0</v>
      </c>
      <c r="D737" s="29">
        <f t="shared" si="181"/>
        <v>0</v>
      </c>
      <c r="E737" s="29">
        <f t="shared" si="181"/>
        <v>0</v>
      </c>
      <c r="F737" s="29">
        <f t="shared" si="181"/>
        <v>0</v>
      </c>
      <c r="G737" s="29">
        <f t="shared" si="181"/>
        <v>0</v>
      </c>
      <c r="H737" s="29">
        <f t="shared" si="174"/>
        <v>0</v>
      </c>
      <c r="I737" s="29"/>
      <c r="J737" s="29">
        <f t="shared" si="173"/>
        <v>0</v>
      </c>
      <c r="K737" s="30">
        <v>733</v>
      </c>
    </row>
    <row r="738" spans="1:11" ht="30" hidden="1" outlineLevel="1" x14ac:dyDescent="0.25">
      <c r="A738" s="34"/>
      <c r="B738" s="17" t="s">
        <v>75</v>
      </c>
      <c r="C738" s="35"/>
      <c r="D738" s="35"/>
      <c r="E738" s="35"/>
      <c r="F738" s="35"/>
      <c r="G738" s="35"/>
      <c r="H738" s="35">
        <f t="shared" si="174"/>
        <v>0</v>
      </c>
      <c r="I738" s="35"/>
      <c r="J738" s="35">
        <f t="shared" si="173"/>
        <v>0</v>
      </c>
      <c r="K738" s="36">
        <v>734</v>
      </c>
    </row>
    <row r="739" spans="1:11" ht="30" hidden="1" outlineLevel="1" x14ac:dyDescent="0.25">
      <c r="A739" s="34"/>
      <c r="B739" s="17" t="s">
        <v>76</v>
      </c>
      <c r="C739" s="35"/>
      <c r="D739" s="35"/>
      <c r="E739" s="35"/>
      <c r="F739" s="35"/>
      <c r="G739" s="35"/>
      <c r="H739" s="35">
        <f t="shared" si="174"/>
        <v>0</v>
      </c>
      <c r="I739" s="35"/>
      <c r="J739" s="35">
        <f t="shared" si="173"/>
        <v>0</v>
      </c>
      <c r="K739" s="36">
        <v>735</v>
      </c>
    </row>
    <row r="740" spans="1:11" ht="30" hidden="1" outlineLevel="1" x14ac:dyDescent="0.25">
      <c r="A740" s="34"/>
      <c r="B740" s="17" t="s">
        <v>77</v>
      </c>
      <c r="C740" s="35"/>
      <c r="D740" s="35"/>
      <c r="E740" s="35"/>
      <c r="F740" s="35"/>
      <c r="G740" s="35"/>
      <c r="H740" s="35">
        <f t="shared" si="174"/>
        <v>0</v>
      </c>
      <c r="I740" s="35"/>
      <c r="J740" s="35">
        <f t="shared" si="173"/>
        <v>0</v>
      </c>
      <c r="K740" s="36">
        <v>736</v>
      </c>
    </row>
    <row r="741" spans="1:11" hidden="1" outlineLevel="1" x14ac:dyDescent="0.25">
      <c r="A741" s="28"/>
      <c r="B741" s="15" t="s">
        <v>78</v>
      </c>
      <c r="C741" s="29">
        <f t="shared" ref="C741:G741" si="182">+SUM(C742:C746)</f>
        <v>0</v>
      </c>
      <c r="D741" s="29">
        <f t="shared" si="182"/>
        <v>0</v>
      </c>
      <c r="E741" s="29">
        <f t="shared" si="182"/>
        <v>0</v>
      </c>
      <c r="F741" s="29">
        <f t="shared" si="182"/>
        <v>0</v>
      </c>
      <c r="G741" s="29">
        <f t="shared" si="182"/>
        <v>0</v>
      </c>
      <c r="H741" s="29">
        <f t="shared" si="174"/>
        <v>0</v>
      </c>
      <c r="I741" s="29"/>
      <c r="J741" s="29">
        <f t="shared" si="173"/>
        <v>0</v>
      </c>
      <c r="K741" s="30">
        <v>737</v>
      </c>
    </row>
    <row r="742" spans="1:11" hidden="1" outlineLevel="1" x14ac:dyDescent="0.25">
      <c r="A742" s="34"/>
      <c r="B742" s="18" t="s">
        <v>79</v>
      </c>
      <c r="C742" s="35"/>
      <c r="D742" s="35"/>
      <c r="E742" s="35"/>
      <c r="F742" s="35"/>
      <c r="G742" s="35"/>
      <c r="H742" s="35">
        <f t="shared" si="174"/>
        <v>0</v>
      </c>
      <c r="I742" s="35"/>
      <c r="J742" s="35">
        <f t="shared" si="173"/>
        <v>0</v>
      </c>
      <c r="K742" s="36">
        <v>738</v>
      </c>
    </row>
    <row r="743" spans="1:11" ht="30" hidden="1" outlineLevel="1" x14ac:dyDescent="0.25">
      <c r="A743" s="34"/>
      <c r="B743" s="17" t="s">
        <v>80</v>
      </c>
      <c r="C743" s="35"/>
      <c r="D743" s="35"/>
      <c r="E743" s="35"/>
      <c r="F743" s="35"/>
      <c r="G743" s="35"/>
      <c r="H743" s="35">
        <f t="shared" si="174"/>
        <v>0</v>
      </c>
      <c r="I743" s="35"/>
      <c r="J743" s="35">
        <f t="shared" si="173"/>
        <v>0</v>
      </c>
      <c r="K743" s="36">
        <v>739</v>
      </c>
    </row>
    <row r="744" spans="1:11" hidden="1" outlineLevel="1" x14ac:dyDescent="0.25">
      <c r="A744" s="34"/>
      <c r="B744" s="17" t="s">
        <v>81</v>
      </c>
      <c r="C744" s="35"/>
      <c r="D744" s="35"/>
      <c r="E744" s="35"/>
      <c r="F744" s="35"/>
      <c r="G744" s="35"/>
      <c r="H744" s="35">
        <f t="shared" si="174"/>
        <v>0</v>
      </c>
      <c r="I744" s="35"/>
      <c r="J744" s="35">
        <f t="shared" si="173"/>
        <v>0</v>
      </c>
      <c r="K744" s="36">
        <v>740</v>
      </c>
    </row>
    <row r="745" spans="1:11" hidden="1" outlineLevel="1" collapsed="1" x14ac:dyDescent="0.25">
      <c r="A745" s="34"/>
      <c r="B745" s="18" t="s">
        <v>82</v>
      </c>
      <c r="C745" s="35"/>
      <c r="D745" s="35"/>
      <c r="E745" s="35"/>
      <c r="F745" s="35"/>
      <c r="G745" s="35"/>
      <c r="H745" s="35">
        <f t="shared" si="174"/>
        <v>0</v>
      </c>
      <c r="I745" s="35"/>
      <c r="J745" s="35">
        <f t="shared" si="173"/>
        <v>0</v>
      </c>
      <c r="K745" s="36">
        <v>741</v>
      </c>
    </row>
    <row r="746" spans="1:11" ht="30" hidden="1" outlineLevel="1" collapsed="1" x14ac:dyDescent="0.25">
      <c r="A746" s="34"/>
      <c r="B746" s="17" t="s">
        <v>83</v>
      </c>
      <c r="C746" s="35"/>
      <c r="D746" s="35"/>
      <c r="E746" s="35"/>
      <c r="F746" s="35"/>
      <c r="G746" s="35"/>
      <c r="H746" s="35">
        <f t="shared" si="174"/>
        <v>0</v>
      </c>
      <c r="I746" s="35"/>
      <c r="J746" s="35">
        <f t="shared" si="173"/>
        <v>0</v>
      </c>
      <c r="K746" s="36">
        <v>742</v>
      </c>
    </row>
    <row r="747" spans="1:11" hidden="1" outlineLevel="1" collapsed="1" x14ac:dyDescent="0.25">
      <c r="A747" s="28"/>
      <c r="B747" s="15" t="s">
        <v>84</v>
      </c>
      <c r="C747" s="29">
        <f>+SUM(C748:C752)</f>
        <v>0</v>
      </c>
      <c r="D747" s="29">
        <f t="shared" ref="D747:G747" si="183">+SUM(D748:D752)</f>
        <v>0</v>
      </c>
      <c r="E747" s="29">
        <f t="shared" si="183"/>
        <v>0</v>
      </c>
      <c r="F747" s="29">
        <f t="shared" si="183"/>
        <v>0</v>
      </c>
      <c r="G747" s="29">
        <f t="shared" si="183"/>
        <v>0</v>
      </c>
      <c r="H747" s="29">
        <f t="shared" si="174"/>
        <v>0</v>
      </c>
      <c r="I747" s="29"/>
      <c r="J747" s="29">
        <f t="shared" si="173"/>
        <v>0</v>
      </c>
      <c r="K747" s="30">
        <v>743</v>
      </c>
    </row>
    <row r="748" spans="1:11" hidden="1" outlineLevel="1" x14ac:dyDescent="0.25">
      <c r="A748" s="34"/>
      <c r="B748" s="17"/>
      <c r="C748" s="35"/>
      <c r="D748" s="35"/>
      <c r="E748" s="35"/>
      <c r="F748" s="35"/>
      <c r="G748" s="35"/>
      <c r="H748" s="35">
        <f t="shared" si="174"/>
        <v>0</v>
      </c>
      <c r="I748" s="35"/>
      <c r="J748" s="35">
        <f t="shared" si="173"/>
        <v>0</v>
      </c>
      <c r="K748" s="36">
        <v>744</v>
      </c>
    </row>
    <row r="749" spans="1:11" hidden="1" outlineLevel="1" x14ac:dyDescent="0.25">
      <c r="A749" s="34"/>
      <c r="B749" s="17"/>
      <c r="C749" s="35"/>
      <c r="D749" s="35"/>
      <c r="E749" s="35"/>
      <c r="F749" s="35"/>
      <c r="G749" s="35"/>
      <c r="H749" s="35">
        <f t="shared" si="174"/>
        <v>0</v>
      </c>
      <c r="I749" s="35"/>
      <c r="J749" s="35">
        <f t="shared" si="173"/>
        <v>0</v>
      </c>
      <c r="K749" s="36">
        <v>745</v>
      </c>
    </row>
    <row r="750" spans="1:11" hidden="1" outlineLevel="1" x14ac:dyDescent="0.25">
      <c r="A750" s="34"/>
      <c r="B750" s="17"/>
      <c r="C750" s="35"/>
      <c r="D750" s="35"/>
      <c r="E750" s="35"/>
      <c r="F750" s="35"/>
      <c r="G750" s="35"/>
      <c r="H750" s="35">
        <f t="shared" si="174"/>
        <v>0</v>
      </c>
      <c r="I750" s="35"/>
      <c r="J750" s="35">
        <f t="shared" si="173"/>
        <v>0</v>
      </c>
      <c r="K750" s="36">
        <v>746</v>
      </c>
    </row>
    <row r="751" spans="1:11" hidden="1" outlineLevel="1" collapsed="1" x14ac:dyDescent="0.25">
      <c r="A751" s="34"/>
      <c r="B751" s="17" t="s">
        <v>86</v>
      </c>
      <c r="C751" s="35"/>
      <c r="D751" s="35"/>
      <c r="E751" s="35"/>
      <c r="F751" s="35"/>
      <c r="G751" s="35"/>
      <c r="H751" s="35">
        <f t="shared" si="174"/>
        <v>0</v>
      </c>
      <c r="I751" s="35"/>
      <c r="J751" s="35">
        <f t="shared" si="173"/>
        <v>0</v>
      </c>
      <c r="K751" s="36">
        <v>747</v>
      </c>
    </row>
    <row r="752" spans="1:11" hidden="1" outlineLevel="1" x14ac:dyDescent="0.25">
      <c r="A752" s="34"/>
      <c r="B752" s="17"/>
      <c r="C752" s="35"/>
      <c r="D752" s="35"/>
      <c r="E752" s="35"/>
      <c r="F752" s="35"/>
      <c r="G752" s="35"/>
      <c r="H752" s="35">
        <f t="shared" si="174"/>
        <v>0</v>
      </c>
      <c r="I752" s="35"/>
      <c r="J752" s="35">
        <f t="shared" si="173"/>
        <v>0</v>
      </c>
      <c r="K752" s="36">
        <v>748</v>
      </c>
    </row>
    <row r="753" spans="1:11" ht="30" collapsed="1" x14ac:dyDescent="0.25">
      <c r="A753" s="40" t="s">
        <v>62</v>
      </c>
      <c r="B753" s="10" t="s">
        <v>149</v>
      </c>
      <c r="C753" s="26">
        <f t="shared" ref="C753:G753" si="184">+C754+C763+C767+C773</f>
        <v>0</v>
      </c>
      <c r="D753" s="26">
        <f t="shared" si="184"/>
        <v>0</v>
      </c>
      <c r="E753" s="26">
        <f t="shared" si="184"/>
        <v>0</v>
      </c>
      <c r="F753" s="26">
        <f t="shared" si="184"/>
        <v>0</v>
      </c>
      <c r="G753" s="26">
        <f t="shared" si="184"/>
        <v>0</v>
      </c>
      <c r="H753" s="26">
        <f t="shared" si="174"/>
        <v>0</v>
      </c>
      <c r="I753" s="26">
        <v>0</v>
      </c>
      <c r="J753" s="26">
        <f t="shared" si="173"/>
        <v>0</v>
      </c>
      <c r="K753" s="27">
        <v>749</v>
      </c>
    </row>
    <row r="754" spans="1:11" hidden="1" outlineLevel="1" x14ac:dyDescent="0.25">
      <c r="A754" s="28"/>
      <c r="B754" s="15" t="s">
        <v>65</v>
      </c>
      <c r="C754" s="29">
        <f t="shared" ref="C754:G754" si="185">+SUM(C755:C762)</f>
        <v>0</v>
      </c>
      <c r="D754" s="29">
        <f t="shared" si="185"/>
        <v>0</v>
      </c>
      <c r="E754" s="29">
        <f t="shared" si="185"/>
        <v>0</v>
      </c>
      <c r="F754" s="29">
        <f t="shared" si="185"/>
        <v>0</v>
      </c>
      <c r="G754" s="29">
        <f t="shared" si="185"/>
        <v>0</v>
      </c>
      <c r="H754" s="29">
        <f t="shared" si="174"/>
        <v>0</v>
      </c>
      <c r="I754" s="29">
        <v>0</v>
      </c>
      <c r="J754" s="29">
        <f t="shared" si="173"/>
        <v>0</v>
      </c>
      <c r="K754" s="30">
        <v>750</v>
      </c>
    </row>
    <row r="755" spans="1:11" hidden="1" outlineLevel="1" x14ac:dyDescent="0.25">
      <c r="A755" s="31"/>
      <c r="B755" s="16" t="s">
        <v>66</v>
      </c>
      <c r="C755" s="32"/>
      <c r="D755" s="32"/>
      <c r="E755" s="32"/>
      <c r="F755" s="32"/>
      <c r="G755" s="32"/>
      <c r="H755" s="32">
        <f t="shared" si="174"/>
        <v>0</v>
      </c>
      <c r="I755" s="32"/>
      <c r="J755" s="32">
        <f t="shared" si="173"/>
        <v>0</v>
      </c>
      <c r="K755" s="33">
        <v>751</v>
      </c>
    </row>
    <row r="756" spans="1:11" hidden="1" outlineLevel="1" x14ac:dyDescent="0.25">
      <c r="A756" s="31"/>
      <c r="B756" s="17" t="s">
        <v>67</v>
      </c>
      <c r="C756" s="32"/>
      <c r="D756" s="32"/>
      <c r="E756" s="32"/>
      <c r="F756" s="32"/>
      <c r="G756" s="32"/>
      <c r="H756" s="32">
        <f t="shared" si="174"/>
        <v>0</v>
      </c>
      <c r="I756" s="32"/>
      <c r="J756" s="32">
        <f t="shared" si="173"/>
        <v>0</v>
      </c>
      <c r="K756" s="33">
        <v>752</v>
      </c>
    </row>
    <row r="757" spans="1:11" ht="30" hidden="1" outlineLevel="1" x14ac:dyDescent="0.25">
      <c r="A757" s="31"/>
      <c r="B757" s="17" t="s">
        <v>68</v>
      </c>
      <c r="C757" s="32"/>
      <c r="D757" s="32"/>
      <c r="E757" s="32"/>
      <c r="F757" s="32"/>
      <c r="G757" s="32"/>
      <c r="H757" s="32">
        <f t="shared" si="174"/>
        <v>0</v>
      </c>
      <c r="I757" s="32"/>
      <c r="J757" s="32">
        <f t="shared" si="173"/>
        <v>0</v>
      </c>
      <c r="K757" s="33">
        <v>753</v>
      </c>
    </row>
    <row r="758" spans="1:11" hidden="1" outlineLevel="1" x14ac:dyDescent="0.25">
      <c r="A758" s="31"/>
      <c r="B758" s="16" t="s">
        <v>69</v>
      </c>
      <c r="C758" s="32"/>
      <c r="D758" s="32"/>
      <c r="E758" s="32"/>
      <c r="F758" s="32"/>
      <c r="G758" s="32"/>
      <c r="H758" s="32">
        <f t="shared" si="174"/>
        <v>0</v>
      </c>
      <c r="I758" s="32"/>
      <c r="J758" s="32">
        <f t="shared" si="173"/>
        <v>0</v>
      </c>
      <c r="K758" s="33">
        <v>754</v>
      </c>
    </row>
    <row r="759" spans="1:11" hidden="1" outlineLevel="1" x14ac:dyDescent="0.25">
      <c r="A759" s="31"/>
      <c r="B759" s="17" t="s">
        <v>70</v>
      </c>
      <c r="C759" s="32"/>
      <c r="D759" s="32"/>
      <c r="E759" s="32"/>
      <c r="F759" s="32"/>
      <c r="G759" s="32"/>
      <c r="H759" s="32">
        <f t="shared" si="174"/>
        <v>0</v>
      </c>
      <c r="I759" s="32"/>
      <c r="J759" s="32">
        <f t="shared" si="173"/>
        <v>0</v>
      </c>
      <c r="K759" s="33">
        <v>755</v>
      </c>
    </row>
    <row r="760" spans="1:11" ht="30" hidden="1" outlineLevel="1" x14ac:dyDescent="0.25">
      <c r="A760" s="31"/>
      <c r="B760" s="17" t="s">
        <v>71</v>
      </c>
      <c r="C760" s="32"/>
      <c r="D760" s="32"/>
      <c r="E760" s="32"/>
      <c r="F760" s="32"/>
      <c r="G760" s="32"/>
      <c r="H760" s="32">
        <f t="shared" si="174"/>
        <v>0</v>
      </c>
      <c r="I760" s="32"/>
      <c r="J760" s="32">
        <f t="shared" si="173"/>
        <v>0</v>
      </c>
      <c r="K760" s="33">
        <v>756</v>
      </c>
    </row>
    <row r="761" spans="1:11" hidden="1" outlineLevel="1" x14ac:dyDescent="0.25">
      <c r="A761" s="31"/>
      <c r="B761" s="16" t="s">
        <v>72</v>
      </c>
      <c r="C761" s="32"/>
      <c r="D761" s="32"/>
      <c r="E761" s="32"/>
      <c r="F761" s="32"/>
      <c r="G761" s="32"/>
      <c r="H761" s="32">
        <f t="shared" si="174"/>
        <v>0</v>
      </c>
      <c r="I761" s="32"/>
      <c r="J761" s="32">
        <f t="shared" si="173"/>
        <v>0</v>
      </c>
      <c r="K761" s="33">
        <v>757</v>
      </c>
    </row>
    <row r="762" spans="1:11" ht="30" hidden="1" outlineLevel="1" x14ac:dyDescent="0.25">
      <c r="A762" s="31"/>
      <c r="B762" s="17" t="s">
        <v>73</v>
      </c>
      <c r="C762" s="32"/>
      <c r="D762" s="32"/>
      <c r="E762" s="32"/>
      <c r="F762" s="32"/>
      <c r="G762" s="32"/>
      <c r="H762" s="32">
        <f t="shared" si="174"/>
        <v>0</v>
      </c>
      <c r="I762" s="32"/>
      <c r="J762" s="32">
        <f t="shared" si="173"/>
        <v>0</v>
      </c>
      <c r="K762" s="33">
        <v>758</v>
      </c>
    </row>
    <row r="763" spans="1:11" hidden="1" outlineLevel="1" x14ac:dyDescent="0.25">
      <c r="A763" s="28"/>
      <c r="B763" s="15" t="s">
        <v>74</v>
      </c>
      <c r="C763" s="29">
        <f t="shared" ref="C763:G763" si="186">+SUM(C764:C766)</f>
        <v>0</v>
      </c>
      <c r="D763" s="29">
        <f t="shared" si="186"/>
        <v>0</v>
      </c>
      <c r="E763" s="29">
        <f t="shared" si="186"/>
        <v>0</v>
      </c>
      <c r="F763" s="29">
        <f t="shared" si="186"/>
        <v>0</v>
      </c>
      <c r="G763" s="29">
        <f t="shared" si="186"/>
        <v>0</v>
      </c>
      <c r="H763" s="29">
        <f t="shared" si="174"/>
        <v>0</v>
      </c>
      <c r="I763" s="29"/>
      <c r="J763" s="29">
        <f t="shared" si="173"/>
        <v>0</v>
      </c>
      <c r="K763" s="30">
        <v>759</v>
      </c>
    </row>
    <row r="764" spans="1:11" ht="30" hidden="1" outlineLevel="1" x14ac:dyDescent="0.25">
      <c r="A764" s="34"/>
      <c r="B764" s="17" t="s">
        <v>75</v>
      </c>
      <c r="C764" s="35"/>
      <c r="D764" s="35"/>
      <c r="E764" s="35"/>
      <c r="F764" s="35"/>
      <c r="G764" s="35"/>
      <c r="H764" s="35">
        <f t="shared" si="174"/>
        <v>0</v>
      </c>
      <c r="I764" s="35"/>
      <c r="J764" s="35">
        <f t="shared" si="173"/>
        <v>0</v>
      </c>
      <c r="K764" s="36">
        <v>760</v>
      </c>
    </row>
    <row r="765" spans="1:11" ht="30" hidden="1" outlineLevel="1" x14ac:dyDescent="0.25">
      <c r="A765" s="34"/>
      <c r="B765" s="17" t="s">
        <v>76</v>
      </c>
      <c r="C765" s="35"/>
      <c r="D765" s="35"/>
      <c r="E765" s="35"/>
      <c r="F765" s="35"/>
      <c r="G765" s="35"/>
      <c r="H765" s="35">
        <f t="shared" si="174"/>
        <v>0</v>
      </c>
      <c r="I765" s="35"/>
      <c r="J765" s="35">
        <f t="shared" si="173"/>
        <v>0</v>
      </c>
      <c r="K765" s="36">
        <v>761</v>
      </c>
    </row>
    <row r="766" spans="1:11" ht="30" hidden="1" outlineLevel="1" x14ac:dyDescent="0.25">
      <c r="A766" s="34"/>
      <c r="B766" s="17" t="s">
        <v>77</v>
      </c>
      <c r="C766" s="35"/>
      <c r="D766" s="35"/>
      <c r="E766" s="35"/>
      <c r="F766" s="35"/>
      <c r="G766" s="35"/>
      <c r="H766" s="35">
        <f t="shared" si="174"/>
        <v>0</v>
      </c>
      <c r="I766" s="35"/>
      <c r="J766" s="35">
        <f t="shared" si="173"/>
        <v>0</v>
      </c>
      <c r="K766" s="36">
        <v>762</v>
      </c>
    </row>
    <row r="767" spans="1:11" hidden="1" outlineLevel="1" x14ac:dyDescent="0.25">
      <c r="A767" s="28"/>
      <c r="B767" s="15" t="s">
        <v>78</v>
      </c>
      <c r="C767" s="29">
        <f t="shared" ref="C767:G767" si="187">+SUM(C768:C772)</f>
        <v>0</v>
      </c>
      <c r="D767" s="29">
        <f t="shared" si="187"/>
        <v>0</v>
      </c>
      <c r="E767" s="29">
        <f t="shared" si="187"/>
        <v>0</v>
      </c>
      <c r="F767" s="29">
        <f t="shared" si="187"/>
        <v>0</v>
      </c>
      <c r="G767" s="29">
        <f t="shared" si="187"/>
        <v>0</v>
      </c>
      <c r="H767" s="29">
        <f t="shared" si="174"/>
        <v>0</v>
      </c>
      <c r="I767" s="29"/>
      <c r="J767" s="29">
        <f t="shared" si="173"/>
        <v>0</v>
      </c>
      <c r="K767" s="30">
        <v>763</v>
      </c>
    </row>
    <row r="768" spans="1:11" hidden="1" outlineLevel="1" x14ac:dyDescent="0.25">
      <c r="A768" s="34"/>
      <c r="B768" s="18" t="s">
        <v>79</v>
      </c>
      <c r="C768" s="35"/>
      <c r="D768" s="35"/>
      <c r="E768" s="35"/>
      <c r="F768" s="35"/>
      <c r="G768" s="35"/>
      <c r="H768" s="35">
        <f t="shared" si="174"/>
        <v>0</v>
      </c>
      <c r="I768" s="35"/>
      <c r="J768" s="35">
        <f t="shared" si="173"/>
        <v>0</v>
      </c>
      <c r="K768" s="36">
        <v>764</v>
      </c>
    </row>
    <row r="769" spans="1:11" ht="30" hidden="1" outlineLevel="1" x14ac:dyDescent="0.25">
      <c r="A769" s="34"/>
      <c r="B769" s="17" t="s">
        <v>80</v>
      </c>
      <c r="C769" s="35"/>
      <c r="D769" s="35"/>
      <c r="E769" s="35"/>
      <c r="F769" s="35"/>
      <c r="G769" s="35"/>
      <c r="H769" s="35">
        <f t="shared" si="174"/>
        <v>0</v>
      </c>
      <c r="I769" s="35"/>
      <c r="J769" s="35">
        <f t="shared" si="173"/>
        <v>0</v>
      </c>
      <c r="K769" s="36">
        <v>765</v>
      </c>
    </row>
    <row r="770" spans="1:11" hidden="1" outlineLevel="1" x14ac:dyDescent="0.25">
      <c r="A770" s="34"/>
      <c r="B770" s="17" t="s">
        <v>81</v>
      </c>
      <c r="C770" s="35"/>
      <c r="D770" s="35"/>
      <c r="E770" s="35"/>
      <c r="F770" s="35"/>
      <c r="G770" s="35"/>
      <c r="H770" s="35">
        <f t="shared" si="174"/>
        <v>0</v>
      </c>
      <c r="I770" s="35"/>
      <c r="J770" s="35">
        <f t="shared" si="173"/>
        <v>0</v>
      </c>
      <c r="K770" s="36">
        <v>766</v>
      </c>
    </row>
    <row r="771" spans="1:11" hidden="1" outlineLevel="1" collapsed="1" x14ac:dyDescent="0.25">
      <c r="A771" s="34"/>
      <c r="B771" s="18" t="s">
        <v>82</v>
      </c>
      <c r="C771" s="35"/>
      <c r="D771" s="35"/>
      <c r="E771" s="35"/>
      <c r="F771" s="35"/>
      <c r="G771" s="35"/>
      <c r="H771" s="35">
        <f t="shared" si="174"/>
        <v>0</v>
      </c>
      <c r="I771" s="35"/>
      <c r="J771" s="35">
        <f t="shared" si="173"/>
        <v>0</v>
      </c>
      <c r="K771" s="36">
        <v>767</v>
      </c>
    </row>
    <row r="772" spans="1:11" ht="30" hidden="1" outlineLevel="1" collapsed="1" x14ac:dyDescent="0.25">
      <c r="A772" s="34"/>
      <c r="B772" s="17" t="s">
        <v>83</v>
      </c>
      <c r="C772" s="35"/>
      <c r="D772" s="35"/>
      <c r="E772" s="35"/>
      <c r="F772" s="35"/>
      <c r="G772" s="35"/>
      <c r="H772" s="35">
        <f t="shared" si="174"/>
        <v>0</v>
      </c>
      <c r="I772" s="35"/>
      <c r="J772" s="35">
        <f t="shared" si="173"/>
        <v>0</v>
      </c>
      <c r="K772" s="36">
        <v>768</v>
      </c>
    </row>
    <row r="773" spans="1:11" hidden="1" outlineLevel="1" collapsed="1" x14ac:dyDescent="0.25">
      <c r="A773" s="28"/>
      <c r="B773" s="15" t="s">
        <v>84</v>
      </c>
      <c r="C773" s="29">
        <f>+SUM(C774:C778)</f>
        <v>0</v>
      </c>
      <c r="D773" s="29">
        <f t="shared" ref="D773:G773" si="188">+SUM(D774:D778)</f>
        <v>0</v>
      </c>
      <c r="E773" s="29">
        <f t="shared" si="188"/>
        <v>0</v>
      </c>
      <c r="F773" s="29">
        <f t="shared" si="188"/>
        <v>0</v>
      </c>
      <c r="G773" s="29">
        <f t="shared" si="188"/>
        <v>0</v>
      </c>
      <c r="H773" s="29">
        <f t="shared" si="174"/>
        <v>0</v>
      </c>
      <c r="I773" s="29"/>
      <c r="J773" s="29">
        <f t="shared" ref="J773:J836" si="189">+I773-H773</f>
        <v>0</v>
      </c>
      <c r="K773" s="30">
        <v>769</v>
      </c>
    </row>
    <row r="774" spans="1:11" hidden="1" outlineLevel="1" x14ac:dyDescent="0.25">
      <c r="A774" s="34"/>
      <c r="B774" s="17"/>
      <c r="C774" s="35"/>
      <c r="D774" s="35"/>
      <c r="E774" s="35"/>
      <c r="F774" s="35"/>
      <c r="G774" s="35"/>
      <c r="H774" s="35">
        <f t="shared" ref="H774:H837" si="190">+SUM(C774:G774)</f>
        <v>0</v>
      </c>
      <c r="I774" s="35"/>
      <c r="J774" s="35">
        <f t="shared" si="189"/>
        <v>0</v>
      </c>
      <c r="K774" s="36">
        <v>770</v>
      </c>
    </row>
    <row r="775" spans="1:11" hidden="1" outlineLevel="1" x14ac:dyDescent="0.25">
      <c r="A775" s="34"/>
      <c r="B775" s="17"/>
      <c r="C775" s="35"/>
      <c r="D775" s="35"/>
      <c r="E775" s="35"/>
      <c r="F775" s="35"/>
      <c r="G775" s="35"/>
      <c r="H775" s="35">
        <f t="shared" si="190"/>
        <v>0</v>
      </c>
      <c r="I775" s="35"/>
      <c r="J775" s="35">
        <f t="shared" si="189"/>
        <v>0</v>
      </c>
      <c r="K775" s="36">
        <v>771</v>
      </c>
    </row>
    <row r="776" spans="1:11" hidden="1" outlineLevel="1" x14ac:dyDescent="0.25">
      <c r="A776" s="34"/>
      <c r="B776" s="17"/>
      <c r="C776" s="35"/>
      <c r="D776" s="35"/>
      <c r="E776" s="35"/>
      <c r="F776" s="35"/>
      <c r="G776" s="35"/>
      <c r="H776" s="35">
        <f t="shared" si="190"/>
        <v>0</v>
      </c>
      <c r="I776" s="35"/>
      <c r="J776" s="35">
        <f t="shared" si="189"/>
        <v>0</v>
      </c>
      <c r="K776" s="36">
        <v>772</v>
      </c>
    </row>
    <row r="777" spans="1:11" hidden="1" outlineLevel="1" x14ac:dyDescent="0.25">
      <c r="A777" s="34"/>
      <c r="B777" s="17" t="s">
        <v>86</v>
      </c>
      <c r="C777" s="35"/>
      <c r="D777" s="35"/>
      <c r="E777" s="35"/>
      <c r="F777" s="35"/>
      <c r="G777" s="35"/>
      <c r="H777" s="35">
        <f t="shared" si="190"/>
        <v>0</v>
      </c>
      <c r="I777" s="35"/>
      <c r="J777" s="35">
        <f t="shared" si="189"/>
        <v>0</v>
      </c>
      <c r="K777" s="36">
        <v>773</v>
      </c>
    </row>
    <row r="778" spans="1:11" hidden="1" outlineLevel="1" x14ac:dyDescent="0.25">
      <c r="A778" s="34"/>
      <c r="B778" s="17"/>
      <c r="C778" s="35"/>
      <c r="D778" s="35"/>
      <c r="E778" s="35"/>
      <c r="F778" s="35"/>
      <c r="G778" s="35"/>
      <c r="H778" s="35">
        <f t="shared" si="190"/>
        <v>0</v>
      </c>
      <c r="I778" s="35"/>
      <c r="J778" s="35">
        <f t="shared" si="189"/>
        <v>0</v>
      </c>
      <c r="K778" s="36">
        <v>774</v>
      </c>
    </row>
    <row r="779" spans="1:11" ht="30" collapsed="1" x14ac:dyDescent="0.25">
      <c r="A779" s="40" t="s">
        <v>150</v>
      </c>
      <c r="B779" s="10" t="s">
        <v>151</v>
      </c>
      <c r="C779" s="26">
        <f t="shared" ref="C779:G779" si="191">+C780+C789+C793+C799</f>
        <v>0</v>
      </c>
      <c r="D779" s="26">
        <f t="shared" si="191"/>
        <v>0</v>
      </c>
      <c r="E779" s="26">
        <f t="shared" si="191"/>
        <v>0</v>
      </c>
      <c r="F779" s="26">
        <f t="shared" si="191"/>
        <v>0</v>
      </c>
      <c r="G779" s="26">
        <f t="shared" si="191"/>
        <v>0</v>
      </c>
      <c r="H779" s="26">
        <f t="shared" si="190"/>
        <v>0</v>
      </c>
      <c r="I779" s="26">
        <v>0</v>
      </c>
      <c r="J779" s="26">
        <f t="shared" si="189"/>
        <v>0</v>
      </c>
      <c r="K779" s="27">
        <v>775</v>
      </c>
    </row>
    <row r="780" spans="1:11" hidden="1" outlineLevel="1" x14ac:dyDescent="0.25">
      <c r="A780" s="28"/>
      <c r="B780" s="15" t="s">
        <v>65</v>
      </c>
      <c r="C780" s="29">
        <f t="shared" ref="C780:G780" si="192">+SUM(C781:C788)</f>
        <v>0</v>
      </c>
      <c r="D780" s="29">
        <f t="shared" si="192"/>
        <v>0</v>
      </c>
      <c r="E780" s="29">
        <f t="shared" si="192"/>
        <v>0</v>
      </c>
      <c r="F780" s="29">
        <f t="shared" si="192"/>
        <v>0</v>
      </c>
      <c r="G780" s="29">
        <f t="shared" si="192"/>
        <v>0</v>
      </c>
      <c r="H780" s="29">
        <f t="shared" si="190"/>
        <v>0</v>
      </c>
      <c r="I780" s="29">
        <v>0</v>
      </c>
      <c r="J780" s="29">
        <f t="shared" si="189"/>
        <v>0</v>
      </c>
      <c r="K780" s="30">
        <v>776</v>
      </c>
    </row>
    <row r="781" spans="1:11" hidden="1" outlineLevel="1" x14ac:dyDescent="0.25">
      <c r="A781" s="31"/>
      <c r="B781" s="16" t="s">
        <v>66</v>
      </c>
      <c r="C781" s="32"/>
      <c r="D781" s="32"/>
      <c r="E781" s="32"/>
      <c r="F781" s="32"/>
      <c r="G781" s="32"/>
      <c r="H781" s="32">
        <f t="shared" si="190"/>
        <v>0</v>
      </c>
      <c r="I781" s="32"/>
      <c r="J781" s="32">
        <f t="shared" si="189"/>
        <v>0</v>
      </c>
      <c r="K781" s="33">
        <v>777</v>
      </c>
    </row>
    <row r="782" spans="1:11" hidden="1" outlineLevel="1" x14ac:dyDescent="0.25">
      <c r="A782" s="31"/>
      <c r="B782" s="17" t="s">
        <v>67</v>
      </c>
      <c r="C782" s="32"/>
      <c r="D782" s="32"/>
      <c r="E782" s="32"/>
      <c r="F782" s="32"/>
      <c r="G782" s="32"/>
      <c r="H782" s="32">
        <f t="shared" si="190"/>
        <v>0</v>
      </c>
      <c r="I782" s="32"/>
      <c r="J782" s="32">
        <f t="shared" si="189"/>
        <v>0</v>
      </c>
      <c r="K782" s="33">
        <v>778</v>
      </c>
    </row>
    <row r="783" spans="1:11" ht="30" hidden="1" outlineLevel="1" x14ac:dyDescent="0.25">
      <c r="A783" s="31"/>
      <c r="B783" s="17" t="s">
        <v>68</v>
      </c>
      <c r="C783" s="32"/>
      <c r="D783" s="32"/>
      <c r="E783" s="32"/>
      <c r="F783" s="32"/>
      <c r="G783" s="32"/>
      <c r="H783" s="32">
        <f t="shared" si="190"/>
        <v>0</v>
      </c>
      <c r="I783" s="32"/>
      <c r="J783" s="32">
        <f t="shared" si="189"/>
        <v>0</v>
      </c>
      <c r="K783" s="33">
        <v>779</v>
      </c>
    </row>
    <row r="784" spans="1:11" hidden="1" outlineLevel="1" x14ac:dyDescent="0.25">
      <c r="A784" s="31"/>
      <c r="B784" s="16" t="s">
        <v>69</v>
      </c>
      <c r="C784" s="32"/>
      <c r="D784" s="32"/>
      <c r="E784" s="32"/>
      <c r="F784" s="32"/>
      <c r="G784" s="32"/>
      <c r="H784" s="32">
        <f t="shared" si="190"/>
        <v>0</v>
      </c>
      <c r="I784" s="32"/>
      <c r="J784" s="32">
        <f t="shared" si="189"/>
        <v>0</v>
      </c>
      <c r="K784" s="33">
        <v>780</v>
      </c>
    </row>
    <row r="785" spans="1:11" hidden="1" outlineLevel="1" x14ac:dyDescent="0.25">
      <c r="A785" s="31"/>
      <c r="B785" s="17" t="s">
        <v>70</v>
      </c>
      <c r="C785" s="32"/>
      <c r="D785" s="32"/>
      <c r="E785" s="32"/>
      <c r="F785" s="32"/>
      <c r="G785" s="32"/>
      <c r="H785" s="32">
        <f t="shared" si="190"/>
        <v>0</v>
      </c>
      <c r="I785" s="32"/>
      <c r="J785" s="32">
        <f t="shared" si="189"/>
        <v>0</v>
      </c>
      <c r="K785" s="33">
        <v>781</v>
      </c>
    </row>
    <row r="786" spans="1:11" ht="30" hidden="1" outlineLevel="1" x14ac:dyDescent="0.25">
      <c r="A786" s="31"/>
      <c r="B786" s="17" t="s">
        <v>71</v>
      </c>
      <c r="C786" s="32"/>
      <c r="D786" s="32"/>
      <c r="E786" s="32"/>
      <c r="F786" s="32"/>
      <c r="G786" s="32"/>
      <c r="H786" s="32">
        <f t="shared" si="190"/>
        <v>0</v>
      </c>
      <c r="I786" s="32"/>
      <c r="J786" s="32">
        <f t="shared" si="189"/>
        <v>0</v>
      </c>
      <c r="K786" s="33">
        <v>782</v>
      </c>
    </row>
    <row r="787" spans="1:11" hidden="1" outlineLevel="1" x14ac:dyDescent="0.25">
      <c r="A787" s="31"/>
      <c r="B787" s="16" t="s">
        <v>72</v>
      </c>
      <c r="C787" s="32"/>
      <c r="D787" s="32"/>
      <c r="E787" s="32"/>
      <c r="F787" s="32"/>
      <c r="G787" s="32"/>
      <c r="H787" s="32">
        <f t="shared" si="190"/>
        <v>0</v>
      </c>
      <c r="I787" s="32"/>
      <c r="J787" s="32">
        <f t="shared" si="189"/>
        <v>0</v>
      </c>
      <c r="K787" s="33">
        <v>783</v>
      </c>
    </row>
    <row r="788" spans="1:11" ht="30" hidden="1" outlineLevel="1" x14ac:dyDescent="0.25">
      <c r="A788" s="31"/>
      <c r="B788" s="17" t="s">
        <v>73</v>
      </c>
      <c r="C788" s="32"/>
      <c r="D788" s="32"/>
      <c r="E788" s="32"/>
      <c r="F788" s="32"/>
      <c r="G788" s="32"/>
      <c r="H788" s="32">
        <f t="shared" si="190"/>
        <v>0</v>
      </c>
      <c r="I788" s="32"/>
      <c r="J788" s="32">
        <f t="shared" si="189"/>
        <v>0</v>
      </c>
      <c r="K788" s="33">
        <v>784</v>
      </c>
    </row>
    <row r="789" spans="1:11" hidden="1" outlineLevel="1" x14ac:dyDescent="0.25">
      <c r="A789" s="28"/>
      <c r="B789" s="15" t="s">
        <v>74</v>
      </c>
      <c r="C789" s="29">
        <f t="shared" ref="C789:G789" si="193">+SUM(C790:C792)</f>
        <v>0</v>
      </c>
      <c r="D789" s="29">
        <f t="shared" si="193"/>
        <v>0</v>
      </c>
      <c r="E789" s="29">
        <f t="shared" si="193"/>
        <v>0</v>
      </c>
      <c r="F789" s="29">
        <f t="shared" si="193"/>
        <v>0</v>
      </c>
      <c r="G789" s="29">
        <f t="shared" si="193"/>
        <v>0</v>
      </c>
      <c r="H789" s="29">
        <f t="shared" si="190"/>
        <v>0</v>
      </c>
      <c r="I789" s="29"/>
      <c r="J789" s="29">
        <f t="shared" si="189"/>
        <v>0</v>
      </c>
      <c r="K789" s="30">
        <v>785</v>
      </c>
    </row>
    <row r="790" spans="1:11" ht="30" hidden="1" outlineLevel="1" x14ac:dyDescent="0.25">
      <c r="A790" s="34"/>
      <c r="B790" s="17" t="s">
        <v>75</v>
      </c>
      <c r="C790" s="35"/>
      <c r="D790" s="35"/>
      <c r="E790" s="35"/>
      <c r="F790" s="35"/>
      <c r="G790" s="35"/>
      <c r="H790" s="35">
        <f t="shared" si="190"/>
        <v>0</v>
      </c>
      <c r="I790" s="35"/>
      <c r="J790" s="35">
        <f t="shared" si="189"/>
        <v>0</v>
      </c>
      <c r="K790" s="36">
        <v>786</v>
      </c>
    </row>
    <row r="791" spans="1:11" ht="30" hidden="1" outlineLevel="1" x14ac:dyDescent="0.25">
      <c r="A791" s="34"/>
      <c r="B791" s="17" t="s">
        <v>76</v>
      </c>
      <c r="C791" s="35"/>
      <c r="D791" s="35"/>
      <c r="E791" s="35"/>
      <c r="F791" s="35"/>
      <c r="G791" s="35"/>
      <c r="H791" s="35">
        <f t="shared" si="190"/>
        <v>0</v>
      </c>
      <c r="I791" s="35"/>
      <c r="J791" s="35">
        <f t="shared" si="189"/>
        <v>0</v>
      </c>
      <c r="K791" s="36">
        <v>787</v>
      </c>
    </row>
    <row r="792" spans="1:11" ht="30" hidden="1" outlineLevel="1" x14ac:dyDescent="0.25">
      <c r="A792" s="34"/>
      <c r="B792" s="17" t="s">
        <v>77</v>
      </c>
      <c r="C792" s="35"/>
      <c r="D792" s="35"/>
      <c r="E792" s="35"/>
      <c r="F792" s="35"/>
      <c r="G792" s="35"/>
      <c r="H792" s="35">
        <f t="shared" si="190"/>
        <v>0</v>
      </c>
      <c r="I792" s="35"/>
      <c r="J792" s="35">
        <f t="shared" si="189"/>
        <v>0</v>
      </c>
      <c r="K792" s="36">
        <v>788</v>
      </c>
    </row>
    <row r="793" spans="1:11" hidden="1" outlineLevel="1" x14ac:dyDescent="0.25">
      <c r="A793" s="28"/>
      <c r="B793" s="15" t="s">
        <v>78</v>
      </c>
      <c r="C793" s="29">
        <f t="shared" ref="C793:G793" si="194">+SUM(C794:C798)</f>
        <v>0</v>
      </c>
      <c r="D793" s="29">
        <f t="shared" si="194"/>
        <v>0</v>
      </c>
      <c r="E793" s="29">
        <f t="shared" si="194"/>
        <v>0</v>
      </c>
      <c r="F793" s="29">
        <f t="shared" si="194"/>
        <v>0</v>
      </c>
      <c r="G793" s="29">
        <f t="shared" si="194"/>
        <v>0</v>
      </c>
      <c r="H793" s="29">
        <f t="shared" si="190"/>
        <v>0</v>
      </c>
      <c r="I793" s="29"/>
      <c r="J793" s="29">
        <f t="shared" si="189"/>
        <v>0</v>
      </c>
      <c r="K793" s="30">
        <v>789</v>
      </c>
    </row>
    <row r="794" spans="1:11" hidden="1" outlineLevel="1" x14ac:dyDescent="0.25">
      <c r="A794" s="34"/>
      <c r="B794" s="18" t="s">
        <v>79</v>
      </c>
      <c r="C794" s="35"/>
      <c r="D794" s="35"/>
      <c r="E794" s="35"/>
      <c r="F794" s="35"/>
      <c r="G794" s="35"/>
      <c r="H794" s="35">
        <f t="shared" si="190"/>
        <v>0</v>
      </c>
      <c r="I794" s="35"/>
      <c r="J794" s="35">
        <f t="shared" si="189"/>
        <v>0</v>
      </c>
      <c r="K794" s="36">
        <v>790</v>
      </c>
    </row>
    <row r="795" spans="1:11" ht="30" hidden="1" outlineLevel="1" x14ac:dyDescent="0.25">
      <c r="A795" s="34"/>
      <c r="B795" s="17" t="s">
        <v>80</v>
      </c>
      <c r="C795" s="35"/>
      <c r="D795" s="35"/>
      <c r="E795" s="35"/>
      <c r="F795" s="35"/>
      <c r="G795" s="35"/>
      <c r="H795" s="35">
        <f t="shared" si="190"/>
        <v>0</v>
      </c>
      <c r="I795" s="35"/>
      <c r="J795" s="35">
        <f t="shared" si="189"/>
        <v>0</v>
      </c>
      <c r="K795" s="36">
        <v>791</v>
      </c>
    </row>
    <row r="796" spans="1:11" hidden="1" outlineLevel="1" x14ac:dyDescent="0.25">
      <c r="A796" s="34"/>
      <c r="B796" s="17" t="s">
        <v>81</v>
      </c>
      <c r="C796" s="35"/>
      <c r="D796" s="35"/>
      <c r="E796" s="35"/>
      <c r="F796" s="35"/>
      <c r="G796" s="35"/>
      <c r="H796" s="35">
        <f t="shared" si="190"/>
        <v>0</v>
      </c>
      <c r="I796" s="35"/>
      <c r="J796" s="35">
        <f t="shared" si="189"/>
        <v>0</v>
      </c>
      <c r="K796" s="36">
        <v>792</v>
      </c>
    </row>
    <row r="797" spans="1:11" hidden="1" outlineLevel="1" collapsed="1" x14ac:dyDescent="0.25">
      <c r="A797" s="34"/>
      <c r="B797" s="18" t="s">
        <v>82</v>
      </c>
      <c r="C797" s="35"/>
      <c r="D797" s="35"/>
      <c r="E797" s="35"/>
      <c r="F797" s="35"/>
      <c r="G797" s="35"/>
      <c r="H797" s="35">
        <f t="shared" si="190"/>
        <v>0</v>
      </c>
      <c r="I797" s="35"/>
      <c r="J797" s="35">
        <f t="shared" si="189"/>
        <v>0</v>
      </c>
      <c r="K797" s="36">
        <v>793</v>
      </c>
    </row>
    <row r="798" spans="1:11" ht="30" hidden="1" outlineLevel="1" x14ac:dyDescent="0.25">
      <c r="A798" s="34"/>
      <c r="B798" s="17" t="s">
        <v>83</v>
      </c>
      <c r="C798" s="35"/>
      <c r="D798" s="35"/>
      <c r="E798" s="35"/>
      <c r="F798" s="35"/>
      <c r="G798" s="35"/>
      <c r="H798" s="35">
        <f t="shared" si="190"/>
        <v>0</v>
      </c>
      <c r="I798" s="35"/>
      <c r="J798" s="35">
        <f t="shared" si="189"/>
        <v>0</v>
      </c>
      <c r="K798" s="36">
        <v>794</v>
      </c>
    </row>
    <row r="799" spans="1:11" hidden="1" outlineLevel="1" x14ac:dyDescent="0.25">
      <c r="A799" s="28"/>
      <c r="B799" s="15" t="s">
        <v>84</v>
      </c>
      <c r="C799" s="29">
        <f>+SUM(C800:C804)</f>
        <v>0</v>
      </c>
      <c r="D799" s="29">
        <f t="shared" ref="D799:G799" si="195">+SUM(D800:D804)</f>
        <v>0</v>
      </c>
      <c r="E799" s="29">
        <f t="shared" si="195"/>
        <v>0</v>
      </c>
      <c r="F799" s="29">
        <f t="shared" si="195"/>
        <v>0</v>
      </c>
      <c r="G799" s="29">
        <f t="shared" si="195"/>
        <v>0</v>
      </c>
      <c r="H799" s="29">
        <f t="shared" si="190"/>
        <v>0</v>
      </c>
      <c r="I799" s="29"/>
      <c r="J799" s="29">
        <f t="shared" si="189"/>
        <v>0</v>
      </c>
      <c r="K799" s="30">
        <v>795</v>
      </c>
    </row>
    <row r="800" spans="1:11" hidden="1" outlineLevel="1" x14ac:dyDescent="0.25">
      <c r="A800" s="34"/>
      <c r="B800" s="17"/>
      <c r="C800" s="35"/>
      <c r="D800" s="35"/>
      <c r="E800" s="35"/>
      <c r="F800" s="35"/>
      <c r="G800" s="35"/>
      <c r="H800" s="35">
        <f t="shared" si="190"/>
        <v>0</v>
      </c>
      <c r="I800" s="35"/>
      <c r="J800" s="35">
        <f t="shared" si="189"/>
        <v>0</v>
      </c>
      <c r="K800" s="36">
        <v>796</v>
      </c>
    </row>
    <row r="801" spans="1:11" hidden="1" outlineLevel="1" collapsed="1" x14ac:dyDescent="0.25">
      <c r="A801" s="34"/>
      <c r="B801" s="17"/>
      <c r="C801" s="35"/>
      <c r="D801" s="35"/>
      <c r="E801" s="35"/>
      <c r="F801" s="35"/>
      <c r="G801" s="35"/>
      <c r="H801" s="35">
        <f t="shared" si="190"/>
        <v>0</v>
      </c>
      <c r="I801" s="35"/>
      <c r="J801" s="35">
        <f t="shared" si="189"/>
        <v>0</v>
      </c>
      <c r="K801" s="36">
        <v>797</v>
      </c>
    </row>
    <row r="802" spans="1:11" hidden="1" outlineLevel="1" x14ac:dyDescent="0.25">
      <c r="A802" s="34"/>
      <c r="B802" s="17"/>
      <c r="C802" s="35"/>
      <c r="D802" s="35"/>
      <c r="E802" s="35"/>
      <c r="F802" s="35"/>
      <c r="G802" s="35"/>
      <c r="H802" s="35">
        <f t="shared" si="190"/>
        <v>0</v>
      </c>
      <c r="I802" s="35"/>
      <c r="J802" s="35">
        <f t="shared" si="189"/>
        <v>0</v>
      </c>
      <c r="K802" s="36">
        <v>798</v>
      </c>
    </row>
    <row r="803" spans="1:11" hidden="1" outlineLevel="1" x14ac:dyDescent="0.25">
      <c r="A803" s="34"/>
      <c r="B803" s="17" t="s">
        <v>86</v>
      </c>
      <c r="C803" s="35"/>
      <c r="D803" s="35"/>
      <c r="E803" s="35"/>
      <c r="F803" s="35"/>
      <c r="G803" s="35"/>
      <c r="H803" s="35">
        <f t="shared" si="190"/>
        <v>0</v>
      </c>
      <c r="I803" s="35"/>
      <c r="J803" s="35">
        <f t="shared" si="189"/>
        <v>0</v>
      </c>
      <c r="K803" s="36">
        <v>799</v>
      </c>
    </row>
    <row r="804" spans="1:11" hidden="1" outlineLevel="1" x14ac:dyDescent="0.25">
      <c r="A804" s="34"/>
      <c r="B804" s="17"/>
      <c r="C804" s="35"/>
      <c r="D804" s="35"/>
      <c r="E804" s="35"/>
      <c r="F804" s="35"/>
      <c r="G804" s="35"/>
      <c r="H804" s="35">
        <f t="shared" si="190"/>
        <v>0</v>
      </c>
      <c r="I804" s="35"/>
      <c r="J804" s="35">
        <f t="shared" si="189"/>
        <v>0</v>
      </c>
      <c r="K804" s="36">
        <v>800</v>
      </c>
    </row>
    <row r="805" spans="1:11" collapsed="1" x14ac:dyDescent="0.25">
      <c r="A805" s="39" t="s">
        <v>152</v>
      </c>
      <c r="B805" s="14" t="s">
        <v>153</v>
      </c>
      <c r="C805" s="24">
        <f>+C806+C832+C858</f>
        <v>0</v>
      </c>
      <c r="D805" s="24">
        <f t="shared" ref="D805:G805" si="196">+D806+D832+D858</f>
        <v>0</v>
      </c>
      <c r="E805" s="24">
        <f t="shared" si="196"/>
        <v>0</v>
      </c>
      <c r="F805" s="24">
        <f t="shared" si="196"/>
        <v>0</v>
      </c>
      <c r="G805" s="24">
        <f t="shared" si="196"/>
        <v>0</v>
      </c>
      <c r="H805" s="24">
        <f t="shared" si="190"/>
        <v>0</v>
      </c>
      <c r="I805" s="24"/>
      <c r="J805" s="24">
        <f t="shared" si="189"/>
        <v>0</v>
      </c>
      <c r="K805" s="25">
        <v>801</v>
      </c>
    </row>
    <row r="806" spans="1:11" x14ac:dyDescent="0.25">
      <c r="A806" s="40" t="s">
        <v>154</v>
      </c>
      <c r="B806" s="10" t="s">
        <v>155</v>
      </c>
      <c r="C806" s="26">
        <f t="shared" ref="C806:G806" si="197">+C807+C816+C820+C826</f>
        <v>0</v>
      </c>
      <c r="D806" s="26">
        <f t="shared" si="197"/>
        <v>0</v>
      </c>
      <c r="E806" s="26">
        <f t="shared" si="197"/>
        <v>0</v>
      </c>
      <c r="F806" s="26">
        <f t="shared" si="197"/>
        <v>0</v>
      </c>
      <c r="G806" s="26">
        <f t="shared" si="197"/>
        <v>0</v>
      </c>
      <c r="H806" s="26">
        <f t="shared" si="190"/>
        <v>0</v>
      </c>
      <c r="I806" s="26">
        <v>0</v>
      </c>
      <c r="J806" s="26">
        <f t="shared" si="189"/>
        <v>0</v>
      </c>
      <c r="K806" s="27">
        <v>802</v>
      </c>
    </row>
    <row r="807" spans="1:11" hidden="1" outlineLevel="1" x14ac:dyDescent="0.25">
      <c r="A807" s="28"/>
      <c r="B807" s="15" t="s">
        <v>65</v>
      </c>
      <c r="C807" s="29">
        <f t="shared" ref="C807:G807" si="198">+SUM(C808:C815)</f>
        <v>0</v>
      </c>
      <c r="D807" s="29">
        <f t="shared" si="198"/>
        <v>0</v>
      </c>
      <c r="E807" s="29">
        <f t="shared" si="198"/>
        <v>0</v>
      </c>
      <c r="F807" s="29">
        <f t="shared" si="198"/>
        <v>0</v>
      </c>
      <c r="G807" s="29">
        <f t="shared" si="198"/>
        <v>0</v>
      </c>
      <c r="H807" s="29">
        <f t="shared" si="190"/>
        <v>0</v>
      </c>
      <c r="I807" s="29">
        <v>0</v>
      </c>
      <c r="J807" s="29">
        <f t="shared" si="189"/>
        <v>0</v>
      </c>
      <c r="K807" s="30">
        <v>803</v>
      </c>
    </row>
    <row r="808" spans="1:11" hidden="1" outlineLevel="1" x14ac:dyDescent="0.25">
      <c r="A808" s="31"/>
      <c r="B808" s="16" t="s">
        <v>66</v>
      </c>
      <c r="C808" s="32"/>
      <c r="D808" s="32"/>
      <c r="E808" s="32"/>
      <c r="F808" s="32"/>
      <c r="G808" s="32"/>
      <c r="H808" s="32">
        <f t="shared" si="190"/>
        <v>0</v>
      </c>
      <c r="I808" s="32"/>
      <c r="J808" s="32">
        <f t="shared" si="189"/>
        <v>0</v>
      </c>
      <c r="K808" s="33">
        <v>804</v>
      </c>
    </row>
    <row r="809" spans="1:11" hidden="1" outlineLevel="1" x14ac:dyDescent="0.25">
      <c r="A809" s="31"/>
      <c r="B809" s="17" t="s">
        <v>67</v>
      </c>
      <c r="C809" s="32"/>
      <c r="D809" s="32"/>
      <c r="E809" s="32"/>
      <c r="F809" s="32"/>
      <c r="G809" s="32"/>
      <c r="H809" s="32">
        <f t="shared" si="190"/>
        <v>0</v>
      </c>
      <c r="I809" s="32"/>
      <c r="J809" s="32">
        <f t="shared" si="189"/>
        <v>0</v>
      </c>
      <c r="K809" s="33">
        <v>805</v>
      </c>
    </row>
    <row r="810" spans="1:11" ht="30" hidden="1" outlineLevel="1" x14ac:dyDescent="0.25">
      <c r="A810" s="31"/>
      <c r="B810" s="17" t="s">
        <v>68</v>
      </c>
      <c r="C810" s="32"/>
      <c r="D810" s="32"/>
      <c r="E810" s="32"/>
      <c r="F810" s="32"/>
      <c r="G810" s="32"/>
      <c r="H810" s="32">
        <f t="shared" si="190"/>
        <v>0</v>
      </c>
      <c r="I810" s="32"/>
      <c r="J810" s="32">
        <f t="shared" si="189"/>
        <v>0</v>
      </c>
      <c r="K810" s="33">
        <v>806</v>
      </c>
    </row>
    <row r="811" spans="1:11" hidden="1" outlineLevel="1" x14ac:dyDescent="0.25">
      <c r="A811" s="31"/>
      <c r="B811" s="16" t="s">
        <v>69</v>
      </c>
      <c r="C811" s="32"/>
      <c r="D811" s="32"/>
      <c r="E811" s="32"/>
      <c r="F811" s="32"/>
      <c r="G811" s="32"/>
      <c r="H811" s="32">
        <f t="shared" si="190"/>
        <v>0</v>
      </c>
      <c r="I811" s="32"/>
      <c r="J811" s="32">
        <f t="shared" si="189"/>
        <v>0</v>
      </c>
      <c r="K811" s="33">
        <v>807</v>
      </c>
    </row>
    <row r="812" spans="1:11" hidden="1" outlineLevel="1" x14ac:dyDescent="0.25">
      <c r="A812" s="31"/>
      <c r="B812" s="17" t="s">
        <v>70</v>
      </c>
      <c r="C812" s="32"/>
      <c r="D812" s="32"/>
      <c r="E812" s="32"/>
      <c r="F812" s="32"/>
      <c r="G812" s="32"/>
      <c r="H812" s="32">
        <f t="shared" si="190"/>
        <v>0</v>
      </c>
      <c r="I812" s="32"/>
      <c r="J812" s="32">
        <f t="shared" si="189"/>
        <v>0</v>
      </c>
      <c r="K812" s="33">
        <v>808</v>
      </c>
    </row>
    <row r="813" spans="1:11" ht="30" hidden="1" outlineLevel="1" x14ac:dyDescent="0.25">
      <c r="A813" s="31"/>
      <c r="B813" s="17" t="s">
        <v>71</v>
      </c>
      <c r="C813" s="32"/>
      <c r="D813" s="32"/>
      <c r="E813" s="32"/>
      <c r="F813" s="32"/>
      <c r="G813" s="32"/>
      <c r="H813" s="32">
        <f t="shared" si="190"/>
        <v>0</v>
      </c>
      <c r="I813" s="32"/>
      <c r="J813" s="32">
        <f t="shared" si="189"/>
        <v>0</v>
      </c>
      <c r="K813" s="33">
        <v>809</v>
      </c>
    </row>
    <row r="814" spans="1:11" hidden="1" outlineLevel="1" x14ac:dyDescent="0.25">
      <c r="A814" s="31"/>
      <c r="B814" s="16" t="s">
        <v>72</v>
      </c>
      <c r="C814" s="32"/>
      <c r="D814" s="32"/>
      <c r="E814" s="32"/>
      <c r="F814" s="32"/>
      <c r="G814" s="32"/>
      <c r="H814" s="32">
        <f t="shared" si="190"/>
        <v>0</v>
      </c>
      <c r="I814" s="32"/>
      <c r="J814" s="32">
        <f t="shared" si="189"/>
        <v>0</v>
      </c>
      <c r="K814" s="33">
        <v>810</v>
      </c>
    </row>
    <row r="815" spans="1:11" ht="30" hidden="1" outlineLevel="1" x14ac:dyDescent="0.25">
      <c r="A815" s="31"/>
      <c r="B815" s="17" t="s">
        <v>73</v>
      </c>
      <c r="C815" s="32"/>
      <c r="D815" s="32"/>
      <c r="E815" s="32"/>
      <c r="F815" s="32"/>
      <c r="G815" s="32"/>
      <c r="H815" s="32">
        <f t="shared" si="190"/>
        <v>0</v>
      </c>
      <c r="I815" s="32"/>
      <c r="J815" s="32">
        <f t="shared" si="189"/>
        <v>0</v>
      </c>
      <c r="K815" s="33">
        <v>811</v>
      </c>
    </row>
    <row r="816" spans="1:11" hidden="1" outlineLevel="1" x14ac:dyDescent="0.25">
      <c r="A816" s="28"/>
      <c r="B816" s="15" t="s">
        <v>74</v>
      </c>
      <c r="C816" s="29">
        <f t="shared" ref="C816:G816" si="199">+SUM(C817:C819)</f>
        <v>0</v>
      </c>
      <c r="D816" s="29">
        <f t="shared" si="199"/>
        <v>0</v>
      </c>
      <c r="E816" s="29">
        <f t="shared" si="199"/>
        <v>0</v>
      </c>
      <c r="F816" s="29">
        <f t="shared" si="199"/>
        <v>0</v>
      </c>
      <c r="G816" s="29">
        <f t="shared" si="199"/>
        <v>0</v>
      </c>
      <c r="H816" s="29">
        <f t="shared" si="190"/>
        <v>0</v>
      </c>
      <c r="I816" s="29"/>
      <c r="J816" s="29">
        <f t="shared" si="189"/>
        <v>0</v>
      </c>
      <c r="K816" s="30">
        <v>812</v>
      </c>
    </row>
    <row r="817" spans="1:11" ht="30" hidden="1" outlineLevel="1" x14ac:dyDescent="0.25">
      <c r="A817" s="34"/>
      <c r="B817" s="17" t="s">
        <v>75</v>
      </c>
      <c r="C817" s="35"/>
      <c r="D817" s="35"/>
      <c r="E817" s="35"/>
      <c r="F817" s="35"/>
      <c r="G817" s="35"/>
      <c r="H817" s="35">
        <f t="shared" si="190"/>
        <v>0</v>
      </c>
      <c r="I817" s="35"/>
      <c r="J817" s="35">
        <f t="shared" si="189"/>
        <v>0</v>
      </c>
      <c r="K817" s="36">
        <v>813</v>
      </c>
    </row>
    <row r="818" spans="1:11" ht="30" hidden="1" outlineLevel="1" x14ac:dyDescent="0.25">
      <c r="A818" s="34"/>
      <c r="B818" s="17" t="s">
        <v>76</v>
      </c>
      <c r="C818" s="35"/>
      <c r="D818" s="35"/>
      <c r="E818" s="35"/>
      <c r="F818" s="35"/>
      <c r="G818" s="35"/>
      <c r="H818" s="35">
        <f t="shared" si="190"/>
        <v>0</v>
      </c>
      <c r="I818" s="35"/>
      <c r="J818" s="35">
        <f t="shared" si="189"/>
        <v>0</v>
      </c>
      <c r="K818" s="36">
        <v>814</v>
      </c>
    </row>
    <row r="819" spans="1:11" ht="30" hidden="1" outlineLevel="1" x14ac:dyDescent="0.25">
      <c r="A819" s="34"/>
      <c r="B819" s="17" t="s">
        <v>77</v>
      </c>
      <c r="C819" s="35"/>
      <c r="D819" s="35"/>
      <c r="E819" s="35"/>
      <c r="F819" s="35"/>
      <c r="G819" s="35"/>
      <c r="H819" s="35">
        <f t="shared" si="190"/>
        <v>0</v>
      </c>
      <c r="I819" s="35"/>
      <c r="J819" s="35">
        <f t="shared" si="189"/>
        <v>0</v>
      </c>
      <c r="K819" s="36">
        <v>815</v>
      </c>
    </row>
    <row r="820" spans="1:11" hidden="1" outlineLevel="1" x14ac:dyDescent="0.25">
      <c r="A820" s="28"/>
      <c r="B820" s="15" t="s">
        <v>78</v>
      </c>
      <c r="C820" s="29">
        <f t="shared" ref="C820:G820" si="200">+SUM(C821:C825)</f>
        <v>0</v>
      </c>
      <c r="D820" s="29">
        <f t="shared" si="200"/>
        <v>0</v>
      </c>
      <c r="E820" s="29">
        <f t="shared" si="200"/>
        <v>0</v>
      </c>
      <c r="F820" s="29">
        <f t="shared" si="200"/>
        <v>0</v>
      </c>
      <c r="G820" s="29">
        <f t="shared" si="200"/>
        <v>0</v>
      </c>
      <c r="H820" s="29">
        <f t="shared" si="190"/>
        <v>0</v>
      </c>
      <c r="I820" s="29"/>
      <c r="J820" s="29">
        <f t="shared" si="189"/>
        <v>0</v>
      </c>
      <c r="K820" s="30">
        <v>816</v>
      </c>
    </row>
    <row r="821" spans="1:11" hidden="1" outlineLevel="1" x14ac:dyDescent="0.25">
      <c r="A821" s="34"/>
      <c r="B821" s="18" t="s">
        <v>79</v>
      </c>
      <c r="C821" s="35"/>
      <c r="D821" s="35"/>
      <c r="E821" s="35"/>
      <c r="F821" s="35"/>
      <c r="G821" s="35"/>
      <c r="H821" s="35">
        <f t="shared" si="190"/>
        <v>0</v>
      </c>
      <c r="I821" s="35"/>
      <c r="J821" s="35">
        <f t="shared" si="189"/>
        <v>0</v>
      </c>
      <c r="K821" s="36">
        <v>817</v>
      </c>
    </row>
    <row r="822" spans="1:11" ht="30" hidden="1" outlineLevel="1" x14ac:dyDescent="0.25">
      <c r="A822" s="34"/>
      <c r="B822" s="17" t="s">
        <v>80</v>
      </c>
      <c r="C822" s="35"/>
      <c r="D822" s="35"/>
      <c r="E822" s="35"/>
      <c r="F822" s="35"/>
      <c r="G822" s="35"/>
      <c r="H822" s="35">
        <f t="shared" si="190"/>
        <v>0</v>
      </c>
      <c r="I822" s="35"/>
      <c r="J822" s="35">
        <f t="shared" si="189"/>
        <v>0</v>
      </c>
      <c r="K822" s="36">
        <v>818</v>
      </c>
    </row>
    <row r="823" spans="1:11" hidden="1" outlineLevel="1" collapsed="1" x14ac:dyDescent="0.25">
      <c r="A823" s="34"/>
      <c r="B823" s="17" t="s">
        <v>81</v>
      </c>
      <c r="C823" s="35"/>
      <c r="D823" s="35"/>
      <c r="E823" s="35"/>
      <c r="F823" s="35"/>
      <c r="G823" s="35"/>
      <c r="H823" s="35">
        <f t="shared" si="190"/>
        <v>0</v>
      </c>
      <c r="I823" s="35"/>
      <c r="J823" s="35">
        <f t="shared" si="189"/>
        <v>0</v>
      </c>
      <c r="K823" s="36">
        <v>819</v>
      </c>
    </row>
    <row r="824" spans="1:11" hidden="1" outlineLevel="1" x14ac:dyDescent="0.25">
      <c r="A824" s="34"/>
      <c r="B824" s="18" t="s">
        <v>82</v>
      </c>
      <c r="C824" s="35"/>
      <c r="D824" s="35"/>
      <c r="E824" s="35"/>
      <c r="F824" s="35"/>
      <c r="G824" s="35"/>
      <c r="H824" s="35">
        <f t="shared" si="190"/>
        <v>0</v>
      </c>
      <c r="I824" s="35"/>
      <c r="J824" s="35">
        <f t="shared" si="189"/>
        <v>0</v>
      </c>
      <c r="K824" s="36">
        <v>820</v>
      </c>
    </row>
    <row r="825" spans="1:11" ht="30" hidden="1" outlineLevel="1" collapsed="1" x14ac:dyDescent="0.25">
      <c r="A825" s="34"/>
      <c r="B825" s="17" t="s">
        <v>83</v>
      </c>
      <c r="C825" s="35"/>
      <c r="D825" s="35"/>
      <c r="E825" s="35"/>
      <c r="F825" s="35"/>
      <c r="G825" s="35"/>
      <c r="H825" s="35">
        <f t="shared" si="190"/>
        <v>0</v>
      </c>
      <c r="I825" s="35"/>
      <c r="J825" s="35">
        <f t="shared" si="189"/>
        <v>0</v>
      </c>
      <c r="K825" s="36">
        <v>821</v>
      </c>
    </row>
    <row r="826" spans="1:11" hidden="1" outlineLevel="1" x14ac:dyDescent="0.25">
      <c r="A826" s="28"/>
      <c r="B826" s="15" t="s">
        <v>84</v>
      </c>
      <c r="C826" s="29">
        <f>+SUM(C827:C831)</f>
        <v>0</v>
      </c>
      <c r="D826" s="29">
        <f t="shared" ref="D826:G826" si="201">+SUM(D827:D831)</f>
        <v>0</v>
      </c>
      <c r="E826" s="29">
        <f t="shared" si="201"/>
        <v>0</v>
      </c>
      <c r="F826" s="29">
        <f t="shared" si="201"/>
        <v>0</v>
      </c>
      <c r="G826" s="29">
        <f t="shared" si="201"/>
        <v>0</v>
      </c>
      <c r="H826" s="29">
        <f t="shared" si="190"/>
        <v>0</v>
      </c>
      <c r="I826" s="29"/>
      <c r="J826" s="29">
        <f t="shared" si="189"/>
        <v>0</v>
      </c>
      <c r="K826" s="30">
        <v>822</v>
      </c>
    </row>
    <row r="827" spans="1:11" hidden="1" outlineLevel="1" collapsed="1" x14ac:dyDescent="0.25">
      <c r="A827" s="34"/>
      <c r="B827" s="17"/>
      <c r="C827" s="35"/>
      <c r="D827" s="35"/>
      <c r="E827" s="35"/>
      <c r="F827" s="35"/>
      <c r="G827" s="35"/>
      <c r="H827" s="35">
        <f t="shared" si="190"/>
        <v>0</v>
      </c>
      <c r="I827" s="35"/>
      <c r="J827" s="35">
        <f t="shared" si="189"/>
        <v>0</v>
      </c>
      <c r="K827" s="36">
        <v>823</v>
      </c>
    </row>
    <row r="828" spans="1:11" hidden="1" outlineLevel="1" x14ac:dyDescent="0.25">
      <c r="A828" s="34"/>
      <c r="B828" s="17"/>
      <c r="C828" s="35"/>
      <c r="D828" s="35"/>
      <c r="E828" s="35"/>
      <c r="F828" s="35"/>
      <c r="G828" s="35"/>
      <c r="H828" s="35">
        <f t="shared" si="190"/>
        <v>0</v>
      </c>
      <c r="I828" s="35"/>
      <c r="J828" s="35">
        <f t="shared" si="189"/>
        <v>0</v>
      </c>
      <c r="K828" s="36">
        <v>824</v>
      </c>
    </row>
    <row r="829" spans="1:11" hidden="1" outlineLevel="1" x14ac:dyDescent="0.25">
      <c r="A829" s="34"/>
      <c r="B829" s="17"/>
      <c r="C829" s="35"/>
      <c r="D829" s="35"/>
      <c r="E829" s="35"/>
      <c r="F829" s="35"/>
      <c r="G829" s="35"/>
      <c r="H829" s="35">
        <f t="shared" si="190"/>
        <v>0</v>
      </c>
      <c r="I829" s="35"/>
      <c r="J829" s="35">
        <f t="shared" si="189"/>
        <v>0</v>
      </c>
      <c r="K829" s="36">
        <v>825</v>
      </c>
    </row>
    <row r="830" spans="1:11" hidden="1" outlineLevel="1" x14ac:dyDescent="0.25">
      <c r="A830" s="34"/>
      <c r="B830" s="17" t="s">
        <v>86</v>
      </c>
      <c r="C830" s="35"/>
      <c r="D830" s="35"/>
      <c r="E830" s="35"/>
      <c r="F830" s="35"/>
      <c r="G830" s="35"/>
      <c r="H830" s="35">
        <f t="shared" si="190"/>
        <v>0</v>
      </c>
      <c r="I830" s="35"/>
      <c r="J830" s="35">
        <f t="shared" si="189"/>
        <v>0</v>
      </c>
      <c r="K830" s="36">
        <v>826</v>
      </c>
    </row>
    <row r="831" spans="1:11" hidden="1" outlineLevel="1" x14ac:dyDescent="0.25">
      <c r="A831" s="34"/>
      <c r="B831" s="17"/>
      <c r="C831" s="35"/>
      <c r="D831" s="35"/>
      <c r="E831" s="35"/>
      <c r="F831" s="35"/>
      <c r="G831" s="35"/>
      <c r="H831" s="35">
        <f t="shared" si="190"/>
        <v>0</v>
      </c>
      <c r="I831" s="35"/>
      <c r="J831" s="35">
        <f t="shared" si="189"/>
        <v>0</v>
      </c>
      <c r="K831" s="36">
        <v>827</v>
      </c>
    </row>
    <row r="832" spans="1:11" ht="30" collapsed="1" x14ac:dyDescent="0.25">
      <c r="A832" s="40" t="s">
        <v>156</v>
      </c>
      <c r="B832" s="10" t="s">
        <v>157</v>
      </c>
      <c r="C832" s="26">
        <f t="shared" ref="C832:G832" si="202">+C833+C842+C846+C852</f>
        <v>0</v>
      </c>
      <c r="D832" s="26">
        <f t="shared" si="202"/>
        <v>0</v>
      </c>
      <c r="E832" s="26">
        <f t="shared" si="202"/>
        <v>0</v>
      </c>
      <c r="F832" s="26">
        <f t="shared" si="202"/>
        <v>0</v>
      </c>
      <c r="G832" s="26">
        <f t="shared" si="202"/>
        <v>0</v>
      </c>
      <c r="H832" s="26">
        <f t="shared" si="190"/>
        <v>0</v>
      </c>
      <c r="I832" s="26">
        <v>0</v>
      </c>
      <c r="J832" s="26">
        <f t="shared" si="189"/>
        <v>0</v>
      </c>
      <c r="K832" s="27">
        <v>828</v>
      </c>
    </row>
    <row r="833" spans="1:11" hidden="1" outlineLevel="1" x14ac:dyDescent="0.25">
      <c r="A833" s="28"/>
      <c r="B833" s="15" t="s">
        <v>65</v>
      </c>
      <c r="C833" s="29">
        <f t="shared" ref="C833:G833" si="203">+SUM(C834:C841)</f>
        <v>0</v>
      </c>
      <c r="D833" s="29">
        <f t="shared" si="203"/>
        <v>0</v>
      </c>
      <c r="E833" s="29">
        <f t="shared" si="203"/>
        <v>0</v>
      </c>
      <c r="F833" s="29">
        <f t="shared" si="203"/>
        <v>0</v>
      </c>
      <c r="G833" s="29">
        <f t="shared" si="203"/>
        <v>0</v>
      </c>
      <c r="H833" s="29">
        <f t="shared" si="190"/>
        <v>0</v>
      </c>
      <c r="I833" s="29">
        <v>0</v>
      </c>
      <c r="J833" s="29">
        <f t="shared" si="189"/>
        <v>0</v>
      </c>
      <c r="K833" s="30">
        <v>829</v>
      </c>
    </row>
    <row r="834" spans="1:11" hidden="1" outlineLevel="1" x14ac:dyDescent="0.25">
      <c r="A834" s="31"/>
      <c r="B834" s="16" t="s">
        <v>66</v>
      </c>
      <c r="C834" s="32"/>
      <c r="D834" s="32"/>
      <c r="E834" s="32"/>
      <c r="F834" s="32"/>
      <c r="G834" s="32"/>
      <c r="H834" s="32">
        <f t="shared" si="190"/>
        <v>0</v>
      </c>
      <c r="I834" s="32"/>
      <c r="J834" s="32">
        <f t="shared" si="189"/>
        <v>0</v>
      </c>
      <c r="K834" s="33">
        <v>830</v>
      </c>
    </row>
    <row r="835" spans="1:11" hidden="1" outlineLevel="1" x14ac:dyDescent="0.25">
      <c r="A835" s="31"/>
      <c r="B835" s="17" t="s">
        <v>67</v>
      </c>
      <c r="C835" s="32"/>
      <c r="D835" s="32"/>
      <c r="E835" s="32"/>
      <c r="F835" s="32"/>
      <c r="G835" s="32"/>
      <c r="H835" s="32">
        <f t="shared" si="190"/>
        <v>0</v>
      </c>
      <c r="I835" s="32"/>
      <c r="J835" s="32">
        <f t="shared" si="189"/>
        <v>0</v>
      </c>
      <c r="K835" s="33">
        <v>831</v>
      </c>
    </row>
    <row r="836" spans="1:11" ht="30" hidden="1" outlineLevel="1" x14ac:dyDescent="0.25">
      <c r="A836" s="31"/>
      <c r="B836" s="17" t="s">
        <v>68</v>
      </c>
      <c r="C836" s="32"/>
      <c r="D836" s="32"/>
      <c r="E836" s="32"/>
      <c r="F836" s="32"/>
      <c r="G836" s="32"/>
      <c r="H836" s="32">
        <f t="shared" si="190"/>
        <v>0</v>
      </c>
      <c r="I836" s="32"/>
      <c r="J836" s="32">
        <f t="shared" si="189"/>
        <v>0</v>
      </c>
      <c r="K836" s="33">
        <v>832</v>
      </c>
    </row>
    <row r="837" spans="1:11" hidden="1" outlineLevel="1" x14ac:dyDescent="0.25">
      <c r="A837" s="31"/>
      <c r="B837" s="16" t="s">
        <v>69</v>
      </c>
      <c r="C837" s="32"/>
      <c r="D837" s="32"/>
      <c r="E837" s="32"/>
      <c r="F837" s="32"/>
      <c r="G837" s="32"/>
      <c r="H837" s="32">
        <f t="shared" si="190"/>
        <v>0</v>
      </c>
      <c r="I837" s="32"/>
      <c r="J837" s="32">
        <f t="shared" ref="J837:J900" si="204">+I837-H837</f>
        <v>0</v>
      </c>
      <c r="K837" s="33">
        <v>833</v>
      </c>
    </row>
    <row r="838" spans="1:11" hidden="1" outlineLevel="1" x14ac:dyDescent="0.25">
      <c r="A838" s="31"/>
      <c r="B838" s="17" t="s">
        <v>70</v>
      </c>
      <c r="C838" s="32"/>
      <c r="D838" s="32"/>
      <c r="E838" s="32"/>
      <c r="F838" s="32"/>
      <c r="G838" s="32"/>
      <c r="H838" s="32">
        <f t="shared" ref="H838:H901" si="205">+SUM(C838:G838)</f>
        <v>0</v>
      </c>
      <c r="I838" s="32"/>
      <c r="J838" s="32">
        <f t="shared" si="204"/>
        <v>0</v>
      </c>
      <c r="K838" s="33">
        <v>834</v>
      </c>
    </row>
    <row r="839" spans="1:11" ht="30" hidden="1" outlineLevel="1" x14ac:dyDescent="0.25">
      <c r="A839" s="31"/>
      <c r="B839" s="17" t="s">
        <v>71</v>
      </c>
      <c r="C839" s="32"/>
      <c r="D839" s="32"/>
      <c r="E839" s="32"/>
      <c r="F839" s="32"/>
      <c r="G839" s="32"/>
      <c r="H839" s="32">
        <f t="shared" si="205"/>
        <v>0</v>
      </c>
      <c r="I839" s="32"/>
      <c r="J839" s="32">
        <f t="shared" si="204"/>
        <v>0</v>
      </c>
      <c r="K839" s="33">
        <v>835</v>
      </c>
    </row>
    <row r="840" spans="1:11" hidden="1" outlineLevel="1" x14ac:dyDescent="0.25">
      <c r="A840" s="31"/>
      <c r="B840" s="16" t="s">
        <v>72</v>
      </c>
      <c r="C840" s="32"/>
      <c r="D840" s="32"/>
      <c r="E840" s="32"/>
      <c r="F840" s="32"/>
      <c r="G840" s="32"/>
      <c r="H840" s="32">
        <f t="shared" si="205"/>
        <v>0</v>
      </c>
      <c r="I840" s="32"/>
      <c r="J840" s="32">
        <f t="shared" si="204"/>
        <v>0</v>
      </c>
      <c r="K840" s="33">
        <v>836</v>
      </c>
    </row>
    <row r="841" spans="1:11" ht="30" hidden="1" outlineLevel="1" x14ac:dyDescent="0.25">
      <c r="A841" s="31"/>
      <c r="B841" s="17" t="s">
        <v>73</v>
      </c>
      <c r="C841" s="32"/>
      <c r="D841" s="32"/>
      <c r="E841" s="32"/>
      <c r="F841" s="32"/>
      <c r="G841" s="32"/>
      <c r="H841" s="32">
        <f t="shared" si="205"/>
        <v>0</v>
      </c>
      <c r="I841" s="32"/>
      <c r="J841" s="32">
        <f t="shared" si="204"/>
        <v>0</v>
      </c>
      <c r="K841" s="33">
        <v>837</v>
      </c>
    </row>
    <row r="842" spans="1:11" hidden="1" outlineLevel="1" x14ac:dyDescent="0.25">
      <c r="A842" s="28"/>
      <c r="B842" s="15" t="s">
        <v>74</v>
      </c>
      <c r="C842" s="29">
        <f t="shared" ref="C842:G842" si="206">+SUM(C843:C845)</f>
        <v>0</v>
      </c>
      <c r="D842" s="29">
        <f t="shared" si="206"/>
        <v>0</v>
      </c>
      <c r="E842" s="29">
        <f t="shared" si="206"/>
        <v>0</v>
      </c>
      <c r="F842" s="29">
        <f t="shared" si="206"/>
        <v>0</v>
      </c>
      <c r="G842" s="29">
        <f t="shared" si="206"/>
        <v>0</v>
      </c>
      <c r="H842" s="29">
        <f t="shared" si="205"/>
        <v>0</v>
      </c>
      <c r="I842" s="29"/>
      <c r="J842" s="29">
        <f t="shared" si="204"/>
        <v>0</v>
      </c>
      <c r="K842" s="30">
        <v>838</v>
      </c>
    </row>
    <row r="843" spans="1:11" ht="30" hidden="1" outlineLevel="1" x14ac:dyDescent="0.25">
      <c r="A843" s="34"/>
      <c r="B843" s="17" t="s">
        <v>75</v>
      </c>
      <c r="C843" s="35"/>
      <c r="D843" s="35"/>
      <c r="E843" s="35"/>
      <c r="F843" s="35"/>
      <c r="G843" s="35"/>
      <c r="H843" s="35">
        <f t="shared" si="205"/>
        <v>0</v>
      </c>
      <c r="I843" s="35"/>
      <c r="J843" s="35">
        <f t="shared" si="204"/>
        <v>0</v>
      </c>
      <c r="K843" s="36">
        <v>839</v>
      </c>
    </row>
    <row r="844" spans="1:11" ht="30" hidden="1" outlineLevel="1" x14ac:dyDescent="0.25">
      <c r="A844" s="34"/>
      <c r="B844" s="17" t="s">
        <v>76</v>
      </c>
      <c r="C844" s="35"/>
      <c r="D844" s="35"/>
      <c r="E844" s="35"/>
      <c r="F844" s="35"/>
      <c r="G844" s="35"/>
      <c r="H844" s="35">
        <f t="shared" si="205"/>
        <v>0</v>
      </c>
      <c r="I844" s="35"/>
      <c r="J844" s="35">
        <f t="shared" si="204"/>
        <v>0</v>
      </c>
      <c r="K844" s="36">
        <v>840</v>
      </c>
    </row>
    <row r="845" spans="1:11" ht="30" hidden="1" outlineLevel="1" x14ac:dyDescent="0.25">
      <c r="A845" s="34"/>
      <c r="B845" s="17" t="s">
        <v>77</v>
      </c>
      <c r="C845" s="35"/>
      <c r="D845" s="35"/>
      <c r="E845" s="35"/>
      <c r="F845" s="35"/>
      <c r="G845" s="35"/>
      <c r="H845" s="35">
        <f t="shared" si="205"/>
        <v>0</v>
      </c>
      <c r="I845" s="35"/>
      <c r="J845" s="35">
        <f t="shared" si="204"/>
        <v>0</v>
      </c>
      <c r="K845" s="36">
        <v>841</v>
      </c>
    </row>
    <row r="846" spans="1:11" hidden="1" outlineLevel="1" x14ac:dyDescent="0.25">
      <c r="A846" s="28"/>
      <c r="B846" s="15" t="s">
        <v>78</v>
      </c>
      <c r="C846" s="29">
        <f t="shared" ref="C846:G846" si="207">+SUM(C847:C851)</f>
        <v>0</v>
      </c>
      <c r="D846" s="29">
        <f t="shared" si="207"/>
        <v>0</v>
      </c>
      <c r="E846" s="29">
        <f t="shared" si="207"/>
        <v>0</v>
      </c>
      <c r="F846" s="29">
        <f t="shared" si="207"/>
        <v>0</v>
      </c>
      <c r="G846" s="29">
        <f t="shared" si="207"/>
        <v>0</v>
      </c>
      <c r="H846" s="29">
        <f t="shared" si="205"/>
        <v>0</v>
      </c>
      <c r="I846" s="29"/>
      <c r="J846" s="29">
        <f t="shared" si="204"/>
        <v>0</v>
      </c>
      <c r="K846" s="30">
        <v>842</v>
      </c>
    </row>
    <row r="847" spans="1:11" hidden="1" outlineLevel="1" x14ac:dyDescent="0.25">
      <c r="A847" s="34"/>
      <c r="B847" s="18" t="s">
        <v>79</v>
      </c>
      <c r="C847" s="35"/>
      <c r="D847" s="35"/>
      <c r="E847" s="35"/>
      <c r="F847" s="35"/>
      <c r="G847" s="35"/>
      <c r="H847" s="35">
        <f t="shared" si="205"/>
        <v>0</v>
      </c>
      <c r="I847" s="35"/>
      <c r="J847" s="35">
        <f t="shared" si="204"/>
        <v>0</v>
      </c>
      <c r="K847" s="36">
        <v>843</v>
      </c>
    </row>
    <row r="848" spans="1:11" ht="30" hidden="1" outlineLevel="1" x14ac:dyDescent="0.25">
      <c r="A848" s="34"/>
      <c r="B848" s="17" t="s">
        <v>80</v>
      </c>
      <c r="C848" s="35"/>
      <c r="D848" s="35"/>
      <c r="E848" s="35"/>
      <c r="F848" s="35"/>
      <c r="G848" s="35"/>
      <c r="H848" s="35">
        <f t="shared" si="205"/>
        <v>0</v>
      </c>
      <c r="I848" s="35"/>
      <c r="J848" s="35">
        <f t="shared" si="204"/>
        <v>0</v>
      </c>
      <c r="K848" s="36">
        <v>844</v>
      </c>
    </row>
    <row r="849" spans="1:11" hidden="1" outlineLevel="1" x14ac:dyDescent="0.25">
      <c r="A849" s="34"/>
      <c r="B849" s="17" t="s">
        <v>81</v>
      </c>
      <c r="C849" s="35"/>
      <c r="D849" s="35"/>
      <c r="E849" s="35"/>
      <c r="F849" s="35"/>
      <c r="G849" s="35"/>
      <c r="H849" s="35">
        <f t="shared" si="205"/>
        <v>0</v>
      </c>
      <c r="I849" s="35"/>
      <c r="J849" s="35">
        <f t="shared" si="204"/>
        <v>0</v>
      </c>
      <c r="K849" s="36">
        <v>845</v>
      </c>
    </row>
    <row r="850" spans="1:11" hidden="1" outlineLevel="1" x14ac:dyDescent="0.25">
      <c r="A850" s="34"/>
      <c r="B850" s="18" t="s">
        <v>82</v>
      </c>
      <c r="C850" s="35"/>
      <c r="D850" s="35"/>
      <c r="E850" s="35"/>
      <c r="F850" s="35"/>
      <c r="G850" s="35"/>
      <c r="H850" s="35">
        <f t="shared" si="205"/>
        <v>0</v>
      </c>
      <c r="I850" s="35"/>
      <c r="J850" s="35">
        <f t="shared" si="204"/>
        <v>0</v>
      </c>
      <c r="K850" s="36">
        <v>846</v>
      </c>
    </row>
    <row r="851" spans="1:11" ht="30" hidden="1" outlineLevel="1" collapsed="1" x14ac:dyDescent="0.25">
      <c r="A851" s="34"/>
      <c r="B851" s="17" t="s">
        <v>83</v>
      </c>
      <c r="C851" s="35"/>
      <c r="D851" s="35"/>
      <c r="E851" s="35"/>
      <c r="F851" s="35"/>
      <c r="G851" s="35"/>
      <c r="H851" s="35">
        <f t="shared" si="205"/>
        <v>0</v>
      </c>
      <c r="I851" s="35"/>
      <c r="J851" s="35">
        <f t="shared" si="204"/>
        <v>0</v>
      </c>
      <c r="K851" s="36">
        <v>847</v>
      </c>
    </row>
    <row r="852" spans="1:11" hidden="1" outlineLevel="1" x14ac:dyDescent="0.25">
      <c r="A852" s="28"/>
      <c r="B852" s="15" t="s">
        <v>84</v>
      </c>
      <c r="C852" s="29">
        <f>+SUM(C853:C857)</f>
        <v>0</v>
      </c>
      <c r="D852" s="29">
        <f t="shared" ref="D852:G852" si="208">+SUM(D853:D857)</f>
        <v>0</v>
      </c>
      <c r="E852" s="29">
        <f t="shared" si="208"/>
        <v>0</v>
      </c>
      <c r="F852" s="29">
        <f t="shared" si="208"/>
        <v>0</v>
      </c>
      <c r="G852" s="29">
        <f t="shared" si="208"/>
        <v>0</v>
      </c>
      <c r="H852" s="29">
        <f t="shared" si="205"/>
        <v>0</v>
      </c>
      <c r="I852" s="29"/>
      <c r="J852" s="29">
        <f t="shared" si="204"/>
        <v>0</v>
      </c>
      <c r="K852" s="30">
        <v>848</v>
      </c>
    </row>
    <row r="853" spans="1:11" hidden="1" outlineLevel="1" collapsed="1" x14ac:dyDescent="0.25">
      <c r="A853" s="34"/>
      <c r="B853" s="17"/>
      <c r="C853" s="35"/>
      <c r="D853" s="35"/>
      <c r="E853" s="35"/>
      <c r="F853" s="35"/>
      <c r="G853" s="35"/>
      <c r="H853" s="35">
        <f t="shared" si="205"/>
        <v>0</v>
      </c>
      <c r="I853" s="35"/>
      <c r="J853" s="35">
        <f t="shared" si="204"/>
        <v>0</v>
      </c>
      <c r="K853" s="36">
        <v>849</v>
      </c>
    </row>
    <row r="854" spans="1:11" hidden="1" outlineLevel="1" x14ac:dyDescent="0.25">
      <c r="A854" s="34"/>
      <c r="B854" s="17"/>
      <c r="C854" s="35"/>
      <c r="D854" s="35"/>
      <c r="E854" s="35"/>
      <c r="F854" s="35"/>
      <c r="G854" s="35"/>
      <c r="H854" s="35">
        <f t="shared" si="205"/>
        <v>0</v>
      </c>
      <c r="I854" s="35"/>
      <c r="J854" s="35">
        <f t="shared" si="204"/>
        <v>0</v>
      </c>
      <c r="K854" s="36">
        <v>850</v>
      </c>
    </row>
    <row r="855" spans="1:11" hidden="1" outlineLevel="1" x14ac:dyDescent="0.25">
      <c r="A855" s="34"/>
      <c r="B855" s="17"/>
      <c r="C855" s="35"/>
      <c r="D855" s="35"/>
      <c r="E855" s="35"/>
      <c r="F855" s="35"/>
      <c r="G855" s="35"/>
      <c r="H855" s="35">
        <f t="shared" si="205"/>
        <v>0</v>
      </c>
      <c r="I855" s="35"/>
      <c r="J855" s="35">
        <f t="shared" si="204"/>
        <v>0</v>
      </c>
      <c r="K855" s="36">
        <v>851</v>
      </c>
    </row>
    <row r="856" spans="1:11" hidden="1" outlineLevel="1" x14ac:dyDescent="0.25">
      <c r="A856" s="34"/>
      <c r="B856" s="17" t="s">
        <v>86</v>
      </c>
      <c r="C856" s="35"/>
      <c r="D856" s="35"/>
      <c r="E856" s="35"/>
      <c r="F856" s="35"/>
      <c r="G856" s="35"/>
      <c r="H856" s="35">
        <f t="shared" si="205"/>
        <v>0</v>
      </c>
      <c r="I856" s="35"/>
      <c r="J856" s="35">
        <f t="shared" si="204"/>
        <v>0</v>
      </c>
      <c r="K856" s="36">
        <v>852</v>
      </c>
    </row>
    <row r="857" spans="1:11" hidden="1" outlineLevel="1" x14ac:dyDescent="0.25">
      <c r="A857" s="34"/>
      <c r="B857" s="17"/>
      <c r="C857" s="35"/>
      <c r="D857" s="35"/>
      <c r="E857" s="35"/>
      <c r="F857" s="35"/>
      <c r="G857" s="35"/>
      <c r="H857" s="35">
        <f t="shared" si="205"/>
        <v>0</v>
      </c>
      <c r="I857" s="35"/>
      <c r="J857" s="35">
        <f t="shared" si="204"/>
        <v>0</v>
      </c>
      <c r="K857" s="36">
        <v>853</v>
      </c>
    </row>
    <row r="858" spans="1:11" ht="30" collapsed="1" x14ac:dyDescent="0.25">
      <c r="A858" s="40" t="s">
        <v>158</v>
      </c>
      <c r="B858" s="10" t="s">
        <v>159</v>
      </c>
      <c r="C858" s="26">
        <f t="shared" ref="C858:G858" si="209">+C859+C868+C872+C878</f>
        <v>0</v>
      </c>
      <c r="D858" s="26">
        <f t="shared" si="209"/>
        <v>0</v>
      </c>
      <c r="E858" s="26">
        <f t="shared" si="209"/>
        <v>0</v>
      </c>
      <c r="F858" s="26">
        <f t="shared" si="209"/>
        <v>0</v>
      </c>
      <c r="G858" s="26">
        <f t="shared" si="209"/>
        <v>0</v>
      </c>
      <c r="H858" s="26">
        <f t="shared" si="205"/>
        <v>0</v>
      </c>
      <c r="I858" s="26">
        <v>0</v>
      </c>
      <c r="J858" s="26">
        <f t="shared" si="204"/>
        <v>0</v>
      </c>
      <c r="K858" s="27">
        <v>854</v>
      </c>
    </row>
    <row r="859" spans="1:11" hidden="1" outlineLevel="1" x14ac:dyDescent="0.25">
      <c r="A859" s="28"/>
      <c r="B859" s="15" t="s">
        <v>65</v>
      </c>
      <c r="C859" s="29">
        <f t="shared" ref="C859:G859" si="210">+SUM(C860:C867)</f>
        <v>0</v>
      </c>
      <c r="D859" s="29">
        <f t="shared" si="210"/>
        <v>0</v>
      </c>
      <c r="E859" s="29">
        <f t="shared" si="210"/>
        <v>0</v>
      </c>
      <c r="F859" s="29">
        <f t="shared" si="210"/>
        <v>0</v>
      </c>
      <c r="G859" s="29">
        <f t="shared" si="210"/>
        <v>0</v>
      </c>
      <c r="H859" s="29">
        <f t="shared" si="205"/>
        <v>0</v>
      </c>
      <c r="I859" s="29">
        <v>0</v>
      </c>
      <c r="J859" s="29">
        <f t="shared" si="204"/>
        <v>0</v>
      </c>
      <c r="K859" s="30">
        <v>855</v>
      </c>
    </row>
    <row r="860" spans="1:11" hidden="1" outlineLevel="1" x14ac:dyDescent="0.25">
      <c r="A860" s="31"/>
      <c r="B860" s="16" t="s">
        <v>66</v>
      </c>
      <c r="C860" s="32"/>
      <c r="D860" s="32"/>
      <c r="E860" s="32"/>
      <c r="F860" s="32"/>
      <c r="G860" s="32"/>
      <c r="H860" s="32">
        <f t="shared" si="205"/>
        <v>0</v>
      </c>
      <c r="I860" s="32"/>
      <c r="J860" s="32">
        <f t="shared" si="204"/>
        <v>0</v>
      </c>
      <c r="K860" s="33">
        <v>856</v>
      </c>
    </row>
    <row r="861" spans="1:11" hidden="1" outlineLevel="1" x14ac:dyDescent="0.25">
      <c r="A861" s="31"/>
      <c r="B861" s="17" t="s">
        <v>67</v>
      </c>
      <c r="C861" s="32"/>
      <c r="D861" s="32"/>
      <c r="E861" s="32"/>
      <c r="F861" s="32"/>
      <c r="G861" s="32"/>
      <c r="H861" s="32">
        <f t="shared" si="205"/>
        <v>0</v>
      </c>
      <c r="I861" s="32"/>
      <c r="J861" s="32">
        <f t="shared" si="204"/>
        <v>0</v>
      </c>
      <c r="K861" s="33">
        <v>857</v>
      </c>
    </row>
    <row r="862" spans="1:11" ht="30" hidden="1" outlineLevel="1" x14ac:dyDescent="0.25">
      <c r="A862" s="31"/>
      <c r="B862" s="17" t="s">
        <v>68</v>
      </c>
      <c r="C862" s="32"/>
      <c r="D862" s="32"/>
      <c r="E862" s="32"/>
      <c r="F862" s="32"/>
      <c r="G862" s="32"/>
      <c r="H862" s="32">
        <f t="shared" si="205"/>
        <v>0</v>
      </c>
      <c r="I862" s="32"/>
      <c r="J862" s="32">
        <f t="shared" si="204"/>
        <v>0</v>
      </c>
      <c r="K862" s="33">
        <v>858</v>
      </c>
    </row>
    <row r="863" spans="1:11" hidden="1" outlineLevel="1" x14ac:dyDescent="0.25">
      <c r="A863" s="31"/>
      <c r="B863" s="16" t="s">
        <v>69</v>
      </c>
      <c r="C863" s="32"/>
      <c r="D863" s="32"/>
      <c r="E863" s="32"/>
      <c r="F863" s="32"/>
      <c r="G863" s="32"/>
      <c r="H863" s="32">
        <f t="shared" si="205"/>
        <v>0</v>
      </c>
      <c r="I863" s="32"/>
      <c r="J863" s="32">
        <f t="shared" si="204"/>
        <v>0</v>
      </c>
      <c r="K863" s="33">
        <v>859</v>
      </c>
    </row>
    <row r="864" spans="1:11" hidden="1" outlineLevel="1" x14ac:dyDescent="0.25">
      <c r="A864" s="31"/>
      <c r="B864" s="17" t="s">
        <v>70</v>
      </c>
      <c r="C864" s="32"/>
      <c r="D864" s="32"/>
      <c r="E864" s="32"/>
      <c r="F864" s="32"/>
      <c r="G864" s="32"/>
      <c r="H864" s="32">
        <f t="shared" si="205"/>
        <v>0</v>
      </c>
      <c r="I864" s="32"/>
      <c r="J864" s="32">
        <f t="shared" si="204"/>
        <v>0</v>
      </c>
      <c r="K864" s="33">
        <v>860</v>
      </c>
    </row>
    <row r="865" spans="1:11" ht="30" hidden="1" outlineLevel="1" x14ac:dyDescent="0.25">
      <c r="A865" s="31"/>
      <c r="B865" s="17" t="s">
        <v>71</v>
      </c>
      <c r="C865" s="32"/>
      <c r="D865" s="32"/>
      <c r="E865" s="32"/>
      <c r="F865" s="32"/>
      <c r="G865" s="32"/>
      <c r="H865" s="32">
        <f t="shared" si="205"/>
        <v>0</v>
      </c>
      <c r="I865" s="32"/>
      <c r="J865" s="32">
        <f t="shared" si="204"/>
        <v>0</v>
      </c>
      <c r="K865" s="33">
        <v>861</v>
      </c>
    </row>
    <row r="866" spans="1:11" hidden="1" outlineLevel="1" x14ac:dyDescent="0.25">
      <c r="A866" s="31"/>
      <c r="B866" s="16" t="s">
        <v>72</v>
      </c>
      <c r="C866" s="32"/>
      <c r="D866" s="32"/>
      <c r="E866" s="32"/>
      <c r="F866" s="32"/>
      <c r="G866" s="32"/>
      <c r="H866" s="32">
        <f t="shared" si="205"/>
        <v>0</v>
      </c>
      <c r="I866" s="32"/>
      <c r="J866" s="32">
        <f t="shared" si="204"/>
        <v>0</v>
      </c>
      <c r="K866" s="33">
        <v>862</v>
      </c>
    </row>
    <row r="867" spans="1:11" ht="30" hidden="1" outlineLevel="1" x14ac:dyDescent="0.25">
      <c r="A867" s="31"/>
      <c r="B867" s="17" t="s">
        <v>73</v>
      </c>
      <c r="C867" s="32"/>
      <c r="D867" s="32"/>
      <c r="E867" s="32"/>
      <c r="F867" s="32"/>
      <c r="G867" s="32"/>
      <c r="H867" s="32">
        <f t="shared" si="205"/>
        <v>0</v>
      </c>
      <c r="I867" s="32"/>
      <c r="J867" s="32">
        <f t="shared" si="204"/>
        <v>0</v>
      </c>
      <c r="K867" s="33">
        <v>863</v>
      </c>
    </row>
    <row r="868" spans="1:11" hidden="1" outlineLevel="1" x14ac:dyDescent="0.25">
      <c r="A868" s="28"/>
      <c r="B868" s="15" t="s">
        <v>74</v>
      </c>
      <c r="C868" s="29">
        <f t="shared" ref="C868:G868" si="211">+SUM(C869:C871)</f>
        <v>0</v>
      </c>
      <c r="D868" s="29">
        <f t="shared" si="211"/>
        <v>0</v>
      </c>
      <c r="E868" s="29">
        <f t="shared" si="211"/>
        <v>0</v>
      </c>
      <c r="F868" s="29">
        <f t="shared" si="211"/>
        <v>0</v>
      </c>
      <c r="G868" s="29">
        <f t="shared" si="211"/>
        <v>0</v>
      </c>
      <c r="H868" s="29">
        <f t="shared" si="205"/>
        <v>0</v>
      </c>
      <c r="I868" s="29"/>
      <c r="J868" s="29">
        <f t="shared" si="204"/>
        <v>0</v>
      </c>
      <c r="K868" s="30">
        <v>864</v>
      </c>
    </row>
    <row r="869" spans="1:11" ht="30" hidden="1" outlineLevel="1" x14ac:dyDescent="0.25">
      <c r="A869" s="34"/>
      <c r="B869" s="17" t="s">
        <v>75</v>
      </c>
      <c r="C869" s="35"/>
      <c r="D869" s="35"/>
      <c r="E869" s="35"/>
      <c r="F869" s="35"/>
      <c r="G869" s="35"/>
      <c r="H869" s="35">
        <f t="shared" si="205"/>
        <v>0</v>
      </c>
      <c r="I869" s="35"/>
      <c r="J869" s="35">
        <f t="shared" si="204"/>
        <v>0</v>
      </c>
      <c r="K869" s="36">
        <v>865</v>
      </c>
    </row>
    <row r="870" spans="1:11" ht="30" hidden="1" outlineLevel="1" x14ac:dyDescent="0.25">
      <c r="A870" s="34"/>
      <c r="B870" s="17" t="s">
        <v>76</v>
      </c>
      <c r="C870" s="35"/>
      <c r="D870" s="35"/>
      <c r="E870" s="35"/>
      <c r="F870" s="35"/>
      <c r="G870" s="35"/>
      <c r="H870" s="35">
        <f t="shared" si="205"/>
        <v>0</v>
      </c>
      <c r="I870" s="35"/>
      <c r="J870" s="35">
        <f t="shared" si="204"/>
        <v>0</v>
      </c>
      <c r="K870" s="36">
        <v>866</v>
      </c>
    </row>
    <row r="871" spans="1:11" ht="30" hidden="1" outlineLevel="1" x14ac:dyDescent="0.25">
      <c r="A871" s="34"/>
      <c r="B871" s="17" t="s">
        <v>77</v>
      </c>
      <c r="C871" s="35"/>
      <c r="D871" s="35"/>
      <c r="E871" s="35"/>
      <c r="F871" s="35"/>
      <c r="G871" s="35"/>
      <c r="H871" s="35">
        <f t="shared" si="205"/>
        <v>0</v>
      </c>
      <c r="I871" s="35"/>
      <c r="J871" s="35">
        <f t="shared" si="204"/>
        <v>0</v>
      </c>
      <c r="K871" s="36">
        <v>867</v>
      </c>
    </row>
    <row r="872" spans="1:11" hidden="1" outlineLevel="1" x14ac:dyDescent="0.25">
      <c r="A872" s="28"/>
      <c r="B872" s="15" t="s">
        <v>78</v>
      </c>
      <c r="C872" s="29">
        <f t="shared" ref="C872:G872" si="212">+SUM(C873:C877)</f>
        <v>0</v>
      </c>
      <c r="D872" s="29">
        <f t="shared" si="212"/>
        <v>0</v>
      </c>
      <c r="E872" s="29">
        <f t="shared" si="212"/>
        <v>0</v>
      </c>
      <c r="F872" s="29">
        <f t="shared" si="212"/>
        <v>0</v>
      </c>
      <c r="G872" s="29">
        <f t="shared" si="212"/>
        <v>0</v>
      </c>
      <c r="H872" s="29">
        <f t="shared" si="205"/>
        <v>0</v>
      </c>
      <c r="I872" s="29"/>
      <c r="J872" s="29">
        <f t="shared" si="204"/>
        <v>0</v>
      </c>
      <c r="K872" s="30">
        <v>868</v>
      </c>
    </row>
    <row r="873" spans="1:11" hidden="1" outlineLevel="1" x14ac:dyDescent="0.25">
      <c r="A873" s="34"/>
      <c r="B873" s="18" t="s">
        <v>79</v>
      </c>
      <c r="C873" s="35"/>
      <c r="D873" s="35"/>
      <c r="E873" s="35"/>
      <c r="F873" s="35"/>
      <c r="G873" s="35"/>
      <c r="H873" s="35">
        <f t="shared" si="205"/>
        <v>0</v>
      </c>
      <c r="I873" s="35"/>
      <c r="J873" s="35">
        <f t="shared" si="204"/>
        <v>0</v>
      </c>
      <c r="K873" s="36">
        <v>869</v>
      </c>
    </row>
    <row r="874" spans="1:11" ht="30" hidden="1" outlineLevel="1" x14ac:dyDescent="0.25">
      <c r="A874" s="34"/>
      <c r="B874" s="17" t="s">
        <v>80</v>
      </c>
      <c r="C874" s="35"/>
      <c r="D874" s="35"/>
      <c r="E874" s="35"/>
      <c r="F874" s="35"/>
      <c r="G874" s="35"/>
      <c r="H874" s="35">
        <f t="shared" si="205"/>
        <v>0</v>
      </c>
      <c r="I874" s="35"/>
      <c r="J874" s="35">
        <f t="shared" si="204"/>
        <v>0</v>
      </c>
      <c r="K874" s="36">
        <v>870</v>
      </c>
    </row>
    <row r="875" spans="1:11" hidden="1" outlineLevel="1" x14ac:dyDescent="0.25">
      <c r="A875" s="34"/>
      <c r="B875" s="17" t="s">
        <v>81</v>
      </c>
      <c r="C875" s="35"/>
      <c r="D875" s="35"/>
      <c r="E875" s="35"/>
      <c r="F875" s="35"/>
      <c r="G875" s="35"/>
      <c r="H875" s="35">
        <f t="shared" si="205"/>
        <v>0</v>
      </c>
      <c r="I875" s="35"/>
      <c r="J875" s="35">
        <f t="shared" si="204"/>
        <v>0</v>
      </c>
      <c r="K875" s="36">
        <v>871</v>
      </c>
    </row>
    <row r="876" spans="1:11" hidden="1" outlineLevel="1" x14ac:dyDescent="0.25">
      <c r="A876" s="34"/>
      <c r="B876" s="18" t="s">
        <v>82</v>
      </c>
      <c r="C876" s="35"/>
      <c r="D876" s="35"/>
      <c r="E876" s="35"/>
      <c r="F876" s="35"/>
      <c r="G876" s="35"/>
      <c r="H876" s="35">
        <f t="shared" si="205"/>
        <v>0</v>
      </c>
      <c r="I876" s="35"/>
      <c r="J876" s="35">
        <f t="shared" si="204"/>
        <v>0</v>
      </c>
      <c r="K876" s="36">
        <v>872</v>
      </c>
    </row>
    <row r="877" spans="1:11" ht="30" hidden="1" outlineLevel="1" collapsed="1" x14ac:dyDescent="0.25">
      <c r="A877" s="34"/>
      <c r="B877" s="17" t="s">
        <v>83</v>
      </c>
      <c r="C877" s="35"/>
      <c r="D877" s="35"/>
      <c r="E877" s="35"/>
      <c r="F877" s="35"/>
      <c r="G877" s="35"/>
      <c r="H877" s="35">
        <f t="shared" si="205"/>
        <v>0</v>
      </c>
      <c r="I877" s="35"/>
      <c r="J877" s="35">
        <f t="shared" si="204"/>
        <v>0</v>
      </c>
      <c r="K877" s="36">
        <v>873</v>
      </c>
    </row>
    <row r="878" spans="1:11" hidden="1" outlineLevel="1" collapsed="1" x14ac:dyDescent="0.25">
      <c r="A878" s="28"/>
      <c r="B878" s="15" t="s">
        <v>84</v>
      </c>
      <c r="C878" s="29">
        <f>+SUM(C879:C883)</f>
        <v>0</v>
      </c>
      <c r="D878" s="29">
        <f t="shared" ref="D878:G878" si="213">+SUM(D879:D883)</f>
        <v>0</v>
      </c>
      <c r="E878" s="29">
        <f t="shared" si="213"/>
        <v>0</v>
      </c>
      <c r="F878" s="29">
        <f t="shared" si="213"/>
        <v>0</v>
      </c>
      <c r="G878" s="29">
        <f t="shared" si="213"/>
        <v>0</v>
      </c>
      <c r="H878" s="29">
        <f t="shared" si="205"/>
        <v>0</v>
      </c>
      <c r="I878" s="29"/>
      <c r="J878" s="29">
        <f t="shared" si="204"/>
        <v>0</v>
      </c>
      <c r="K878" s="30">
        <v>874</v>
      </c>
    </row>
    <row r="879" spans="1:11" hidden="1" outlineLevel="1" x14ac:dyDescent="0.25">
      <c r="A879" s="34"/>
      <c r="B879" s="17"/>
      <c r="C879" s="35"/>
      <c r="D879" s="35"/>
      <c r="E879" s="35"/>
      <c r="F879" s="35"/>
      <c r="G879" s="35"/>
      <c r="H879" s="35">
        <f t="shared" si="205"/>
        <v>0</v>
      </c>
      <c r="I879" s="35"/>
      <c r="J879" s="35">
        <f t="shared" si="204"/>
        <v>0</v>
      </c>
      <c r="K879" s="36">
        <v>875</v>
      </c>
    </row>
    <row r="880" spans="1:11" hidden="1" outlineLevel="1" x14ac:dyDescent="0.25">
      <c r="A880" s="34"/>
      <c r="B880" s="17"/>
      <c r="C880" s="35"/>
      <c r="D880" s="35"/>
      <c r="E880" s="35"/>
      <c r="F880" s="35"/>
      <c r="G880" s="35"/>
      <c r="H880" s="35">
        <f t="shared" si="205"/>
        <v>0</v>
      </c>
      <c r="I880" s="35"/>
      <c r="J880" s="35">
        <f t="shared" si="204"/>
        <v>0</v>
      </c>
      <c r="K880" s="36">
        <v>876</v>
      </c>
    </row>
    <row r="881" spans="1:11" hidden="1" outlineLevel="1" collapsed="1" x14ac:dyDescent="0.25">
      <c r="A881" s="34"/>
      <c r="B881" s="17"/>
      <c r="C881" s="35"/>
      <c r="D881" s="35"/>
      <c r="E881" s="35"/>
      <c r="F881" s="35"/>
      <c r="G881" s="35"/>
      <c r="H881" s="35">
        <f t="shared" si="205"/>
        <v>0</v>
      </c>
      <c r="I881" s="35"/>
      <c r="J881" s="35">
        <f t="shared" si="204"/>
        <v>0</v>
      </c>
      <c r="K881" s="36">
        <v>877</v>
      </c>
    </row>
    <row r="882" spans="1:11" hidden="1" outlineLevel="1" x14ac:dyDescent="0.25">
      <c r="A882" s="34"/>
      <c r="B882" s="17" t="s">
        <v>86</v>
      </c>
      <c r="C882" s="35"/>
      <c r="D882" s="35"/>
      <c r="E882" s="35"/>
      <c r="F882" s="35"/>
      <c r="G882" s="35"/>
      <c r="H882" s="35">
        <f t="shared" si="205"/>
        <v>0</v>
      </c>
      <c r="I882" s="35"/>
      <c r="J882" s="35">
        <f t="shared" si="204"/>
        <v>0</v>
      </c>
      <c r="K882" s="36">
        <v>878</v>
      </c>
    </row>
    <row r="883" spans="1:11" hidden="1" outlineLevel="1" x14ac:dyDescent="0.25">
      <c r="A883" s="34"/>
      <c r="B883" s="17"/>
      <c r="C883" s="35"/>
      <c r="D883" s="35"/>
      <c r="E883" s="35"/>
      <c r="F883" s="35"/>
      <c r="G883" s="35"/>
      <c r="H883" s="35">
        <f t="shared" si="205"/>
        <v>0</v>
      </c>
      <c r="I883" s="35"/>
      <c r="J883" s="35">
        <f t="shared" si="204"/>
        <v>0</v>
      </c>
      <c r="K883" s="36">
        <v>879</v>
      </c>
    </row>
    <row r="884" spans="1:11" ht="30" collapsed="1" x14ac:dyDescent="0.25">
      <c r="A884" s="39" t="s">
        <v>160</v>
      </c>
      <c r="B884" s="14" t="s">
        <v>161</v>
      </c>
      <c r="C884" s="24">
        <f>+C885+C911+C937+C963</f>
        <v>0</v>
      </c>
      <c r="D884" s="24">
        <f t="shared" ref="D884:G884" si="214">+D885+D911+D937+D963</f>
        <v>0</v>
      </c>
      <c r="E884" s="24">
        <f t="shared" si="214"/>
        <v>0</v>
      </c>
      <c r="F884" s="24">
        <f t="shared" si="214"/>
        <v>0</v>
      </c>
      <c r="G884" s="24">
        <f t="shared" si="214"/>
        <v>0</v>
      </c>
      <c r="H884" s="24">
        <f t="shared" si="205"/>
        <v>0</v>
      </c>
      <c r="I884" s="24"/>
      <c r="J884" s="24">
        <f t="shared" si="204"/>
        <v>0</v>
      </c>
      <c r="K884" s="25">
        <v>880</v>
      </c>
    </row>
    <row r="885" spans="1:11" ht="60" x14ac:dyDescent="0.25">
      <c r="A885" s="40" t="s">
        <v>162</v>
      </c>
      <c r="B885" s="10" t="s">
        <v>197</v>
      </c>
      <c r="C885" s="26">
        <f t="shared" ref="C885:G885" si="215">+C886+C895+C899+C905</f>
        <v>0</v>
      </c>
      <c r="D885" s="26">
        <f t="shared" si="215"/>
        <v>0</v>
      </c>
      <c r="E885" s="26">
        <f t="shared" si="215"/>
        <v>0</v>
      </c>
      <c r="F885" s="26">
        <f t="shared" si="215"/>
        <v>0</v>
      </c>
      <c r="G885" s="26">
        <f t="shared" si="215"/>
        <v>0</v>
      </c>
      <c r="H885" s="26">
        <f t="shared" si="205"/>
        <v>0</v>
      </c>
      <c r="I885" s="26">
        <v>0</v>
      </c>
      <c r="J885" s="26">
        <f t="shared" si="204"/>
        <v>0</v>
      </c>
      <c r="K885" s="27">
        <v>881</v>
      </c>
    </row>
    <row r="886" spans="1:11" hidden="1" outlineLevel="1" x14ac:dyDescent="0.25">
      <c r="A886" s="28"/>
      <c r="B886" s="15" t="s">
        <v>65</v>
      </c>
      <c r="C886" s="29">
        <f t="shared" ref="C886:G886" si="216">+SUM(C887:C894)</f>
        <v>0</v>
      </c>
      <c r="D886" s="29">
        <f t="shared" si="216"/>
        <v>0</v>
      </c>
      <c r="E886" s="29">
        <f t="shared" si="216"/>
        <v>0</v>
      </c>
      <c r="F886" s="29">
        <f t="shared" si="216"/>
        <v>0</v>
      </c>
      <c r="G886" s="29">
        <f t="shared" si="216"/>
        <v>0</v>
      </c>
      <c r="H886" s="29">
        <f t="shared" si="205"/>
        <v>0</v>
      </c>
      <c r="I886" s="29">
        <v>0</v>
      </c>
      <c r="J886" s="29">
        <f t="shared" si="204"/>
        <v>0</v>
      </c>
      <c r="K886" s="30">
        <v>882</v>
      </c>
    </row>
    <row r="887" spans="1:11" hidden="1" outlineLevel="1" x14ac:dyDescent="0.25">
      <c r="A887" s="31"/>
      <c r="B887" s="16" t="s">
        <v>66</v>
      </c>
      <c r="C887" s="32"/>
      <c r="D887" s="32"/>
      <c r="E887" s="32"/>
      <c r="F887" s="32"/>
      <c r="G887" s="32"/>
      <c r="H887" s="32">
        <f t="shared" si="205"/>
        <v>0</v>
      </c>
      <c r="I887" s="32"/>
      <c r="J887" s="32">
        <f t="shared" si="204"/>
        <v>0</v>
      </c>
      <c r="K887" s="33">
        <v>883</v>
      </c>
    </row>
    <row r="888" spans="1:11" hidden="1" outlineLevel="1" x14ac:dyDescent="0.25">
      <c r="A888" s="31"/>
      <c r="B888" s="17" t="s">
        <v>67</v>
      </c>
      <c r="C888" s="32"/>
      <c r="D888" s="32"/>
      <c r="E888" s="32"/>
      <c r="F888" s="32"/>
      <c r="G888" s="32"/>
      <c r="H888" s="32">
        <f t="shared" si="205"/>
        <v>0</v>
      </c>
      <c r="I888" s="32"/>
      <c r="J888" s="32">
        <f t="shared" si="204"/>
        <v>0</v>
      </c>
      <c r="K888" s="33">
        <v>884</v>
      </c>
    </row>
    <row r="889" spans="1:11" ht="30" hidden="1" outlineLevel="1" x14ac:dyDescent="0.25">
      <c r="A889" s="31"/>
      <c r="B889" s="17" t="s">
        <v>68</v>
      </c>
      <c r="C889" s="32"/>
      <c r="D889" s="32"/>
      <c r="E889" s="32"/>
      <c r="F889" s="32"/>
      <c r="G889" s="32"/>
      <c r="H889" s="32">
        <f t="shared" si="205"/>
        <v>0</v>
      </c>
      <c r="I889" s="32"/>
      <c r="J889" s="32">
        <f t="shared" si="204"/>
        <v>0</v>
      </c>
      <c r="K889" s="33">
        <v>885</v>
      </c>
    </row>
    <row r="890" spans="1:11" hidden="1" outlineLevel="1" x14ac:dyDescent="0.25">
      <c r="A890" s="31"/>
      <c r="B890" s="16" t="s">
        <v>69</v>
      </c>
      <c r="C890" s="32"/>
      <c r="D890" s="32"/>
      <c r="E890" s="32"/>
      <c r="F890" s="32"/>
      <c r="G890" s="32"/>
      <c r="H890" s="32">
        <f t="shared" si="205"/>
        <v>0</v>
      </c>
      <c r="I890" s="32"/>
      <c r="J890" s="32">
        <f t="shared" si="204"/>
        <v>0</v>
      </c>
      <c r="K890" s="33">
        <v>886</v>
      </c>
    </row>
    <row r="891" spans="1:11" hidden="1" outlineLevel="1" x14ac:dyDescent="0.25">
      <c r="A891" s="31"/>
      <c r="B891" s="17" t="s">
        <v>70</v>
      </c>
      <c r="C891" s="32"/>
      <c r="D891" s="32"/>
      <c r="E891" s="32"/>
      <c r="F891" s="32"/>
      <c r="G891" s="32"/>
      <c r="H891" s="32">
        <f t="shared" si="205"/>
        <v>0</v>
      </c>
      <c r="I891" s="32"/>
      <c r="J891" s="32">
        <f t="shared" si="204"/>
        <v>0</v>
      </c>
      <c r="K891" s="33">
        <v>887</v>
      </c>
    </row>
    <row r="892" spans="1:11" ht="30" hidden="1" outlineLevel="1" x14ac:dyDescent="0.25">
      <c r="A892" s="31"/>
      <c r="B892" s="17" t="s">
        <v>71</v>
      </c>
      <c r="C892" s="32"/>
      <c r="D892" s="32"/>
      <c r="E892" s="32"/>
      <c r="F892" s="32"/>
      <c r="G892" s="32"/>
      <c r="H892" s="32">
        <f t="shared" si="205"/>
        <v>0</v>
      </c>
      <c r="I892" s="32"/>
      <c r="J892" s="32">
        <f t="shared" si="204"/>
        <v>0</v>
      </c>
      <c r="K892" s="33">
        <v>888</v>
      </c>
    </row>
    <row r="893" spans="1:11" hidden="1" outlineLevel="1" x14ac:dyDescent="0.25">
      <c r="A893" s="31"/>
      <c r="B893" s="16" t="s">
        <v>72</v>
      </c>
      <c r="C893" s="32"/>
      <c r="D893" s="32"/>
      <c r="E893" s="32"/>
      <c r="F893" s="32"/>
      <c r="G893" s="32"/>
      <c r="H893" s="32">
        <f t="shared" si="205"/>
        <v>0</v>
      </c>
      <c r="I893" s="32"/>
      <c r="J893" s="32">
        <f t="shared" si="204"/>
        <v>0</v>
      </c>
      <c r="K893" s="33">
        <v>889</v>
      </c>
    </row>
    <row r="894" spans="1:11" ht="30" hidden="1" outlineLevel="1" x14ac:dyDescent="0.25">
      <c r="A894" s="31"/>
      <c r="B894" s="17" t="s">
        <v>73</v>
      </c>
      <c r="C894" s="32"/>
      <c r="D894" s="32"/>
      <c r="E894" s="32"/>
      <c r="F894" s="32"/>
      <c r="G894" s="32"/>
      <c r="H894" s="32">
        <f t="shared" si="205"/>
        <v>0</v>
      </c>
      <c r="I894" s="32"/>
      <c r="J894" s="32">
        <f t="shared" si="204"/>
        <v>0</v>
      </c>
      <c r="K894" s="33">
        <v>890</v>
      </c>
    </row>
    <row r="895" spans="1:11" hidden="1" outlineLevel="1" x14ac:dyDescent="0.25">
      <c r="A895" s="28"/>
      <c r="B895" s="15" t="s">
        <v>74</v>
      </c>
      <c r="C895" s="29">
        <f t="shared" ref="C895:G895" si="217">+SUM(C896:C898)</f>
        <v>0</v>
      </c>
      <c r="D895" s="29">
        <f t="shared" si="217"/>
        <v>0</v>
      </c>
      <c r="E895" s="29">
        <f t="shared" si="217"/>
        <v>0</v>
      </c>
      <c r="F895" s="29">
        <f t="shared" si="217"/>
        <v>0</v>
      </c>
      <c r="G895" s="29">
        <f t="shared" si="217"/>
        <v>0</v>
      </c>
      <c r="H895" s="29">
        <f t="shared" si="205"/>
        <v>0</v>
      </c>
      <c r="I895" s="29"/>
      <c r="J895" s="29">
        <f t="shared" si="204"/>
        <v>0</v>
      </c>
      <c r="K895" s="30">
        <v>891</v>
      </c>
    </row>
    <row r="896" spans="1:11" ht="30" hidden="1" outlineLevel="1" x14ac:dyDescent="0.25">
      <c r="A896" s="34"/>
      <c r="B896" s="17" t="s">
        <v>75</v>
      </c>
      <c r="C896" s="35"/>
      <c r="D896" s="35"/>
      <c r="E896" s="35"/>
      <c r="F896" s="35"/>
      <c r="G896" s="35"/>
      <c r="H896" s="35">
        <f t="shared" si="205"/>
        <v>0</v>
      </c>
      <c r="I896" s="35"/>
      <c r="J896" s="35">
        <f t="shared" si="204"/>
        <v>0</v>
      </c>
      <c r="K896" s="36">
        <v>892</v>
      </c>
    </row>
    <row r="897" spans="1:11" ht="30" hidden="1" outlineLevel="1" x14ac:dyDescent="0.25">
      <c r="A897" s="34"/>
      <c r="B897" s="17" t="s">
        <v>76</v>
      </c>
      <c r="C897" s="35"/>
      <c r="D897" s="35"/>
      <c r="E897" s="35"/>
      <c r="F897" s="35"/>
      <c r="G897" s="35"/>
      <c r="H897" s="35">
        <f t="shared" si="205"/>
        <v>0</v>
      </c>
      <c r="I897" s="35"/>
      <c r="J897" s="35">
        <f t="shared" si="204"/>
        <v>0</v>
      </c>
      <c r="K897" s="36">
        <v>893</v>
      </c>
    </row>
    <row r="898" spans="1:11" ht="30" hidden="1" outlineLevel="1" x14ac:dyDescent="0.25">
      <c r="A898" s="34"/>
      <c r="B898" s="17" t="s">
        <v>77</v>
      </c>
      <c r="C898" s="35"/>
      <c r="D898" s="35"/>
      <c r="E898" s="35"/>
      <c r="F898" s="35"/>
      <c r="G898" s="35"/>
      <c r="H898" s="35">
        <f t="shared" si="205"/>
        <v>0</v>
      </c>
      <c r="I898" s="35"/>
      <c r="J898" s="35">
        <f t="shared" si="204"/>
        <v>0</v>
      </c>
      <c r="K898" s="36">
        <v>894</v>
      </c>
    </row>
    <row r="899" spans="1:11" hidden="1" outlineLevel="1" x14ac:dyDescent="0.25">
      <c r="A899" s="28"/>
      <c r="B899" s="15" t="s">
        <v>78</v>
      </c>
      <c r="C899" s="29">
        <f t="shared" ref="C899:G899" si="218">+SUM(C900:C904)</f>
        <v>0</v>
      </c>
      <c r="D899" s="29">
        <f t="shared" si="218"/>
        <v>0</v>
      </c>
      <c r="E899" s="29">
        <f t="shared" si="218"/>
        <v>0</v>
      </c>
      <c r="F899" s="29">
        <f t="shared" si="218"/>
        <v>0</v>
      </c>
      <c r="G899" s="29">
        <f t="shared" si="218"/>
        <v>0</v>
      </c>
      <c r="H899" s="29">
        <f t="shared" si="205"/>
        <v>0</v>
      </c>
      <c r="I899" s="29"/>
      <c r="J899" s="29">
        <f t="shared" si="204"/>
        <v>0</v>
      </c>
      <c r="K899" s="30">
        <v>895</v>
      </c>
    </row>
    <row r="900" spans="1:11" hidden="1" outlineLevel="1" x14ac:dyDescent="0.25">
      <c r="A900" s="34"/>
      <c r="B900" s="18" t="s">
        <v>79</v>
      </c>
      <c r="C900" s="35"/>
      <c r="D900" s="35"/>
      <c r="E900" s="35"/>
      <c r="F900" s="35"/>
      <c r="G900" s="35"/>
      <c r="H900" s="35">
        <f t="shared" si="205"/>
        <v>0</v>
      </c>
      <c r="I900" s="35"/>
      <c r="J900" s="35">
        <f t="shared" si="204"/>
        <v>0</v>
      </c>
      <c r="K900" s="36">
        <v>896</v>
      </c>
    </row>
    <row r="901" spans="1:11" ht="30" hidden="1" outlineLevel="1" x14ac:dyDescent="0.25">
      <c r="A901" s="34"/>
      <c r="B901" s="17" t="s">
        <v>80</v>
      </c>
      <c r="C901" s="35"/>
      <c r="D901" s="35"/>
      <c r="E901" s="35"/>
      <c r="F901" s="35"/>
      <c r="G901" s="35"/>
      <c r="H901" s="35">
        <f t="shared" si="205"/>
        <v>0</v>
      </c>
      <c r="I901" s="35"/>
      <c r="J901" s="35">
        <f t="shared" ref="J901:J964" si="219">+I901-H901</f>
        <v>0</v>
      </c>
      <c r="K901" s="36">
        <v>897</v>
      </c>
    </row>
    <row r="902" spans="1:11" hidden="1" outlineLevel="1" x14ac:dyDescent="0.25">
      <c r="A902" s="34"/>
      <c r="B902" s="17" t="s">
        <v>81</v>
      </c>
      <c r="C902" s="35"/>
      <c r="D902" s="35"/>
      <c r="E902" s="35"/>
      <c r="F902" s="35"/>
      <c r="G902" s="35"/>
      <c r="H902" s="35">
        <f t="shared" ref="H902:H965" si="220">+SUM(C902:G902)</f>
        <v>0</v>
      </c>
      <c r="I902" s="35"/>
      <c r="J902" s="35">
        <f t="shared" si="219"/>
        <v>0</v>
      </c>
      <c r="K902" s="36">
        <v>898</v>
      </c>
    </row>
    <row r="903" spans="1:11" hidden="1" outlineLevel="1" collapsed="1" x14ac:dyDescent="0.25">
      <c r="A903" s="34"/>
      <c r="B903" s="18" t="s">
        <v>82</v>
      </c>
      <c r="C903" s="35"/>
      <c r="D903" s="35"/>
      <c r="E903" s="35"/>
      <c r="F903" s="35"/>
      <c r="G903" s="35"/>
      <c r="H903" s="35">
        <f t="shared" si="220"/>
        <v>0</v>
      </c>
      <c r="I903" s="35"/>
      <c r="J903" s="35">
        <f t="shared" si="219"/>
        <v>0</v>
      </c>
      <c r="K903" s="36">
        <v>899</v>
      </c>
    </row>
    <row r="904" spans="1:11" ht="30" hidden="1" outlineLevel="1" collapsed="1" x14ac:dyDescent="0.25">
      <c r="A904" s="34"/>
      <c r="B904" s="17" t="s">
        <v>83</v>
      </c>
      <c r="C904" s="35"/>
      <c r="D904" s="35"/>
      <c r="E904" s="35"/>
      <c r="F904" s="35"/>
      <c r="G904" s="35"/>
      <c r="H904" s="35">
        <f t="shared" si="220"/>
        <v>0</v>
      </c>
      <c r="I904" s="35"/>
      <c r="J904" s="35">
        <f t="shared" si="219"/>
        <v>0</v>
      </c>
      <c r="K904" s="36">
        <v>900</v>
      </c>
    </row>
    <row r="905" spans="1:11" hidden="1" outlineLevel="1" x14ac:dyDescent="0.25">
      <c r="A905" s="28"/>
      <c r="B905" s="15" t="s">
        <v>84</v>
      </c>
      <c r="C905" s="29">
        <f>+SUM(C906:C910)</f>
        <v>0</v>
      </c>
      <c r="D905" s="29">
        <f t="shared" ref="D905:G905" si="221">+SUM(D906:D910)</f>
        <v>0</v>
      </c>
      <c r="E905" s="29">
        <f t="shared" si="221"/>
        <v>0</v>
      </c>
      <c r="F905" s="29">
        <f t="shared" si="221"/>
        <v>0</v>
      </c>
      <c r="G905" s="29">
        <f t="shared" si="221"/>
        <v>0</v>
      </c>
      <c r="H905" s="29">
        <f t="shared" si="220"/>
        <v>0</v>
      </c>
      <c r="I905" s="29"/>
      <c r="J905" s="29">
        <f t="shared" si="219"/>
        <v>0</v>
      </c>
      <c r="K905" s="30">
        <v>901</v>
      </c>
    </row>
    <row r="906" spans="1:11" hidden="1" outlineLevel="1" x14ac:dyDescent="0.25">
      <c r="A906" s="34"/>
      <c r="B906" s="17"/>
      <c r="C906" s="35"/>
      <c r="D906" s="35"/>
      <c r="E906" s="35"/>
      <c r="F906" s="35"/>
      <c r="G906" s="35"/>
      <c r="H906" s="35">
        <f t="shared" si="220"/>
        <v>0</v>
      </c>
      <c r="I906" s="35"/>
      <c r="J906" s="35">
        <f t="shared" si="219"/>
        <v>0</v>
      </c>
      <c r="K906" s="36">
        <v>902</v>
      </c>
    </row>
    <row r="907" spans="1:11" hidden="1" outlineLevel="1" collapsed="1" x14ac:dyDescent="0.25">
      <c r="A907" s="34"/>
      <c r="B907" s="17"/>
      <c r="C907" s="35"/>
      <c r="D907" s="35"/>
      <c r="E907" s="35"/>
      <c r="F907" s="35"/>
      <c r="G907" s="35"/>
      <c r="H907" s="35">
        <f t="shared" si="220"/>
        <v>0</v>
      </c>
      <c r="I907" s="35"/>
      <c r="J907" s="35">
        <f t="shared" si="219"/>
        <v>0</v>
      </c>
      <c r="K907" s="36">
        <v>903</v>
      </c>
    </row>
    <row r="908" spans="1:11" hidden="1" outlineLevel="1" x14ac:dyDescent="0.25">
      <c r="A908" s="34"/>
      <c r="B908" s="17"/>
      <c r="C908" s="35"/>
      <c r="D908" s="35"/>
      <c r="E908" s="35"/>
      <c r="F908" s="35"/>
      <c r="G908" s="35"/>
      <c r="H908" s="35">
        <f t="shared" si="220"/>
        <v>0</v>
      </c>
      <c r="I908" s="35"/>
      <c r="J908" s="35">
        <f t="shared" si="219"/>
        <v>0</v>
      </c>
      <c r="K908" s="36">
        <v>904</v>
      </c>
    </row>
    <row r="909" spans="1:11" hidden="1" outlineLevel="1" x14ac:dyDescent="0.25">
      <c r="A909" s="34"/>
      <c r="B909" s="17" t="s">
        <v>86</v>
      </c>
      <c r="C909" s="35"/>
      <c r="D909" s="35"/>
      <c r="E909" s="35"/>
      <c r="F909" s="35"/>
      <c r="G909" s="35"/>
      <c r="H909" s="35">
        <f t="shared" si="220"/>
        <v>0</v>
      </c>
      <c r="I909" s="35"/>
      <c r="J909" s="35">
        <f t="shared" si="219"/>
        <v>0</v>
      </c>
      <c r="K909" s="36">
        <v>905</v>
      </c>
    </row>
    <row r="910" spans="1:11" hidden="1" outlineLevel="1" x14ac:dyDescent="0.25">
      <c r="A910" s="34"/>
      <c r="B910" s="17"/>
      <c r="C910" s="35"/>
      <c r="D910" s="35"/>
      <c r="E910" s="35"/>
      <c r="F910" s="35"/>
      <c r="G910" s="35"/>
      <c r="H910" s="35">
        <f t="shared" si="220"/>
        <v>0</v>
      </c>
      <c r="I910" s="35"/>
      <c r="J910" s="35">
        <f t="shared" si="219"/>
        <v>0</v>
      </c>
      <c r="K910" s="36">
        <v>906</v>
      </c>
    </row>
    <row r="911" spans="1:11" ht="30" collapsed="1" x14ac:dyDescent="0.25">
      <c r="A911" s="40" t="s">
        <v>163</v>
      </c>
      <c r="B911" s="10" t="s">
        <v>164</v>
      </c>
      <c r="C911" s="26">
        <f t="shared" ref="C911:G911" si="222">+C912+C921+C925+C931</f>
        <v>0</v>
      </c>
      <c r="D911" s="26">
        <f t="shared" si="222"/>
        <v>0</v>
      </c>
      <c r="E911" s="26">
        <f t="shared" si="222"/>
        <v>0</v>
      </c>
      <c r="F911" s="26">
        <f t="shared" si="222"/>
        <v>0</v>
      </c>
      <c r="G911" s="26">
        <f t="shared" si="222"/>
        <v>0</v>
      </c>
      <c r="H911" s="26">
        <f t="shared" si="220"/>
        <v>0</v>
      </c>
      <c r="I911" s="26">
        <v>0</v>
      </c>
      <c r="J911" s="26">
        <f t="shared" si="219"/>
        <v>0</v>
      </c>
      <c r="K911" s="27">
        <v>907</v>
      </c>
    </row>
    <row r="912" spans="1:11" hidden="1" outlineLevel="1" x14ac:dyDescent="0.25">
      <c r="A912" s="28"/>
      <c r="B912" s="15" t="s">
        <v>65</v>
      </c>
      <c r="C912" s="29">
        <f t="shared" ref="C912:G912" si="223">+SUM(C913:C920)</f>
        <v>0</v>
      </c>
      <c r="D912" s="29">
        <f t="shared" si="223"/>
        <v>0</v>
      </c>
      <c r="E912" s="29">
        <f t="shared" si="223"/>
        <v>0</v>
      </c>
      <c r="F912" s="29">
        <f t="shared" si="223"/>
        <v>0</v>
      </c>
      <c r="G912" s="29">
        <f t="shared" si="223"/>
        <v>0</v>
      </c>
      <c r="H912" s="29">
        <f t="shared" si="220"/>
        <v>0</v>
      </c>
      <c r="I912" s="29">
        <v>0</v>
      </c>
      <c r="J912" s="29">
        <f t="shared" si="219"/>
        <v>0</v>
      </c>
      <c r="K912" s="30">
        <v>908</v>
      </c>
    </row>
    <row r="913" spans="1:11" hidden="1" outlineLevel="1" x14ac:dyDescent="0.25">
      <c r="A913" s="31"/>
      <c r="B913" s="16" t="s">
        <v>66</v>
      </c>
      <c r="C913" s="32"/>
      <c r="D913" s="32"/>
      <c r="E913" s="32"/>
      <c r="F913" s="32"/>
      <c r="G913" s="32"/>
      <c r="H913" s="32">
        <f t="shared" si="220"/>
        <v>0</v>
      </c>
      <c r="I913" s="32"/>
      <c r="J913" s="32">
        <f t="shared" si="219"/>
        <v>0</v>
      </c>
      <c r="K913" s="33">
        <v>909</v>
      </c>
    </row>
    <row r="914" spans="1:11" hidden="1" outlineLevel="1" x14ac:dyDescent="0.25">
      <c r="A914" s="31"/>
      <c r="B914" s="17" t="s">
        <v>67</v>
      </c>
      <c r="C914" s="32"/>
      <c r="D914" s="32"/>
      <c r="E914" s="32"/>
      <c r="F914" s="32"/>
      <c r="G914" s="32"/>
      <c r="H914" s="32">
        <f t="shared" si="220"/>
        <v>0</v>
      </c>
      <c r="I914" s="32"/>
      <c r="J914" s="32">
        <f t="shared" si="219"/>
        <v>0</v>
      </c>
      <c r="K914" s="33">
        <v>910</v>
      </c>
    </row>
    <row r="915" spans="1:11" ht="30" hidden="1" outlineLevel="1" x14ac:dyDescent="0.25">
      <c r="A915" s="31"/>
      <c r="B915" s="17" t="s">
        <v>68</v>
      </c>
      <c r="C915" s="32"/>
      <c r="D915" s="32"/>
      <c r="E915" s="32"/>
      <c r="F915" s="32"/>
      <c r="G915" s="32"/>
      <c r="H915" s="32">
        <f t="shared" si="220"/>
        <v>0</v>
      </c>
      <c r="I915" s="32"/>
      <c r="J915" s="32">
        <f t="shared" si="219"/>
        <v>0</v>
      </c>
      <c r="K915" s="33">
        <v>911</v>
      </c>
    </row>
    <row r="916" spans="1:11" hidden="1" outlineLevel="1" x14ac:dyDescent="0.25">
      <c r="A916" s="31"/>
      <c r="B916" s="16" t="s">
        <v>69</v>
      </c>
      <c r="C916" s="32"/>
      <c r="D916" s="32"/>
      <c r="E916" s="32"/>
      <c r="F916" s="32"/>
      <c r="G916" s="32"/>
      <c r="H916" s="32">
        <f t="shared" si="220"/>
        <v>0</v>
      </c>
      <c r="I916" s="32"/>
      <c r="J916" s="32">
        <f t="shared" si="219"/>
        <v>0</v>
      </c>
      <c r="K916" s="33">
        <v>912</v>
      </c>
    </row>
    <row r="917" spans="1:11" hidden="1" outlineLevel="1" x14ac:dyDescent="0.25">
      <c r="A917" s="31"/>
      <c r="B917" s="17" t="s">
        <v>70</v>
      </c>
      <c r="C917" s="32"/>
      <c r="D917" s="32"/>
      <c r="E917" s="32"/>
      <c r="F917" s="32"/>
      <c r="G917" s="32"/>
      <c r="H917" s="32">
        <f t="shared" si="220"/>
        <v>0</v>
      </c>
      <c r="I917" s="32"/>
      <c r="J917" s="32">
        <f t="shared" si="219"/>
        <v>0</v>
      </c>
      <c r="K917" s="33">
        <v>913</v>
      </c>
    </row>
    <row r="918" spans="1:11" ht="30" hidden="1" outlineLevel="1" x14ac:dyDescent="0.25">
      <c r="A918" s="31"/>
      <c r="B918" s="17" t="s">
        <v>71</v>
      </c>
      <c r="C918" s="32"/>
      <c r="D918" s="32"/>
      <c r="E918" s="32"/>
      <c r="F918" s="32"/>
      <c r="G918" s="32"/>
      <c r="H918" s="32">
        <f t="shared" si="220"/>
        <v>0</v>
      </c>
      <c r="I918" s="32"/>
      <c r="J918" s="32">
        <f t="shared" si="219"/>
        <v>0</v>
      </c>
      <c r="K918" s="33">
        <v>914</v>
      </c>
    </row>
    <row r="919" spans="1:11" hidden="1" outlineLevel="1" x14ac:dyDescent="0.25">
      <c r="A919" s="31"/>
      <c r="B919" s="16" t="s">
        <v>72</v>
      </c>
      <c r="C919" s="32"/>
      <c r="D919" s="32"/>
      <c r="E919" s="32"/>
      <c r="F919" s="32"/>
      <c r="G919" s="32"/>
      <c r="H919" s="32">
        <f t="shared" si="220"/>
        <v>0</v>
      </c>
      <c r="I919" s="32"/>
      <c r="J919" s="32">
        <f t="shared" si="219"/>
        <v>0</v>
      </c>
      <c r="K919" s="33">
        <v>915</v>
      </c>
    </row>
    <row r="920" spans="1:11" ht="30" hidden="1" outlineLevel="1" x14ac:dyDescent="0.25">
      <c r="A920" s="31"/>
      <c r="B920" s="17" t="s">
        <v>73</v>
      </c>
      <c r="C920" s="32"/>
      <c r="D920" s="32"/>
      <c r="E920" s="32"/>
      <c r="F920" s="32"/>
      <c r="G920" s="32"/>
      <c r="H920" s="32">
        <f t="shared" si="220"/>
        <v>0</v>
      </c>
      <c r="I920" s="32"/>
      <c r="J920" s="32">
        <f t="shared" si="219"/>
        <v>0</v>
      </c>
      <c r="K920" s="33">
        <v>916</v>
      </c>
    </row>
    <row r="921" spans="1:11" hidden="1" outlineLevel="1" x14ac:dyDescent="0.25">
      <c r="A921" s="28"/>
      <c r="B921" s="15" t="s">
        <v>74</v>
      </c>
      <c r="C921" s="29">
        <f t="shared" ref="C921:G921" si="224">+SUM(C922:C924)</f>
        <v>0</v>
      </c>
      <c r="D921" s="29">
        <f t="shared" si="224"/>
        <v>0</v>
      </c>
      <c r="E921" s="29">
        <f t="shared" si="224"/>
        <v>0</v>
      </c>
      <c r="F921" s="29">
        <f t="shared" si="224"/>
        <v>0</v>
      </c>
      <c r="G921" s="29">
        <f t="shared" si="224"/>
        <v>0</v>
      </c>
      <c r="H921" s="29">
        <f t="shared" si="220"/>
        <v>0</v>
      </c>
      <c r="I921" s="29"/>
      <c r="J921" s="29">
        <f t="shared" si="219"/>
        <v>0</v>
      </c>
      <c r="K921" s="30">
        <v>917</v>
      </c>
    </row>
    <row r="922" spans="1:11" ht="30" hidden="1" outlineLevel="1" x14ac:dyDescent="0.25">
      <c r="A922" s="34"/>
      <c r="B922" s="17" t="s">
        <v>75</v>
      </c>
      <c r="C922" s="35"/>
      <c r="D922" s="35"/>
      <c r="E922" s="35"/>
      <c r="F922" s="35"/>
      <c r="G922" s="35"/>
      <c r="H922" s="35">
        <f t="shared" si="220"/>
        <v>0</v>
      </c>
      <c r="I922" s="35"/>
      <c r="J922" s="35">
        <f t="shared" si="219"/>
        <v>0</v>
      </c>
      <c r="K922" s="36">
        <v>918</v>
      </c>
    </row>
    <row r="923" spans="1:11" ht="30" hidden="1" outlineLevel="1" x14ac:dyDescent="0.25">
      <c r="A923" s="34"/>
      <c r="B923" s="17" t="s">
        <v>76</v>
      </c>
      <c r="C923" s="35"/>
      <c r="D923" s="35"/>
      <c r="E923" s="35"/>
      <c r="F923" s="35"/>
      <c r="G923" s="35"/>
      <c r="H923" s="35">
        <f t="shared" si="220"/>
        <v>0</v>
      </c>
      <c r="I923" s="35"/>
      <c r="J923" s="35">
        <f t="shared" si="219"/>
        <v>0</v>
      </c>
      <c r="K923" s="36">
        <v>919</v>
      </c>
    </row>
    <row r="924" spans="1:11" ht="30" hidden="1" outlineLevel="1" x14ac:dyDescent="0.25">
      <c r="A924" s="34"/>
      <c r="B924" s="17" t="s">
        <v>77</v>
      </c>
      <c r="C924" s="35"/>
      <c r="D924" s="35"/>
      <c r="E924" s="35"/>
      <c r="F924" s="35"/>
      <c r="G924" s="35"/>
      <c r="H924" s="35">
        <f t="shared" si="220"/>
        <v>0</v>
      </c>
      <c r="I924" s="35"/>
      <c r="J924" s="35">
        <f t="shared" si="219"/>
        <v>0</v>
      </c>
      <c r="K924" s="36">
        <v>920</v>
      </c>
    </row>
    <row r="925" spans="1:11" hidden="1" outlineLevel="1" x14ac:dyDescent="0.25">
      <c r="A925" s="28"/>
      <c r="B925" s="15" t="s">
        <v>78</v>
      </c>
      <c r="C925" s="29">
        <f t="shared" ref="C925:G925" si="225">+SUM(C926:C930)</f>
        <v>0</v>
      </c>
      <c r="D925" s="29">
        <f t="shared" si="225"/>
        <v>0</v>
      </c>
      <c r="E925" s="29">
        <f t="shared" si="225"/>
        <v>0</v>
      </c>
      <c r="F925" s="29">
        <f t="shared" si="225"/>
        <v>0</v>
      </c>
      <c r="G925" s="29">
        <f t="shared" si="225"/>
        <v>0</v>
      </c>
      <c r="H925" s="29">
        <f t="shared" si="220"/>
        <v>0</v>
      </c>
      <c r="I925" s="29"/>
      <c r="J925" s="29">
        <f t="shared" si="219"/>
        <v>0</v>
      </c>
      <c r="K925" s="30">
        <v>921</v>
      </c>
    </row>
    <row r="926" spans="1:11" hidden="1" outlineLevel="1" x14ac:dyDescent="0.25">
      <c r="A926" s="34"/>
      <c r="B926" s="18" t="s">
        <v>79</v>
      </c>
      <c r="C926" s="35"/>
      <c r="D926" s="35"/>
      <c r="E926" s="35"/>
      <c r="F926" s="35"/>
      <c r="G926" s="35"/>
      <c r="H926" s="35">
        <f t="shared" si="220"/>
        <v>0</v>
      </c>
      <c r="I926" s="35"/>
      <c r="J926" s="35">
        <f t="shared" si="219"/>
        <v>0</v>
      </c>
      <c r="K926" s="36">
        <v>922</v>
      </c>
    </row>
    <row r="927" spans="1:11" ht="30" hidden="1" outlineLevel="1" x14ac:dyDescent="0.25">
      <c r="A927" s="34"/>
      <c r="B927" s="17" t="s">
        <v>80</v>
      </c>
      <c r="C927" s="35"/>
      <c r="D927" s="35"/>
      <c r="E927" s="35"/>
      <c r="F927" s="35"/>
      <c r="G927" s="35"/>
      <c r="H927" s="35">
        <f t="shared" si="220"/>
        <v>0</v>
      </c>
      <c r="I927" s="35"/>
      <c r="J927" s="35">
        <f t="shared" si="219"/>
        <v>0</v>
      </c>
      <c r="K927" s="36">
        <v>923</v>
      </c>
    </row>
    <row r="928" spans="1:11" hidden="1" outlineLevel="1" x14ac:dyDescent="0.25">
      <c r="A928" s="34"/>
      <c r="B928" s="17" t="s">
        <v>81</v>
      </c>
      <c r="C928" s="35"/>
      <c r="D928" s="35"/>
      <c r="E928" s="35"/>
      <c r="F928" s="35"/>
      <c r="G928" s="35"/>
      <c r="H928" s="35">
        <f t="shared" si="220"/>
        <v>0</v>
      </c>
      <c r="I928" s="35"/>
      <c r="J928" s="35">
        <f t="shared" si="219"/>
        <v>0</v>
      </c>
      <c r="K928" s="36">
        <v>924</v>
      </c>
    </row>
    <row r="929" spans="1:11" hidden="1" outlineLevel="1" collapsed="1" x14ac:dyDescent="0.25">
      <c r="A929" s="34"/>
      <c r="B929" s="18" t="s">
        <v>82</v>
      </c>
      <c r="C929" s="35"/>
      <c r="D929" s="35"/>
      <c r="E929" s="35"/>
      <c r="F929" s="35"/>
      <c r="G929" s="35"/>
      <c r="H929" s="35">
        <f t="shared" si="220"/>
        <v>0</v>
      </c>
      <c r="I929" s="35"/>
      <c r="J929" s="35">
        <f t="shared" si="219"/>
        <v>0</v>
      </c>
      <c r="K929" s="36">
        <v>925</v>
      </c>
    </row>
    <row r="930" spans="1:11" ht="30" hidden="1" outlineLevel="1" collapsed="1" x14ac:dyDescent="0.25">
      <c r="A930" s="34"/>
      <c r="B930" s="17" t="s">
        <v>83</v>
      </c>
      <c r="C930" s="35"/>
      <c r="D930" s="35"/>
      <c r="E930" s="35"/>
      <c r="F930" s="35"/>
      <c r="G930" s="35"/>
      <c r="H930" s="35">
        <f t="shared" si="220"/>
        <v>0</v>
      </c>
      <c r="I930" s="35"/>
      <c r="J930" s="35">
        <f t="shared" si="219"/>
        <v>0</v>
      </c>
      <c r="K930" s="36">
        <v>926</v>
      </c>
    </row>
    <row r="931" spans="1:11" hidden="1" outlineLevel="1" x14ac:dyDescent="0.25">
      <c r="A931" s="28"/>
      <c r="B931" s="15" t="s">
        <v>84</v>
      </c>
      <c r="C931" s="29">
        <f>+SUM(C932:C936)</f>
        <v>0</v>
      </c>
      <c r="D931" s="29">
        <f t="shared" ref="D931:G931" si="226">+SUM(D932:D936)</f>
        <v>0</v>
      </c>
      <c r="E931" s="29">
        <f t="shared" si="226"/>
        <v>0</v>
      </c>
      <c r="F931" s="29">
        <f t="shared" si="226"/>
        <v>0</v>
      </c>
      <c r="G931" s="29">
        <f t="shared" si="226"/>
        <v>0</v>
      </c>
      <c r="H931" s="29">
        <f t="shared" si="220"/>
        <v>0</v>
      </c>
      <c r="I931" s="29"/>
      <c r="J931" s="29">
        <f t="shared" si="219"/>
        <v>0</v>
      </c>
      <c r="K931" s="30">
        <v>927</v>
      </c>
    </row>
    <row r="932" spans="1:11" hidden="1" outlineLevel="1" x14ac:dyDescent="0.25">
      <c r="A932" s="34"/>
      <c r="B932" s="17"/>
      <c r="C932" s="35"/>
      <c r="D932" s="35"/>
      <c r="E932" s="35"/>
      <c r="F932" s="35"/>
      <c r="G932" s="35"/>
      <c r="H932" s="35">
        <f t="shared" si="220"/>
        <v>0</v>
      </c>
      <c r="I932" s="35"/>
      <c r="J932" s="35">
        <f t="shared" si="219"/>
        <v>0</v>
      </c>
      <c r="K932" s="36">
        <v>928</v>
      </c>
    </row>
    <row r="933" spans="1:11" hidden="1" outlineLevel="1" collapsed="1" x14ac:dyDescent="0.25">
      <c r="A933" s="34"/>
      <c r="B933" s="17"/>
      <c r="C933" s="35"/>
      <c r="D933" s="35"/>
      <c r="E933" s="35"/>
      <c r="F933" s="35"/>
      <c r="G933" s="35"/>
      <c r="H933" s="35">
        <f t="shared" si="220"/>
        <v>0</v>
      </c>
      <c r="I933" s="35"/>
      <c r="J933" s="35">
        <f t="shared" si="219"/>
        <v>0</v>
      </c>
      <c r="K933" s="36">
        <v>929</v>
      </c>
    </row>
    <row r="934" spans="1:11" hidden="1" outlineLevel="1" x14ac:dyDescent="0.25">
      <c r="A934" s="34"/>
      <c r="B934" s="17"/>
      <c r="C934" s="35"/>
      <c r="D934" s="35"/>
      <c r="E934" s="35"/>
      <c r="F934" s="35"/>
      <c r="G934" s="35"/>
      <c r="H934" s="35">
        <f t="shared" si="220"/>
        <v>0</v>
      </c>
      <c r="I934" s="35"/>
      <c r="J934" s="35">
        <f t="shared" si="219"/>
        <v>0</v>
      </c>
      <c r="K934" s="36">
        <v>930</v>
      </c>
    </row>
    <row r="935" spans="1:11" hidden="1" outlineLevel="1" x14ac:dyDescent="0.25">
      <c r="A935" s="34"/>
      <c r="B935" s="17" t="s">
        <v>86</v>
      </c>
      <c r="C935" s="35"/>
      <c r="D935" s="35"/>
      <c r="E935" s="35"/>
      <c r="F935" s="35"/>
      <c r="G935" s="35"/>
      <c r="H935" s="35">
        <f t="shared" si="220"/>
        <v>0</v>
      </c>
      <c r="I935" s="35"/>
      <c r="J935" s="35">
        <f t="shared" si="219"/>
        <v>0</v>
      </c>
      <c r="K935" s="36">
        <v>931</v>
      </c>
    </row>
    <row r="936" spans="1:11" hidden="1" outlineLevel="1" x14ac:dyDescent="0.25">
      <c r="A936" s="34"/>
      <c r="B936" s="17"/>
      <c r="C936" s="35"/>
      <c r="D936" s="35"/>
      <c r="E936" s="35"/>
      <c r="F936" s="35"/>
      <c r="G936" s="35"/>
      <c r="H936" s="35">
        <f t="shared" si="220"/>
        <v>0</v>
      </c>
      <c r="I936" s="35"/>
      <c r="J936" s="35">
        <f t="shared" si="219"/>
        <v>0</v>
      </c>
      <c r="K936" s="36">
        <v>932</v>
      </c>
    </row>
    <row r="937" spans="1:11" ht="30" collapsed="1" x14ac:dyDescent="0.25">
      <c r="A937" s="40" t="s">
        <v>165</v>
      </c>
      <c r="B937" s="10" t="s">
        <v>166</v>
      </c>
      <c r="C937" s="26">
        <f t="shared" ref="C937:G937" si="227">+C938+C947+C951+C957</f>
        <v>0</v>
      </c>
      <c r="D937" s="26">
        <f t="shared" si="227"/>
        <v>0</v>
      </c>
      <c r="E937" s="26">
        <f t="shared" si="227"/>
        <v>0</v>
      </c>
      <c r="F937" s="26">
        <f t="shared" si="227"/>
        <v>0</v>
      </c>
      <c r="G937" s="26">
        <f t="shared" si="227"/>
        <v>0</v>
      </c>
      <c r="H937" s="26">
        <f t="shared" si="220"/>
        <v>0</v>
      </c>
      <c r="I937" s="26">
        <v>0</v>
      </c>
      <c r="J937" s="26">
        <f t="shared" si="219"/>
        <v>0</v>
      </c>
      <c r="K937" s="27">
        <v>933</v>
      </c>
    </row>
    <row r="938" spans="1:11" hidden="1" outlineLevel="1" x14ac:dyDescent="0.25">
      <c r="A938" s="28"/>
      <c r="B938" s="15" t="s">
        <v>65</v>
      </c>
      <c r="C938" s="29">
        <f t="shared" ref="C938:G938" si="228">+SUM(C939:C946)</f>
        <v>0</v>
      </c>
      <c r="D938" s="29">
        <f t="shared" si="228"/>
        <v>0</v>
      </c>
      <c r="E938" s="29">
        <f t="shared" si="228"/>
        <v>0</v>
      </c>
      <c r="F938" s="29">
        <f t="shared" si="228"/>
        <v>0</v>
      </c>
      <c r="G938" s="29">
        <f t="shared" si="228"/>
        <v>0</v>
      </c>
      <c r="H938" s="29">
        <f t="shared" si="220"/>
        <v>0</v>
      </c>
      <c r="I938" s="29">
        <v>0</v>
      </c>
      <c r="J938" s="29">
        <f t="shared" si="219"/>
        <v>0</v>
      </c>
      <c r="K938" s="30">
        <v>934</v>
      </c>
    </row>
    <row r="939" spans="1:11" hidden="1" outlineLevel="1" x14ac:dyDescent="0.25">
      <c r="A939" s="31"/>
      <c r="B939" s="16" t="s">
        <v>66</v>
      </c>
      <c r="C939" s="32"/>
      <c r="D939" s="32"/>
      <c r="E939" s="32"/>
      <c r="F939" s="32"/>
      <c r="G939" s="32"/>
      <c r="H939" s="32">
        <f t="shared" si="220"/>
        <v>0</v>
      </c>
      <c r="I939" s="32"/>
      <c r="J939" s="32">
        <f t="shared" si="219"/>
        <v>0</v>
      </c>
      <c r="K939" s="33">
        <v>935</v>
      </c>
    </row>
    <row r="940" spans="1:11" hidden="1" outlineLevel="1" x14ac:dyDescent="0.25">
      <c r="A940" s="31"/>
      <c r="B940" s="17" t="s">
        <v>67</v>
      </c>
      <c r="C940" s="32"/>
      <c r="D940" s="32"/>
      <c r="E940" s="32"/>
      <c r="F940" s="32"/>
      <c r="G940" s="32"/>
      <c r="H940" s="32">
        <f t="shared" si="220"/>
        <v>0</v>
      </c>
      <c r="I940" s="32"/>
      <c r="J940" s="32">
        <f t="shared" si="219"/>
        <v>0</v>
      </c>
      <c r="K940" s="33">
        <v>936</v>
      </c>
    </row>
    <row r="941" spans="1:11" ht="30" hidden="1" outlineLevel="1" x14ac:dyDescent="0.25">
      <c r="A941" s="31"/>
      <c r="B941" s="17" t="s">
        <v>68</v>
      </c>
      <c r="C941" s="32"/>
      <c r="D941" s="32"/>
      <c r="E941" s="32"/>
      <c r="F941" s="32"/>
      <c r="G941" s="32"/>
      <c r="H941" s="32">
        <f t="shared" si="220"/>
        <v>0</v>
      </c>
      <c r="I941" s="32"/>
      <c r="J941" s="32">
        <f t="shared" si="219"/>
        <v>0</v>
      </c>
      <c r="K941" s="33">
        <v>937</v>
      </c>
    </row>
    <row r="942" spans="1:11" hidden="1" outlineLevel="1" x14ac:dyDescent="0.25">
      <c r="A942" s="31"/>
      <c r="B942" s="16" t="s">
        <v>69</v>
      </c>
      <c r="C942" s="32"/>
      <c r="D942" s="32"/>
      <c r="E942" s="32"/>
      <c r="F942" s="32"/>
      <c r="G942" s="32"/>
      <c r="H942" s="32">
        <f t="shared" si="220"/>
        <v>0</v>
      </c>
      <c r="I942" s="32"/>
      <c r="J942" s="32">
        <f t="shared" si="219"/>
        <v>0</v>
      </c>
      <c r="K942" s="33">
        <v>938</v>
      </c>
    </row>
    <row r="943" spans="1:11" hidden="1" outlineLevel="1" x14ac:dyDescent="0.25">
      <c r="A943" s="31"/>
      <c r="B943" s="17" t="s">
        <v>70</v>
      </c>
      <c r="C943" s="32"/>
      <c r="D943" s="32"/>
      <c r="E943" s="32"/>
      <c r="F943" s="32"/>
      <c r="G943" s="32"/>
      <c r="H943" s="32">
        <f t="shared" si="220"/>
        <v>0</v>
      </c>
      <c r="I943" s="32"/>
      <c r="J943" s="32">
        <f t="shared" si="219"/>
        <v>0</v>
      </c>
      <c r="K943" s="33">
        <v>939</v>
      </c>
    </row>
    <row r="944" spans="1:11" ht="30" hidden="1" outlineLevel="1" x14ac:dyDescent="0.25">
      <c r="A944" s="31"/>
      <c r="B944" s="17" t="s">
        <v>71</v>
      </c>
      <c r="C944" s="32"/>
      <c r="D944" s="32"/>
      <c r="E944" s="32"/>
      <c r="F944" s="32"/>
      <c r="G944" s="32"/>
      <c r="H944" s="32">
        <f t="shared" si="220"/>
        <v>0</v>
      </c>
      <c r="I944" s="32"/>
      <c r="J944" s="32">
        <f t="shared" si="219"/>
        <v>0</v>
      </c>
      <c r="K944" s="33">
        <v>940</v>
      </c>
    </row>
    <row r="945" spans="1:11" hidden="1" outlineLevel="1" x14ac:dyDescent="0.25">
      <c r="A945" s="31"/>
      <c r="B945" s="16" t="s">
        <v>72</v>
      </c>
      <c r="C945" s="32"/>
      <c r="D945" s="32"/>
      <c r="E945" s="32"/>
      <c r="F945" s="32"/>
      <c r="G945" s="32"/>
      <c r="H945" s="32">
        <f t="shared" si="220"/>
        <v>0</v>
      </c>
      <c r="I945" s="32"/>
      <c r="J945" s="32">
        <f t="shared" si="219"/>
        <v>0</v>
      </c>
      <c r="K945" s="33">
        <v>941</v>
      </c>
    </row>
    <row r="946" spans="1:11" ht="30" hidden="1" outlineLevel="1" x14ac:dyDescent="0.25">
      <c r="A946" s="31"/>
      <c r="B946" s="17" t="s">
        <v>73</v>
      </c>
      <c r="C946" s="32"/>
      <c r="D946" s="32"/>
      <c r="E946" s="32"/>
      <c r="F946" s="32"/>
      <c r="G946" s="32"/>
      <c r="H946" s="32">
        <f t="shared" si="220"/>
        <v>0</v>
      </c>
      <c r="I946" s="32"/>
      <c r="J946" s="32">
        <f t="shared" si="219"/>
        <v>0</v>
      </c>
      <c r="K946" s="33">
        <v>942</v>
      </c>
    </row>
    <row r="947" spans="1:11" hidden="1" outlineLevel="1" x14ac:dyDescent="0.25">
      <c r="A947" s="28"/>
      <c r="B947" s="15" t="s">
        <v>74</v>
      </c>
      <c r="C947" s="29">
        <f t="shared" ref="C947:G947" si="229">+SUM(C948:C950)</f>
        <v>0</v>
      </c>
      <c r="D947" s="29">
        <f t="shared" si="229"/>
        <v>0</v>
      </c>
      <c r="E947" s="29">
        <f t="shared" si="229"/>
        <v>0</v>
      </c>
      <c r="F947" s="29">
        <f t="shared" si="229"/>
        <v>0</v>
      </c>
      <c r="G947" s="29">
        <f t="shared" si="229"/>
        <v>0</v>
      </c>
      <c r="H947" s="29">
        <f t="shared" si="220"/>
        <v>0</v>
      </c>
      <c r="I947" s="29"/>
      <c r="J947" s="29">
        <f t="shared" si="219"/>
        <v>0</v>
      </c>
      <c r="K947" s="30">
        <v>943</v>
      </c>
    </row>
    <row r="948" spans="1:11" ht="30" hidden="1" outlineLevel="1" x14ac:dyDescent="0.25">
      <c r="A948" s="34"/>
      <c r="B948" s="17" t="s">
        <v>75</v>
      </c>
      <c r="C948" s="35"/>
      <c r="D948" s="35"/>
      <c r="E948" s="35"/>
      <c r="F948" s="35"/>
      <c r="G948" s="35"/>
      <c r="H948" s="35">
        <f t="shared" si="220"/>
        <v>0</v>
      </c>
      <c r="I948" s="35"/>
      <c r="J948" s="35">
        <f t="shared" si="219"/>
        <v>0</v>
      </c>
      <c r="K948" s="36">
        <v>944</v>
      </c>
    </row>
    <row r="949" spans="1:11" ht="30" hidden="1" outlineLevel="1" x14ac:dyDescent="0.25">
      <c r="A949" s="34"/>
      <c r="B949" s="17" t="s">
        <v>76</v>
      </c>
      <c r="C949" s="35"/>
      <c r="D949" s="35"/>
      <c r="E949" s="35"/>
      <c r="F949" s="35"/>
      <c r="G949" s="35"/>
      <c r="H949" s="35">
        <f t="shared" si="220"/>
        <v>0</v>
      </c>
      <c r="I949" s="35"/>
      <c r="J949" s="35">
        <f t="shared" si="219"/>
        <v>0</v>
      </c>
      <c r="K949" s="36">
        <v>945</v>
      </c>
    </row>
    <row r="950" spans="1:11" ht="30" hidden="1" outlineLevel="1" x14ac:dyDescent="0.25">
      <c r="A950" s="34"/>
      <c r="B950" s="17" t="s">
        <v>77</v>
      </c>
      <c r="C950" s="35"/>
      <c r="D950" s="35"/>
      <c r="E950" s="35"/>
      <c r="F950" s="35"/>
      <c r="G950" s="35"/>
      <c r="H950" s="35">
        <f t="shared" si="220"/>
        <v>0</v>
      </c>
      <c r="I950" s="35"/>
      <c r="J950" s="35">
        <f t="shared" si="219"/>
        <v>0</v>
      </c>
      <c r="K950" s="36">
        <v>946</v>
      </c>
    </row>
    <row r="951" spans="1:11" hidden="1" outlineLevel="1" x14ac:dyDescent="0.25">
      <c r="A951" s="28"/>
      <c r="B951" s="15" t="s">
        <v>78</v>
      </c>
      <c r="C951" s="29">
        <f t="shared" ref="C951:G951" si="230">+SUM(C952:C956)</f>
        <v>0</v>
      </c>
      <c r="D951" s="29">
        <f t="shared" si="230"/>
        <v>0</v>
      </c>
      <c r="E951" s="29">
        <f t="shared" si="230"/>
        <v>0</v>
      </c>
      <c r="F951" s="29">
        <f t="shared" si="230"/>
        <v>0</v>
      </c>
      <c r="G951" s="29">
        <f t="shared" si="230"/>
        <v>0</v>
      </c>
      <c r="H951" s="29">
        <f t="shared" si="220"/>
        <v>0</v>
      </c>
      <c r="I951" s="29"/>
      <c r="J951" s="29">
        <f t="shared" si="219"/>
        <v>0</v>
      </c>
      <c r="K951" s="30">
        <v>947</v>
      </c>
    </row>
    <row r="952" spans="1:11" hidden="1" outlineLevel="1" x14ac:dyDescent="0.25">
      <c r="A952" s="34"/>
      <c r="B952" s="18" t="s">
        <v>79</v>
      </c>
      <c r="C952" s="35"/>
      <c r="D952" s="35"/>
      <c r="E952" s="35"/>
      <c r="F952" s="35"/>
      <c r="G952" s="35"/>
      <c r="H952" s="35">
        <f t="shared" si="220"/>
        <v>0</v>
      </c>
      <c r="I952" s="35"/>
      <c r="J952" s="35">
        <f t="shared" si="219"/>
        <v>0</v>
      </c>
      <c r="K952" s="36">
        <v>948</v>
      </c>
    </row>
    <row r="953" spans="1:11" ht="30" hidden="1" outlineLevel="1" x14ac:dyDescent="0.25">
      <c r="A953" s="34"/>
      <c r="B953" s="17" t="s">
        <v>80</v>
      </c>
      <c r="C953" s="35"/>
      <c r="D953" s="35"/>
      <c r="E953" s="35"/>
      <c r="F953" s="35"/>
      <c r="G953" s="35"/>
      <c r="H953" s="35">
        <f t="shared" si="220"/>
        <v>0</v>
      </c>
      <c r="I953" s="35"/>
      <c r="J953" s="35">
        <f t="shared" si="219"/>
        <v>0</v>
      </c>
      <c r="K953" s="36">
        <v>949</v>
      </c>
    </row>
    <row r="954" spans="1:11" hidden="1" outlineLevel="1" x14ac:dyDescent="0.25">
      <c r="A954" s="34"/>
      <c r="B954" s="17" t="s">
        <v>81</v>
      </c>
      <c r="C954" s="35"/>
      <c r="D954" s="35"/>
      <c r="E954" s="35"/>
      <c r="F954" s="35"/>
      <c r="G954" s="35"/>
      <c r="H954" s="35">
        <f t="shared" si="220"/>
        <v>0</v>
      </c>
      <c r="I954" s="35"/>
      <c r="J954" s="35">
        <f t="shared" si="219"/>
        <v>0</v>
      </c>
      <c r="K954" s="36">
        <v>950</v>
      </c>
    </row>
    <row r="955" spans="1:11" hidden="1" outlineLevel="1" collapsed="1" x14ac:dyDescent="0.25">
      <c r="A955" s="34"/>
      <c r="B955" s="18" t="s">
        <v>82</v>
      </c>
      <c r="C955" s="35"/>
      <c r="D955" s="35"/>
      <c r="E955" s="35"/>
      <c r="F955" s="35"/>
      <c r="G955" s="35"/>
      <c r="H955" s="35">
        <f t="shared" si="220"/>
        <v>0</v>
      </c>
      <c r="I955" s="35"/>
      <c r="J955" s="35">
        <f t="shared" si="219"/>
        <v>0</v>
      </c>
      <c r="K955" s="36">
        <v>951</v>
      </c>
    </row>
    <row r="956" spans="1:11" ht="30" hidden="1" outlineLevel="1" x14ac:dyDescent="0.25">
      <c r="A956" s="34"/>
      <c r="B956" s="17" t="s">
        <v>83</v>
      </c>
      <c r="C956" s="35"/>
      <c r="D956" s="35"/>
      <c r="E956" s="35"/>
      <c r="F956" s="35"/>
      <c r="G956" s="35"/>
      <c r="H956" s="35">
        <f t="shared" si="220"/>
        <v>0</v>
      </c>
      <c r="I956" s="35"/>
      <c r="J956" s="35">
        <f t="shared" si="219"/>
        <v>0</v>
      </c>
      <c r="K956" s="36">
        <v>952</v>
      </c>
    </row>
    <row r="957" spans="1:11" hidden="1" outlineLevel="1" x14ac:dyDescent="0.25">
      <c r="A957" s="28"/>
      <c r="B957" s="15" t="s">
        <v>84</v>
      </c>
      <c r="C957" s="29">
        <f>+SUM(C958:C962)</f>
        <v>0</v>
      </c>
      <c r="D957" s="29">
        <f t="shared" ref="D957:G957" si="231">+SUM(D958:D962)</f>
        <v>0</v>
      </c>
      <c r="E957" s="29">
        <f t="shared" si="231"/>
        <v>0</v>
      </c>
      <c r="F957" s="29">
        <f t="shared" si="231"/>
        <v>0</v>
      </c>
      <c r="G957" s="29">
        <f t="shared" si="231"/>
        <v>0</v>
      </c>
      <c r="H957" s="29">
        <f t="shared" si="220"/>
        <v>0</v>
      </c>
      <c r="I957" s="29"/>
      <c r="J957" s="29">
        <f t="shared" si="219"/>
        <v>0</v>
      </c>
      <c r="K957" s="30">
        <v>953</v>
      </c>
    </row>
    <row r="958" spans="1:11" hidden="1" outlineLevel="1" x14ac:dyDescent="0.25">
      <c r="A958" s="34"/>
      <c r="B958" s="17"/>
      <c r="C958" s="35"/>
      <c r="D958" s="35"/>
      <c r="E958" s="35"/>
      <c r="F958" s="35"/>
      <c r="G958" s="35"/>
      <c r="H958" s="35">
        <f t="shared" si="220"/>
        <v>0</v>
      </c>
      <c r="I958" s="35"/>
      <c r="J958" s="35">
        <f t="shared" si="219"/>
        <v>0</v>
      </c>
      <c r="K958" s="36">
        <v>954</v>
      </c>
    </row>
    <row r="959" spans="1:11" hidden="1" outlineLevel="1" x14ac:dyDescent="0.25">
      <c r="A959" s="34"/>
      <c r="B959" s="17"/>
      <c r="C959" s="35"/>
      <c r="D959" s="35"/>
      <c r="E959" s="35"/>
      <c r="F959" s="35"/>
      <c r="G959" s="35"/>
      <c r="H959" s="35">
        <f t="shared" si="220"/>
        <v>0</v>
      </c>
      <c r="I959" s="35"/>
      <c r="J959" s="35">
        <f t="shared" si="219"/>
        <v>0</v>
      </c>
      <c r="K959" s="36">
        <v>955</v>
      </c>
    </row>
    <row r="960" spans="1:11" hidden="1" outlineLevel="1" collapsed="1" x14ac:dyDescent="0.25">
      <c r="A960" s="34"/>
      <c r="B960" s="17"/>
      <c r="C960" s="35"/>
      <c r="D960" s="35"/>
      <c r="E960" s="35"/>
      <c r="F960" s="35"/>
      <c r="G960" s="35"/>
      <c r="H960" s="35">
        <f t="shared" si="220"/>
        <v>0</v>
      </c>
      <c r="I960" s="35"/>
      <c r="J960" s="35">
        <f t="shared" si="219"/>
        <v>0</v>
      </c>
      <c r="K960" s="36">
        <v>956</v>
      </c>
    </row>
    <row r="961" spans="1:11" hidden="1" outlineLevel="1" x14ac:dyDescent="0.25">
      <c r="A961" s="34"/>
      <c r="B961" s="17" t="s">
        <v>86</v>
      </c>
      <c r="C961" s="35"/>
      <c r="D961" s="35"/>
      <c r="E961" s="35"/>
      <c r="F961" s="35"/>
      <c r="G961" s="35"/>
      <c r="H961" s="35">
        <f t="shared" si="220"/>
        <v>0</v>
      </c>
      <c r="I961" s="35"/>
      <c r="J961" s="35">
        <f t="shared" si="219"/>
        <v>0</v>
      </c>
      <c r="K961" s="36">
        <v>957</v>
      </c>
    </row>
    <row r="962" spans="1:11" hidden="1" outlineLevel="1" x14ac:dyDescent="0.25">
      <c r="A962" s="34"/>
      <c r="B962" s="17"/>
      <c r="C962" s="35"/>
      <c r="D962" s="35"/>
      <c r="E962" s="35"/>
      <c r="F962" s="35"/>
      <c r="G962" s="35"/>
      <c r="H962" s="35">
        <f t="shared" si="220"/>
        <v>0</v>
      </c>
      <c r="I962" s="35"/>
      <c r="J962" s="35">
        <f t="shared" si="219"/>
        <v>0</v>
      </c>
      <c r="K962" s="36">
        <v>958</v>
      </c>
    </row>
    <row r="963" spans="1:11" collapsed="1" x14ac:dyDescent="0.25">
      <c r="A963" s="40" t="s">
        <v>167</v>
      </c>
      <c r="B963" s="10" t="s">
        <v>168</v>
      </c>
      <c r="C963" s="26">
        <f t="shared" ref="C963:G963" si="232">+C964+C973+C977+C983</f>
        <v>0</v>
      </c>
      <c r="D963" s="26">
        <f t="shared" si="232"/>
        <v>0</v>
      </c>
      <c r="E963" s="26">
        <f t="shared" si="232"/>
        <v>0</v>
      </c>
      <c r="F963" s="26">
        <f t="shared" si="232"/>
        <v>0</v>
      </c>
      <c r="G963" s="26">
        <f t="shared" si="232"/>
        <v>0</v>
      </c>
      <c r="H963" s="26">
        <f t="shared" si="220"/>
        <v>0</v>
      </c>
      <c r="I963" s="26">
        <v>0</v>
      </c>
      <c r="J963" s="26">
        <f t="shared" si="219"/>
        <v>0</v>
      </c>
      <c r="K963" s="27">
        <v>959</v>
      </c>
    </row>
    <row r="964" spans="1:11" hidden="1" outlineLevel="1" x14ac:dyDescent="0.25">
      <c r="A964" s="28"/>
      <c r="B964" s="15" t="s">
        <v>65</v>
      </c>
      <c r="C964" s="29">
        <f t="shared" ref="C964:G964" si="233">+SUM(C965:C972)</f>
        <v>0</v>
      </c>
      <c r="D964" s="29">
        <f t="shared" si="233"/>
        <v>0</v>
      </c>
      <c r="E964" s="29">
        <f t="shared" si="233"/>
        <v>0</v>
      </c>
      <c r="F964" s="29">
        <f t="shared" si="233"/>
        <v>0</v>
      </c>
      <c r="G964" s="29">
        <f t="shared" si="233"/>
        <v>0</v>
      </c>
      <c r="H964" s="29">
        <f t="shared" si="220"/>
        <v>0</v>
      </c>
      <c r="I964" s="29">
        <v>0</v>
      </c>
      <c r="J964" s="29">
        <f t="shared" si="219"/>
        <v>0</v>
      </c>
      <c r="K964" s="30">
        <v>960</v>
      </c>
    </row>
    <row r="965" spans="1:11" hidden="1" outlineLevel="1" x14ac:dyDescent="0.25">
      <c r="A965" s="31"/>
      <c r="B965" s="16" t="s">
        <v>66</v>
      </c>
      <c r="C965" s="32"/>
      <c r="D965" s="32"/>
      <c r="E965" s="32"/>
      <c r="F965" s="32"/>
      <c r="G965" s="32"/>
      <c r="H965" s="32">
        <f t="shared" si="220"/>
        <v>0</v>
      </c>
      <c r="I965" s="32"/>
      <c r="J965" s="32">
        <f t="shared" ref="J965:J1028" si="234">+I965-H965</f>
        <v>0</v>
      </c>
      <c r="K965" s="33">
        <v>961</v>
      </c>
    </row>
    <row r="966" spans="1:11" hidden="1" outlineLevel="1" x14ac:dyDescent="0.25">
      <c r="A966" s="31"/>
      <c r="B966" s="17" t="s">
        <v>67</v>
      </c>
      <c r="C966" s="32"/>
      <c r="D966" s="32"/>
      <c r="E966" s="32"/>
      <c r="F966" s="32"/>
      <c r="G966" s="32"/>
      <c r="H966" s="32">
        <f t="shared" ref="H966:H1029" si="235">+SUM(C966:G966)</f>
        <v>0</v>
      </c>
      <c r="I966" s="32"/>
      <c r="J966" s="32">
        <f t="shared" si="234"/>
        <v>0</v>
      </c>
      <c r="K966" s="33">
        <v>962</v>
      </c>
    </row>
    <row r="967" spans="1:11" ht="30" hidden="1" outlineLevel="1" x14ac:dyDescent="0.25">
      <c r="A967" s="31"/>
      <c r="B967" s="17" t="s">
        <v>68</v>
      </c>
      <c r="C967" s="32"/>
      <c r="D967" s="32"/>
      <c r="E967" s="32"/>
      <c r="F967" s="32"/>
      <c r="G967" s="32"/>
      <c r="H967" s="32">
        <f t="shared" si="235"/>
        <v>0</v>
      </c>
      <c r="I967" s="32"/>
      <c r="J967" s="32">
        <f t="shared" si="234"/>
        <v>0</v>
      </c>
      <c r="K967" s="33">
        <v>963</v>
      </c>
    </row>
    <row r="968" spans="1:11" hidden="1" outlineLevel="1" x14ac:dyDescent="0.25">
      <c r="A968" s="31"/>
      <c r="B968" s="16" t="s">
        <v>69</v>
      </c>
      <c r="C968" s="32"/>
      <c r="D968" s="32"/>
      <c r="E968" s="32"/>
      <c r="F968" s="32"/>
      <c r="G968" s="32"/>
      <c r="H968" s="32">
        <f t="shared" si="235"/>
        <v>0</v>
      </c>
      <c r="I968" s="32"/>
      <c r="J968" s="32">
        <f t="shared" si="234"/>
        <v>0</v>
      </c>
      <c r="K968" s="33">
        <v>964</v>
      </c>
    </row>
    <row r="969" spans="1:11" hidden="1" outlineLevel="1" x14ac:dyDescent="0.25">
      <c r="A969" s="31"/>
      <c r="B969" s="17" t="s">
        <v>70</v>
      </c>
      <c r="C969" s="32"/>
      <c r="D969" s="32"/>
      <c r="E969" s="32"/>
      <c r="F969" s="32"/>
      <c r="G969" s="32"/>
      <c r="H969" s="32">
        <f t="shared" si="235"/>
        <v>0</v>
      </c>
      <c r="I969" s="32"/>
      <c r="J969" s="32">
        <f t="shared" si="234"/>
        <v>0</v>
      </c>
      <c r="K969" s="33">
        <v>965</v>
      </c>
    </row>
    <row r="970" spans="1:11" ht="30" hidden="1" outlineLevel="1" x14ac:dyDescent="0.25">
      <c r="A970" s="31"/>
      <c r="B970" s="17" t="s">
        <v>71</v>
      </c>
      <c r="C970" s="32"/>
      <c r="D970" s="32"/>
      <c r="E970" s="32"/>
      <c r="F970" s="32"/>
      <c r="G970" s="32"/>
      <c r="H970" s="32">
        <f t="shared" si="235"/>
        <v>0</v>
      </c>
      <c r="I970" s="32"/>
      <c r="J970" s="32">
        <f t="shared" si="234"/>
        <v>0</v>
      </c>
      <c r="K970" s="33">
        <v>966</v>
      </c>
    </row>
    <row r="971" spans="1:11" hidden="1" outlineLevel="1" x14ac:dyDescent="0.25">
      <c r="A971" s="31"/>
      <c r="B971" s="16" t="s">
        <v>72</v>
      </c>
      <c r="C971" s="32"/>
      <c r="D971" s="32"/>
      <c r="E971" s="32"/>
      <c r="F971" s="32"/>
      <c r="G971" s="32"/>
      <c r="H971" s="32">
        <f t="shared" si="235"/>
        <v>0</v>
      </c>
      <c r="I971" s="32"/>
      <c r="J971" s="32">
        <f t="shared" si="234"/>
        <v>0</v>
      </c>
      <c r="K971" s="33">
        <v>967</v>
      </c>
    </row>
    <row r="972" spans="1:11" ht="30" hidden="1" outlineLevel="1" x14ac:dyDescent="0.25">
      <c r="A972" s="31"/>
      <c r="B972" s="17" t="s">
        <v>73</v>
      </c>
      <c r="C972" s="32"/>
      <c r="D972" s="32"/>
      <c r="E972" s="32"/>
      <c r="F972" s="32"/>
      <c r="G972" s="32"/>
      <c r="H972" s="32">
        <f t="shared" si="235"/>
        <v>0</v>
      </c>
      <c r="I972" s="32"/>
      <c r="J972" s="32">
        <f t="shared" si="234"/>
        <v>0</v>
      </c>
      <c r="K972" s="33">
        <v>968</v>
      </c>
    </row>
    <row r="973" spans="1:11" hidden="1" outlineLevel="1" x14ac:dyDescent="0.25">
      <c r="A973" s="28"/>
      <c r="B973" s="15" t="s">
        <v>74</v>
      </c>
      <c r="C973" s="29">
        <f t="shared" ref="C973:G973" si="236">+SUM(C974:C976)</f>
        <v>0</v>
      </c>
      <c r="D973" s="29">
        <f t="shared" si="236"/>
        <v>0</v>
      </c>
      <c r="E973" s="29">
        <f t="shared" si="236"/>
        <v>0</v>
      </c>
      <c r="F973" s="29">
        <f t="shared" si="236"/>
        <v>0</v>
      </c>
      <c r="G973" s="29">
        <f t="shared" si="236"/>
        <v>0</v>
      </c>
      <c r="H973" s="29">
        <f t="shared" si="235"/>
        <v>0</v>
      </c>
      <c r="I973" s="29"/>
      <c r="J973" s="29">
        <f t="shared" si="234"/>
        <v>0</v>
      </c>
      <c r="K973" s="30">
        <v>969</v>
      </c>
    </row>
    <row r="974" spans="1:11" ht="30" hidden="1" outlineLevel="1" x14ac:dyDescent="0.25">
      <c r="A974" s="34"/>
      <c r="B974" s="17" t="s">
        <v>75</v>
      </c>
      <c r="C974" s="35"/>
      <c r="D974" s="35"/>
      <c r="E974" s="35"/>
      <c r="F974" s="35"/>
      <c r="G974" s="35"/>
      <c r="H974" s="35">
        <f t="shared" si="235"/>
        <v>0</v>
      </c>
      <c r="I974" s="35"/>
      <c r="J974" s="35">
        <f t="shared" si="234"/>
        <v>0</v>
      </c>
      <c r="K974" s="36">
        <v>970</v>
      </c>
    </row>
    <row r="975" spans="1:11" ht="30" hidden="1" outlineLevel="1" x14ac:dyDescent="0.25">
      <c r="A975" s="34"/>
      <c r="B975" s="17" t="s">
        <v>76</v>
      </c>
      <c r="C975" s="35"/>
      <c r="D975" s="35"/>
      <c r="E975" s="35"/>
      <c r="F975" s="35"/>
      <c r="G975" s="35"/>
      <c r="H975" s="35">
        <f t="shared" si="235"/>
        <v>0</v>
      </c>
      <c r="I975" s="35"/>
      <c r="J975" s="35">
        <f t="shared" si="234"/>
        <v>0</v>
      </c>
      <c r="K975" s="36">
        <v>971</v>
      </c>
    </row>
    <row r="976" spans="1:11" ht="30" hidden="1" outlineLevel="1" x14ac:dyDescent="0.25">
      <c r="A976" s="34"/>
      <c r="B976" s="17" t="s">
        <v>77</v>
      </c>
      <c r="C976" s="35"/>
      <c r="D976" s="35"/>
      <c r="E976" s="35"/>
      <c r="F976" s="35"/>
      <c r="G976" s="35"/>
      <c r="H976" s="35">
        <f t="shared" si="235"/>
        <v>0</v>
      </c>
      <c r="I976" s="35"/>
      <c r="J976" s="35">
        <f t="shared" si="234"/>
        <v>0</v>
      </c>
      <c r="K976" s="36">
        <v>972</v>
      </c>
    </row>
    <row r="977" spans="1:11" hidden="1" outlineLevel="1" x14ac:dyDescent="0.25">
      <c r="A977" s="28"/>
      <c r="B977" s="15" t="s">
        <v>78</v>
      </c>
      <c r="C977" s="29">
        <f t="shared" ref="C977:G977" si="237">+SUM(C978:C982)</f>
        <v>0</v>
      </c>
      <c r="D977" s="29">
        <f t="shared" si="237"/>
        <v>0</v>
      </c>
      <c r="E977" s="29">
        <f t="shared" si="237"/>
        <v>0</v>
      </c>
      <c r="F977" s="29">
        <f t="shared" si="237"/>
        <v>0</v>
      </c>
      <c r="G977" s="29">
        <f t="shared" si="237"/>
        <v>0</v>
      </c>
      <c r="H977" s="29">
        <f t="shared" si="235"/>
        <v>0</v>
      </c>
      <c r="I977" s="29"/>
      <c r="J977" s="29">
        <f t="shared" si="234"/>
        <v>0</v>
      </c>
      <c r="K977" s="30">
        <v>973</v>
      </c>
    </row>
    <row r="978" spans="1:11" hidden="1" outlineLevel="1" x14ac:dyDescent="0.25">
      <c r="A978" s="34"/>
      <c r="B978" s="18" t="s">
        <v>79</v>
      </c>
      <c r="C978" s="35"/>
      <c r="D978" s="35"/>
      <c r="E978" s="35"/>
      <c r="F978" s="35"/>
      <c r="G978" s="35"/>
      <c r="H978" s="35">
        <f t="shared" si="235"/>
        <v>0</v>
      </c>
      <c r="I978" s="35"/>
      <c r="J978" s="35">
        <f t="shared" si="234"/>
        <v>0</v>
      </c>
      <c r="K978" s="36">
        <v>974</v>
      </c>
    </row>
    <row r="979" spans="1:11" ht="30" hidden="1" outlineLevel="1" x14ac:dyDescent="0.25">
      <c r="A979" s="34"/>
      <c r="B979" s="17" t="s">
        <v>80</v>
      </c>
      <c r="C979" s="35"/>
      <c r="D979" s="35"/>
      <c r="E979" s="35"/>
      <c r="F979" s="35"/>
      <c r="G979" s="35"/>
      <c r="H979" s="35">
        <f t="shared" si="235"/>
        <v>0</v>
      </c>
      <c r="I979" s="35"/>
      <c r="J979" s="35">
        <f t="shared" si="234"/>
        <v>0</v>
      </c>
      <c r="K979" s="36">
        <v>975</v>
      </c>
    </row>
    <row r="980" spans="1:11" hidden="1" outlineLevel="1" x14ac:dyDescent="0.25">
      <c r="A980" s="34"/>
      <c r="B980" s="17" t="s">
        <v>81</v>
      </c>
      <c r="C980" s="35"/>
      <c r="D980" s="35"/>
      <c r="E980" s="35"/>
      <c r="F980" s="35"/>
      <c r="G980" s="35"/>
      <c r="H980" s="35">
        <f t="shared" si="235"/>
        <v>0</v>
      </c>
      <c r="I980" s="35"/>
      <c r="J980" s="35">
        <f t="shared" si="234"/>
        <v>0</v>
      </c>
      <c r="K980" s="36">
        <v>976</v>
      </c>
    </row>
    <row r="981" spans="1:11" hidden="1" outlineLevel="1" x14ac:dyDescent="0.25">
      <c r="A981" s="34"/>
      <c r="B981" s="18" t="s">
        <v>82</v>
      </c>
      <c r="C981" s="35"/>
      <c r="D981" s="35"/>
      <c r="E981" s="35"/>
      <c r="F981" s="35"/>
      <c r="G981" s="35"/>
      <c r="H981" s="35">
        <f t="shared" si="235"/>
        <v>0</v>
      </c>
      <c r="I981" s="35"/>
      <c r="J981" s="35">
        <f t="shared" si="234"/>
        <v>0</v>
      </c>
      <c r="K981" s="36">
        <v>977</v>
      </c>
    </row>
    <row r="982" spans="1:11" ht="30" hidden="1" outlineLevel="1" collapsed="1" x14ac:dyDescent="0.25">
      <c r="A982" s="34"/>
      <c r="B982" s="17" t="s">
        <v>83</v>
      </c>
      <c r="C982" s="35"/>
      <c r="D982" s="35"/>
      <c r="E982" s="35"/>
      <c r="F982" s="35"/>
      <c r="G982" s="35"/>
      <c r="H982" s="35">
        <f t="shared" si="235"/>
        <v>0</v>
      </c>
      <c r="I982" s="35"/>
      <c r="J982" s="35">
        <f t="shared" si="234"/>
        <v>0</v>
      </c>
      <c r="K982" s="36">
        <v>978</v>
      </c>
    </row>
    <row r="983" spans="1:11" hidden="1" outlineLevel="1" x14ac:dyDescent="0.25">
      <c r="A983" s="28"/>
      <c r="B983" s="15" t="s">
        <v>84</v>
      </c>
      <c r="C983" s="29">
        <f>+SUM(C984:C988)</f>
        <v>0</v>
      </c>
      <c r="D983" s="29">
        <f t="shared" ref="D983:G983" si="238">+SUM(D984:D988)</f>
        <v>0</v>
      </c>
      <c r="E983" s="29">
        <f t="shared" si="238"/>
        <v>0</v>
      </c>
      <c r="F983" s="29">
        <f t="shared" si="238"/>
        <v>0</v>
      </c>
      <c r="G983" s="29">
        <f t="shared" si="238"/>
        <v>0</v>
      </c>
      <c r="H983" s="29">
        <f t="shared" si="235"/>
        <v>0</v>
      </c>
      <c r="I983" s="29"/>
      <c r="J983" s="29">
        <f t="shared" si="234"/>
        <v>0</v>
      </c>
      <c r="K983" s="30">
        <v>979</v>
      </c>
    </row>
    <row r="984" spans="1:11" hidden="1" outlineLevel="1" x14ac:dyDescent="0.25">
      <c r="A984" s="34"/>
      <c r="B984" s="17"/>
      <c r="C984" s="35"/>
      <c r="D984" s="35"/>
      <c r="E984" s="35"/>
      <c r="F984" s="35"/>
      <c r="G984" s="35"/>
      <c r="H984" s="35">
        <f t="shared" si="235"/>
        <v>0</v>
      </c>
      <c r="I984" s="35"/>
      <c r="J984" s="35">
        <f t="shared" si="234"/>
        <v>0</v>
      </c>
      <c r="K984" s="36">
        <v>980</v>
      </c>
    </row>
    <row r="985" spans="1:11" hidden="1" outlineLevel="1" x14ac:dyDescent="0.25">
      <c r="A985" s="34"/>
      <c r="B985" s="17"/>
      <c r="C985" s="35"/>
      <c r="D985" s="35"/>
      <c r="E985" s="35"/>
      <c r="F985" s="35"/>
      <c r="G985" s="35"/>
      <c r="H985" s="35">
        <f t="shared" si="235"/>
        <v>0</v>
      </c>
      <c r="I985" s="35"/>
      <c r="J985" s="35">
        <f t="shared" si="234"/>
        <v>0</v>
      </c>
      <c r="K985" s="36">
        <v>981</v>
      </c>
    </row>
    <row r="986" spans="1:11" hidden="1" outlineLevel="1" collapsed="1" x14ac:dyDescent="0.25">
      <c r="A986" s="34"/>
      <c r="B986" s="17"/>
      <c r="C986" s="35"/>
      <c r="D986" s="35"/>
      <c r="E986" s="35"/>
      <c r="F986" s="35"/>
      <c r="G986" s="35"/>
      <c r="H986" s="35">
        <f t="shared" si="235"/>
        <v>0</v>
      </c>
      <c r="I986" s="35"/>
      <c r="J986" s="35">
        <f t="shared" si="234"/>
        <v>0</v>
      </c>
      <c r="K986" s="36">
        <v>982</v>
      </c>
    </row>
    <row r="987" spans="1:11" hidden="1" outlineLevel="1" x14ac:dyDescent="0.25">
      <c r="A987" s="34"/>
      <c r="B987" s="17" t="s">
        <v>86</v>
      </c>
      <c r="C987" s="35"/>
      <c r="D987" s="35"/>
      <c r="E987" s="35"/>
      <c r="F987" s="35"/>
      <c r="G987" s="35"/>
      <c r="H987" s="35">
        <f t="shared" si="235"/>
        <v>0</v>
      </c>
      <c r="I987" s="35"/>
      <c r="J987" s="35">
        <f t="shared" si="234"/>
        <v>0</v>
      </c>
      <c r="K987" s="36">
        <v>983</v>
      </c>
    </row>
    <row r="988" spans="1:11" hidden="1" outlineLevel="1" x14ac:dyDescent="0.25">
      <c r="A988" s="34"/>
      <c r="B988" s="17"/>
      <c r="C988" s="35"/>
      <c r="D988" s="35"/>
      <c r="E988" s="35"/>
      <c r="F988" s="35"/>
      <c r="G988" s="35"/>
      <c r="H988" s="35">
        <f t="shared" si="235"/>
        <v>0</v>
      </c>
      <c r="I988" s="35"/>
      <c r="J988" s="35">
        <f t="shared" si="234"/>
        <v>0</v>
      </c>
      <c r="K988" s="36">
        <v>984</v>
      </c>
    </row>
    <row r="989" spans="1:11" ht="45" collapsed="1" x14ac:dyDescent="0.25">
      <c r="A989" s="38">
        <v>6</v>
      </c>
      <c r="B989" s="13" t="s">
        <v>169</v>
      </c>
      <c r="C989" s="19">
        <f>+C990+C1043+C1148</f>
        <v>0</v>
      </c>
      <c r="D989" s="19">
        <f t="shared" ref="D989:G989" si="239">+D990+D1043+D1148</f>
        <v>0</v>
      </c>
      <c r="E989" s="19">
        <f t="shared" si="239"/>
        <v>0</v>
      </c>
      <c r="F989" s="19">
        <f t="shared" si="239"/>
        <v>0</v>
      </c>
      <c r="G989" s="19">
        <f t="shared" si="239"/>
        <v>0</v>
      </c>
      <c r="H989" s="19">
        <f t="shared" si="235"/>
        <v>0</v>
      </c>
      <c r="I989" s="19"/>
      <c r="J989" s="19">
        <f t="shared" si="234"/>
        <v>0</v>
      </c>
      <c r="K989" s="23">
        <v>985</v>
      </c>
    </row>
    <row r="990" spans="1:11" ht="45" x14ac:dyDescent="0.25">
      <c r="A990" s="39" t="s">
        <v>170</v>
      </c>
      <c r="B990" s="14" t="s">
        <v>171</v>
      </c>
      <c r="C990" s="24">
        <f>+C991+C1017</f>
        <v>0</v>
      </c>
      <c r="D990" s="24">
        <f t="shared" ref="D990:G990" si="240">+D991+D1017</f>
        <v>0</v>
      </c>
      <c r="E990" s="24">
        <f t="shared" si="240"/>
        <v>0</v>
      </c>
      <c r="F990" s="24">
        <f t="shared" si="240"/>
        <v>0</v>
      </c>
      <c r="G990" s="24">
        <f t="shared" si="240"/>
        <v>0</v>
      </c>
      <c r="H990" s="24">
        <f t="shared" si="235"/>
        <v>0</v>
      </c>
      <c r="I990" s="24"/>
      <c r="J990" s="24">
        <f t="shared" si="234"/>
        <v>0</v>
      </c>
      <c r="K990" s="25">
        <v>986</v>
      </c>
    </row>
    <row r="991" spans="1:11" ht="30" x14ac:dyDescent="0.25">
      <c r="A991" s="40" t="s">
        <v>63</v>
      </c>
      <c r="B991" s="10" t="s">
        <v>172</v>
      </c>
      <c r="C991" s="26">
        <f t="shared" ref="C991:G991" si="241">+C992+C1001+C1005+C1011</f>
        <v>0</v>
      </c>
      <c r="D991" s="26">
        <f t="shared" si="241"/>
        <v>0</v>
      </c>
      <c r="E991" s="26">
        <f t="shared" si="241"/>
        <v>0</v>
      </c>
      <c r="F991" s="26">
        <f t="shared" si="241"/>
        <v>0</v>
      </c>
      <c r="G991" s="26">
        <f t="shared" si="241"/>
        <v>0</v>
      </c>
      <c r="H991" s="26">
        <f t="shared" si="235"/>
        <v>0</v>
      </c>
      <c r="I991" s="26">
        <v>0</v>
      </c>
      <c r="J991" s="26">
        <f t="shared" si="234"/>
        <v>0</v>
      </c>
      <c r="K991" s="27">
        <v>987</v>
      </c>
    </row>
    <row r="992" spans="1:11" hidden="1" outlineLevel="1" x14ac:dyDescent="0.25">
      <c r="A992" s="28"/>
      <c r="B992" s="15" t="s">
        <v>65</v>
      </c>
      <c r="C992" s="29">
        <f t="shared" ref="C992:G992" si="242">+SUM(C993:C1000)</f>
        <v>0</v>
      </c>
      <c r="D992" s="29">
        <f t="shared" si="242"/>
        <v>0</v>
      </c>
      <c r="E992" s="29">
        <f t="shared" si="242"/>
        <v>0</v>
      </c>
      <c r="F992" s="29">
        <f t="shared" si="242"/>
        <v>0</v>
      </c>
      <c r="G992" s="29">
        <f t="shared" si="242"/>
        <v>0</v>
      </c>
      <c r="H992" s="29">
        <f t="shared" si="235"/>
        <v>0</v>
      </c>
      <c r="I992" s="29">
        <v>0</v>
      </c>
      <c r="J992" s="29">
        <f t="shared" si="234"/>
        <v>0</v>
      </c>
      <c r="K992" s="30">
        <v>988</v>
      </c>
    </row>
    <row r="993" spans="1:11" hidden="1" outlineLevel="1" x14ac:dyDescent="0.25">
      <c r="A993" s="31"/>
      <c r="B993" s="16" t="s">
        <v>66</v>
      </c>
      <c r="C993" s="32"/>
      <c r="D993" s="32"/>
      <c r="E993" s="32"/>
      <c r="F993" s="32"/>
      <c r="G993" s="32"/>
      <c r="H993" s="32">
        <f t="shared" si="235"/>
        <v>0</v>
      </c>
      <c r="I993" s="32"/>
      <c r="J993" s="32">
        <f t="shared" si="234"/>
        <v>0</v>
      </c>
      <c r="K993" s="33">
        <v>989</v>
      </c>
    </row>
    <row r="994" spans="1:11" hidden="1" outlineLevel="1" x14ac:dyDescent="0.25">
      <c r="A994" s="31"/>
      <c r="B994" s="17" t="s">
        <v>67</v>
      </c>
      <c r="C994" s="32"/>
      <c r="D994" s="32"/>
      <c r="E994" s="32"/>
      <c r="F994" s="32"/>
      <c r="G994" s="32"/>
      <c r="H994" s="32">
        <f t="shared" si="235"/>
        <v>0</v>
      </c>
      <c r="I994" s="32"/>
      <c r="J994" s="32">
        <f t="shared" si="234"/>
        <v>0</v>
      </c>
      <c r="K994" s="33">
        <v>990</v>
      </c>
    </row>
    <row r="995" spans="1:11" ht="30" hidden="1" outlineLevel="1" x14ac:dyDescent="0.25">
      <c r="A995" s="31"/>
      <c r="B995" s="17" t="s">
        <v>68</v>
      </c>
      <c r="C995" s="32"/>
      <c r="D995" s="32"/>
      <c r="E995" s="32"/>
      <c r="F995" s="32"/>
      <c r="G995" s="32"/>
      <c r="H995" s="32">
        <f t="shared" si="235"/>
        <v>0</v>
      </c>
      <c r="I995" s="32"/>
      <c r="J995" s="32">
        <f t="shared" si="234"/>
        <v>0</v>
      </c>
      <c r="K995" s="33">
        <v>991</v>
      </c>
    </row>
    <row r="996" spans="1:11" hidden="1" outlineLevel="1" x14ac:dyDescent="0.25">
      <c r="A996" s="31"/>
      <c r="B996" s="16" t="s">
        <v>69</v>
      </c>
      <c r="C996" s="32"/>
      <c r="D996" s="32"/>
      <c r="E996" s="32"/>
      <c r="F996" s="32"/>
      <c r="G996" s="32"/>
      <c r="H996" s="32">
        <f t="shared" si="235"/>
        <v>0</v>
      </c>
      <c r="I996" s="32"/>
      <c r="J996" s="32">
        <f t="shared" si="234"/>
        <v>0</v>
      </c>
      <c r="K996" s="33">
        <v>992</v>
      </c>
    </row>
    <row r="997" spans="1:11" hidden="1" outlineLevel="1" x14ac:dyDescent="0.25">
      <c r="A997" s="31"/>
      <c r="B997" s="17" t="s">
        <v>70</v>
      </c>
      <c r="C997" s="32"/>
      <c r="D997" s="32"/>
      <c r="E997" s="32"/>
      <c r="F997" s="32"/>
      <c r="G997" s="32"/>
      <c r="H997" s="32">
        <f t="shared" si="235"/>
        <v>0</v>
      </c>
      <c r="I997" s="32"/>
      <c r="J997" s="32">
        <f t="shared" si="234"/>
        <v>0</v>
      </c>
      <c r="K997" s="33">
        <v>993</v>
      </c>
    </row>
    <row r="998" spans="1:11" ht="30" hidden="1" outlineLevel="1" x14ac:dyDescent="0.25">
      <c r="A998" s="31"/>
      <c r="B998" s="17" t="s">
        <v>71</v>
      </c>
      <c r="C998" s="32"/>
      <c r="D998" s="32"/>
      <c r="E998" s="32"/>
      <c r="F998" s="32"/>
      <c r="G998" s="32"/>
      <c r="H998" s="32">
        <f t="shared" si="235"/>
        <v>0</v>
      </c>
      <c r="I998" s="32"/>
      <c r="J998" s="32">
        <f t="shared" si="234"/>
        <v>0</v>
      </c>
      <c r="K998" s="33">
        <v>994</v>
      </c>
    </row>
    <row r="999" spans="1:11" hidden="1" outlineLevel="1" x14ac:dyDescent="0.25">
      <c r="A999" s="31"/>
      <c r="B999" s="16" t="s">
        <v>72</v>
      </c>
      <c r="C999" s="32"/>
      <c r="D999" s="32"/>
      <c r="E999" s="32"/>
      <c r="F999" s="32"/>
      <c r="G999" s="32"/>
      <c r="H999" s="32">
        <f t="shared" si="235"/>
        <v>0</v>
      </c>
      <c r="I999" s="32"/>
      <c r="J999" s="32">
        <f t="shared" si="234"/>
        <v>0</v>
      </c>
      <c r="K999" s="33">
        <v>995</v>
      </c>
    </row>
    <row r="1000" spans="1:11" ht="30" hidden="1" outlineLevel="1" x14ac:dyDescent="0.25">
      <c r="A1000" s="31"/>
      <c r="B1000" s="17" t="s">
        <v>73</v>
      </c>
      <c r="C1000" s="32"/>
      <c r="D1000" s="32"/>
      <c r="E1000" s="32"/>
      <c r="F1000" s="32"/>
      <c r="G1000" s="32"/>
      <c r="H1000" s="32">
        <f t="shared" si="235"/>
        <v>0</v>
      </c>
      <c r="I1000" s="32"/>
      <c r="J1000" s="32">
        <f t="shared" si="234"/>
        <v>0</v>
      </c>
      <c r="K1000" s="33">
        <v>996</v>
      </c>
    </row>
    <row r="1001" spans="1:11" hidden="1" outlineLevel="1" x14ac:dyDescent="0.25">
      <c r="A1001" s="28"/>
      <c r="B1001" s="15" t="s">
        <v>74</v>
      </c>
      <c r="C1001" s="29">
        <f t="shared" ref="C1001:G1001" si="243">+SUM(C1002:C1004)</f>
        <v>0</v>
      </c>
      <c r="D1001" s="29">
        <f t="shared" si="243"/>
        <v>0</v>
      </c>
      <c r="E1001" s="29">
        <f t="shared" si="243"/>
        <v>0</v>
      </c>
      <c r="F1001" s="29">
        <f t="shared" si="243"/>
        <v>0</v>
      </c>
      <c r="G1001" s="29">
        <f t="shared" si="243"/>
        <v>0</v>
      </c>
      <c r="H1001" s="29">
        <f t="shared" si="235"/>
        <v>0</v>
      </c>
      <c r="I1001" s="29"/>
      <c r="J1001" s="29">
        <f t="shared" si="234"/>
        <v>0</v>
      </c>
      <c r="K1001" s="30">
        <v>997</v>
      </c>
    </row>
    <row r="1002" spans="1:11" ht="30" hidden="1" outlineLevel="1" x14ac:dyDescent="0.25">
      <c r="A1002" s="34"/>
      <c r="B1002" s="17" t="s">
        <v>75</v>
      </c>
      <c r="C1002" s="35"/>
      <c r="D1002" s="35"/>
      <c r="E1002" s="35"/>
      <c r="F1002" s="35"/>
      <c r="G1002" s="35"/>
      <c r="H1002" s="35">
        <f t="shared" si="235"/>
        <v>0</v>
      </c>
      <c r="I1002" s="35"/>
      <c r="J1002" s="35">
        <f t="shared" si="234"/>
        <v>0</v>
      </c>
      <c r="K1002" s="36">
        <v>998</v>
      </c>
    </row>
    <row r="1003" spans="1:11" ht="30" hidden="1" outlineLevel="1" x14ac:dyDescent="0.25">
      <c r="A1003" s="34"/>
      <c r="B1003" s="17" t="s">
        <v>76</v>
      </c>
      <c r="C1003" s="35"/>
      <c r="D1003" s="35"/>
      <c r="E1003" s="35"/>
      <c r="F1003" s="35"/>
      <c r="G1003" s="35"/>
      <c r="H1003" s="35">
        <f t="shared" si="235"/>
        <v>0</v>
      </c>
      <c r="I1003" s="35"/>
      <c r="J1003" s="35">
        <f t="shared" si="234"/>
        <v>0</v>
      </c>
      <c r="K1003" s="36">
        <v>999</v>
      </c>
    </row>
    <row r="1004" spans="1:11" ht="30" hidden="1" outlineLevel="1" x14ac:dyDescent="0.25">
      <c r="A1004" s="34"/>
      <c r="B1004" s="17" t="s">
        <v>77</v>
      </c>
      <c r="C1004" s="35"/>
      <c r="D1004" s="35"/>
      <c r="E1004" s="35"/>
      <c r="F1004" s="35"/>
      <c r="G1004" s="35"/>
      <c r="H1004" s="35">
        <f t="shared" si="235"/>
        <v>0</v>
      </c>
      <c r="I1004" s="35"/>
      <c r="J1004" s="35">
        <f t="shared" si="234"/>
        <v>0</v>
      </c>
      <c r="K1004" s="36">
        <v>1000</v>
      </c>
    </row>
    <row r="1005" spans="1:11" hidden="1" outlineLevel="1" x14ac:dyDescent="0.25">
      <c r="A1005" s="28"/>
      <c r="B1005" s="15" t="s">
        <v>78</v>
      </c>
      <c r="C1005" s="29">
        <f t="shared" ref="C1005:G1005" si="244">+SUM(C1006:C1010)</f>
        <v>0</v>
      </c>
      <c r="D1005" s="29">
        <f t="shared" si="244"/>
        <v>0</v>
      </c>
      <c r="E1005" s="29">
        <f t="shared" si="244"/>
        <v>0</v>
      </c>
      <c r="F1005" s="29">
        <f t="shared" si="244"/>
        <v>0</v>
      </c>
      <c r="G1005" s="29">
        <f t="shared" si="244"/>
        <v>0</v>
      </c>
      <c r="H1005" s="29">
        <f t="shared" si="235"/>
        <v>0</v>
      </c>
      <c r="I1005" s="29"/>
      <c r="J1005" s="29">
        <f t="shared" si="234"/>
        <v>0</v>
      </c>
      <c r="K1005" s="30">
        <v>1001</v>
      </c>
    </row>
    <row r="1006" spans="1:11" hidden="1" outlineLevel="1" x14ac:dyDescent="0.25">
      <c r="A1006" s="34"/>
      <c r="B1006" s="18" t="s">
        <v>79</v>
      </c>
      <c r="C1006" s="35"/>
      <c r="D1006" s="35"/>
      <c r="E1006" s="35"/>
      <c r="F1006" s="35"/>
      <c r="G1006" s="35"/>
      <c r="H1006" s="35">
        <f t="shared" si="235"/>
        <v>0</v>
      </c>
      <c r="I1006" s="35"/>
      <c r="J1006" s="35">
        <f t="shared" si="234"/>
        <v>0</v>
      </c>
      <c r="K1006" s="36">
        <v>1002</v>
      </c>
    </row>
    <row r="1007" spans="1:11" ht="30" hidden="1" outlineLevel="1" x14ac:dyDescent="0.25">
      <c r="A1007" s="34"/>
      <c r="B1007" s="17" t="s">
        <v>80</v>
      </c>
      <c r="C1007" s="35"/>
      <c r="D1007" s="35"/>
      <c r="E1007" s="35"/>
      <c r="F1007" s="35"/>
      <c r="G1007" s="35"/>
      <c r="H1007" s="35">
        <f t="shared" si="235"/>
        <v>0</v>
      </c>
      <c r="I1007" s="35"/>
      <c r="J1007" s="35">
        <f t="shared" si="234"/>
        <v>0</v>
      </c>
      <c r="K1007" s="36">
        <v>1003</v>
      </c>
    </row>
    <row r="1008" spans="1:11" hidden="1" outlineLevel="1" collapsed="1" x14ac:dyDescent="0.25">
      <c r="A1008" s="34"/>
      <c r="B1008" s="17" t="s">
        <v>81</v>
      </c>
      <c r="C1008" s="35"/>
      <c r="D1008" s="35"/>
      <c r="E1008" s="35"/>
      <c r="F1008" s="35"/>
      <c r="G1008" s="35"/>
      <c r="H1008" s="35">
        <f t="shared" si="235"/>
        <v>0</v>
      </c>
      <c r="I1008" s="35"/>
      <c r="J1008" s="35">
        <f t="shared" si="234"/>
        <v>0</v>
      </c>
      <c r="K1008" s="36">
        <v>1004</v>
      </c>
    </row>
    <row r="1009" spans="1:11" hidden="1" outlineLevel="1" x14ac:dyDescent="0.25">
      <c r="A1009" s="34"/>
      <c r="B1009" s="18" t="s">
        <v>82</v>
      </c>
      <c r="C1009" s="35"/>
      <c r="D1009" s="35"/>
      <c r="E1009" s="35"/>
      <c r="F1009" s="35"/>
      <c r="G1009" s="35"/>
      <c r="H1009" s="35">
        <f t="shared" si="235"/>
        <v>0</v>
      </c>
      <c r="I1009" s="35"/>
      <c r="J1009" s="35">
        <f t="shared" si="234"/>
        <v>0</v>
      </c>
      <c r="K1009" s="36">
        <v>1005</v>
      </c>
    </row>
    <row r="1010" spans="1:11" ht="30" hidden="1" outlineLevel="1" x14ac:dyDescent="0.25">
      <c r="A1010" s="34"/>
      <c r="B1010" s="17" t="s">
        <v>83</v>
      </c>
      <c r="C1010" s="35"/>
      <c r="D1010" s="35"/>
      <c r="E1010" s="35"/>
      <c r="F1010" s="35"/>
      <c r="G1010" s="35"/>
      <c r="H1010" s="35">
        <f t="shared" si="235"/>
        <v>0</v>
      </c>
      <c r="I1010" s="35"/>
      <c r="J1010" s="35">
        <f t="shared" si="234"/>
        <v>0</v>
      </c>
      <c r="K1010" s="36">
        <v>1006</v>
      </c>
    </row>
    <row r="1011" spans="1:11" hidden="1" outlineLevel="1" x14ac:dyDescent="0.25">
      <c r="A1011" s="28"/>
      <c r="B1011" s="15" t="s">
        <v>84</v>
      </c>
      <c r="C1011" s="29">
        <f>+SUM(C1012:C1016)</f>
        <v>0</v>
      </c>
      <c r="D1011" s="29">
        <f t="shared" ref="D1011:G1011" si="245">+SUM(D1012:D1016)</f>
        <v>0</v>
      </c>
      <c r="E1011" s="29">
        <f t="shared" si="245"/>
        <v>0</v>
      </c>
      <c r="F1011" s="29">
        <f t="shared" si="245"/>
        <v>0</v>
      </c>
      <c r="G1011" s="29">
        <f t="shared" si="245"/>
        <v>0</v>
      </c>
      <c r="H1011" s="29">
        <f t="shared" si="235"/>
        <v>0</v>
      </c>
      <c r="I1011" s="29"/>
      <c r="J1011" s="29">
        <f t="shared" si="234"/>
        <v>0</v>
      </c>
      <c r="K1011" s="30">
        <v>1007</v>
      </c>
    </row>
    <row r="1012" spans="1:11" hidden="1" outlineLevel="1" collapsed="1" x14ac:dyDescent="0.25">
      <c r="A1012" s="34"/>
      <c r="B1012" s="17"/>
      <c r="C1012" s="35"/>
      <c r="D1012" s="35"/>
      <c r="E1012" s="35"/>
      <c r="F1012" s="35"/>
      <c r="G1012" s="35"/>
      <c r="H1012" s="35">
        <f t="shared" si="235"/>
        <v>0</v>
      </c>
      <c r="I1012" s="35"/>
      <c r="J1012" s="35">
        <f t="shared" si="234"/>
        <v>0</v>
      </c>
      <c r="K1012" s="36">
        <v>1008</v>
      </c>
    </row>
    <row r="1013" spans="1:11" hidden="1" outlineLevel="1" x14ac:dyDescent="0.25">
      <c r="A1013" s="34"/>
      <c r="B1013" s="17"/>
      <c r="C1013" s="35"/>
      <c r="D1013" s="35"/>
      <c r="E1013" s="35"/>
      <c r="F1013" s="35"/>
      <c r="G1013" s="35"/>
      <c r="H1013" s="35">
        <f t="shared" si="235"/>
        <v>0</v>
      </c>
      <c r="I1013" s="35"/>
      <c r="J1013" s="35">
        <f t="shared" si="234"/>
        <v>0</v>
      </c>
      <c r="K1013" s="36">
        <v>1009</v>
      </c>
    </row>
    <row r="1014" spans="1:11" hidden="1" outlineLevel="1" x14ac:dyDescent="0.25">
      <c r="A1014" s="34"/>
      <c r="B1014" s="17"/>
      <c r="C1014" s="35"/>
      <c r="D1014" s="35"/>
      <c r="E1014" s="35"/>
      <c r="F1014" s="35"/>
      <c r="G1014" s="35"/>
      <c r="H1014" s="35">
        <f t="shared" si="235"/>
        <v>0</v>
      </c>
      <c r="I1014" s="35"/>
      <c r="J1014" s="35">
        <f t="shared" si="234"/>
        <v>0</v>
      </c>
      <c r="K1014" s="36">
        <v>1010</v>
      </c>
    </row>
    <row r="1015" spans="1:11" hidden="1" outlineLevel="1" x14ac:dyDescent="0.25">
      <c r="A1015" s="34"/>
      <c r="B1015" s="17" t="s">
        <v>86</v>
      </c>
      <c r="C1015" s="35"/>
      <c r="D1015" s="35"/>
      <c r="E1015" s="35"/>
      <c r="F1015" s="35"/>
      <c r="G1015" s="35"/>
      <c r="H1015" s="35">
        <f t="shared" si="235"/>
        <v>0</v>
      </c>
      <c r="I1015" s="35"/>
      <c r="J1015" s="35">
        <f t="shared" si="234"/>
        <v>0</v>
      </c>
      <c r="K1015" s="36">
        <v>1011</v>
      </c>
    </row>
    <row r="1016" spans="1:11" hidden="1" outlineLevel="1" x14ac:dyDescent="0.25">
      <c r="A1016" s="34"/>
      <c r="B1016" s="17"/>
      <c r="C1016" s="35"/>
      <c r="D1016" s="35"/>
      <c r="E1016" s="35"/>
      <c r="F1016" s="35"/>
      <c r="G1016" s="35"/>
      <c r="H1016" s="35">
        <f t="shared" si="235"/>
        <v>0</v>
      </c>
      <c r="I1016" s="35"/>
      <c r="J1016" s="35">
        <f t="shared" si="234"/>
        <v>0</v>
      </c>
      <c r="K1016" s="36">
        <v>1012</v>
      </c>
    </row>
    <row r="1017" spans="1:11" ht="30" collapsed="1" x14ac:dyDescent="0.25">
      <c r="A1017" s="40" t="s">
        <v>64</v>
      </c>
      <c r="B1017" s="10" t="s">
        <v>173</v>
      </c>
      <c r="C1017" s="26">
        <f t="shared" ref="C1017:G1017" si="246">+C1018+C1027+C1031+C1037</f>
        <v>0</v>
      </c>
      <c r="D1017" s="26">
        <f t="shared" si="246"/>
        <v>0</v>
      </c>
      <c r="E1017" s="26">
        <f t="shared" si="246"/>
        <v>0</v>
      </c>
      <c r="F1017" s="26">
        <f t="shared" si="246"/>
        <v>0</v>
      </c>
      <c r="G1017" s="26">
        <f t="shared" si="246"/>
        <v>0</v>
      </c>
      <c r="H1017" s="26">
        <f t="shared" si="235"/>
        <v>0</v>
      </c>
      <c r="I1017" s="26">
        <v>0</v>
      </c>
      <c r="J1017" s="26">
        <f t="shared" si="234"/>
        <v>0</v>
      </c>
      <c r="K1017" s="27">
        <v>1013</v>
      </c>
    </row>
    <row r="1018" spans="1:11" hidden="1" outlineLevel="1" x14ac:dyDescent="0.25">
      <c r="A1018" s="28"/>
      <c r="B1018" s="15" t="s">
        <v>65</v>
      </c>
      <c r="C1018" s="29">
        <f t="shared" ref="C1018:G1018" si="247">+SUM(C1019:C1026)</f>
        <v>0</v>
      </c>
      <c r="D1018" s="29">
        <f t="shared" si="247"/>
        <v>0</v>
      </c>
      <c r="E1018" s="29">
        <f t="shared" si="247"/>
        <v>0</v>
      </c>
      <c r="F1018" s="29">
        <f t="shared" si="247"/>
        <v>0</v>
      </c>
      <c r="G1018" s="29">
        <f t="shared" si="247"/>
        <v>0</v>
      </c>
      <c r="H1018" s="29">
        <f t="shared" si="235"/>
        <v>0</v>
      </c>
      <c r="I1018" s="29">
        <v>0</v>
      </c>
      <c r="J1018" s="29">
        <f t="shared" si="234"/>
        <v>0</v>
      </c>
      <c r="K1018" s="30">
        <v>1014</v>
      </c>
    </row>
    <row r="1019" spans="1:11" hidden="1" outlineLevel="1" x14ac:dyDescent="0.25">
      <c r="A1019" s="31"/>
      <c r="B1019" s="16" t="s">
        <v>66</v>
      </c>
      <c r="C1019" s="32"/>
      <c r="D1019" s="32"/>
      <c r="E1019" s="32"/>
      <c r="F1019" s="32"/>
      <c r="G1019" s="32"/>
      <c r="H1019" s="32">
        <f t="shared" si="235"/>
        <v>0</v>
      </c>
      <c r="I1019" s="32"/>
      <c r="J1019" s="32">
        <f t="shared" si="234"/>
        <v>0</v>
      </c>
      <c r="K1019" s="33">
        <v>1015</v>
      </c>
    </row>
    <row r="1020" spans="1:11" hidden="1" outlineLevel="1" x14ac:dyDescent="0.25">
      <c r="A1020" s="31"/>
      <c r="B1020" s="17" t="s">
        <v>67</v>
      </c>
      <c r="C1020" s="32"/>
      <c r="D1020" s="32"/>
      <c r="E1020" s="32"/>
      <c r="F1020" s="32"/>
      <c r="G1020" s="32"/>
      <c r="H1020" s="32">
        <f t="shared" si="235"/>
        <v>0</v>
      </c>
      <c r="I1020" s="32"/>
      <c r="J1020" s="32">
        <f t="shared" si="234"/>
        <v>0</v>
      </c>
      <c r="K1020" s="33">
        <v>1016</v>
      </c>
    </row>
    <row r="1021" spans="1:11" ht="30" hidden="1" outlineLevel="1" x14ac:dyDescent="0.25">
      <c r="A1021" s="31"/>
      <c r="B1021" s="17" t="s">
        <v>68</v>
      </c>
      <c r="C1021" s="32"/>
      <c r="D1021" s="32"/>
      <c r="E1021" s="32"/>
      <c r="F1021" s="32"/>
      <c r="G1021" s="32"/>
      <c r="H1021" s="32">
        <f t="shared" si="235"/>
        <v>0</v>
      </c>
      <c r="I1021" s="32"/>
      <c r="J1021" s="32">
        <f t="shared" si="234"/>
        <v>0</v>
      </c>
      <c r="K1021" s="33">
        <v>1017</v>
      </c>
    </row>
    <row r="1022" spans="1:11" hidden="1" outlineLevel="1" x14ac:dyDescent="0.25">
      <c r="A1022" s="31"/>
      <c r="B1022" s="16" t="s">
        <v>69</v>
      </c>
      <c r="C1022" s="32"/>
      <c r="D1022" s="32"/>
      <c r="E1022" s="32"/>
      <c r="F1022" s="32"/>
      <c r="G1022" s="32"/>
      <c r="H1022" s="32">
        <f t="shared" si="235"/>
        <v>0</v>
      </c>
      <c r="I1022" s="32"/>
      <c r="J1022" s="32">
        <f t="shared" si="234"/>
        <v>0</v>
      </c>
      <c r="K1022" s="33">
        <v>1018</v>
      </c>
    </row>
    <row r="1023" spans="1:11" hidden="1" outlineLevel="1" x14ac:dyDescent="0.25">
      <c r="A1023" s="31"/>
      <c r="B1023" s="17" t="s">
        <v>70</v>
      </c>
      <c r="C1023" s="32"/>
      <c r="D1023" s="32"/>
      <c r="E1023" s="32"/>
      <c r="F1023" s="32"/>
      <c r="G1023" s="32"/>
      <c r="H1023" s="32">
        <f t="shared" si="235"/>
        <v>0</v>
      </c>
      <c r="I1023" s="32"/>
      <c r="J1023" s="32">
        <f t="shared" si="234"/>
        <v>0</v>
      </c>
      <c r="K1023" s="33">
        <v>1019</v>
      </c>
    </row>
    <row r="1024" spans="1:11" ht="30" hidden="1" outlineLevel="1" x14ac:dyDescent="0.25">
      <c r="A1024" s="31"/>
      <c r="B1024" s="17" t="s">
        <v>71</v>
      </c>
      <c r="C1024" s="32"/>
      <c r="D1024" s="32"/>
      <c r="E1024" s="32"/>
      <c r="F1024" s="32"/>
      <c r="G1024" s="32"/>
      <c r="H1024" s="32">
        <f t="shared" si="235"/>
        <v>0</v>
      </c>
      <c r="I1024" s="32"/>
      <c r="J1024" s="32">
        <f t="shared" si="234"/>
        <v>0</v>
      </c>
      <c r="K1024" s="33">
        <v>1020</v>
      </c>
    </row>
    <row r="1025" spans="1:11" hidden="1" outlineLevel="1" x14ac:dyDescent="0.25">
      <c r="A1025" s="31"/>
      <c r="B1025" s="16" t="s">
        <v>72</v>
      </c>
      <c r="C1025" s="32"/>
      <c r="D1025" s="32"/>
      <c r="E1025" s="32"/>
      <c r="F1025" s="32"/>
      <c r="G1025" s="32"/>
      <c r="H1025" s="32">
        <f t="shared" si="235"/>
        <v>0</v>
      </c>
      <c r="I1025" s="32"/>
      <c r="J1025" s="32">
        <f t="shared" si="234"/>
        <v>0</v>
      </c>
      <c r="K1025" s="33">
        <v>1021</v>
      </c>
    </row>
    <row r="1026" spans="1:11" ht="30" hidden="1" outlineLevel="1" x14ac:dyDescent="0.25">
      <c r="A1026" s="31"/>
      <c r="B1026" s="17" t="s">
        <v>73</v>
      </c>
      <c r="C1026" s="32"/>
      <c r="D1026" s="32"/>
      <c r="E1026" s="32"/>
      <c r="F1026" s="32"/>
      <c r="G1026" s="32"/>
      <c r="H1026" s="32">
        <f t="shared" si="235"/>
        <v>0</v>
      </c>
      <c r="I1026" s="32"/>
      <c r="J1026" s="32">
        <f t="shared" si="234"/>
        <v>0</v>
      </c>
      <c r="K1026" s="33">
        <v>1022</v>
      </c>
    </row>
    <row r="1027" spans="1:11" hidden="1" outlineLevel="1" x14ac:dyDescent="0.25">
      <c r="A1027" s="28"/>
      <c r="B1027" s="15" t="s">
        <v>74</v>
      </c>
      <c r="C1027" s="29">
        <f t="shared" ref="C1027:G1027" si="248">+SUM(C1028:C1030)</f>
        <v>0</v>
      </c>
      <c r="D1027" s="29">
        <f t="shared" si="248"/>
        <v>0</v>
      </c>
      <c r="E1027" s="29">
        <f t="shared" si="248"/>
        <v>0</v>
      </c>
      <c r="F1027" s="29">
        <f t="shared" si="248"/>
        <v>0</v>
      </c>
      <c r="G1027" s="29">
        <f t="shared" si="248"/>
        <v>0</v>
      </c>
      <c r="H1027" s="29">
        <f t="shared" si="235"/>
        <v>0</v>
      </c>
      <c r="I1027" s="29"/>
      <c r="J1027" s="29">
        <f t="shared" si="234"/>
        <v>0</v>
      </c>
      <c r="K1027" s="30">
        <v>1023</v>
      </c>
    </row>
    <row r="1028" spans="1:11" ht="30" hidden="1" outlineLevel="1" x14ac:dyDescent="0.25">
      <c r="A1028" s="34"/>
      <c r="B1028" s="17" t="s">
        <v>75</v>
      </c>
      <c r="C1028" s="35"/>
      <c r="D1028" s="35"/>
      <c r="E1028" s="35"/>
      <c r="F1028" s="35"/>
      <c r="G1028" s="35"/>
      <c r="H1028" s="35">
        <f t="shared" si="235"/>
        <v>0</v>
      </c>
      <c r="I1028" s="35"/>
      <c r="J1028" s="35">
        <f t="shared" si="234"/>
        <v>0</v>
      </c>
      <c r="K1028" s="36">
        <v>1024</v>
      </c>
    </row>
    <row r="1029" spans="1:11" ht="30" hidden="1" outlineLevel="1" x14ac:dyDescent="0.25">
      <c r="A1029" s="34"/>
      <c r="B1029" s="17" t="s">
        <v>76</v>
      </c>
      <c r="C1029" s="35"/>
      <c r="D1029" s="35"/>
      <c r="E1029" s="35"/>
      <c r="F1029" s="35"/>
      <c r="G1029" s="35"/>
      <c r="H1029" s="35">
        <f t="shared" si="235"/>
        <v>0</v>
      </c>
      <c r="I1029" s="35"/>
      <c r="J1029" s="35">
        <f t="shared" ref="J1029:J1092" si="249">+I1029-H1029</f>
        <v>0</v>
      </c>
      <c r="K1029" s="36">
        <v>1025</v>
      </c>
    </row>
    <row r="1030" spans="1:11" ht="30" hidden="1" outlineLevel="1" x14ac:dyDescent="0.25">
      <c r="A1030" s="34"/>
      <c r="B1030" s="17" t="s">
        <v>77</v>
      </c>
      <c r="C1030" s="35"/>
      <c r="D1030" s="35"/>
      <c r="E1030" s="35"/>
      <c r="F1030" s="35"/>
      <c r="G1030" s="35"/>
      <c r="H1030" s="35">
        <f t="shared" ref="H1030:H1093" si="250">+SUM(C1030:G1030)</f>
        <v>0</v>
      </c>
      <c r="I1030" s="35"/>
      <c r="J1030" s="35">
        <f t="shared" si="249"/>
        <v>0</v>
      </c>
      <c r="K1030" s="36">
        <v>1026</v>
      </c>
    </row>
    <row r="1031" spans="1:11" hidden="1" outlineLevel="1" x14ac:dyDescent="0.25">
      <c r="A1031" s="28"/>
      <c r="B1031" s="15" t="s">
        <v>78</v>
      </c>
      <c r="C1031" s="29">
        <f t="shared" ref="C1031:G1031" si="251">+SUM(C1032:C1036)</f>
        <v>0</v>
      </c>
      <c r="D1031" s="29">
        <f t="shared" si="251"/>
        <v>0</v>
      </c>
      <c r="E1031" s="29">
        <f t="shared" si="251"/>
        <v>0</v>
      </c>
      <c r="F1031" s="29">
        <f t="shared" si="251"/>
        <v>0</v>
      </c>
      <c r="G1031" s="29">
        <f t="shared" si="251"/>
        <v>0</v>
      </c>
      <c r="H1031" s="29">
        <f t="shared" si="250"/>
        <v>0</v>
      </c>
      <c r="I1031" s="29"/>
      <c r="J1031" s="29">
        <f t="shared" si="249"/>
        <v>0</v>
      </c>
      <c r="K1031" s="30">
        <v>1027</v>
      </c>
    </row>
    <row r="1032" spans="1:11" hidden="1" outlineLevel="1" x14ac:dyDescent="0.25">
      <c r="A1032" s="34"/>
      <c r="B1032" s="18" t="s">
        <v>79</v>
      </c>
      <c r="C1032" s="35"/>
      <c r="D1032" s="35"/>
      <c r="E1032" s="35"/>
      <c r="F1032" s="35"/>
      <c r="G1032" s="35"/>
      <c r="H1032" s="35">
        <f t="shared" si="250"/>
        <v>0</v>
      </c>
      <c r="I1032" s="35"/>
      <c r="J1032" s="35">
        <f t="shared" si="249"/>
        <v>0</v>
      </c>
      <c r="K1032" s="36">
        <v>1028</v>
      </c>
    </row>
    <row r="1033" spans="1:11" ht="30" hidden="1" outlineLevel="1" x14ac:dyDescent="0.25">
      <c r="A1033" s="34"/>
      <c r="B1033" s="17" t="s">
        <v>80</v>
      </c>
      <c r="C1033" s="35"/>
      <c r="D1033" s="35"/>
      <c r="E1033" s="35"/>
      <c r="F1033" s="35"/>
      <c r="G1033" s="35"/>
      <c r="H1033" s="35">
        <f t="shared" si="250"/>
        <v>0</v>
      </c>
      <c r="I1033" s="35"/>
      <c r="J1033" s="35">
        <f t="shared" si="249"/>
        <v>0</v>
      </c>
      <c r="K1033" s="36">
        <v>1029</v>
      </c>
    </row>
    <row r="1034" spans="1:11" hidden="1" outlineLevel="1" collapsed="1" x14ac:dyDescent="0.25">
      <c r="A1034" s="34"/>
      <c r="B1034" s="17" t="s">
        <v>81</v>
      </c>
      <c r="C1034" s="35"/>
      <c r="D1034" s="35"/>
      <c r="E1034" s="35"/>
      <c r="F1034" s="35"/>
      <c r="G1034" s="35"/>
      <c r="H1034" s="35">
        <f t="shared" si="250"/>
        <v>0</v>
      </c>
      <c r="I1034" s="35"/>
      <c r="J1034" s="35">
        <f t="shared" si="249"/>
        <v>0</v>
      </c>
      <c r="K1034" s="36">
        <v>1030</v>
      </c>
    </row>
    <row r="1035" spans="1:11" hidden="1" outlineLevel="1" x14ac:dyDescent="0.25">
      <c r="A1035" s="34"/>
      <c r="B1035" s="18" t="s">
        <v>82</v>
      </c>
      <c r="C1035" s="35"/>
      <c r="D1035" s="35"/>
      <c r="E1035" s="35"/>
      <c r="F1035" s="35"/>
      <c r="G1035" s="35"/>
      <c r="H1035" s="35">
        <f t="shared" si="250"/>
        <v>0</v>
      </c>
      <c r="I1035" s="35"/>
      <c r="J1035" s="35">
        <f t="shared" si="249"/>
        <v>0</v>
      </c>
      <c r="K1035" s="36">
        <v>1031</v>
      </c>
    </row>
    <row r="1036" spans="1:11" ht="30" hidden="1" outlineLevel="1" x14ac:dyDescent="0.25">
      <c r="A1036" s="34"/>
      <c r="B1036" s="17" t="s">
        <v>83</v>
      </c>
      <c r="C1036" s="35"/>
      <c r="D1036" s="35"/>
      <c r="E1036" s="35"/>
      <c r="F1036" s="35"/>
      <c r="G1036" s="35"/>
      <c r="H1036" s="35">
        <f t="shared" si="250"/>
        <v>0</v>
      </c>
      <c r="I1036" s="35"/>
      <c r="J1036" s="35">
        <f t="shared" si="249"/>
        <v>0</v>
      </c>
      <c r="K1036" s="36">
        <v>1032</v>
      </c>
    </row>
    <row r="1037" spans="1:11" hidden="1" outlineLevel="1" x14ac:dyDescent="0.25">
      <c r="A1037" s="28"/>
      <c r="B1037" s="15" t="s">
        <v>84</v>
      </c>
      <c r="C1037" s="29">
        <f>+SUM(C1038:C1042)</f>
        <v>0</v>
      </c>
      <c r="D1037" s="29">
        <f t="shared" ref="D1037:G1037" si="252">+SUM(D1038:D1042)</f>
        <v>0</v>
      </c>
      <c r="E1037" s="29">
        <f t="shared" si="252"/>
        <v>0</v>
      </c>
      <c r="F1037" s="29">
        <f t="shared" si="252"/>
        <v>0</v>
      </c>
      <c r="G1037" s="29">
        <f t="shared" si="252"/>
        <v>0</v>
      </c>
      <c r="H1037" s="29">
        <f t="shared" si="250"/>
        <v>0</v>
      </c>
      <c r="I1037" s="29"/>
      <c r="J1037" s="29">
        <f t="shared" si="249"/>
        <v>0</v>
      </c>
      <c r="K1037" s="30">
        <v>1033</v>
      </c>
    </row>
    <row r="1038" spans="1:11" hidden="1" outlineLevel="1" x14ac:dyDescent="0.25">
      <c r="A1038" s="34"/>
      <c r="B1038" s="17"/>
      <c r="C1038" s="35"/>
      <c r="D1038" s="35"/>
      <c r="E1038" s="35"/>
      <c r="F1038" s="35"/>
      <c r="G1038" s="35"/>
      <c r="H1038" s="35">
        <f t="shared" si="250"/>
        <v>0</v>
      </c>
      <c r="I1038" s="35"/>
      <c r="J1038" s="35">
        <f t="shared" si="249"/>
        <v>0</v>
      </c>
      <c r="K1038" s="36">
        <v>1034</v>
      </c>
    </row>
    <row r="1039" spans="1:11" hidden="1" outlineLevel="1" x14ac:dyDescent="0.25">
      <c r="A1039" s="34"/>
      <c r="B1039" s="17"/>
      <c r="C1039" s="35"/>
      <c r="D1039" s="35"/>
      <c r="E1039" s="35"/>
      <c r="F1039" s="35"/>
      <c r="G1039" s="35"/>
      <c r="H1039" s="35">
        <f t="shared" si="250"/>
        <v>0</v>
      </c>
      <c r="I1039" s="35"/>
      <c r="J1039" s="35">
        <f t="shared" si="249"/>
        <v>0</v>
      </c>
      <c r="K1039" s="36">
        <v>1035</v>
      </c>
    </row>
    <row r="1040" spans="1:11" hidden="1" outlineLevel="1" collapsed="1" x14ac:dyDescent="0.25">
      <c r="A1040" s="34"/>
      <c r="B1040" s="17"/>
      <c r="C1040" s="35"/>
      <c r="D1040" s="35"/>
      <c r="E1040" s="35"/>
      <c r="F1040" s="35"/>
      <c r="G1040" s="35"/>
      <c r="H1040" s="35">
        <f t="shared" si="250"/>
        <v>0</v>
      </c>
      <c r="I1040" s="35"/>
      <c r="J1040" s="35">
        <f t="shared" si="249"/>
        <v>0</v>
      </c>
      <c r="K1040" s="36">
        <v>1036</v>
      </c>
    </row>
    <row r="1041" spans="1:11" hidden="1" outlineLevel="1" x14ac:dyDescent="0.25">
      <c r="A1041" s="34"/>
      <c r="B1041" s="17" t="s">
        <v>86</v>
      </c>
      <c r="C1041" s="35"/>
      <c r="D1041" s="35"/>
      <c r="E1041" s="35"/>
      <c r="F1041" s="35"/>
      <c r="G1041" s="35"/>
      <c r="H1041" s="35">
        <f t="shared" si="250"/>
        <v>0</v>
      </c>
      <c r="I1041" s="35"/>
      <c r="J1041" s="35">
        <f t="shared" si="249"/>
        <v>0</v>
      </c>
      <c r="K1041" s="36">
        <v>1037</v>
      </c>
    </row>
    <row r="1042" spans="1:11" hidden="1" outlineLevel="1" x14ac:dyDescent="0.25">
      <c r="A1042" s="34"/>
      <c r="B1042" s="17"/>
      <c r="C1042" s="35"/>
      <c r="D1042" s="35"/>
      <c r="E1042" s="35"/>
      <c r="F1042" s="35"/>
      <c r="G1042" s="35"/>
      <c r="H1042" s="35">
        <f t="shared" si="250"/>
        <v>0</v>
      </c>
      <c r="I1042" s="35"/>
      <c r="J1042" s="35">
        <f t="shared" si="249"/>
        <v>0</v>
      </c>
      <c r="K1042" s="36">
        <v>1038</v>
      </c>
    </row>
    <row r="1043" spans="1:11" ht="30" collapsed="1" x14ac:dyDescent="0.25">
      <c r="A1043" s="39" t="s">
        <v>174</v>
      </c>
      <c r="B1043" s="14" t="s">
        <v>175</v>
      </c>
      <c r="C1043" s="24">
        <f>+C1044+C1070+C1096+C1122</f>
        <v>0</v>
      </c>
      <c r="D1043" s="24">
        <f t="shared" ref="D1043:G1043" si="253">+D1044+D1070+D1096+D1122</f>
        <v>0</v>
      </c>
      <c r="E1043" s="24">
        <f t="shared" si="253"/>
        <v>0</v>
      </c>
      <c r="F1043" s="24">
        <f t="shared" si="253"/>
        <v>0</v>
      </c>
      <c r="G1043" s="24">
        <f t="shared" si="253"/>
        <v>0</v>
      </c>
      <c r="H1043" s="24">
        <f t="shared" si="250"/>
        <v>0</v>
      </c>
      <c r="I1043" s="24"/>
      <c r="J1043" s="24">
        <f t="shared" si="249"/>
        <v>0</v>
      </c>
      <c r="K1043" s="25">
        <v>1039</v>
      </c>
    </row>
    <row r="1044" spans="1:11" ht="30" x14ac:dyDescent="0.25">
      <c r="A1044" s="40" t="s">
        <v>176</v>
      </c>
      <c r="B1044" s="10" t="s">
        <v>177</v>
      </c>
      <c r="C1044" s="26">
        <f t="shared" ref="C1044:G1044" si="254">+C1045+C1054+C1058+C1064</f>
        <v>0</v>
      </c>
      <c r="D1044" s="26">
        <f t="shared" si="254"/>
        <v>0</v>
      </c>
      <c r="E1044" s="26">
        <f t="shared" si="254"/>
        <v>0</v>
      </c>
      <c r="F1044" s="26">
        <f t="shared" si="254"/>
        <v>0</v>
      </c>
      <c r="G1044" s="26">
        <f t="shared" si="254"/>
        <v>0</v>
      </c>
      <c r="H1044" s="26">
        <f t="shared" si="250"/>
        <v>0</v>
      </c>
      <c r="I1044" s="26">
        <v>0</v>
      </c>
      <c r="J1044" s="26">
        <f t="shared" si="249"/>
        <v>0</v>
      </c>
      <c r="K1044" s="27">
        <v>1040</v>
      </c>
    </row>
    <row r="1045" spans="1:11" hidden="1" outlineLevel="1" x14ac:dyDescent="0.25">
      <c r="A1045" s="28"/>
      <c r="B1045" s="15" t="s">
        <v>65</v>
      </c>
      <c r="C1045" s="29">
        <f t="shared" ref="C1045:G1045" si="255">+SUM(C1046:C1053)</f>
        <v>0</v>
      </c>
      <c r="D1045" s="29">
        <f t="shared" si="255"/>
        <v>0</v>
      </c>
      <c r="E1045" s="29">
        <f t="shared" si="255"/>
        <v>0</v>
      </c>
      <c r="F1045" s="29">
        <f t="shared" si="255"/>
        <v>0</v>
      </c>
      <c r="G1045" s="29">
        <f t="shared" si="255"/>
        <v>0</v>
      </c>
      <c r="H1045" s="29">
        <f t="shared" si="250"/>
        <v>0</v>
      </c>
      <c r="I1045" s="29">
        <v>0</v>
      </c>
      <c r="J1045" s="29">
        <f t="shared" si="249"/>
        <v>0</v>
      </c>
      <c r="K1045" s="30">
        <v>1041</v>
      </c>
    </row>
    <row r="1046" spans="1:11" hidden="1" outlineLevel="1" x14ac:dyDescent="0.25">
      <c r="A1046" s="31"/>
      <c r="B1046" s="16" t="s">
        <v>66</v>
      </c>
      <c r="C1046" s="32"/>
      <c r="D1046" s="32"/>
      <c r="E1046" s="32"/>
      <c r="F1046" s="32"/>
      <c r="G1046" s="32"/>
      <c r="H1046" s="32">
        <f t="shared" si="250"/>
        <v>0</v>
      </c>
      <c r="I1046" s="32"/>
      <c r="J1046" s="32">
        <f t="shared" si="249"/>
        <v>0</v>
      </c>
      <c r="K1046" s="33">
        <v>1042</v>
      </c>
    </row>
    <row r="1047" spans="1:11" hidden="1" outlineLevel="1" x14ac:dyDescent="0.25">
      <c r="A1047" s="31"/>
      <c r="B1047" s="17" t="s">
        <v>67</v>
      </c>
      <c r="C1047" s="32"/>
      <c r="D1047" s="32"/>
      <c r="E1047" s="32"/>
      <c r="F1047" s="32"/>
      <c r="G1047" s="32"/>
      <c r="H1047" s="32">
        <f t="shared" si="250"/>
        <v>0</v>
      </c>
      <c r="I1047" s="32"/>
      <c r="J1047" s="32">
        <f t="shared" si="249"/>
        <v>0</v>
      </c>
      <c r="K1047" s="33">
        <v>1043</v>
      </c>
    </row>
    <row r="1048" spans="1:11" ht="30" hidden="1" outlineLevel="1" x14ac:dyDescent="0.25">
      <c r="A1048" s="31"/>
      <c r="B1048" s="17" t="s">
        <v>68</v>
      </c>
      <c r="C1048" s="32"/>
      <c r="D1048" s="32"/>
      <c r="E1048" s="32"/>
      <c r="F1048" s="32"/>
      <c r="G1048" s="32"/>
      <c r="H1048" s="32">
        <f t="shared" si="250"/>
        <v>0</v>
      </c>
      <c r="I1048" s="32"/>
      <c r="J1048" s="32">
        <f t="shared" si="249"/>
        <v>0</v>
      </c>
      <c r="K1048" s="33">
        <v>1044</v>
      </c>
    </row>
    <row r="1049" spans="1:11" hidden="1" outlineLevel="1" x14ac:dyDescent="0.25">
      <c r="A1049" s="31"/>
      <c r="B1049" s="16" t="s">
        <v>69</v>
      </c>
      <c r="C1049" s="32"/>
      <c r="D1049" s="32"/>
      <c r="E1049" s="32"/>
      <c r="F1049" s="32"/>
      <c r="G1049" s="32"/>
      <c r="H1049" s="32">
        <f t="shared" si="250"/>
        <v>0</v>
      </c>
      <c r="I1049" s="32"/>
      <c r="J1049" s="32">
        <f t="shared" si="249"/>
        <v>0</v>
      </c>
      <c r="K1049" s="33">
        <v>1045</v>
      </c>
    </row>
    <row r="1050" spans="1:11" hidden="1" outlineLevel="1" x14ac:dyDescent="0.25">
      <c r="A1050" s="31"/>
      <c r="B1050" s="17" t="s">
        <v>70</v>
      </c>
      <c r="C1050" s="32"/>
      <c r="D1050" s="32"/>
      <c r="E1050" s="32"/>
      <c r="F1050" s="32"/>
      <c r="G1050" s="32"/>
      <c r="H1050" s="32">
        <f t="shared" si="250"/>
        <v>0</v>
      </c>
      <c r="I1050" s="32"/>
      <c r="J1050" s="32">
        <f t="shared" si="249"/>
        <v>0</v>
      </c>
      <c r="K1050" s="33">
        <v>1046</v>
      </c>
    </row>
    <row r="1051" spans="1:11" ht="30" hidden="1" outlineLevel="1" x14ac:dyDescent="0.25">
      <c r="A1051" s="31"/>
      <c r="B1051" s="17" t="s">
        <v>71</v>
      </c>
      <c r="C1051" s="32"/>
      <c r="D1051" s="32"/>
      <c r="E1051" s="32"/>
      <c r="F1051" s="32"/>
      <c r="G1051" s="32"/>
      <c r="H1051" s="32">
        <f t="shared" si="250"/>
        <v>0</v>
      </c>
      <c r="I1051" s="32"/>
      <c r="J1051" s="32">
        <f t="shared" si="249"/>
        <v>0</v>
      </c>
      <c r="K1051" s="33">
        <v>1047</v>
      </c>
    </row>
    <row r="1052" spans="1:11" hidden="1" outlineLevel="1" x14ac:dyDescent="0.25">
      <c r="A1052" s="31"/>
      <c r="B1052" s="16" t="s">
        <v>72</v>
      </c>
      <c r="C1052" s="32"/>
      <c r="D1052" s="32"/>
      <c r="E1052" s="32"/>
      <c r="F1052" s="32"/>
      <c r="G1052" s="32"/>
      <c r="H1052" s="32">
        <f t="shared" si="250"/>
        <v>0</v>
      </c>
      <c r="I1052" s="32"/>
      <c r="J1052" s="32">
        <f t="shared" si="249"/>
        <v>0</v>
      </c>
      <c r="K1052" s="33">
        <v>1048</v>
      </c>
    </row>
    <row r="1053" spans="1:11" ht="30" hidden="1" outlineLevel="1" x14ac:dyDescent="0.25">
      <c r="A1053" s="31"/>
      <c r="B1053" s="17" t="s">
        <v>73</v>
      </c>
      <c r="C1053" s="32"/>
      <c r="D1053" s="32"/>
      <c r="E1053" s="32"/>
      <c r="F1053" s="32"/>
      <c r="G1053" s="32"/>
      <c r="H1053" s="32">
        <f t="shared" si="250"/>
        <v>0</v>
      </c>
      <c r="I1053" s="32"/>
      <c r="J1053" s="32">
        <f t="shared" si="249"/>
        <v>0</v>
      </c>
      <c r="K1053" s="33">
        <v>1049</v>
      </c>
    </row>
    <row r="1054" spans="1:11" hidden="1" outlineLevel="1" x14ac:dyDescent="0.25">
      <c r="A1054" s="28"/>
      <c r="B1054" s="15" t="s">
        <v>74</v>
      </c>
      <c r="C1054" s="29">
        <f t="shared" ref="C1054:G1054" si="256">+SUM(C1055:C1057)</f>
        <v>0</v>
      </c>
      <c r="D1054" s="29">
        <f t="shared" si="256"/>
        <v>0</v>
      </c>
      <c r="E1054" s="29">
        <f t="shared" si="256"/>
        <v>0</v>
      </c>
      <c r="F1054" s="29">
        <f t="shared" si="256"/>
        <v>0</v>
      </c>
      <c r="G1054" s="29">
        <f t="shared" si="256"/>
        <v>0</v>
      </c>
      <c r="H1054" s="29">
        <f t="shared" si="250"/>
        <v>0</v>
      </c>
      <c r="I1054" s="29"/>
      <c r="J1054" s="29">
        <f t="shared" si="249"/>
        <v>0</v>
      </c>
      <c r="K1054" s="30">
        <v>1050</v>
      </c>
    </row>
    <row r="1055" spans="1:11" ht="30" hidden="1" outlineLevel="1" x14ac:dyDescent="0.25">
      <c r="A1055" s="34"/>
      <c r="B1055" s="17" t="s">
        <v>75</v>
      </c>
      <c r="C1055" s="35"/>
      <c r="D1055" s="35"/>
      <c r="E1055" s="35"/>
      <c r="F1055" s="35"/>
      <c r="G1055" s="35"/>
      <c r="H1055" s="35">
        <f t="shared" si="250"/>
        <v>0</v>
      </c>
      <c r="I1055" s="35"/>
      <c r="J1055" s="35">
        <f t="shared" si="249"/>
        <v>0</v>
      </c>
      <c r="K1055" s="36">
        <v>1051</v>
      </c>
    </row>
    <row r="1056" spans="1:11" ht="30" hidden="1" outlineLevel="1" x14ac:dyDescent="0.25">
      <c r="A1056" s="34"/>
      <c r="B1056" s="17" t="s">
        <v>76</v>
      </c>
      <c r="C1056" s="35"/>
      <c r="D1056" s="35"/>
      <c r="E1056" s="35"/>
      <c r="F1056" s="35"/>
      <c r="G1056" s="35"/>
      <c r="H1056" s="35">
        <f t="shared" si="250"/>
        <v>0</v>
      </c>
      <c r="I1056" s="35"/>
      <c r="J1056" s="35">
        <f t="shared" si="249"/>
        <v>0</v>
      </c>
      <c r="K1056" s="36">
        <v>1052</v>
      </c>
    </row>
    <row r="1057" spans="1:11" ht="30" hidden="1" outlineLevel="1" x14ac:dyDescent="0.25">
      <c r="A1057" s="34"/>
      <c r="B1057" s="17" t="s">
        <v>77</v>
      </c>
      <c r="C1057" s="35"/>
      <c r="D1057" s="35"/>
      <c r="E1057" s="35"/>
      <c r="F1057" s="35"/>
      <c r="G1057" s="35"/>
      <c r="H1057" s="35">
        <f t="shared" si="250"/>
        <v>0</v>
      </c>
      <c r="I1057" s="35"/>
      <c r="J1057" s="35">
        <f t="shared" si="249"/>
        <v>0</v>
      </c>
      <c r="K1057" s="36">
        <v>1053</v>
      </c>
    </row>
    <row r="1058" spans="1:11" hidden="1" outlineLevel="1" x14ac:dyDescent="0.25">
      <c r="A1058" s="28"/>
      <c r="B1058" s="15" t="s">
        <v>78</v>
      </c>
      <c r="C1058" s="29">
        <f t="shared" ref="C1058:G1058" si="257">+SUM(C1059:C1063)</f>
        <v>0</v>
      </c>
      <c r="D1058" s="29">
        <f t="shared" si="257"/>
        <v>0</v>
      </c>
      <c r="E1058" s="29">
        <f t="shared" si="257"/>
        <v>0</v>
      </c>
      <c r="F1058" s="29">
        <f t="shared" si="257"/>
        <v>0</v>
      </c>
      <c r="G1058" s="29">
        <f t="shared" si="257"/>
        <v>0</v>
      </c>
      <c r="H1058" s="29">
        <f t="shared" si="250"/>
        <v>0</v>
      </c>
      <c r="I1058" s="29"/>
      <c r="J1058" s="29">
        <f t="shared" si="249"/>
        <v>0</v>
      </c>
      <c r="K1058" s="30">
        <v>1054</v>
      </c>
    </row>
    <row r="1059" spans="1:11" hidden="1" outlineLevel="1" x14ac:dyDescent="0.25">
      <c r="A1059" s="34"/>
      <c r="B1059" s="18" t="s">
        <v>79</v>
      </c>
      <c r="C1059" s="35"/>
      <c r="D1059" s="35"/>
      <c r="E1059" s="35"/>
      <c r="F1059" s="35"/>
      <c r="G1059" s="35"/>
      <c r="H1059" s="35">
        <f t="shared" si="250"/>
        <v>0</v>
      </c>
      <c r="I1059" s="35"/>
      <c r="J1059" s="35">
        <f t="shared" si="249"/>
        <v>0</v>
      </c>
      <c r="K1059" s="36">
        <v>1055</v>
      </c>
    </row>
    <row r="1060" spans="1:11" ht="30" hidden="1" outlineLevel="1" x14ac:dyDescent="0.25">
      <c r="A1060" s="34"/>
      <c r="B1060" s="17" t="s">
        <v>80</v>
      </c>
      <c r="C1060" s="35"/>
      <c r="D1060" s="35"/>
      <c r="E1060" s="35"/>
      <c r="F1060" s="35"/>
      <c r="G1060" s="35"/>
      <c r="H1060" s="35">
        <f t="shared" si="250"/>
        <v>0</v>
      </c>
      <c r="I1060" s="35"/>
      <c r="J1060" s="35">
        <f t="shared" si="249"/>
        <v>0</v>
      </c>
      <c r="K1060" s="36">
        <v>1056</v>
      </c>
    </row>
    <row r="1061" spans="1:11" hidden="1" outlineLevel="1" collapsed="1" x14ac:dyDescent="0.25">
      <c r="A1061" s="34"/>
      <c r="B1061" s="17" t="s">
        <v>81</v>
      </c>
      <c r="C1061" s="35"/>
      <c r="D1061" s="35"/>
      <c r="E1061" s="35"/>
      <c r="F1061" s="35"/>
      <c r="G1061" s="35"/>
      <c r="H1061" s="35">
        <f t="shared" si="250"/>
        <v>0</v>
      </c>
      <c r="I1061" s="35"/>
      <c r="J1061" s="35">
        <f t="shared" si="249"/>
        <v>0</v>
      </c>
      <c r="K1061" s="36">
        <v>1057</v>
      </c>
    </row>
    <row r="1062" spans="1:11" hidden="1" outlineLevel="1" x14ac:dyDescent="0.25">
      <c r="A1062" s="34"/>
      <c r="B1062" s="18" t="s">
        <v>82</v>
      </c>
      <c r="C1062" s="35"/>
      <c r="D1062" s="35"/>
      <c r="E1062" s="35"/>
      <c r="F1062" s="35"/>
      <c r="G1062" s="35"/>
      <c r="H1062" s="35">
        <f t="shared" si="250"/>
        <v>0</v>
      </c>
      <c r="I1062" s="35"/>
      <c r="J1062" s="35">
        <f t="shared" si="249"/>
        <v>0</v>
      </c>
      <c r="K1062" s="36">
        <v>1058</v>
      </c>
    </row>
    <row r="1063" spans="1:11" ht="30" hidden="1" outlineLevel="1" x14ac:dyDescent="0.25">
      <c r="A1063" s="34"/>
      <c r="B1063" s="17" t="s">
        <v>83</v>
      </c>
      <c r="C1063" s="35"/>
      <c r="D1063" s="35"/>
      <c r="E1063" s="35"/>
      <c r="F1063" s="35"/>
      <c r="G1063" s="35"/>
      <c r="H1063" s="35">
        <f t="shared" si="250"/>
        <v>0</v>
      </c>
      <c r="I1063" s="35"/>
      <c r="J1063" s="35">
        <f t="shared" si="249"/>
        <v>0</v>
      </c>
      <c r="K1063" s="36">
        <v>1059</v>
      </c>
    </row>
    <row r="1064" spans="1:11" hidden="1" outlineLevel="1" x14ac:dyDescent="0.25">
      <c r="A1064" s="28"/>
      <c r="B1064" s="15" t="s">
        <v>84</v>
      </c>
      <c r="C1064" s="29">
        <f>+SUM(C1065:C1069)</f>
        <v>0</v>
      </c>
      <c r="D1064" s="29">
        <f t="shared" ref="D1064:G1064" si="258">+SUM(D1065:D1069)</f>
        <v>0</v>
      </c>
      <c r="E1064" s="29">
        <f t="shared" si="258"/>
        <v>0</v>
      </c>
      <c r="F1064" s="29">
        <f t="shared" si="258"/>
        <v>0</v>
      </c>
      <c r="G1064" s="29">
        <f t="shared" si="258"/>
        <v>0</v>
      </c>
      <c r="H1064" s="29">
        <f t="shared" si="250"/>
        <v>0</v>
      </c>
      <c r="I1064" s="29"/>
      <c r="J1064" s="29">
        <f t="shared" si="249"/>
        <v>0</v>
      </c>
      <c r="K1064" s="30">
        <v>1060</v>
      </c>
    </row>
    <row r="1065" spans="1:11" hidden="1" outlineLevel="1" x14ac:dyDescent="0.25">
      <c r="A1065" s="34"/>
      <c r="B1065" s="17"/>
      <c r="C1065" s="35"/>
      <c r="D1065" s="35"/>
      <c r="E1065" s="35"/>
      <c r="F1065" s="35"/>
      <c r="G1065" s="35"/>
      <c r="H1065" s="35">
        <f t="shared" si="250"/>
        <v>0</v>
      </c>
      <c r="I1065" s="35"/>
      <c r="J1065" s="35">
        <f t="shared" si="249"/>
        <v>0</v>
      </c>
      <c r="K1065" s="36">
        <v>1061</v>
      </c>
    </row>
    <row r="1066" spans="1:11" hidden="1" outlineLevel="1" collapsed="1" x14ac:dyDescent="0.25">
      <c r="A1066" s="34"/>
      <c r="B1066" s="17"/>
      <c r="C1066" s="35"/>
      <c r="D1066" s="35"/>
      <c r="E1066" s="35"/>
      <c r="F1066" s="35"/>
      <c r="G1066" s="35"/>
      <c r="H1066" s="35">
        <f t="shared" si="250"/>
        <v>0</v>
      </c>
      <c r="I1066" s="35"/>
      <c r="J1066" s="35">
        <f t="shared" si="249"/>
        <v>0</v>
      </c>
      <c r="K1066" s="36">
        <v>1062</v>
      </c>
    </row>
    <row r="1067" spans="1:11" hidden="1" outlineLevel="1" x14ac:dyDescent="0.25">
      <c r="A1067" s="34"/>
      <c r="B1067" s="17"/>
      <c r="C1067" s="35"/>
      <c r="D1067" s="35"/>
      <c r="E1067" s="35"/>
      <c r="F1067" s="35"/>
      <c r="G1067" s="35"/>
      <c r="H1067" s="35">
        <f t="shared" si="250"/>
        <v>0</v>
      </c>
      <c r="I1067" s="35"/>
      <c r="J1067" s="35">
        <f t="shared" si="249"/>
        <v>0</v>
      </c>
      <c r="K1067" s="36">
        <v>1063</v>
      </c>
    </row>
    <row r="1068" spans="1:11" hidden="1" outlineLevel="1" x14ac:dyDescent="0.25">
      <c r="A1068" s="34"/>
      <c r="B1068" s="17" t="s">
        <v>86</v>
      </c>
      <c r="C1068" s="35"/>
      <c r="D1068" s="35"/>
      <c r="E1068" s="35"/>
      <c r="F1068" s="35"/>
      <c r="G1068" s="35"/>
      <c r="H1068" s="35">
        <f t="shared" si="250"/>
        <v>0</v>
      </c>
      <c r="I1068" s="35"/>
      <c r="J1068" s="35">
        <f t="shared" si="249"/>
        <v>0</v>
      </c>
      <c r="K1068" s="36">
        <v>1064</v>
      </c>
    </row>
    <row r="1069" spans="1:11" hidden="1" outlineLevel="1" x14ac:dyDescent="0.25">
      <c r="A1069" s="34"/>
      <c r="B1069" s="17"/>
      <c r="C1069" s="35"/>
      <c r="D1069" s="35"/>
      <c r="E1069" s="35"/>
      <c r="F1069" s="35"/>
      <c r="G1069" s="35"/>
      <c r="H1069" s="35">
        <f t="shared" si="250"/>
        <v>0</v>
      </c>
      <c r="I1069" s="35"/>
      <c r="J1069" s="35">
        <f t="shared" si="249"/>
        <v>0</v>
      </c>
      <c r="K1069" s="36">
        <v>1065</v>
      </c>
    </row>
    <row r="1070" spans="1:11" ht="30" collapsed="1" x14ac:dyDescent="0.25">
      <c r="A1070" s="40" t="s">
        <v>178</v>
      </c>
      <c r="B1070" s="10" t="s">
        <v>179</v>
      </c>
      <c r="C1070" s="26">
        <f t="shared" ref="C1070:G1070" si="259">+C1071+C1080+C1084+C1090</f>
        <v>0</v>
      </c>
      <c r="D1070" s="26">
        <f t="shared" si="259"/>
        <v>0</v>
      </c>
      <c r="E1070" s="26">
        <f t="shared" si="259"/>
        <v>0</v>
      </c>
      <c r="F1070" s="26">
        <f t="shared" si="259"/>
        <v>0</v>
      </c>
      <c r="G1070" s="26">
        <f t="shared" si="259"/>
        <v>0</v>
      </c>
      <c r="H1070" s="26">
        <f t="shared" si="250"/>
        <v>0</v>
      </c>
      <c r="I1070" s="26">
        <v>0</v>
      </c>
      <c r="J1070" s="26">
        <f t="shared" si="249"/>
        <v>0</v>
      </c>
      <c r="K1070" s="27">
        <v>1066</v>
      </c>
    </row>
    <row r="1071" spans="1:11" hidden="1" outlineLevel="1" x14ac:dyDescent="0.25">
      <c r="A1071" s="28"/>
      <c r="B1071" s="15" t="s">
        <v>65</v>
      </c>
      <c r="C1071" s="29">
        <f t="shared" ref="C1071:G1071" si="260">+SUM(C1072:C1079)</f>
        <v>0</v>
      </c>
      <c r="D1071" s="29">
        <f t="shared" si="260"/>
        <v>0</v>
      </c>
      <c r="E1071" s="29">
        <f t="shared" si="260"/>
        <v>0</v>
      </c>
      <c r="F1071" s="29">
        <f t="shared" si="260"/>
        <v>0</v>
      </c>
      <c r="G1071" s="29">
        <f t="shared" si="260"/>
        <v>0</v>
      </c>
      <c r="H1071" s="29">
        <f t="shared" si="250"/>
        <v>0</v>
      </c>
      <c r="I1071" s="29">
        <v>0</v>
      </c>
      <c r="J1071" s="29">
        <f t="shared" si="249"/>
        <v>0</v>
      </c>
      <c r="K1071" s="30">
        <v>1067</v>
      </c>
    </row>
    <row r="1072" spans="1:11" hidden="1" outlineLevel="1" x14ac:dyDescent="0.25">
      <c r="A1072" s="31"/>
      <c r="B1072" s="16" t="s">
        <v>66</v>
      </c>
      <c r="C1072" s="32"/>
      <c r="D1072" s="32"/>
      <c r="E1072" s="32"/>
      <c r="F1072" s="32"/>
      <c r="G1072" s="32"/>
      <c r="H1072" s="32">
        <f t="shared" si="250"/>
        <v>0</v>
      </c>
      <c r="I1072" s="32"/>
      <c r="J1072" s="32">
        <f t="shared" si="249"/>
        <v>0</v>
      </c>
      <c r="K1072" s="33">
        <v>1068</v>
      </c>
    </row>
    <row r="1073" spans="1:11" hidden="1" outlineLevel="1" x14ac:dyDescent="0.25">
      <c r="A1073" s="31"/>
      <c r="B1073" s="17" t="s">
        <v>67</v>
      </c>
      <c r="C1073" s="32"/>
      <c r="D1073" s="32"/>
      <c r="E1073" s="32"/>
      <c r="F1073" s="32"/>
      <c r="G1073" s="32"/>
      <c r="H1073" s="32">
        <f t="shared" si="250"/>
        <v>0</v>
      </c>
      <c r="I1073" s="32"/>
      <c r="J1073" s="32">
        <f t="shared" si="249"/>
        <v>0</v>
      </c>
      <c r="K1073" s="33">
        <v>1069</v>
      </c>
    </row>
    <row r="1074" spans="1:11" ht="30" hidden="1" outlineLevel="1" x14ac:dyDescent="0.25">
      <c r="A1074" s="31"/>
      <c r="B1074" s="17" t="s">
        <v>68</v>
      </c>
      <c r="C1074" s="32"/>
      <c r="D1074" s="32"/>
      <c r="E1074" s="32"/>
      <c r="F1074" s="32"/>
      <c r="G1074" s="32"/>
      <c r="H1074" s="32">
        <f t="shared" si="250"/>
        <v>0</v>
      </c>
      <c r="I1074" s="32"/>
      <c r="J1074" s="32">
        <f t="shared" si="249"/>
        <v>0</v>
      </c>
      <c r="K1074" s="33">
        <v>1070</v>
      </c>
    </row>
    <row r="1075" spans="1:11" hidden="1" outlineLevel="1" x14ac:dyDescent="0.25">
      <c r="A1075" s="31"/>
      <c r="B1075" s="16" t="s">
        <v>69</v>
      </c>
      <c r="C1075" s="32"/>
      <c r="D1075" s="32"/>
      <c r="E1075" s="32"/>
      <c r="F1075" s="32"/>
      <c r="G1075" s="32"/>
      <c r="H1075" s="32">
        <f t="shared" si="250"/>
        <v>0</v>
      </c>
      <c r="I1075" s="32"/>
      <c r="J1075" s="32">
        <f t="shared" si="249"/>
        <v>0</v>
      </c>
      <c r="K1075" s="33">
        <v>1071</v>
      </c>
    </row>
    <row r="1076" spans="1:11" hidden="1" outlineLevel="1" x14ac:dyDescent="0.25">
      <c r="A1076" s="31"/>
      <c r="B1076" s="17" t="s">
        <v>70</v>
      </c>
      <c r="C1076" s="32"/>
      <c r="D1076" s="32"/>
      <c r="E1076" s="32"/>
      <c r="F1076" s="32"/>
      <c r="G1076" s="32"/>
      <c r="H1076" s="32">
        <f t="shared" si="250"/>
        <v>0</v>
      </c>
      <c r="I1076" s="32"/>
      <c r="J1076" s="32">
        <f t="shared" si="249"/>
        <v>0</v>
      </c>
      <c r="K1076" s="33">
        <v>1072</v>
      </c>
    </row>
    <row r="1077" spans="1:11" ht="30" hidden="1" outlineLevel="1" x14ac:dyDescent="0.25">
      <c r="A1077" s="31"/>
      <c r="B1077" s="17" t="s">
        <v>71</v>
      </c>
      <c r="C1077" s="32"/>
      <c r="D1077" s="32"/>
      <c r="E1077" s="32"/>
      <c r="F1077" s="32"/>
      <c r="G1077" s="32"/>
      <c r="H1077" s="32">
        <f t="shared" si="250"/>
        <v>0</v>
      </c>
      <c r="I1077" s="32"/>
      <c r="J1077" s="32">
        <f t="shared" si="249"/>
        <v>0</v>
      </c>
      <c r="K1077" s="33">
        <v>1073</v>
      </c>
    </row>
    <row r="1078" spans="1:11" hidden="1" outlineLevel="1" x14ac:dyDescent="0.25">
      <c r="A1078" s="31"/>
      <c r="B1078" s="16" t="s">
        <v>72</v>
      </c>
      <c r="C1078" s="32"/>
      <c r="D1078" s="32"/>
      <c r="E1078" s="32"/>
      <c r="F1078" s="32"/>
      <c r="G1078" s="32"/>
      <c r="H1078" s="32">
        <f t="shared" si="250"/>
        <v>0</v>
      </c>
      <c r="I1078" s="32"/>
      <c r="J1078" s="32">
        <f t="shared" si="249"/>
        <v>0</v>
      </c>
      <c r="K1078" s="33">
        <v>1074</v>
      </c>
    </row>
    <row r="1079" spans="1:11" ht="30" hidden="1" outlineLevel="1" x14ac:dyDescent="0.25">
      <c r="A1079" s="31"/>
      <c r="B1079" s="17" t="s">
        <v>73</v>
      </c>
      <c r="C1079" s="32"/>
      <c r="D1079" s="32"/>
      <c r="E1079" s="32"/>
      <c r="F1079" s="32"/>
      <c r="G1079" s="32"/>
      <c r="H1079" s="32">
        <f t="shared" si="250"/>
        <v>0</v>
      </c>
      <c r="I1079" s="32"/>
      <c r="J1079" s="32">
        <f t="shared" si="249"/>
        <v>0</v>
      </c>
      <c r="K1079" s="33">
        <v>1075</v>
      </c>
    </row>
    <row r="1080" spans="1:11" hidden="1" outlineLevel="1" x14ac:dyDescent="0.25">
      <c r="A1080" s="28"/>
      <c r="B1080" s="15" t="s">
        <v>74</v>
      </c>
      <c r="C1080" s="29">
        <f t="shared" ref="C1080:G1080" si="261">+SUM(C1081:C1083)</f>
        <v>0</v>
      </c>
      <c r="D1080" s="29">
        <f t="shared" si="261"/>
        <v>0</v>
      </c>
      <c r="E1080" s="29">
        <f t="shared" si="261"/>
        <v>0</v>
      </c>
      <c r="F1080" s="29">
        <f t="shared" si="261"/>
        <v>0</v>
      </c>
      <c r="G1080" s="29">
        <f t="shared" si="261"/>
        <v>0</v>
      </c>
      <c r="H1080" s="29">
        <f t="shared" si="250"/>
        <v>0</v>
      </c>
      <c r="I1080" s="29"/>
      <c r="J1080" s="29">
        <f t="shared" si="249"/>
        <v>0</v>
      </c>
      <c r="K1080" s="30">
        <v>1076</v>
      </c>
    </row>
    <row r="1081" spans="1:11" ht="30" hidden="1" outlineLevel="1" x14ac:dyDescent="0.25">
      <c r="A1081" s="34"/>
      <c r="B1081" s="17" t="s">
        <v>75</v>
      </c>
      <c r="C1081" s="35"/>
      <c r="D1081" s="35"/>
      <c r="E1081" s="35"/>
      <c r="F1081" s="35"/>
      <c r="G1081" s="35"/>
      <c r="H1081" s="35">
        <f t="shared" si="250"/>
        <v>0</v>
      </c>
      <c r="I1081" s="35"/>
      <c r="J1081" s="35">
        <f t="shared" si="249"/>
        <v>0</v>
      </c>
      <c r="K1081" s="36">
        <v>1077</v>
      </c>
    </row>
    <row r="1082" spans="1:11" ht="30" hidden="1" outlineLevel="1" x14ac:dyDescent="0.25">
      <c r="A1082" s="34"/>
      <c r="B1082" s="17" t="s">
        <v>76</v>
      </c>
      <c r="C1082" s="35"/>
      <c r="D1082" s="35"/>
      <c r="E1082" s="35"/>
      <c r="F1082" s="35"/>
      <c r="G1082" s="35"/>
      <c r="H1082" s="35">
        <f t="shared" si="250"/>
        <v>0</v>
      </c>
      <c r="I1082" s="35"/>
      <c r="J1082" s="35">
        <f t="shared" si="249"/>
        <v>0</v>
      </c>
      <c r="K1082" s="36">
        <v>1078</v>
      </c>
    </row>
    <row r="1083" spans="1:11" ht="30" hidden="1" outlineLevel="1" x14ac:dyDescent="0.25">
      <c r="A1083" s="34"/>
      <c r="B1083" s="17" t="s">
        <v>77</v>
      </c>
      <c r="C1083" s="35"/>
      <c r="D1083" s="35"/>
      <c r="E1083" s="35"/>
      <c r="F1083" s="35"/>
      <c r="G1083" s="35"/>
      <c r="H1083" s="35">
        <f t="shared" si="250"/>
        <v>0</v>
      </c>
      <c r="I1083" s="35"/>
      <c r="J1083" s="35">
        <f t="shared" si="249"/>
        <v>0</v>
      </c>
      <c r="K1083" s="36">
        <v>1079</v>
      </c>
    </row>
    <row r="1084" spans="1:11" hidden="1" outlineLevel="1" x14ac:dyDescent="0.25">
      <c r="A1084" s="28"/>
      <c r="B1084" s="15" t="s">
        <v>78</v>
      </c>
      <c r="C1084" s="29">
        <f t="shared" ref="C1084:G1084" si="262">+SUM(C1085:C1089)</f>
        <v>0</v>
      </c>
      <c r="D1084" s="29">
        <f t="shared" si="262"/>
        <v>0</v>
      </c>
      <c r="E1084" s="29">
        <f t="shared" si="262"/>
        <v>0</v>
      </c>
      <c r="F1084" s="29">
        <f t="shared" si="262"/>
        <v>0</v>
      </c>
      <c r="G1084" s="29">
        <f t="shared" si="262"/>
        <v>0</v>
      </c>
      <c r="H1084" s="29">
        <f t="shared" si="250"/>
        <v>0</v>
      </c>
      <c r="I1084" s="29"/>
      <c r="J1084" s="29">
        <f t="shared" si="249"/>
        <v>0</v>
      </c>
      <c r="K1084" s="30">
        <v>1080</v>
      </c>
    </row>
    <row r="1085" spans="1:11" hidden="1" outlineLevel="1" x14ac:dyDescent="0.25">
      <c r="A1085" s="34"/>
      <c r="B1085" s="18" t="s">
        <v>79</v>
      </c>
      <c r="C1085" s="35"/>
      <c r="D1085" s="35"/>
      <c r="E1085" s="35"/>
      <c r="F1085" s="35"/>
      <c r="G1085" s="35"/>
      <c r="H1085" s="35">
        <f t="shared" si="250"/>
        <v>0</v>
      </c>
      <c r="I1085" s="35"/>
      <c r="J1085" s="35">
        <f t="shared" si="249"/>
        <v>0</v>
      </c>
      <c r="K1085" s="36">
        <v>1081</v>
      </c>
    </row>
    <row r="1086" spans="1:11" ht="30" hidden="1" outlineLevel="1" x14ac:dyDescent="0.25">
      <c r="A1086" s="34"/>
      <c r="B1086" s="17" t="s">
        <v>80</v>
      </c>
      <c r="C1086" s="35"/>
      <c r="D1086" s="35"/>
      <c r="E1086" s="35"/>
      <c r="F1086" s="35"/>
      <c r="G1086" s="35"/>
      <c r="H1086" s="35">
        <f t="shared" si="250"/>
        <v>0</v>
      </c>
      <c r="I1086" s="35"/>
      <c r="J1086" s="35">
        <f t="shared" si="249"/>
        <v>0</v>
      </c>
      <c r="K1086" s="36">
        <v>1082</v>
      </c>
    </row>
    <row r="1087" spans="1:11" hidden="1" outlineLevel="1" collapsed="1" x14ac:dyDescent="0.25">
      <c r="A1087" s="34"/>
      <c r="B1087" s="17" t="s">
        <v>81</v>
      </c>
      <c r="C1087" s="35"/>
      <c r="D1087" s="35"/>
      <c r="E1087" s="35"/>
      <c r="F1087" s="35"/>
      <c r="G1087" s="35"/>
      <c r="H1087" s="35">
        <f t="shared" si="250"/>
        <v>0</v>
      </c>
      <c r="I1087" s="35"/>
      <c r="J1087" s="35">
        <f t="shared" si="249"/>
        <v>0</v>
      </c>
      <c r="K1087" s="36">
        <v>1083</v>
      </c>
    </row>
    <row r="1088" spans="1:11" hidden="1" outlineLevel="1" x14ac:dyDescent="0.25">
      <c r="A1088" s="34"/>
      <c r="B1088" s="18" t="s">
        <v>82</v>
      </c>
      <c r="C1088" s="35"/>
      <c r="D1088" s="35"/>
      <c r="E1088" s="35"/>
      <c r="F1088" s="35"/>
      <c r="G1088" s="35"/>
      <c r="H1088" s="35">
        <f t="shared" si="250"/>
        <v>0</v>
      </c>
      <c r="I1088" s="35"/>
      <c r="J1088" s="35">
        <f t="shared" si="249"/>
        <v>0</v>
      </c>
      <c r="K1088" s="36">
        <v>1084</v>
      </c>
    </row>
    <row r="1089" spans="1:11" ht="30" hidden="1" outlineLevel="1" x14ac:dyDescent="0.25">
      <c r="A1089" s="34"/>
      <c r="B1089" s="17" t="s">
        <v>83</v>
      </c>
      <c r="C1089" s="35"/>
      <c r="D1089" s="35"/>
      <c r="E1089" s="35"/>
      <c r="F1089" s="35"/>
      <c r="G1089" s="35"/>
      <c r="H1089" s="35">
        <f t="shared" si="250"/>
        <v>0</v>
      </c>
      <c r="I1089" s="35"/>
      <c r="J1089" s="35">
        <f t="shared" si="249"/>
        <v>0</v>
      </c>
      <c r="K1089" s="36">
        <v>1085</v>
      </c>
    </row>
    <row r="1090" spans="1:11" hidden="1" outlineLevel="1" x14ac:dyDescent="0.25">
      <c r="A1090" s="28"/>
      <c r="B1090" s="15" t="s">
        <v>84</v>
      </c>
      <c r="C1090" s="29">
        <f>+SUM(C1091:C1095)</f>
        <v>0</v>
      </c>
      <c r="D1090" s="29">
        <f t="shared" ref="D1090:G1090" si="263">+SUM(D1091:D1095)</f>
        <v>0</v>
      </c>
      <c r="E1090" s="29">
        <f t="shared" si="263"/>
        <v>0</v>
      </c>
      <c r="F1090" s="29">
        <f t="shared" si="263"/>
        <v>0</v>
      </c>
      <c r="G1090" s="29">
        <f t="shared" si="263"/>
        <v>0</v>
      </c>
      <c r="H1090" s="29">
        <f t="shared" si="250"/>
        <v>0</v>
      </c>
      <c r="I1090" s="29"/>
      <c r="J1090" s="29">
        <f t="shared" si="249"/>
        <v>0</v>
      </c>
      <c r="K1090" s="30">
        <v>1086</v>
      </c>
    </row>
    <row r="1091" spans="1:11" hidden="1" outlineLevel="1" x14ac:dyDescent="0.25">
      <c r="A1091" s="34"/>
      <c r="B1091" s="17"/>
      <c r="C1091" s="35"/>
      <c r="D1091" s="35"/>
      <c r="E1091" s="35"/>
      <c r="F1091" s="35"/>
      <c r="G1091" s="35"/>
      <c r="H1091" s="35">
        <f t="shared" si="250"/>
        <v>0</v>
      </c>
      <c r="I1091" s="35"/>
      <c r="J1091" s="35">
        <f t="shared" si="249"/>
        <v>0</v>
      </c>
      <c r="K1091" s="36">
        <v>1087</v>
      </c>
    </row>
    <row r="1092" spans="1:11" hidden="1" outlineLevel="1" collapsed="1" x14ac:dyDescent="0.25">
      <c r="A1092" s="34"/>
      <c r="B1092" s="17"/>
      <c r="C1092" s="35"/>
      <c r="D1092" s="35"/>
      <c r="E1092" s="35"/>
      <c r="F1092" s="35"/>
      <c r="G1092" s="35"/>
      <c r="H1092" s="35">
        <f t="shared" si="250"/>
        <v>0</v>
      </c>
      <c r="I1092" s="35"/>
      <c r="J1092" s="35">
        <f t="shared" si="249"/>
        <v>0</v>
      </c>
      <c r="K1092" s="36">
        <v>1088</v>
      </c>
    </row>
    <row r="1093" spans="1:11" hidden="1" outlineLevel="1" x14ac:dyDescent="0.25">
      <c r="A1093" s="34"/>
      <c r="B1093" s="17"/>
      <c r="C1093" s="35"/>
      <c r="D1093" s="35"/>
      <c r="E1093" s="35"/>
      <c r="F1093" s="35"/>
      <c r="G1093" s="35"/>
      <c r="H1093" s="35">
        <f t="shared" si="250"/>
        <v>0</v>
      </c>
      <c r="I1093" s="35"/>
      <c r="J1093" s="35">
        <f t="shared" ref="J1093:J1156" si="264">+I1093-H1093</f>
        <v>0</v>
      </c>
      <c r="K1093" s="36">
        <v>1089</v>
      </c>
    </row>
    <row r="1094" spans="1:11" hidden="1" outlineLevel="1" x14ac:dyDescent="0.25">
      <c r="A1094" s="34"/>
      <c r="B1094" s="17" t="s">
        <v>86</v>
      </c>
      <c r="C1094" s="35"/>
      <c r="D1094" s="35"/>
      <c r="E1094" s="35"/>
      <c r="F1094" s="35"/>
      <c r="G1094" s="35"/>
      <c r="H1094" s="35">
        <f t="shared" ref="H1094:H1157" si="265">+SUM(C1094:G1094)</f>
        <v>0</v>
      </c>
      <c r="I1094" s="35"/>
      <c r="J1094" s="35">
        <f t="shared" si="264"/>
        <v>0</v>
      </c>
      <c r="K1094" s="36">
        <v>1090</v>
      </c>
    </row>
    <row r="1095" spans="1:11" hidden="1" outlineLevel="1" x14ac:dyDescent="0.25">
      <c r="A1095" s="34"/>
      <c r="B1095" s="17"/>
      <c r="C1095" s="35"/>
      <c r="D1095" s="35"/>
      <c r="E1095" s="35"/>
      <c r="F1095" s="35"/>
      <c r="G1095" s="35"/>
      <c r="H1095" s="35">
        <f t="shared" si="265"/>
        <v>0</v>
      </c>
      <c r="I1095" s="35"/>
      <c r="J1095" s="35">
        <f t="shared" si="264"/>
        <v>0</v>
      </c>
      <c r="K1095" s="36">
        <v>1091</v>
      </c>
    </row>
    <row r="1096" spans="1:11" ht="45" collapsed="1" x14ac:dyDescent="0.25">
      <c r="A1096" s="40" t="s">
        <v>180</v>
      </c>
      <c r="B1096" s="10" t="s">
        <v>181</v>
      </c>
      <c r="C1096" s="26">
        <f t="shared" ref="C1096:G1096" si="266">+C1097+C1106+C1110+C1116</f>
        <v>0</v>
      </c>
      <c r="D1096" s="26">
        <f t="shared" si="266"/>
        <v>0</v>
      </c>
      <c r="E1096" s="26">
        <f t="shared" si="266"/>
        <v>0</v>
      </c>
      <c r="F1096" s="26">
        <f t="shared" si="266"/>
        <v>0</v>
      </c>
      <c r="G1096" s="26">
        <f t="shared" si="266"/>
        <v>0</v>
      </c>
      <c r="H1096" s="26">
        <f t="shared" si="265"/>
        <v>0</v>
      </c>
      <c r="I1096" s="26">
        <v>0</v>
      </c>
      <c r="J1096" s="26">
        <f t="shared" si="264"/>
        <v>0</v>
      </c>
      <c r="K1096" s="27">
        <v>1092</v>
      </c>
    </row>
    <row r="1097" spans="1:11" hidden="1" outlineLevel="1" x14ac:dyDescent="0.25">
      <c r="A1097" s="28"/>
      <c r="B1097" s="15" t="s">
        <v>65</v>
      </c>
      <c r="C1097" s="29">
        <f t="shared" ref="C1097:G1097" si="267">+SUM(C1098:C1105)</f>
        <v>0</v>
      </c>
      <c r="D1097" s="29">
        <f t="shared" si="267"/>
        <v>0</v>
      </c>
      <c r="E1097" s="29">
        <f t="shared" si="267"/>
        <v>0</v>
      </c>
      <c r="F1097" s="29">
        <f t="shared" si="267"/>
        <v>0</v>
      </c>
      <c r="G1097" s="29">
        <f t="shared" si="267"/>
        <v>0</v>
      </c>
      <c r="H1097" s="29">
        <f t="shared" si="265"/>
        <v>0</v>
      </c>
      <c r="I1097" s="29">
        <v>0</v>
      </c>
      <c r="J1097" s="29">
        <f t="shared" si="264"/>
        <v>0</v>
      </c>
      <c r="K1097" s="30">
        <v>1093</v>
      </c>
    </row>
    <row r="1098" spans="1:11" hidden="1" outlineLevel="1" x14ac:dyDescent="0.25">
      <c r="A1098" s="31"/>
      <c r="B1098" s="16" t="s">
        <v>66</v>
      </c>
      <c r="C1098" s="32"/>
      <c r="D1098" s="32"/>
      <c r="E1098" s="32"/>
      <c r="F1098" s="32"/>
      <c r="G1098" s="32"/>
      <c r="H1098" s="32">
        <f t="shared" si="265"/>
        <v>0</v>
      </c>
      <c r="I1098" s="32"/>
      <c r="J1098" s="32">
        <f t="shared" si="264"/>
        <v>0</v>
      </c>
      <c r="K1098" s="33">
        <v>1094</v>
      </c>
    </row>
    <row r="1099" spans="1:11" hidden="1" outlineLevel="1" x14ac:dyDescent="0.25">
      <c r="A1099" s="31"/>
      <c r="B1099" s="17" t="s">
        <v>67</v>
      </c>
      <c r="C1099" s="32"/>
      <c r="D1099" s="32"/>
      <c r="E1099" s="32"/>
      <c r="F1099" s="32"/>
      <c r="G1099" s="32"/>
      <c r="H1099" s="32">
        <f t="shared" si="265"/>
        <v>0</v>
      </c>
      <c r="I1099" s="32"/>
      <c r="J1099" s="32">
        <f t="shared" si="264"/>
        <v>0</v>
      </c>
      <c r="K1099" s="33">
        <v>1095</v>
      </c>
    </row>
    <row r="1100" spans="1:11" ht="30" hidden="1" outlineLevel="1" x14ac:dyDescent="0.25">
      <c r="A1100" s="31"/>
      <c r="B1100" s="17" t="s">
        <v>68</v>
      </c>
      <c r="C1100" s="32"/>
      <c r="D1100" s="32"/>
      <c r="E1100" s="32"/>
      <c r="F1100" s="32"/>
      <c r="G1100" s="32"/>
      <c r="H1100" s="32">
        <f t="shared" si="265"/>
        <v>0</v>
      </c>
      <c r="I1100" s="32"/>
      <c r="J1100" s="32">
        <f t="shared" si="264"/>
        <v>0</v>
      </c>
      <c r="K1100" s="33">
        <v>1096</v>
      </c>
    </row>
    <row r="1101" spans="1:11" hidden="1" outlineLevel="1" x14ac:dyDescent="0.25">
      <c r="A1101" s="31"/>
      <c r="B1101" s="16" t="s">
        <v>69</v>
      </c>
      <c r="C1101" s="32"/>
      <c r="D1101" s="32"/>
      <c r="E1101" s="32"/>
      <c r="F1101" s="32"/>
      <c r="G1101" s="32"/>
      <c r="H1101" s="32">
        <f t="shared" si="265"/>
        <v>0</v>
      </c>
      <c r="I1101" s="32"/>
      <c r="J1101" s="32">
        <f t="shared" si="264"/>
        <v>0</v>
      </c>
      <c r="K1101" s="33">
        <v>1097</v>
      </c>
    </row>
    <row r="1102" spans="1:11" hidden="1" outlineLevel="1" x14ac:dyDescent="0.25">
      <c r="A1102" s="31"/>
      <c r="B1102" s="17" t="s">
        <v>70</v>
      </c>
      <c r="C1102" s="32"/>
      <c r="D1102" s="32"/>
      <c r="E1102" s="32"/>
      <c r="F1102" s="32"/>
      <c r="G1102" s="32"/>
      <c r="H1102" s="32">
        <f t="shared" si="265"/>
        <v>0</v>
      </c>
      <c r="I1102" s="32"/>
      <c r="J1102" s="32">
        <f t="shared" si="264"/>
        <v>0</v>
      </c>
      <c r="K1102" s="33">
        <v>1098</v>
      </c>
    </row>
    <row r="1103" spans="1:11" ht="30" hidden="1" outlineLevel="1" x14ac:dyDescent="0.25">
      <c r="A1103" s="31"/>
      <c r="B1103" s="17" t="s">
        <v>71</v>
      </c>
      <c r="C1103" s="32"/>
      <c r="D1103" s="32"/>
      <c r="E1103" s="32"/>
      <c r="F1103" s="32"/>
      <c r="G1103" s="32"/>
      <c r="H1103" s="32">
        <f t="shared" si="265"/>
        <v>0</v>
      </c>
      <c r="I1103" s="32"/>
      <c r="J1103" s="32">
        <f t="shared" si="264"/>
        <v>0</v>
      </c>
      <c r="K1103" s="33">
        <v>1099</v>
      </c>
    </row>
    <row r="1104" spans="1:11" hidden="1" outlineLevel="1" x14ac:dyDescent="0.25">
      <c r="A1104" s="31"/>
      <c r="B1104" s="16" t="s">
        <v>72</v>
      </c>
      <c r="C1104" s="32"/>
      <c r="D1104" s="32"/>
      <c r="E1104" s="32"/>
      <c r="F1104" s="32"/>
      <c r="G1104" s="32"/>
      <c r="H1104" s="32">
        <f t="shared" si="265"/>
        <v>0</v>
      </c>
      <c r="I1104" s="32"/>
      <c r="J1104" s="32">
        <f t="shared" si="264"/>
        <v>0</v>
      </c>
      <c r="K1104" s="33">
        <v>1100</v>
      </c>
    </row>
    <row r="1105" spans="1:11" ht="30" hidden="1" outlineLevel="1" x14ac:dyDescent="0.25">
      <c r="A1105" s="31"/>
      <c r="B1105" s="17" t="s">
        <v>73</v>
      </c>
      <c r="C1105" s="32"/>
      <c r="D1105" s="32"/>
      <c r="E1105" s="32"/>
      <c r="F1105" s="32"/>
      <c r="G1105" s="32"/>
      <c r="H1105" s="32">
        <f t="shared" si="265"/>
        <v>0</v>
      </c>
      <c r="I1105" s="32"/>
      <c r="J1105" s="32">
        <f t="shared" si="264"/>
        <v>0</v>
      </c>
      <c r="K1105" s="33">
        <v>1101</v>
      </c>
    </row>
    <row r="1106" spans="1:11" hidden="1" outlineLevel="1" x14ac:dyDescent="0.25">
      <c r="A1106" s="28"/>
      <c r="B1106" s="15" t="s">
        <v>74</v>
      </c>
      <c r="C1106" s="29">
        <f t="shared" ref="C1106:G1106" si="268">+SUM(C1107:C1109)</f>
        <v>0</v>
      </c>
      <c r="D1106" s="29">
        <f t="shared" si="268"/>
        <v>0</v>
      </c>
      <c r="E1106" s="29">
        <f t="shared" si="268"/>
        <v>0</v>
      </c>
      <c r="F1106" s="29">
        <f t="shared" si="268"/>
        <v>0</v>
      </c>
      <c r="G1106" s="29">
        <f t="shared" si="268"/>
        <v>0</v>
      </c>
      <c r="H1106" s="29">
        <f t="shared" si="265"/>
        <v>0</v>
      </c>
      <c r="I1106" s="29"/>
      <c r="J1106" s="29">
        <f t="shared" si="264"/>
        <v>0</v>
      </c>
      <c r="K1106" s="30">
        <v>1102</v>
      </c>
    </row>
    <row r="1107" spans="1:11" ht="30" hidden="1" outlineLevel="1" x14ac:dyDescent="0.25">
      <c r="A1107" s="34"/>
      <c r="B1107" s="17" t="s">
        <v>75</v>
      </c>
      <c r="C1107" s="35"/>
      <c r="D1107" s="35"/>
      <c r="E1107" s="35"/>
      <c r="F1107" s="35"/>
      <c r="G1107" s="35"/>
      <c r="H1107" s="35">
        <f t="shared" si="265"/>
        <v>0</v>
      </c>
      <c r="I1107" s="35"/>
      <c r="J1107" s="35">
        <f t="shared" si="264"/>
        <v>0</v>
      </c>
      <c r="K1107" s="36">
        <v>1103</v>
      </c>
    </row>
    <row r="1108" spans="1:11" ht="30" hidden="1" outlineLevel="1" x14ac:dyDescent="0.25">
      <c r="A1108" s="34"/>
      <c r="B1108" s="17" t="s">
        <v>76</v>
      </c>
      <c r="C1108" s="35"/>
      <c r="D1108" s="35"/>
      <c r="E1108" s="35"/>
      <c r="F1108" s="35"/>
      <c r="G1108" s="35"/>
      <c r="H1108" s="35">
        <f t="shared" si="265"/>
        <v>0</v>
      </c>
      <c r="I1108" s="35"/>
      <c r="J1108" s="35">
        <f t="shared" si="264"/>
        <v>0</v>
      </c>
      <c r="K1108" s="36">
        <v>1104</v>
      </c>
    </row>
    <row r="1109" spans="1:11" ht="30" hidden="1" outlineLevel="1" x14ac:dyDescent="0.25">
      <c r="A1109" s="34"/>
      <c r="B1109" s="17" t="s">
        <v>77</v>
      </c>
      <c r="C1109" s="35"/>
      <c r="D1109" s="35"/>
      <c r="E1109" s="35"/>
      <c r="F1109" s="35"/>
      <c r="G1109" s="35"/>
      <c r="H1109" s="35">
        <f t="shared" si="265"/>
        <v>0</v>
      </c>
      <c r="I1109" s="35"/>
      <c r="J1109" s="35">
        <f t="shared" si="264"/>
        <v>0</v>
      </c>
      <c r="K1109" s="36">
        <v>1105</v>
      </c>
    </row>
    <row r="1110" spans="1:11" hidden="1" outlineLevel="1" x14ac:dyDescent="0.25">
      <c r="A1110" s="28"/>
      <c r="B1110" s="15" t="s">
        <v>78</v>
      </c>
      <c r="C1110" s="29">
        <f t="shared" ref="C1110:G1110" si="269">+SUM(C1111:C1115)</f>
        <v>0</v>
      </c>
      <c r="D1110" s="29">
        <f t="shared" si="269"/>
        <v>0</v>
      </c>
      <c r="E1110" s="29">
        <f t="shared" si="269"/>
        <v>0</v>
      </c>
      <c r="F1110" s="29">
        <f t="shared" si="269"/>
        <v>0</v>
      </c>
      <c r="G1110" s="29">
        <f t="shared" si="269"/>
        <v>0</v>
      </c>
      <c r="H1110" s="29">
        <f t="shared" si="265"/>
        <v>0</v>
      </c>
      <c r="I1110" s="29"/>
      <c r="J1110" s="29">
        <f t="shared" si="264"/>
        <v>0</v>
      </c>
      <c r="K1110" s="30">
        <v>1106</v>
      </c>
    </row>
    <row r="1111" spans="1:11" hidden="1" outlineLevel="1" x14ac:dyDescent="0.25">
      <c r="A1111" s="34"/>
      <c r="B1111" s="18" t="s">
        <v>79</v>
      </c>
      <c r="C1111" s="35"/>
      <c r="D1111" s="35"/>
      <c r="E1111" s="35"/>
      <c r="F1111" s="35"/>
      <c r="G1111" s="35"/>
      <c r="H1111" s="35">
        <f t="shared" si="265"/>
        <v>0</v>
      </c>
      <c r="I1111" s="35"/>
      <c r="J1111" s="35">
        <f t="shared" si="264"/>
        <v>0</v>
      </c>
      <c r="K1111" s="36">
        <v>1107</v>
      </c>
    </row>
    <row r="1112" spans="1:11" ht="30" hidden="1" outlineLevel="1" x14ac:dyDescent="0.25">
      <c r="A1112" s="34"/>
      <c r="B1112" s="17" t="s">
        <v>80</v>
      </c>
      <c r="C1112" s="35"/>
      <c r="D1112" s="35"/>
      <c r="E1112" s="35"/>
      <c r="F1112" s="35"/>
      <c r="G1112" s="35"/>
      <c r="H1112" s="35">
        <f t="shared" si="265"/>
        <v>0</v>
      </c>
      <c r="I1112" s="35"/>
      <c r="J1112" s="35">
        <f t="shared" si="264"/>
        <v>0</v>
      </c>
      <c r="K1112" s="36">
        <v>1108</v>
      </c>
    </row>
    <row r="1113" spans="1:11" hidden="1" outlineLevel="1" x14ac:dyDescent="0.25">
      <c r="A1113" s="34"/>
      <c r="B1113" s="17" t="s">
        <v>81</v>
      </c>
      <c r="C1113" s="35"/>
      <c r="D1113" s="35"/>
      <c r="E1113" s="35"/>
      <c r="F1113" s="35"/>
      <c r="G1113" s="35"/>
      <c r="H1113" s="35">
        <f t="shared" si="265"/>
        <v>0</v>
      </c>
      <c r="I1113" s="35"/>
      <c r="J1113" s="35">
        <f t="shared" si="264"/>
        <v>0</v>
      </c>
      <c r="K1113" s="36">
        <v>1109</v>
      </c>
    </row>
    <row r="1114" spans="1:11" hidden="1" outlineLevel="1" collapsed="1" x14ac:dyDescent="0.25">
      <c r="A1114" s="34"/>
      <c r="B1114" s="18" t="s">
        <v>82</v>
      </c>
      <c r="C1114" s="35"/>
      <c r="D1114" s="35"/>
      <c r="E1114" s="35"/>
      <c r="F1114" s="35"/>
      <c r="G1114" s="35"/>
      <c r="H1114" s="35">
        <f t="shared" si="265"/>
        <v>0</v>
      </c>
      <c r="I1114" s="35"/>
      <c r="J1114" s="35">
        <f t="shared" si="264"/>
        <v>0</v>
      </c>
      <c r="K1114" s="36">
        <v>1110</v>
      </c>
    </row>
    <row r="1115" spans="1:11" ht="30" hidden="1" outlineLevel="1" x14ac:dyDescent="0.25">
      <c r="A1115" s="34"/>
      <c r="B1115" s="17" t="s">
        <v>83</v>
      </c>
      <c r="C1115" s="35"/>
      <c r="D1115" s="35"/>
      <c r="E1115" s="35"/>
      <c r="F1115" s="35"/>
      <c r="G1115" s="35"/>
      <c r="H1115" s="35">
        <f t="shared" si="265"/>
        <v>0</v>
      </c>
      <c r="I1115" s="35"/>
      <c r="J1115" s="35">
        <f t="shared" si="264"/>
        <v>0</v>
      </c>
      <c r="K1115" s="36">
        <v>1111</v>
      </c>
    </row>
    <row r="1116" spans="1:11" hidden="1" outlineLevel="1" x14ac:dyDescent="0.25">
      <c r="A1116" s="28"/>
      <c r="B1116" s="15" t="s">
        <v>84</v>
      </c>
      <c r="C1116" s="29">
        <f>+SUM(C1117:C1121)</f>
        <v>0</v>
      </c>
      <c r="D1116" s="29">
        <f t="shared" ref="D1116:G1116" si="270">+SUM(D1117:D1121)</f>
        <v>0</v>
      </c>
      <c r="E1116" s="29">
        <f t="shared" si="270"/>
        <v>0</v>
      </c>
      <c r="F1116" s="29">
        <f t="shared" si="270"/>
        <v>0</v>
      </c>
      <c r="G1116" s="29">
        <f t="shared" si="270"/>
        <v>0</v>
      </c>
      <c r="H1116" s="29">
        <f t="shared" si="265"/>
        <v>0</v>
      </c>
      <c r="I1116" s="29"/>
      <c r="J1116" s="29">
        <f t="shared" si="264"/>
        <v>0</v>
      </c>
      <c r="K1116" s="30">
        <v>1112</v>
      </c>
    </row>
    <row r="1117" spans="1:11" hidden="1" outlineLevel="1" x14ac:dyDescent="0.25">
      <c r="A1117" s="34"/>
      <c r="B1117" s="17"/>
      <c r="C1117" s="35"/>
      <c r="D1117" s="35"/>
      <c r="E1117" s="35"/>
      <c r="F1117" s="35"/>
      <c r="G1117" s="35"/>
      <c r="H1117" s="35">
        <f t="shared" si="265"/>
        <v>0</v>
      </c>
      <c r="I1117" s="35"/>
      <c r="J1117" s="35">
        <f t="shared" si="264"/>
        <v>0</v>
      </c>
      <c r="K1117" s="36">
        <v>1113</v>
      </c>
    </row>
    <row r="1118" spans="1:11" hidden="1" outlineLevel="1" collapsed="1" x14ac:dyDescent="0.25">
      <c r="A1118" s="34"/>
      <c r="B1118" s="17"/>
      <c r="C1118" s="35"/>
      <c r="D1118" s="35"/>
      <c r="E1118" s="35"/>
      <c r="F1118" s="35"/>
      <c r="G1118" s="35"/>
      <c r="H1118" s="35">
        <f t="shared" si="265"/>
        <v>0</v>
      </c>
      <c r="I1118" s="35"/>
      <c r="J1118" s="35">
        <f t="shared" si="264"/>
        <v>0</v>
      </c>
      <c r="K1118" s="36">
        <v>1114</v>
      </c>
    </row>
    <row r="1119" spans="1:11" hidden="1" outlineLevel="1" x14ac:dyDescent="0.25">
      <c r="A1119" s="34"/>
      <c r="B1119" s="17"/>
      <c r="C1119" s="35"/>
      <c r="D1119" s="35"/>
      <c r="E1119" s="35"/>
      <c r="F1119" s="35"/>
      <c r="G1119" s="35"/>
      <c r="H1119" s="35">
        <f t="shared" si="265"/>
        <v>0</v>
      </c>
      <c r="I1119" s="35"/>
      <c r="J1119" s="35">
        <f t="shared" si="264"/>
        <v>0</v>
      </c>
      <c r="K1119" s="36">
        <v>1115</v>
      </c>
    </row>
    <row r="1120" spans="1:11" hidden="1" outlineLevel="1" x14ac:dyDescent="0.25">
      <c r="A1120" s="34"/>
      <c r="B1120" s="17" t="s">
        <v>86</v>
      </c>
      <c r="C1120" s="35"/>
      <c r="D1120" s="35"/>
      <c r="E1120" s="35"/>
      <c r="F1120" s="35"/>
      <c r="G1120" s="35"/>
      <c r="H1120" s="35">
        <f t="shared" si="265"/>
        <v>0</v>
      </c>
      <c r="I1120" s="35"/>
      <c r="J1120" s="35">
        <f t="shared" si="264"/>
        <v>0</v>
      </c>
      <c r="K1120" s="36">
        <v>1116</v>
      </c>
    </row>
    <row r="1121" spans="1:11" hidden="1" outlineLevel="1" x14ac:dyDescent="0.25">
      <c r="A1121" s="34"/>
      <c r="B1121" s="17"/>
      <c r="C1121" s="35"/>
      <c r="D1121" s="35"/>
      <c r="E1121" s="35"/>
      <c r="F1121" s="35"/>
      <c r="G1121" s="35"/>
      <c r="H1121" s="35">
        <f t="shared" si="265"/>
        <v>0</v>
      </c>
      <c r="I1121" s="35"/>
      <c r="J1121" s="35">
        <f t="shared" si="264"/>
        <v>0</v>
      </c>
      <c r="K1121" s="36">
        <v>1117</v>
      </c>
    </row>
    <row r="1122" spans="1:11" collapsed="1" x14ac:dyDescent="0.25">
      <c r="A1122" s="40" t="s">
        <v>182</v>
      </c>
      <c r="B1122" s="10" t="s">
        <v>183</v>
      </c>
      <c r="C1122" s="26">
        <f t="shared" ref="C1122:G1122" si="271">+C1123+C1132+C1136+C1142</f>
        <v>0</v>
      </c>
      <c r="D1122" s="26">
        <f t="shared" si="271"/>
        <v>0</v>
      </c>
      <c r="E1122" s="26">
        <f t="shared" si="271"/>
        <v>0</v>
      </c>
      <c r="F1122" s="26">
        <f t="shared" si="271"/>
        <v>0</v>
      </c>
      <c r="G1122" s="26">
        <f t="shared" si="271"/>
        <v>0</v>
      </c>
      <c r="H1122" s="26">
        <f t="shared" si="265"/>
        <v>0</v>
      </c>
      <c r="I1122" s="26">
        <v>0</v>
      </c>
      <c r="J1122" s="26">
        <f t="shared" si="264"/>
        <v>0</v>
      </c>
      <c r="K1122" s="27">
        <v>1118</v>
      </c>
    </row>
    <row r="1123" spans="1:11" hidden="1" outlineLevel="1" x14ac:dyDescent="0.25">
      <c r="A1123" s="28"/>
      <c r="B1123" s="15" t="s">
        <v>65</v>
      </c>
      <c r="C1123" s="29">
        <f t="shared" ref="C1123:G1123" si="272">+SUM(C1124:C1131)</f>
        <v>0</v>
      </c>
      <c r="D1123" s="29">
        <f t="shared" si="272"/>
        <v>0</v>
      </c>
      <c r="E1123" s="29">
        <f t="shared" si="272"/>
        <v>0</v>
      </c>
      <c r="F1123" s="29">
        <f t="shared" si="272"/>
        <v>0</v>
      </c>
      <c r="G1123" s="29">
        <f t="shared" si="272"/>
        <v>0</v>
      </c>
      <c r="H1123" s="29">
        <f t="shared" si="265"/>
        <v>0</v>
      </c>
      <c r="I1123" s="29">
        <v>0</v>
      </c>
      <c r="J1123" s="29">
        <f t="shared" si="264"/>
        <v>0</v>
      </c>
      <c r="K1123" s="30">
        <v>1119</v>
      </c>
    </row>
    <row r="1124" spans="1:11" hidden="1" outlineLevel="1" x14ac:dyDescent="0.25">
      <c r="A1124" s="31"/>
      <c r="B1124" s="16" t="s">
        <v>66</v>
      </c>
      <c r="C1124" s="32"/>
      <c r="D1124" s="32"/>
      <c r="E1124" s="32"/>
      <c r="F1124" s="32"/>
      <c r="G1124" s="32"/>
      <c r="H1124" s="32">
        <f t="shared" si="265"/>
        <v>0</v>
      </c>
      <c r="I1124" s="32"/>
      <c r="J1124" s="32">
        <f t="shared" si="264"/>
        <v>0</v>
      </c>
      <c r="K1124" s="33">
        <v>1120</v>
      </c>
    </row>
    <row r="1125" spans="1:11" hidden="1" outlineLevel="1" x14ac:dyDescent="0.25">
      <c r="A1125" s="31"/>
      <c r="B1125" s="17" t="s">
        <v>67</v>
      </c>
      <c r="C1125" s="32"/>
      <c r="D1125" s="32"/>
      <c r="E1125" s="32"/>
      <c r="F1125" s="32"/>
      <c r="G1125" s="32"/>
      <c r="H1125" s="32">
        <f t="shared" si="265"/>
        <v>0</v>
      </c>
      <c r="I1125" s="32"/>
      <c r="J1125" s="32">
        <f t="shared" si="264"/>
        <v>0</v>
      </c>
      <c r="K1125" s="33">
        <v>1121</v>
      </c>
    </row>
    <row r="1126" spans="1:11" ht="30" hidden="1" outlineLevel="1" x14ac:dyDescent="0.25">
      <c r="A1126" s="31"/>
      <c r="B1126" s="17" t="s">
        <v>68</v>
      </c>
      <c r="C1126" s="32"/>
      <c r="D1126" s="32"/>
      <c r="E1126" s="32"/>
      <c r="F1126" s="32"/>
      <c r="G1126" s="32"/>
      <c r="H1126" s="32">
        <f t="shared" si="265"/>
        <v>0</v>
      </c>
      <c r="I1126" s="32"/>
      <c r="J1126" s="32">
        <f t="shared" si="264"/>
        <v>0</v>
      </c>
      <c r="K1126" s="33">
        <v>1122</v>
      </c>
    </row>
    <row r="1127" spans="1:11" hidden="1" outlineLevel="1" x14ac:dyDescent="0.25">
      <c r="A1127" s="31"/>
      <c r="B1127" s="16" t="s">
        <v>69</v>
      </c>
      <c r="C1127" s="32"/>
      <c r="D1127" s="32"/>
      <c r="E1127" s="32"/>
      <c r="F1127" s="32"/>
      <c r="G1127" s="32"/>
      <c r="H1127" s="32">
        <f t="shared" si="265"/>
        <v>0</v>
      </c>
      <c r="I1127" s="32"/>
      <c r="J1127" s="32">
        <f t="shared" si="264"/>
        <v>0</v>
      </c>
      <c r="K1127" s="33">
        <v>1123</v>
      </c>
    </row>
    <row r="1128" spans="1:11" hidden="1" outlineLevel="1" x14ac:dyDescent="0.25">
      <c r="A1128" s="31"/>
      <c r="B1128" s="17" t="s">
        <v>70</v>
      </c>
      <c r="C1128" s="32"/>
      <c r="D1128" s="32"/>
      <c r="E1128" s="32"/>
      <c r="F1128" s="32"/>
      <c r="G1128" s="32"/>
      <c r="H1128" s="32">
        <f t="shared" si="265"/>
        <v>0</v>
      </c>
      <c r="I1128" s="32"/>
      <c r="J1128" s="32">
        <f t="shared" si="264"/>
        <v>0</v>
      </c>
      <c r="K1128" s="33">
        <v>1124</v>
      </c>
    </row>
    <row r="1129" spans="1:11" ht="30" hidden="1" outlineLevel="1" x14ac:dyDescent="0.25">
      <c r="A1129" s="31"/>
      <c r="B1129" s="17" t="s">
        <v>71</v>
      </c>
      <c r="C1129" s="32"/>
      <c r="D1129" s="32"/>
      <c r="E1129" s="32"/>
      <c r="F1129" s="32"/>
      <c r="G1129" s="32"/>
      <c r="H1129" s="32">
        <f t="shared" si="265"/>
        <v>0</v>
      </c>
      <c r="I1129" s="32"/>
      <c r="J1129" s="32">
        <f t="shared" si="264"/>
        <v>0</v>
      </c>
      <c r="K1129" s="33">
        <v>1125</v>
      </c>
    </row>
    <row r="1130" spans="1:11" hidden="1" outlineLevel="1" x14ac:dyDescent="0.25">
      <c r="A1130" s="31"/>
      <c r="B1130" s="16" t="s">
        <v>72</v>
      </c>
      <c r="C1130" s="32"/>
      <c r="D1130" s="32"/>
      <c r="E1130" s="32"/>
      <c r="F1130" s="32"/>
      <c r="G1130" s="32"/>
      <c r="H1130" s="32">
        <f t="shared" si="265"/>
        <v>0</v>
      </c>
      <c r="I1130" s="32"/>
      <c r="J1130" s="32">
        <f t="shared" si="264"/>
        <v>0</v>
      </c>
      <c r="K1130" s="33">
        <v>1126</v>
      </c>
    </row>
    <row r="1131" spans="1:11" ht="30" hidden="1" outlineLevel="1" x14ac:dyDescent="0.25">
      <c r="A1131" s="31"/>
      <c r="B1131" s="17" t="s">
        <v>73</v>
      </c>
      <c r="C1131" s="32"/>
      <c r="D1131" s="32"/>
      <c r="E1131" s="32"/>
      <c r="F1131" s="32"/>
      <c r="G1131" s="32"/>
      <c r="H1131" s="32">
        <f t="shared" si="265"/>
        <v>0</v>
      </c>
      <c r="I1131" s="32"/>
      <c r="J1131" s="32">
        <f t="shared" si="264"/>
        <v>0</v>
      </c>
      <c r="K1131" s="33">
        <v>1127</v>
      </c>
    </row>
    <row r="1132" spans="1:11" hidden="1" outlineLevel="1" x14ac:dyDescent="0.25">
      <c r="A1132" s="28"/>
      <c r="B1132" s="15" t="s">
        <v>74</v>
      </c>
      <c r="C1132" s="29">
        <f t="shared" ref="C1132:G1132" si="273">+SUM(C1133:C1135)</f>
        <v>0</v>
      </c>
      <c r="D1132" s="29">
        <f t="shared" si="273"/>
        <v>0</v>
      </c>
      <c r="E1132" s="29">
        <f t="shared" si="273"/>
        <v>0</v>
      </c>
      <c r="F1132" s="29">
        <f t="shared" si="273"/>
        <v>0</v>
      </c>
      <c r="G1132" s="29">
        <f t="shared" si="273"/>
        <v>0</v>
      </c>
      <c r="H1132" s="29">
        <f t="shared" si="265"/>
        <v>0</v>
      </c>
      <c r="I1132" s="29"/>
      <c r="J1132" s="29">
        <f t="shared" si="264"/>
        <v>0</v>
      </c>
      <c r="K1132" s="30">
        <v>1128</v>
      </c>
    </row>
    <row r="1133" spans="1:11" ht="30" hidden="1" outlineLevel="1" x14ac:dyDescent="0.25">
      <c r="A1133" s="34"/>
      <c r="B1133" s="17" t="s">
        <v>75</v>
      </c>
      <c r="C1133" s="35"/>
      <c r="D1133" s="35"/>
      <c r="E1133" s="35"/>
      <c r="F1133" s="35"/>
      <c r="G1133" s="35"/>
      <c r="H1133" s="35">
        <f t="shared" si="265"/>
        <v>0</v>
      </c>
      <c r="I1133" s="35"/>
      <c r="J1133" s="35">
        <f t="shared" si="264"/>
        <v>0</v>
      </c>
      <c r="K1133" s="36">
        <v>1129</v>
      </c>
    </row>
    <row r="1134" spans="1:11" ht="30" hidden="1" outlineLevel="1" x14ac:dyDescent="0.25">
      <c r="A1134" s="34"/>
      <c r="B1134" s="17" t="s">
        <v>76</v>
      </c>
      <c r="C1134" s="35"/>
      <c r="D1134" s="35"/>
      <c r="E1134" s="35"/>
      <c r="F1134" s="35"/>
      <c r="G1134" s="35"/>
      <c r="H1134" s="35">
        <f t="shared" si="265"/>
        <v>0</v>
      </c>
      <c r="I1134" s="35"/>
      <c r="J1134" s="35">
        <f t="shared" si="264"/>
        <v>0</v>
      </c>
      <c r="K1134" s="36">
        <v>1130</v>
      </c>
    </row>
    <row r="1135" spans="1:11" ht="30" hidden="1" outlineLevel="1" x14ac:dyDescent="0.25">
      <c r="A1135" s="34"/>
      <c r="B1135" s="17" t="s">
        <v>77</v>
      </c>
      <c r="C1135" s="35"/>
      <c r="D1135" s="35"/>
      <c r="E1135" s="35"/>
      <c r="F1135" s="35"/>
      <c r="G1135" s="35"/>
      <c r="H1135" s="35">
        <f t="shared" si="265"/>
        <v>0</v>
      </c>
      <c r="I1135" s="35"/>
      <c r="J1135" s="35">
        <f t="shared" si="264"/>
        <v>0</v>
      </c>
      <c r="K1135" s="36">
        <v>1131</v>
      </c>
    </row>
    <row r="1136" spans="1:11" hidden="1" outlineLevel="1" x14ac:dyDescent="0.25">
      <c r="A1136" s="28"/>
      <c r="B1136" s="15" t="s">
        <v>78</v>
      </c>
      <c r="C1136" s="29">
        <f t="shared" ref="C1136:G1136" si="274">+SUM(C1137:C1141)</f>
        <v>0</v>
      </c>
      <c r="D1136" s="29">
        <f t="shared" si="274"/>
        <v>0</v>
      </c>
      <c r="E1136" s="29">
        <f t="shared" si="274"/>
        <v>0</v>
      </c>
      <c r="F1136" s="29">
        <f t="shared" si="274"/>
        <v>0</v>
      </c>
      <c r="G1136" s="29">
        <f t="shared" si="274"/>
        <v>0</v>
      </c>
      <c r="H1136" s="29">
        <f t="shared" si="265"/>
        <v>0</v>
      </c>
      <c r="I1136" s="29"/>
      <c r="J1136" s="29">
        <f t="shared" si="264"/>
        <v>0</v>
      </c>
      <c r="K1136" s="30">
        <v>1132</v>
      </c>
    </row>
    <row r="1137" spans="1:11" hidden="1" outlineLevel="1" x14ac:dyDescent="0.25">
      <c r="A1137" s="34"/>
      <c r="B1137" s="18" t="s">
        <v>79</v>
      </c>
      <c r="C1137" s="35"/>
      <c r="D1137" s="35"/>
      <c r="E1137" s="35"/>
      <c r="F1137" s="35"/>
      <c r="G1137" s="35"/>
      <c r="H1137" s="35">
        <f t="shared" si="265"/>
        <v>0</v>
      </c>
      <c r="I1137" s="35"/>
      <c r="J1137" s="35">
        <f t="shared" si="264"/>
        <v>0</v>
      </c>
      <c r="K1137" s="36">
        <v>1133</v>
      </c>
    </row>
    <row r="1138" spans="1:11" ht="30" hidden="1" outlineLevel="1" x14ac:dyDescent="0.25">
      <c r="A1138" s="34"/>
      <c r="B1138" s="17" t="s">
        <v>80</v>
      </c>
      <c r="C1138" s="35"/>
      <c r="D1138" s="35"/>
      <c r="E1138" s="35"/>
      <c r="F1138" s="35"/>
      <c r="G1138" s="35"/>
      <c r="H1138" s="35">
        <f t="shared" si="265"/>
        <v>0</v>
      </c>
      <c r="I1138" s="35"/>
      <c r="J1138" s="35">
        <f t="shared" si="264"/>
        <v>0</v>
      </c>
      <c r="K1138" s="36">
        <v>1134</v>
      </c>
    </row>
    <row r="1139" spans="1:11" hidden="1" outlineLevel="1" x14ac:dyDescent="0.25">
      <c r="A1139" s="34"/>
      <c r="B1139" s="17" t="s">
        <v>81</v>
      </c>
      <c r="C1139" s="35"/>
      <c r="D1139" s="35"/>
      <c r="E1139" s="35"/>
      <c r="F1139" s="35"/>
      <c r="G1139" s="35"/>
      <c r="H1139" s="35">
        <f t="shared" si="265"/>
        <v>0</v>
      </c>
      <c r="I1139" s="35"/>
      <c r="J1139" s="35">
        <f t="shared" si="264"/>
        <v>0</v>
      </c>
      <c r="K1139" s="36">
        <v>1135</v>
      </c>
    </row>
    <row r="1140" spans="1:11" hidden="1" outlineLevel="1" collapsed="1" x14ac:dyDescent="0.25">
      <c r="A1140" s="34"/>
      <c r="B1140" s="18" t="s">
        <v>82</v>
      </c>
      <c r="C1140" s="35"/>
      <c r="D1140" s="35"/>
      <c r="E1140" s="35"/>
      <c r="F1140" s="35"/>
      <c r="G1140" s="35"/>
      <c r="H1140" s="35">
        <f t="shared" si="265"/>
        <v>0</v>
      </c>
      <c r="I1140" s="35"/>
      <c r="J1140" s="35">
        <f t="shared" si="264"/>
        <v>0</v>
      </c>
      <c r="K1140" s="36">
        <v>1136</v>
      </c>
    </row>
    <row r="1141" spans="1:11" ht="30" hidden="1" outlineLevel="1" x14ac:dyDescent="0.25">
      <c r="A1141" s="34"/>
      <c r="B1141" s="17" t="s">
        <v>83</v>
      </c>
      <c r="C1141" s="35"/>
      <c r="D1141" s="35"/>
      <c r="E1141" s="35"/>
      <c r="F1141" s="35"/>
      <c r="G1141" s="35"/>
      <c r="H1141" s="35">
        <f t="shared" si="265"/>
        <v>0</v>
      </c>
      <c r="I1141" s="35"/>
      <c r="J1141" s="35">
        <f t="shared" si="264"/>
        <v>0</v>
      </c>
      <c r="K1141" s="36">
        <v>1137</v>
      </c>
    </row>
    <row r="1142" spans="1:11" hidden="1" outlineLevel="1" x14ac:dyDescent="0.25">
      <c r="A1142" s="28"/>
      <c r="B1142" s="15" t="s">
        <v>84</v>
      </c>
      <c r="C1142" s="29">
        <f>+SUM(C1143:C1147)</f>
        <v>0</v>
      </c>
      <c r="D1142" s="29">
        <f t="shared" ref="D1142:G1142" si="275">+SUM(D1143:D1147)</f>
        <v>0</v>
      </c>
      <c r="E1142" s="29">
        <f t="shared" si="275"/>
        <v>0</v>
      </c>
      <c r="F1142" s="29">
        <f t="shared" si="275"/>
        <v>0</v>
      </c>
      <c r="G1142" s="29">
        <f t="shared" si="275"/>
        <v>0</v>
      </c>
      <c r="H1142" s="29">
        <f t="shared" si="265"/>
        <v>0</v>
      </c>
      <c r="I1142" s="29"/>
      <c r="J1142" s="29">
        <f t="shared" si="264"/>
        <v>0</v>
      </c>
      <c r="K1142" s="30">
        <v>1138</v>
      </c>
    </row>
    <row r="1143" spans="1:11" hidden="1" outlineLevel="1" x14ac:dyDescent="0.25">
      <c r="A1143" s="34"/>
      <c r="B1143" s="17"/>
      <c r="C1143" s="35"/>
      <c r="D1143" s="35"/>
      <c r="E1143" s="35"/>
      <c r="F1143" s="35"/>
      <c r="G1143" s="35"/>
      <c r="H1143" s="35">
        <f t="shared" si="265"/>
        <v>0</v>
      </c>
      <c r="I1143" s="35"/>
      <c r="J1143" s="35">
        <f t="shared" si="264"/>
        <v>0</v>
      </c>
      <c r="K1143" s="36">
        <v>1139</v>
      </c>
    </row>
    <row r="1144" spans="1:11" hidden="1" outlineLevel="1" x14ac:dyDescent="0.25">
      <c r="A1144" s="34"/>
      <c r="B1144" s="17"/>
      <c r="C1144" s="35"/>
      <c r="D1144" s="35"/>
      <c r="E1144" s="35"/>
      <c r="F1144" s="35"/>
      <c r="G1144" s="35"/>
      <c r="H1144" s="35">
        <f t="shared" si="265"/>
        <v>0</v>
      </c>
      <c r="I1144" s="35"/>
      <c r="J1144" s="35">
        <f t="shared" si="264"/>
        <v>0</v>
      </c>
      <c r="K1144" s="36">
        <v>1140</v>
      </c>
    </row>
    <row r="1145" spans="1:11" hidden="1" outlineLevel="1" collapsed="1" x14ac:dyDescent="0.25">
      <c r="A1145" s="34"/>
      <c r="B1145" s="17"/>
      <c r="C1145" s="35"/>
      <c r="D1145" s="35"/>
      <c r="E1145" s="35"/>
      <c r="F1145" s="35"/>
      <c r="G1145" s="35"/>
      <c r="H1145" s="35">
        <f t="shared" si="265"/>
        <v>0</v>
      </c>
      <c r="I1145" s="35"/>
      <c r="J1145" s="35">
        <f t="shared" si="264"/>
        <v>0</v>
      </c>
      <c r="K1145" s="36">
        <v>1141</v>
      </c>
    </row>
    <row r="1146" spans="1:11" hidden="1" outlineLevel="1" x14ac:dyDescent="0.25">
      <c r="A1146" s="34"/>
      <c r="B1146" s="17" t="s">
        <v>86</v>
      </c>
      <c r="C1146" s="35"/>
      <c r="D1146" s="35"/>
      <c r="E1146" s="35"/>
      <c r="F1146" s="35"/>
      <c r="G1146" s="35"/>
      <c r="H1146" s="35">
        <f t="shared" si="265"/>
        <v>0</v>
      </c>
      <c r="I1146" s="35"/>
      <c r="J1146" s="35">
        <f t="shared" si="264"/>
        <v>0</v>
      </c>
      <c r="K1146" s="36">
        <v>1142</v>
      </c>
    </row>
    <row r="1147" spans="1:11" hidden="1" outlineLevel="1" x14ac:dyDescent="0.25">
      <c r="A1147" s="34"/>
      <c r="B1147" s="17"/>
      <c r="C1147" s="35"/>
      <c r="D1147" s="35"/>
      <c r="E1147" s="35"/>
      <c r="F1147" s="35"/>
      <c r="G1147" s="35"/>
      <c r="H1147" s="35">
        <f t="shared" si="265"/>
        <v>0</v>
      </c>
      <c r="I1147" s="35"/>
      <c r="J1147" s="35">
        <f t="shared" si="264"/>
        <v>0</v>
      </c>
      <c r="K1147" s="36">
        <v>1143</v>
      </c>
    </row>
    <row r="1148" spans="1:11" ht="45" collapsed="1" x14ac:dyDescent="0.25">
      <c r="A1148" s="39" t="s">
        <v>184</v>
      </c>
      <c r="B1148" s="14" t="s">
        <v>185</v>
      </c>
      <c r="C1148" s="24">
        <f>+C1149+C1175</f>
        <v>0</v>
      </c>
      <c r="D1148" s="24">
        <f t="shared" ref="D1148:G1148" si="276">+D1149+D1175</f>
        <v>0</v>
      </c>
      <c r="E1148" s="24">
        <f t="shared" si="276"/>
        <v>0</v>
      </c>
      <c r="F1148" s="24">
        <f t="shared" si="276"/>
        <v>0</v>
      </c>
      <c r="G1148" s="24">
        <f t="shared" si="276"/>
        <v>0</v>
      </c>
      <c r="H1148" s="24">
        <f t="shared" si="265"/>
        <v>0</v>
      </c>
      <c r="I1148" s="24"/>
      <c r="J1148" s="24">
        <f t="shared" si="264"/>
        <v>0</v>
      </c>
      <c r="K1148" s="25">
        <v>1144</v>
      </c>
    </row>
    <row r="1149" spans="1:11" ht="30" x14ac:dyDescent="0.25">
      <c r="A1149" s="40" t="s">
        <v>186</v>
      </c>
      <c r="B1149" s="10" t="s">
        <v>187</v>
      </c>
      <c r="C1149" s="26">
        <f t="shared" ref="C1149:G1149" si="277">+C1150+C1159+C1163+C1169</f>
        <v>0</v>
      </c>
      <c r="D1149" s="26">
        <f t="shared" si="277"/>
        <v>0</v>
      </c>
      <c r="E1149" s="26">
        <f t="shared" si="277"/>
        <v>0</v>
      </c>
      <c r="F1149" s="26">
        <f t="shared" si="277"/>
        <v>0</v>
      </c>
      <c r="G1149" s="26">
        <f t="shared" si="277"/>
        <v>0</v>
      </c>
      <c r="H1149" s="26">
        <f t="shared" si="265"/>
        <v>0</v>
      </c>
      <c r="I1149" s="26">
        <v>0</v>
      </c>
      <c r="J1149" s="26">
        <f t="shared" si="264"/>
        <v>0</v>
      </c>
      <c r="K1149" s="27">
        <v>1145</v>
      </c>
    </row>
    <row r="1150" spans="1:11" hidden="1" outlineLevel="1" x14ac:dyDescent="0.25">
      <c r="A1150" s="28"/>
      <c r="B1150" s="15" t="s">
        <v>65</v>
      </c>
      <c r="C1150" s="29">
        <f t="shared" ref="C1150:G1150" si="278">+SUM(C1151:C1158)</f>
        <v>0</v>
      </c>
      <c r="D1150" s="29">
        <f t="shared" si="278"/>
        <v>0</v>
      </c>
      <c r="E1150" s="29">
        <f t="shared" si="278"/>
        <v>0</v>
      </c>
      <c r="F1150" s="29">
        <f t="shared" si="278"/>
        <v>0</v>
      </c>
      <c r="G1150" s="29">
        <f t="shared" si="278"/>
        <v>0</v>
      </c>
      <c r="H1150" s="29">
        <f t="shared" si="265"/>
        <v>0</v>
      </c>
      <c r="I1150" s="29">
        <v>0</v>
      </c>
      <c r="J1150" s="29">
        <f t="shared" si="264"/>
        <v>0</v>
      </c>
      <c r="K1150" s="30">
        <v>1146</v>
      </c>
    </row>
    <row r="1151" spans="1:11" hidden="1" outlineLevel="1" x14ac:dyDescent="0.25">
      <c r="A1151" s="31"/>
      <c r="B1151" s="16" t="s">
        <v>66</v>
      </c>
      <c r="C1151" s="32"/>
      <c r="D1151" s="32"/>
      <c r="E1151" s="32"/>
      <c r="F1151" s="32"/>
      <c r="G1151" s="32"/>
      <c r="H1151" s="32">
        <f t="shared" si="265"/>
        <v>0</v>
      </c>
      <c r="I1151" s="32"/>
      <c r="J1151" s="32">
        <f t="shared" si="264"/>
        <v>0</v>
      </c>
      <c r="K1151" s="33">
        <v>1147</v>
      </c>
    </row>
    <row r="1152" spans="1:11" hidden="1" outlineLevel="1" x14ac:dyDescent="0.25">
      <c r="A1152" s="31"/>
      <c r="B1152" s="17" t="s">
        <v>67</v>
      </c>
      <c r="C1152" s="32"/>
      <c r="D1152" s="32"/>
      <c r="E1152" s="32"/>
      <c r="F1152" s="32"/>
      <c r="G1152" s="32"/>
      <c r="H1152" s="32">
        <f t="shared" si="265"/>
        <v>0</v>
      </c>
      <c r="I1152" s="32"/>
      <c r="J1152" s="32">
        <f t="shared" si="264"/>
        <v>0</v>
      </c>
      <c r="K1152" s="33">
        <v>1148</v>
      </c>
    </row>
    <row r="1153" spans="1:11" ht="30" hidden="1" outlineLevel="1" x14ac:dyDescent="0.25">
      <c r="A1153" s="31"/>
      <c r="B1153" s="17" t="s">
        <v>68</v>
      </c>
      <c r="C1153" s="32"/>
      <c r="D1153" s="32"/>
      <c r="E1153" s="32"/>
      <c r="F1153" s="32"/>
      <c r="G1153" s="32"/>
      <c r="H1153" s="32">
        <f t="shared" si="265"/>
        <v>0</v>
      </c>
      <c r="I1153" s="32"/>
      <c r="J1153" s="32">
        <f t="shared" si="264"/>
        <v>0</v>
      </c>
      <c r="K1153" s="33">
        <v>1149</v>
      </c>
    </row>
    <row r="1154" spans="1:11" hidden="1" outlineLevel="1" x14ac:dyDescent="0.25">
      <c r="A1154" s="31"/>
      <c r="B1154" s="16" t="s">
        <v>69</v>
      </c>
      <c r="C1154" s="32"/>
      <c r="D1154" s="32"/>
      <c r="E1154" s="32"/>
      <c r="F1154" s="32"/>
      <c r="G1154" s="32"/>
      <c r="H1154" s="32">
        <f t="shared" si="265"/>
        <v>0</v>
      </c>
      <c r="I1154" s="32"/>
      <c r="J1154" s="32">
        <f t="shared" si="264"/>
        <v>0</v>
      </c>
      <c r="K1154" s="33">
        <v>1150</v>
      </c>
    </row>
    <row r="1155" spans="1:11" hidden="1" outlineLevel="1" x14ac:dyDescent="0.25">
      <c r="A1155" s="31"/>
      <c r="B1155" s="17" t="s">
        <v>70</v>
      </c>
      <c r="C1155" s="32"/>
      <c r="D1155" s="32"/>
      <c r="E1155" s="32"/>
      <c r="F1155" s="32"/>
      <c r="G1155" s="32"/>
      <c r="H1155" s="32">
        <f t="shared" si="265"/>
        <v>0</v>
      </c>
      <c r="I1155" s="32"/>
      <c r="J1155" s="32">
        <f t="shared" si="264"/>
        <v>0</v>
      </c>
      <c r="K1155" s="33">
        <v>1151</v>
      </c>
    </row>
    <row r="1156" spans="1:11" ht="30" hidden="1" outlineLevel="1" x14ac:dyDescent="0.25">
      <c r="A1156" s="31"/>
      <c r="B1156" s="17" t="s">
        <v>71</v>
      </c>
      <c r="C1156" s="32"/>
      <c r="D1156" s="32"/>
      <c r="E1156" s="32"/>
      <c r="F1156" s="32"/>
      <c r="G1156" s="32"/>
      <c r="H1156" s="32">
        <f t="shared" si="265"/>
        <v>0</v>
      </c>
      <c r="I1156" s="32"/>
      <c r="J1156" s="32">
        <f t="shared" si="264"/>
        <v>0</v>
      </c>
      <c r="K1156" s="33">
        <v>1152</v>
      </c>
    </row>
    <row r="1157" spans="1:11" hidden="1" outlineLevel="1" x14ac:dyDescent="0.25">
      <c r="A1157" s="31"/>
      <c r="B1157" s="16" t="s">
        <v>72</v>
      </c>
      <c r="C1157" s="32"/>
      <c r="D1157" s="32"/>
      <c r="E1157" s="32"/>
      <c r="F1157" s="32"/>
      <c r="G1157" s="32"/>
      <c r="H1157" s="32">
        <f t="shared" si="265"/>
        <v>0</v>
      </c>
      <c r="I1157" s="32"/>
      <c r="J1157" s="32">
        <f t="shared" ref="J1157:J1200" si="279">+I1157-H1157</f>
        <v>0</v>
      </c>
      <c r="K1157" s="33">
        <v>1153</v>
      </c>
    </row>
    <row r="1158" spans="1:11" ht="30" hidden="1" outlineLevel="1" x14ac:dyDescent="0.25">
      <c r="A1158" s="31"/>
      <c r="B1158" s="17" t="s">
        <v>73</v>
      </c>
      <c r="C1158" s="32"/>
      <c r="D1158" s="32"/>
      <c r="E1158" s="32"/>
      <c r="F1158" s="32"/>
      <c r="G1158" s="32"/>
      <c r="H1158" s="32">
        <f t="shared" ref="H1158:H1175" si="280">+SUM(C1158:G1158)</f>
        <v>0</v>
      </c>
      <c r="I1158" s="32"/>
      <c r="J1158" s="32">
        <f t="shared" si="279"/>
        <v>0</v>
      </c>
      <c r="K1158" s="33">
        <v>1154</v>
      </c>
    </row>
    <row r="1159" spans="1:11" hidden="1" outlineLevel="1" x14ac:dyDescent="0.25">
      <c r="A1159" s="28"/>
      <c r="B1159" s="15" t="s">
        <v>74</v>
      </c>
      <c r="C1159" s="29">
        <f t="shared" ref="C1159:G1159" si="281">+SUM(C1160:C1162)</f>
        <v>0</v>
      </c>
      <c r="D1159" s="29">
        <f t="shared" si="281"/>
        <v>0</v>
      </c>
      <c r="E1159" s="29">
        <f t="shared" si="281"/>
        <v>0</v>
      </c>
      <c r="F1159" s="29">
        <f t="shared" si="281"/>
        <v>0</v>
      </c>
      <c r="G1159" s="29">
        <f t="shared" si="281"/>
        <v>0</v>
      </c>
      <c r="H1159" s="29">
        <f t="shared" si="280"/>
        <v>0</v>
      </c>
      <c r="I1159" s="29"/>
      <c r="J1159" s="29">
        <f t="shared" si="279"/>
        <v>0</v>
      </c>
      <c r="K1159" s="30">
        <v>1155</v>
      </c>
    </row>
    <row r="1160" spans="1:11" ht="30" hidden="1" outlineLevel="1" x14ac:dyDescent="0.25">
      <c r="A1160" s="34"/>
      <c r="B1160" s="17" t="s">
        <v>75</v>
      </c>
      <c r="C1160" s="35"/>
      <c r="D1160" s="35"/>
      <c r="E1160" s="35"/>
      <c r="F1160" s="35"/>
      <c r="G1160" s="35"/>
      <c r="H1160" s="35">
        <f t="shared" si="280"/>
        <v>0</v>
      </c>
      <c r="I1160" s="35"/>
      <c r="J1160" s="35">
        <f t="shared" si="279"/>
        <v>0</v>
      </c>
      <c r="K1160" s="36">
        <v>1156</v>
      </c>
    </row>
    <row r="1161" spans="1:11" ht="30" hidden="1" outlineLevel="1" x14ac:dyDescent="0.25">
      <c r="A1161" s="34"/>
      <c r="B1161" s="17" t="s">
        <v>76</v>
      </c>
      <c r="C1161" s="35"/>
      <c r="D1161" s="35"/>
      <c r="E1161" s="35"/>
      <c r="F1161" s="35"/>
      <c r="G1161" s="35"/>
      <c r="H1161" s="35">
        <f t="shared" si="280"/>
        <v>0</v>
      </c>
      <c r="I1161" s="35"/>
      <c r="J1161" s="35">
        <f t="shared" si="279"/>
        <v>0</v>
      </c>
      <c r="K1161" s="36">
        <v>1157</v>
      </c>
    </row>
    <row r="1162" spans="1:11" ht="30" hidden="1" outlineLevel="1" x14ac:dyDescent="0.25">
      <c r="A1162" s="34"/>
      <c r="B1162" s="17" t="s">
        <v>77</v>
      </c>
      <c r="C1162" s="35"/>
      <c r="D1162" s="35"/>
      <c r="E1162" s="35"/>
      <c r="F1162" s="35"/>
      <c r="G1162" s="35"/>
      <c r="H1162" s="35">
        <f t="shared" si="280"/>
        <v>0</v>
      </c>
      <c r="I1162" s="35"/>
      <c r="J1162" s="35">
        <f t="shared" si="279"/>
        <v>0</v>
      </c>
      <c r="K1162" s="36">
        <v>1158</v>
      </c>
    </row>
    <row r="1163" spans="1:11" hidden="1" outlineLevel="1" x14ac:dyDescent="0.25">
      <c r="A1163" s="28"/>
      <c r="B1163" s="15" t="s">
        <v>78</v>
      </c>
      <c r="C1163" s="29">
        <f t="shared" ref="C1163:G1163" si="282">+SUM(C1164:C1168)</f>
        <v>0</v>
      </c>
      <c r="D1163" s="29">
        <f t="shared" si="282"/>
        <v>0</v>
      </c>
      <c r="E1163" s="29">
        <f t="shared" si="282"/>
        <v>0</v>
      </c>
      <c r="F1163" s="29">
        <f t="shared" si="282"/>
        <v>0</v>
      </c>
      <c r="G1163" s="29">
        <f t="shared" si="282"/>
        <v>0</v>
      </c>
      <c r="H1163" s="29">
        <f t="shared" si="280"/>
        <v>0</v>
      </c>
      <c r="I1163" s="29"/>
      <c r="J1163" s="29">
        <f t="shared" si="279"/>
        <v>0</v>
      </c>
      <c r="K1163" s="30">
        <v>1159</v>
      </c>
    </row>
    <row r="1164" spans="1:11" hidden="1" outlineLevel="1" x14ac:dyDescent="0.25">
      <c r="A1164" s="34"/>
      <c r="B1164" s="18" t="s">
        <v>79</v>
      </c>
      <c r="C1164" s="35"/>
      <c r="D1164" s="35"/>
      <c r="E1164" s="35"/>
      <c r="F1164" s="35"/>
      <c r="G1164" s="35"/>
      <c r="H1164" s="35">
        <f t="shared" si="280"/>
        <v>0</v>
      </c>
      <c r="I1164" s="35"/>
      <c r="J1164" s="35">
        <f t="shared" si="279"/>
        <v>0</v>
      </c>
      <c r="K1164" s="36">
        <v>1160</v>
      </c>
    </row>
    <row r="1165" spans="1:11" ht="30" hidden="1" outlineLevel="1" x14ac:dyDescent="0.25">
      <c r="A1165" s="34"/>
      <c r="B1165" s="17" t="s">
        <v>80</v>
      </c>
      <c r="C1165" s="35"/>
      <c r="D1165" s="35"/>
      <c r="E1165" s="35"/>
      <c r="F1165" s="35"/>
      <c r="G1165" s="35"/>
      <c r="H1165" s="35">
        <f t="shared" si="280"/>
        <v>0</v>
      </c>
      <c r="I1165" s="35"/>
      <c r="J1165" s="35">
        <f t="shared" si="279"/>
        <v>0</v>
      </c>
      <c r="K1165" s="36">
        <v>1161</v>
      </c>
    </row>
    <row r="1166" spans="1:11" hidden="1" outlineLevel="1" collapsed="1" x14ac:dyDescent="0.25">
      <c r="A1166" s="34"/>
      <c r="B1166" s="17" t="s">
        <v>81</v>
      </c>
      <c r="C1166" s="35"/>
      <c r="D1166" s="35"/>
      <c r="E1166" s="35"/>
      <c r="F1166" s="35"/>
      <c r="G1166" s="35"/>
      <c r="H1166" s="35">
        <f t="shared" si="280"/>
        <v>0</v>
      </c>
      <c r="I1166" s="35"/>
      <c r="J1166" s="35">
        <f t="shared" si="279"/>
        <v>0</v>
      </c>
      <c r="K1166" s="36">
        <v>1162</v>
      </c>
    </row>
    <row r="1167" spans="1:11" hidden="1" outlineLevel="1" x14ac:dyDescent="0.25">
      <c r="A1167" s="34"/>
      <c r="B1167" s="18" t="s">
        <v>82</v>
      </c>
      <c r="C1167" s="35"/>
      <c r="D1167" s="35"/>
      <c r="E1167" s="35"/>
      <c r="F1167" s="35"/>
      <c r="G1167" s="35"/>
      <c r="H1167" s="35">
        <f t="shared" si="280"/>
        <v>0</v>
      </c>
      <c r="I1167" s="35"/>
      <c r="J1167" s="35">
        <f t="shared" si="279"/>
        <v>0</v>
      </c>
      <c r="K1167" s="36">
        <v>1163</v>
      </c>
    </row>
    <row r="1168" spans="1:11" ht="30" hidden="1" outlineLevel="1" x14ac:dyDescent="0.25">
      <c r="A1168" s="34"/>
      <c r="B1168" s="17" t="s">
        <v>83</v>
      </c>
      <c r="C1168" s="35"/>
      <c r="D1168" s="35"/>
      <c r="E1168" s="35"/>
      <c r="F1168" s="35"/>
      <c r="G1168" s="35"/>
      <c r="H1168" s="35">
        <f t="shared" si="280"/>
        <v>0</v>
      </c>
      <c r="I1168" s="35"/>
      <c r="J1168" s="35">
        <f t="shared" si="279"/>
        <v>0</v>
      </c>
      <c r="K1168" s="36">
        <v>1164</v>
      </c>
    </row>
    <row r="1169" spans="1:11" hidden="1" outlineLevel="1" x14ac:dyDescent="0.25">
      <c r="A1169" s="28"/>
      <c r="B1169" s="15" t="s">
        <v>84</v>
      </c>
      <c r="C1169" s="29">
        <f>+SUM(C1170:C1174)</f>
        <v>0</v>
      </c>
      <c r="D1169" s="29">
        <f t="shared" ref="D1169:G1169" si="283">+SUM(D1170:D1174)</f>
        <v>0</v>
      </c>
      <c r="E1169" s="29">
        <f t="shared" si="283"/>
        <v>0</v>
      </c>
      <c r="F1169" s="29">
        <f t="shared" si="283"/>
        <v>0</v>
      </c>
      <c r="G1169" s="29">
        <f t="shared" si="283"/>
        <v>0</v>
      </c>
      <c r="H1169" s="29">
        <f t="shared" si="280"/>
        <v>0</v>
      </c>
      <c r="I1169" s="29"/>
      <c r="J1169" s="29">
        <f t="shared" si="279"/>
        <v>0</v>
      </c>
      <c r="K1169" s="30">
        <v>1165</v>
      </c>
    </row>
    <row r="1170" spans="1:11" hidden="1" outlineLevel="1" x14ac:dyDescent="0.25">
      <c r="A1170" s="34"/>
      <c r="B1170" s="17"/>
      <c r="C1170" s="35"/>
      <c r="D1170" s="35"/>
      <c r="E1170" s="35"/>
      <c r="F1170" s="35"/>
      <c r="G1170" s="35"/>
      <c r="H1170" s="35">
        <f t="shared" si="280"/>
        <v>0</v>
      </c>
      <c r="I1170" s="35"/>
      <c r="J1170" s="35">
        <f t="shared" si="279"/>
        <v>0</v>
      </c>
      <c r="K1170" s="36">
        <v>1166</v>
      </c>
    </row>
    <row r="1171" spans="1:11" hidden="1" outlineLevel="1" x14ac:dyDescent="0.25">
      <c r="A1171" s="34"/>
      <c r="B1171" s="17"/>
      <c r="C1171" s="35"/>
      <c r="D1171" s="35"/>
      <c r="E1171" s="35"/>
      <c r="F1171" s="35"/>
      <c r="G1171" s="35"/>
      <c r="H1171" s="35">
        <f t="shared" si="280"/>
        <v>0</v>
      </c>
      <c r="I1171" s="35"/>
      <c r="J1171" s="35">
        <f t="shared" si="279"/>
        <v>0</v>
      </c>
      <c r="K1171" s="36">
        <v>1167</v>
      </c>
    </row>
    <row r="1172" spans="1:11" hidden="1" outlineLevel="1" x14ac:dyDescent="0.25">
      <c r="A1172" s="34"/>
      <c r="B1172" s="17"/>
      <c r="C1172" s="35"/>
      <c r="D1172" s="35"/>
      <c r="E1172" s="35"/>
      <c r="F1172" s="35"/>
      <c r="G1172" s="35"/>
      <c r="H1172" s="35">
        <f t="shared" si="280"/>
        <v>0</v>
      </c>
      <c r="I1172" s="35"/>
      <c r="J1172" s="35">
        <f t="shared" si="279"/>
        <v>0</v>
      </c>
      <c r="K1172" s="36">
        <v>1168</v>
      </c>
    </row>
    <row r="1173" spans="1:11" hidden="1" outlineLevel="1" collapsed="1" x14ac:dyDescent="0.25">
      <c r="A1173" s="34"/>
      <c r="B1173" s="17" t="s">
        <v>86</v>
      </c>
      <c r="C1173" s="35"/>
      <c r="D1173" s="35"/>
      <c r="E1173" s="35"/>
      <c r="F1173" s="35"/>
      <c r="G1173" s="35"/>
      <c r="H1173" s="35">
        <f t="shared" si="280"/>
        <v>0</v>
      </c>
      <c r="I1173" s="35"/>
      <c r="J1173" s="35">
        <f t="shared" si="279"/>
        <v>0</v>
      </c>
      <c r="K1173" s="36">
        <v>1169</v>
      </c>
    </row>
    <row r="1174" spans="1:11" hidden="1" outlineLevel="1" x14ac:dyDescent="0.25">
      <c r="A1174" s="34"/>
      <c r="B1174" s="17"/>
      <c r="C1174" s="35"/>
      <c r="D1174" s="35"/>
      <c r="E1174" s="35"/>
      <c r="F1174" s="35"/>
      <c r="G1174" s="35"/>
      <c r="H1174" s="35">
        <f t="shared" si="280"/>
        <v>0</v>
      </c>
      <c r="I1174" s="35"/>
      <c r="J1174" s="35">
        <f t="shared" si="279"/>
        <v>0</v>
      </c>
      <c r="K1174" s="36">
        <v>1170</v>
      </c>
    </row>
    <row r="1175" spans="1:11" ht="30" collapsed="1" x14ac:dyDescent="0.25">
      <c r="A1175" s="40" t="s">
        <v>188</v>
      </c>
      <c r="B1175" s="10" t="s">
        <v>189</v>
      </c>
      <c r="C1175" s="26">
        <f t="shared" ref="C1175:G1175" si="284">+C1176+C1185+C1189+C1195</f>
        <v>0</v>
      </c>
      <c r="D1175" s="26">
        <f t="shared" si="284"/>
        <v>0</v>
      </c>
      <c r="E1175" s="26">
        <f t="shared" si="284"/>
        <v>0</v>
      </c>
      <c r="F1175" s="26">
        <f t="shared" si="284"/>
        <v>0</v>
      </c>
      <c r="G1175" s="26">
        <f t="shared" si="284"/>
        <v>0</v>
      </c>
      <c r="H1175" s="26">
        <f t="shared" si="280"/>
        <v>0</v>
      </c>
      <c r="I1175" s="26">
        <v>0</v>
      </c>
      <c r="J1175" s="26">
        <f t="shared" si="279"/>
        <v>0</v>
      </c>
      <c r="K1175" s="27">
        <v>1171</v>
      </c>
    </row>
    <row r="1176" spans="1:11" hidden="1" outlineLevel="1" x14ac:dyDescent="0.25">
      <c r="A1176" s="28"/>
      <c r="B1176" s="15" t="s">
        <v>65</v>
      </c>
      <c r="C1176" s="29">
        <f t="shared" ref="C1176:H1176" si="285">+SUM(C1177:C1184)</f>
        <v>0</v>
      </c>
      <c r="D1176" s="29">
        <f t="shared" si="285"/>
        <v>0</v>
      </c>
      <c r="E1176" s="29">
        <f t="shared" si="285"/>
        <v>0</v>
      </c>
      <c r="F1176" s="29">
        <f t="shared" si="285"/>
        <v>0</v>
      </c>
      <c r="G1176" s="29">
        <f t="shared" si="285"/>
        <v>0</v>
      </c>
      <c r="H1176" s="29">
        <f t="shared" si="285"/>
        <v>0</v>
      </c>
      <c r="I1176" s="29">
        <v>0</v>
      </c>
      <c r="J1176" s="29">
        <f t="shared" si="279"/>
        <v>0</v>
      </c>
      <c r="K1176" s="30">
        <v>4</v>
      </c>
    </row>
    <row r="1177" spans="1:11" hidden="1" outlineLevel="1" x14ac:dyDescent="0.25">
      <c r="A1177" s="31"/>
      <c r="B1177" s="16" t="s">
        <v>66</v>
      </c>
      <c r="C1177" s="32"/>
      <c r="D1177" s="32"/>
      <c r="E1177" s="32"/>
      <c r="F1177" s="32"/>
      <c r="G1177" s="32"/>
      <c r="H1177" s="32"/>
      <c r="I1177" s="32"/>
      <c r="J1177" s="32">
        <f t="shared" si="279"/>
        <v>0</v>
      </c>
      <c r="K1177" s="33">
        <v>5</v>
      </c>
    </row>
    <row r="1178" spans="1:11" hidden="1" outlineLevel="1" x14ac:dyDescent="0.25">
      <c r="A1178" s="31"/>
      <c r="B1178" s="17" t="s">
        <v>67</v>
      </c>
      <c r="C1178" s="32"/>
      <c r="D1178" s="32"/>
      <c r="E1178" s="32"/>
      <c r="F1178" s="32"/>
      <c r="G1178" s="32"/>
      <c r="H1178" s="32"/>
      <c r="I1178" s="32"/>
      <c r="J1178" s="32">
        <f t="shared" si="279"/>
        <v>0</v>
      </c>
      <c r="K1178" s="33">
        <v>6</v>
      </c>
    </row>
    <row r="1179" spans="1:11" ht="30" hidden="1" outlineLevel="1" x14ac:dyDescent="0.25">
      <c r="A1179" s="31"/>
      <c r="B1179" s="17" t="s">
        <v>68</v>
      </c>
      <c r="C1179" s="32"/>
      <c r="D1179" s="32"/>
      <c r="E1179" s="32"/>
      <c r="F1179" s="32"/>
      <c r="G1179" s="32"/>
      <c r="H1179" s="32"/>
      <c r="I1179" s="32"/>
      <c r="J1179" s="32">
        <f t="shared" si="279"/>
        <v>0</v>
      </c>
      <c r="K1179" s="33">
        <v>7</v>
      </c>
    </row>
    <row r="1180" spans="1:11" hidden="1" outlineLevel="1" x14ac:dyDescent="0.25">
      <c r="A1180" s="31"/>
      <c r="B1180" s="16" t="s">
        <v>69</v>
      </c>
      <c r="C1180" s="32"/>
      <c r="D1180" s="32"/>
      <c r="E1180" s="32"/>
      <c r="F1180" s="32"/>
      <c r="G1180" s="32"/>
      <c r="H1180" s="32"/>
      <c r="I1180" s="32"/>
      <c r="J1180" s="32">
        <f t="shared" si="279"/>
        <v>0</v>
      </c>
      <c r="K1180" s="33">
        <v>8</v>
      </c>
    </row>
    <row r="1181" spans="1:11" hidden="1" outlineLevel="1" x14ac:dyDescent="0.25">
      <c r="A1181" s="31"/>
      <c r="B1181" s="17" t="s">
        <v>70</v>
      </c>
      <c r="C1181" s="32"/>
      <c r="D1181" s="32"/>
      <c r="E1181" s="32"/>
      <c r="F1181" s="32"/>
      <c r="G1181" s="32"/>
      <c r="H1181" s="32"/>
      <c r="I1181" s="32"/>
      <c r="J1181" s="32">
        <f t="shared" si="279"/>
        <v>0</v>
      </c>
      <c r="K1181" s="33">
        <v>9</v>
      </c>
    </row>
    <row r="1182" spans="1:11" ht="30" hidden="1" outlineLevel="1" x14ac:dyDescent="0.25">
      <c r="A1182" s="31"/>
      <c r="B1182" s="17" t="s">
        <v>71</v>
      </c>
      <c r="C1182" s="32"/>
      <c r="D1182" s="32"/>
      <c r="E1182" s="32"/>
      <c r="F1182" s="32"/>
      <c r="G1182" s="32"/>
      <c r="H1182" s="32"/>
      <c r="I1182" s="32"/>
      <c r="J1182" s="32">
        <f t="shared" si="279"/>
        <v>0</v>
      </c>
      <c r="K1182" s="33">
        <v>10</v>
      </c>
    </row>
    <row r="1183" spans="1:11" hidden="1" outlineLevel="1" x14ac:dyDescent="0.25">
      <c r="A1183" s="31"/>
      <c r="B1183" s="16" t="s">
        <v>72</v>
      </c>
      <c r="C1183" s="32"/>
      <c r="D1183" s="32"/>
      <c r="E1183" s="32"/>
      <c r="F1183" s="32"/>
      <c r="G1183" s="32"/>
      <c r="H1183" s="32"/>
      <c r="I1183" s="32"/>
      <c r="J1183" s="32">
        <f t="shared" si="279"/>
        <v>0</v>
      </c>
      <c r="K1183" s="33">
        <v>11</v>
      </c>
    </row>
    <row r="1184" spans="1:11" ht="30" hidden="1" outlineLevel="1" x14ac:dyDescent="0.25">
      <c r="A1184" s="31"/>
      <c r="B1184" s="17" t="s">
        <v>73</v>
      </c>
      <c r="C1184" s="32"/>
      <c r="D1184" s="32"/>
      <c r="E1184" s="32"/>
      <c r="F1184" s="32"/>
      <c r="G1184" s="32"/>
      <c r="H1184" s="32"/>
      <c r="I1184" s="32"/>
      <c r="J1184" s="32">
        <f t="shared" si="279"/>
        <v>0</v>
      </c>
      <c r="K1184" s="33">
        <v>12</v>
      </c>
    </row>
    <row r="1185" spans="1:11" hidden="1" outlineLevel="1" x14ac:dyDescent="0.25">
      <c r="A1185" s="28"/>
      <c r="B1185" s="15" t="s">
        <v>74</v>
      </c>
      <c r="C1185" s="29">
        <f t="shared" ref="C1185:H1185" si="286">+SUM(C1186:C1188)</f>
        <v>0</v>
      </c>
      <c r="D1185" s="29">
        <f t="shared" si="286"/>
        <v>0</v>
      </c>
      <c r="E1185" s="29">
        <f t="shared" si="286"/>
        <v>0</v>
      </c>
      <c r="F1185" s="29">
        <f t="shared" si="286"/>
        <v>0</v>
      </c>
      <c r="G1185" s="29">
        <f t="shared" si="286"/>
        <v>0</v>
      </c>
      <c r="H1185" s="29">
        <f t="shared" si="286"/>
        <v>0</v>
      </c>
      <c r="I1185" s="29"/>
      <c r="J1185" s="29">
        <f t="shared" si="279"/>
        <v>0</v>
      </c>
      <c r="K1185" s="30">
        <v>13</v>
      </c>
    </row>
    <row r="1186" spans="1:11" ht="30" hidden="1" outlineLevel="1" x14ac:dyDescent="0.25">
      <c r="A1186" s="34"/>
      <c r="B1186" s="17" t="s">
        <v>75</v>
      </c>
      <c r="C1186" s="35"/>
      <c r="D1186" s="35"/>
      <c r="E1186" s="35"/>
      <c r="F1186" s="35"/>
      <c r="G1186" s="35"/>
      <c r="H1186" s="35"/>
      <c r="I1186" s="35"/>
      <c r="J1186" s="35">
        <f t="shared" si="279"/>
        <v>0</v>
      </c>
      <c r="K1186" s="36">
        <v>14</v>
      </c>
    </row>
    <row r="1187" spans="1:11" ht="30" hidden="1" outlineLevel="1" x14ac:dyDescent="0.25">
      <c r="A1187" s="34"/>
      <c r="B1187" s="17" t="s">
        <v>76</v>
      </c>
      <c r="C1187" s="35"/>
      <c r="D1187" s="35"/>
      <c r="E1187" s="35"/>
      <c r="F1187" s="35"/>
      <c r="G1187" s="35"/>
      <c r="H1187" s="35"/>
      <c r="I1187" s="35"/>
      <c r="J1187" s="35">
        <f t="shared" si="279"/>
        <v>0</v>
      </c>
      <c r="K1187" s="36">
        <v>15</v>
      </c>
    </row>
    <row r="1188" spans="1:11" ht="30" hidden="1" outlineLevel="1" x14ac:dyDescent="0.25">
      <c r="A1188" s="34"/>
      <c r="B1188" s="17" t="s">
        <v>77</v>
      </c>
      <c r="C1188" s="35"/>
      <c r="D1188" s="35"/>
      <c r="E1188" s="35"/>
      <c r="F1188" s="35"/>
      <c r="G1188" s="35"/>
      <c r="H1188" s="35"/>
      <c r="I1188" s="35"/>
      <c r="J1188" s="35">
        <f t="shared" si="279"/>
        <v>0</v>
      </c>
      <c r="K1188" s="36">
        <v>16</v>
      </c>
    </row>
    <row r="1189" spans="1:11" hidden="1" outlineLevel="1" x14ac:dyDescent="0.25">
      <c r="A1189" s="28"/>
      <c r="B1189" s="15" t="s">
        <v>78</v>
      </c>
      <c r="C1189" s="29">
        <f t="shared" ref="C1189:H1189" si="287">+SUM(C1190:C1194)</f>
        <v>0</v>
      </c>
      <c r="D1189" s="29">
        <f t="shared" si="287"/>
        <v>0</v>
      </c>
      <c r="E1189" s="29">
        <f t="shared" si="287"/>
        <v>0</v>
      </c>
      <c r="F1189" s="29">
        <f t="shared" si="287"/>
        <v>0</v>
      </c>
      <c r="G1189" s="29">
        <f t="shared" si="287"/>
        <v>0</v>
      </c>
      <c r="H1189" s="29">
        <f t="shared" si="287"/>
        <v>0</v>
      </c>
      <c r="I1189" s="29"/>
      <c r="J1189" s="29">
        <f t="shared" si="279"/>
        <v>0</v>
      </c>
      <c r="K1189" s="30">
        <v>17</v>
      </c>
    </row>
    <row r="1190" spans="1:11" hidden="1" outlineLevel="1" x14ac:dyDescent="0.25">
      <c r="A1190" s="34"/>
      <c r="B1190" s="18" t="s">
        <v>79</v>
      </c>
      <c r="C1190" s="35"/>
      <c r="D1190" s="35"/>
      <c r="E1190" s="35"/>
      <c r="F1190" s="35"/>
      <c r="G1190" s="35"/>
      <c r="H1190" s="35"/>
      <c r="I1190" s="35"/>
      <c r="J1190" s="35">
        <f t="shared" si="279"/>
        <v>0</v>
      </c>
      <c r="K1190" s="36">
        <v>18</v>
      </c>
    </row>
    <row r="1191" spans="1:11" ht="30" hidden="1" outlineLevel="1" x14ac:dyDescent="0.25">
      <c r="A1191" s="34"/>
      <c r="B1191" s="17" t="s">
        <v>80</v>
      </c>
      <c r="C1191" s="35"/>
      <c r="D1191" s="35"/>
      <c r="E1191" s="35"/>
      <c r="F1191" s="35"/>
      <c r="G1191" s="35"/>
      <c r="H1191" s="35"/>
      <c r="I1191" s="35"/>
      <c r="J1191" s="35">
        <f t="shared" si="279"/>
        <v>0</v>
      </c>
      <c r="K1191" s="36">
        <v>19</v>
      </c>
    </row>
    <row r="1192" spans="1:11" hidden="1" outlineLevel="1" collapsed="1" x14ac:dyDescent="0.25">
      <c r="A1192" s="34"/>
      <c r="B1192" s="17" t="s">
        <v>81</v>
      </c>
      <c r="C1192" s="35"/>
      <c r="D1192" s="35"/>
      <c r="E1192" s="35"/>
      <c r="F1192" s="35"/>
      <c r="G1192" s="35"/>
      <c r="H1192" s="35"/>
      <c r="I1192" s="35"/>
      <c r="J1192" s="35">
        <f t="shared" si="279"/>
        <v>0</v>
      </c>
      <c r="K1192" s="36">
        <v>20</v>
      </c>
    </row>
    <row r="1193" spans="1:11" hidden="1" outlineLevel="1" x14ac:dyDescent="0.25">
      <c r="A1193" s="34"/>
      <c r="B1193" s="18" t="s">
        <v>82</v>
      </c>
      <c r="C1193" s="35"/>
      <c r="D1193" s="35"/>
      <c r="E1193" s="35"/>
      <c r="F1193" s="35"/>
      <c r="G1193" s="35"/>
      <c r="H1193" s="35"/>
      <c r="I1193" s="35"/>
      <c r="J1193" s="35">
        <f t="shared" si="279"/>
        <v>0</v>
      </c>
      <c r="K1193" s="36">
        <v>21</v>
      </c>
    </row>
    <row r="1194" spans="1:11" ht="30" hidden="1" outlineLevel="1" x14ac:dyDescent="0.25">
      <c r="A1194" s="34"/>
      <c r="B1194" s="17" t="s">
        <v>83</v>
      </c>
      <c r="C1194" s="35"/>
      <c r="D1194" s="35"/>
      <c r="E1194" s="35"/>
      <c r="F1194" s="35"/>
      <c r="G1194" s="35"/>
      <c r="H1194" s="35"/>
      <c r="I1194" s="35"/>
      <c r="J1194" s="35">
        <f t="shared" si="279"/>
        <v>0</v>
      </c>
      <c r="K1194" s="36">
        <v>22</v>
      </c>
    </row>
    <row r="1195" spans="1:11" hidden="1" outlineLevel="1" x14ac:dyDescent="0.25">
      <c r="A1195" s="28"/>
      <c r="B1195" s="15" t="s">
        <v>84</v>
      </c>
      <c r="C1195" s="29">
        <f>+SUM(C1196:C1200)</f>
        <v>0</v>
      </c>
      <c r="D1195" s="29">
        <f t="shared" ref="D1195:H1195" si="288">+SUM(D1196:D1200)</f>
        <v>0</v>
      </c>
      <c r="E1195" s="29">
        <f t="shared" si="288"/>
        <v>0</v>
      </c>
      <c r="F1195" s="29">
        <f t="shared" si="288"/>
        <v>0</v>
      </c>
      <c r="G1195" s="29">
        <f t="shared" si="288"/>
        <v>0</v>
      </c>
      <c r="H1195" s="29">
        <f t="shared" si="288"/>
        <v>0</v>
      </c>
      <c r="I1195" s="29"/>
      <c r="J1195" s="29">
        <f t="shared" si="279"/>
        <v>0</v>
      </c>
      <c r="K1195" s="30">
        <v>23</v>
      </c>
    </row>
    <row r="1196" spans="1:11" hidden="1" outlineLevel="1" x14ac:dyDescent="0.25">
      <c r="A1196" s="34"/>
      <c r="B1196" s="17"/>
      <c r="C1196" s="35"/>
      <c r="D1196" s="35"/>
      <c r="E1196" s="35"/>
      <c r="F1196" s="35"/>
      <c r="G1196" s="35"/>
      <c r="H1196" s="35"/>
      <c r="I1196" s="35"/>
      <c r="J1196" s="35">
        <f t="shared" si="279"/>
        <v>0</v>
      </c>
      <c r="K1196" s="36">
        <v>24</v>
      </c>
    </row>
    <row r="1197" spans="1:11" hidden="1" outlineLevel="1" x14ac:dyDescent="0.25">
      <c r="A1197" s="34"/>
      <c r="B1197" s="17"/>
      <c r="C1197" s="35"/>
      <c r="D1197" s="35"/>
      <c r="E1197" s="35"/>
      <c r="F1197" s="35"/>
      <c r="G1197" s="35"/>
      <c r="H1197" s="35"/>
      <c r="I1197" s="35"/>
      <c r="J1197" s="35">
        <f t="shared" si="279"/>
        <v>0</v>
      </c>
      <c r="K1197" s="36">
        <v>25</v>
      </c>
    </row>
    <row r="1198" spans="1:11" hidden="1" outlineLevel="1" x14ac:dyDescent="0.25">
      <c r="A1198" s="34"/>
      <c r="B1198" s="17"/>
      <c r="C1198" s="35"/>
      <c r="D1198" s="35"/>
      <c r="E1198" s="35"/>
      <c r="F1198" s="35"/>
      <c r="G1198" s="35"/>
      <c r="H1198" s="35"/>
      <c r="I1198" s="35"/>
      <c r="J1198" s="35">
        <f t="shared" si="279"/>
        <v>0</v>
      </c>
      <c r="K1198" s="36">
        <v>26</v>
      </c>
    </row>
    <row r="1199" spans="1:11" hidden="1" outlineLevel="1" collapsed="1" x14ac:dyDescent="0.25">
      <c r="A1199" s="34"/>
      <c r="B1199" s="17" t="s">
        <v>86</v>
      </c>
      <c r="C1199" s="35"/>
      <c r="D1199" s="35"/>
      <c r="E1199" s="35"/>
      <c r="F1199" s="35"/>
      <c r="G1199" s="35"/>
      <c r="H1199" s="35"/>
      <c r="I1199" s="35"/>
      <c r="J1199" s="35">
        <f t="shared" si="279"/>
        <v>0</v>
      </c>
      <c r="K1199" s="36">
        <v>27</v>
      </c>
    </row>
    <row r="1200" spans="1:11" hidden="1" outlineLevel="1" x14ac:dyDescent="0.25">
      <c r="A1200" s="34"/>
      <c r="B1200" s="17"/>
      <c r="C1200" s="35"/>
      <c r="D1200" s="35"/>
      <c r="E1200" s="35"/>
      <c r="F1200" s="35"/>
      <c r="G1200" s="35"/>
      <c r="H1200" s="35"/>
      <c r="I1200" s="35"/>
      <c r="J1200" s="35">
        <f t="shared" si="279"/>
        <v>0</v>
      </c>
      <c r="K1200" s="36">
        <v>28</v>
      </c>
    </row>
    <row r="1201" spans="2:11" collapsed="1" x14ac:dyDescent="0.25">
      <c r="B1201" s="1" t="s">
        <v>45</v>
      </c>
      <c r="C1201" s="9">
        <f>+C989+C725+C486+C352+C244+C5</f>
        <v>0</v>
      </c>
      <c r="D1201" s="9">
        <f t="shared" ref="D1201:G1201" si="289">+D989+D725+D486+D352+D244+D5</f>
        <v>0</v>
      </c>
      <c r="E1201" s="9">
        <f t="shared" si="289"/>
        <v>0</v>
      </c>
      <c r="F1201" s="9">
        <f t="shared" si="289"/>
        <v>0</v>
      </c>
      <c r="G1201" s="9">
        <f t="shared" si="289"/>
        <v>0</v>
      </c>
      <c r="H1201" s="9">
        <f>+SUM(C1201:G1201)</f>
        <v>0</v>
      </c>
      <c r="I1201" s="9"/>
      <c r="J1201" s="9">
        <f>+I1201-H1201</f>
        <v>0</v>
      </c>
      <c r="K1201" s="22"/>
    </row>
    <row r="1202" spans="2:11" x14ac:dyDescent="0.25">
      <c r="K1202" s="22"/>
    </row>
    <row r="1203" spans="2:11" x14ac:dyDescent="0.25">
      <c r="K1203" s="22"/>
    </row>
    <row r="1204" spans="2:11" x14ac:dyDescent="0.25">
      <c r="K1204" s="22"/>
    </row>
    <row r="1205" spans="2:11" x14ac:dyDescent="0.25">
      <c r="K1205" s="22"/>
    </row>
    <row r="1206" spans="2:11" x14ac:dyDescent="0.25">
      <c r="K1206" s="22"/>
    </row>
    <row r="1207" spans="2:11" x14ac:dyDescent="0.25">
      <c r="K1207" s="22"/>
    </row>
    <row r="1208" spans="2:11" x14ac:dyDescent="0.25">
      <c r="K1208" s="22"/>
    </row>
    <row r="1209" spans="2:11" x14ac:dyDescent="0.25">
      <c r="K1209" s="22"/>
    </row>
    <row r="1210" spans="2:11" x14ac:dyDescent="0.25">
      <c r="K1210" s="22"/>
    </row>
    <row r="1211" spans="2:11" x14ac:dyDescent="0.25">
      <c r="K1211" s="22"/>
    </row>
    <row r="1212" spans="2:11" x14ac:dyDescent="0.25">
      <c r="K1212" s="22"/>
    </row>
    <row r="1213" spans="2:11" x14ac:dyDescent="0.25">
      <c r="K1213" s="22"/>
    </row>
    <row r="1214" spans="2:11" x14ac:dyDescent="0.25">
      <c r="K1214" s="22"/>
    </row>
    <row r="1215" spans="2:11" x14ac:dyDescent="0.25">
      <c r="K1215" s="22"/>
    </row>
    <row r="1216" spans="2:11" x14ac:dyDescent="0.25">
      <c r="K1216" s="22"/>
    </row>
    <row r="1217" spans="11:11" x14ac:dyDescent="0.25">
      <c r="K1217" s="22"/>
    </row>
    <row r="1218" spans="11:11" collapsed="1" x14ac:dyDescent="0.25">
      <c r="K1218" s="22"/>
    </row>
    <row r="1219" spans="11:11" x14ac:dyDescent="0.25">
      <c r="K1219" s="22"/>
    </row>
    <row r="1220" spans="11:11" x14ac:dyDescent="0.25">
      <c r="K1220" s="22"/>
    </row>
    <row r="1221" spans="11:11" x14ac:dyDescent="0.25">
      <c r="K1221" s="22"/>
    </row>
    <row r="1222" spans="11:11" x14ac:dyDescent="0.25">
      <c r="K1222" s="22"/>
    </row>
    <row r="1223" spans="11:11" x14ac:dyDescent="0.25">
      <c r="K1223" s="22"/>
    </row>
    <row r="1224" spans="11:11" x14ac:dyDescent="0.25">
      <c r="K1224" s="22"/>
    </row>
    <row r="1225" spans="11:11" x14ac:dyDescent="0.25">
      <c r="K1225" s="22"/>
    </row>
    <row r="1226" spans="11:11" collapsed="1" x14ac:dyDescent="0.25">
      <c r="K1226" s="22"/>
    </row>
    <row r="1227" spans="11:11" x14ac:dyDescent="0.25">
      <c r="K1227" s="22"/>
    </row>
    <row r="1228" spans="11:11" x14ac:dyDescent="0.25">
      <c r="K1228" s="22"/>
    </row>
    <row r="1229" spans="11:11" x14ac:dyDescent="0.25">
      <c r="K1229" s="22"/>
    </row>
    <row r="1230" spans="11:11" x14ac:dyDescent="0.25">
      <c r="K1230" s="22"/>
    </row>
    <row r="1231" spans="11:11" x14ac:dyDescent="0.25">
      <c r="K1231" s="22"/>
    </row>
    <row r="1232" spans="11:11" x14ac:dyDescent="0.25">
      <c r="K1232" s="22"/>
    </row>
    <row r="1233" spans="11:11" x14ac:dyDescent="0.25">
      <c r="K1233" s="22"/>
    </row>
    <row r="1234" spans="11:11" x14ac:dyDescent="0.25">
      <c r="K1234" s="22"/>
    </row>
    <row r="1235" spans="11:11" x14ac:dyDescent="0.25">
      <c r="K1235" s="22"/>
    </row>
    <row r="1236" spans="11:11" x14ac:dyDescent="0.25">
      <c r="K1236" s="22"/>
    </row>
    <row r="1237" spans="11:11" x14ac:dyDescent="0.25">
      <c r="K1237" s="22"/>
    </row>
    <row r="1238" spans="11:11" x14ac:dyDescent="0.25">
      <c r="K1238" s="22"/>
    </row>
    <row r="1239" spans="11:11" x14ac:dyDescent="0.25">
      <c r="K1239" s="22"/>
    </row>
    <row r="1240" spans="11:11" x14ac:dyDescent="0.25">
      <c r="K1240" s="22"/>
    </row>
    <row r="1241" spans="11:11" x14ac:dyDescent="0.25">
      <c r="K1241" s="22"/>
    </row>
    <row r="1242" spans="11:11" x14ac:dyDescent="0.25">
      <c r="K1242" s="22"/>
    </row>
    <row r="1243" spans="11:11" x14ac:dyDescent="0.25">
      <c r="K1243" s="22"/>
    </row>
    <row r="1244" spans="11:11" x14ac:dyDescent="0.25">
      <c r="K1244" s="22"/>
    </row>
    <row r="1245" spans="11:11" collapsed="1" x14ac:dyDescent="0.25">
      <c r="K1245" s="22"/>
    </row>
    <row r="1246" spans="11:11" x14ac:dyDescent="0.25">
      <c r="K1246" s="22"/>
    </row>
    <row r="1247" spans="11:11" x14ac:dyDescent="0.25">
      <c r="K1247" s="22"/>
    </row>
    <row r="1248" spans="11:11" x14ac:dyDescent="0.25">
      <c r="K1248" s="22"/>
    </row>
    <row r="1249" spans="11:11" x14ac:dyDescent="0.25">
      <c r="K1249" s="22"/>
    </row>
    <row r="1250" spans="11:11" x14ac:dyDescent="0.25">
      <c r="K1250" s="22"/>
    </row>
    <row r="1251" spans="11:11" x14ac:dyDescent="0.25">
      <c r="K1251" s="22"/>
    </row>
    <row r="1252" spans="11:11" collapsed="1" x14ac:dyDescent="0.25">
      <c r="K1252" s="22"/>
    </row>
    <row r="1253" spans="11:11" x14ac:dyDescent="0.25">
      <c r="K1253" s="22"/>
    </row>
    <row r="1254" spans="11:11" x14ac:dyDescent="0.25">
      <c r="K1254" s="22"/>
    </row>
    <row r="1255" spans="11:11" x14ac:dyDescent="0.25">
      <c r="K1255" s="22"/>
    </row>
    <row r="1256" spans="11:11" x14ac:dyDescent="0.25">
      <c r="K1256" s="22"/>
    </row>
    <row r="1257" spans="11:11" x14ac:dyDescent="0.25">
      <c r="K1257" s="22"/>
    </row>
    <row r="1258" spans="11:11" x14ac:dyDescent="0.25">
      <c r="K1258" s="22"/>
    </row>
    <row r="1259" spans="11:11" x14ac:dyDescent="0.25">
      <c r="K1259" s="22"/>
    </row>
    <row r="1260" spans="11:11" x14ac:dyDescent="0.25">
      <c r="K1260" s="22"/>
    </row>
    <row r="1261" spans="11:11" x14ac:dyDescent="0.25">
      <c r="K1261" s="22"/>
    </row>
    <row r="1262" spans="11:11" x14ac:dyDescent="0.25">
      <c r="K1262" s="22"/>
    </row>
    <row r="1263" spans="11:11" x14ac:dyDescent="0.25">
      <c r="K1263" s="22"/>
    </row>
    <row r="1264" spans="11:11" x14ac:dyDescent="0.25">
      <c r="K1264" s="22"/>
    </row>
    <row r="1265" spans="11:11" x14ac:dyDescent="0.25">
      <c r="K1265" s="22"/>
    </row>
    <row r="1266" spans="11:11" x14ac:dyDescent="0.25">
      <c r="K1266" s="22"/>
    </row>
    <row r="1267" spans="11:11" x14ac:dyDescent="0.25">
      <c r="K1267" s="22"/>
    </row>
    <row r="1268" spans="11:11" x14ac:dyDescent="0.25">
      <c r="K1268" s="22"/>
    </row>
    <row r="1269" spans="11:11" x14ac:dyDescent="0.25">
      <c r="K1269" s="22"/>
    </row>
    <row r="1270" spans="11:11" x14ac:dyDescent="0.25">
      <c r="K1270" s="22"/>
    </row>
    <row r="1271" spans="11:11" collapsed="1" x14ac:dyDescent="0.25">
      <c r="K1271" s="22"/>
    </row>
    <row r="1272" spans="11:11" x14ac:dyDescent="0.25">
      <c r="K1272" s="22"/>
    </row>
    <row r="1273" spans="11:11" x14ac:dyDescent="0.25">
      <c r="K1273" s="22"/>
    </row>
    <row r="1274" spans="11:11" x14ac:dyDescent="0.25">
      <c r="K1274" s="22"/>
    </row>
    <row r="1275" spans="11:11" x14ac:dyDescent="0.25">
      <c r="K1275" s="22"/>
    </row>
    <row r="1276" spans="11:11" x14ac:dyDescent="0.25">
      <c r="K1276" s="22"/>
    </row>
    <row r="1277" spans="11:11" x14ac:dyDescent="0.25">
      <c r="K1277" s="22"/>
    </row>
    <row r="1278" spans="11:11" x14ac:dyDescent="0.25">
      <c r="K1278" s="22"/>
    </row>
    <row r="1279" spans="11:11" x14ac:dyDescent="0.25">
      <c r="K1279" s="22"/>
    </row>
    <row r="1280" spans="11:11" collapsed="1" x14ac:dyDescent="0.25">
      <c r="K1280" s="22"/>
    </row>
    <row r="1281" spans="11:11" x14ac:dyDescent="0.25">
      <c r="K1281" s="22"/>
    </row>
    <row r="1282" spans="11:11" x14ac:dyDescent="0.25">
      <c r="K1282" s="22"/>
    </row>
    <row r="1283" spans="11:11" x14ac:dyDescent="0.25">
      <c r="K1283" s="22"/>
    </row>
    <row r="1284" spans="11:11" x14ac:dyDescent="0.25">
      <c r="K1284" s="22"/>
    </row>
    <row r="1285" spans="11:11" x14ac:dyDescent="0.25">
      <c r="K1285" s="22"/>
    </row>
    <row r="1286" spans="11:11" x14ac:dyDescent="0.25">
      <c r="K1286" s="22"/>
    </row>
    <row r="1287" spans="11:11" x14ac:dyDescent="0.25">
      <c r="K1287" s="22"/>
    </row>
    <row r="1288" spans="11:11" x14ac:dyDescent="0.25">
      <c r="K1288" s="22"/>
    </row>
    <row r="1289" spans="11:11" x14ac:dyDescent="0.25">
      <c r="K1289" s="22"/>
    </row>
    <row r="1290" spans="11:11" x14ac:dyDescent="0.25">
      <c r="K1290" s="22"/>
    </row>
    <row r="1291" spans="11:11" x14ac:dyDescent="0.25">
      <c r="K1291" s="22"/>
    </row>
    <row r="1292" spans="11:11" x14ac:dyDescent="0.25">
      <c r="K1292" s="22"/>
    </row>
    <row r="1293" spans="11:11" x14ac:dyDescent="0.25">
      <c r="K1293" s="22"/>
    </row>
    <row r="1294" spans="11:11" x14ac:dyDescent="0.25">
      <c r="K1294" s="22"/>
    </row>
    <row r="1295" spans="11:11" x14ac:dyDescent="0.25">
      <c r="K1295" s="22"/>
    </row>
    <row r="1296" spans="11:11" x14ac:dyDescent="0.25">
      <c r="K1296" s="22"/>
    </row>
    <row r="1297" spans="11:11" collapsed="1" x14ac:dyDescent="0.25">
      <c r="K1297" s="22"/>
    </row>
    <row r="1298" spans="11:11" x14ac:dyDescent="0.25">
      <c r="K1298" s="22"/>
    </row>
    <row r="1299" spans="11:11" x14ac:dyDescent="0.25">
      <c r="K1299" s="22"/>
    </row>
    <row r="1300" spans="11:11" x14ac:dyDescent="0.25">
      <c r="K1300" s="22"/>
    </row>
    <row r="1301" spans="11:11" x14ac:dyDescent="0.25">
      <c r="K1301" s="22"/>
    </row>
    <row r="1302" spans="11:11" x14ac:dyDescent="0.25">
      <c r="K1302" s="22"/>
    </row>
    <row r="1303" spans="11:11" x14ac:dyDescent="0.25">
      <c r="K1303" s="22"/>
    </row>
    <row r="1304" spans="11:11" x14ac:dyDescent="0.25">
      <c r="K1304" s="22"/>
    </row>
    <row r="1305" spans="11:11" x14ac:dyDescent="0.25">
      <c r="K1305" s="22"/>
    </row>
    <row r="1306" spans="11:11" collapsed="1" x14ac:dyDescent="0.25">
      <c r="K1306" s="22"/>
    </row>
    <row r="1307" spans="11:11" x14ac:dyDescent="0.25">
      <c r="K1307" s="22"/>
    </row>
    <row r="1308" spans="11:11" x14ac:dyDescent="0.25">
      <c r="K1308" s="22"/>
    </row>
    <row r="1309" spans="11:11" x14ac:dyDescent="0.25">
      <c r="K1309" s="22"/>
    </row>
    <row r="1310" spans="11:11" x14ac:dyDescent="0.25">
      <c r="K1310" s="22"/>
    </row>
    <row r="1311" spans="11:11" x14ac:dyDescent="0.25">
      <c r="K1311" s="22"/>
    </row>
    <row r="1312" spans="11:11" x14ac:dyDescent="0.25">
      <c r="K1312" s="22"/>
    </row>
    <row r="1313" spans="11:11" x14ac:dyDescent="0.25">
      <c r="K1313" s="22"/>
    </row>
    <row r="1314" spans="11:11" x14ac:dyDescent="0.25">
      <c r="K1314" s="22"/>
    </row>
    <row r="1315" spans="11:11" x14ac:dyDescent="0.25">
      <c r="K1315" s="22"/>
    </row>
    <row r="1316" spans="11:11" x14ac:dyDescent="0.25">
      <c r="K1316" s="22"/>
    </row>
    <row r="1317" spans="11:11" x14ac:dyDescent="0.25">
      <c r="K1317" s="22"/>
    </row>
    <row r="1318" spans="11:11" x14ac:dyDescent="0.25">
      <c r="K1318" s="22"/>
    </row>
    <row r="1319" spans="11:11" x14ac:dyDescent="0.25">
      <c r="K1319" s="22"/>
    </row>
    <row r="1320" spans="11:11" x14ac:dyDescent="0.25">
      <c r="K1320" s="22"/>
    </row>
    <row r="1321" spans="11:11" x14ac:dyDescent="0.25">
      <c r="K1321" s="22"/>
    </row>
    <row r="1322" spans="11:11" x14ac:dyDescent="0.25">
      <c r="K1322" s="22"/>
    </row>
    <row r="1323" spans="11:11" x14ac:dyDescent="0.25">
      <c r="K1323" s="22"/>
    </row>
    <row r="1324" spans="11:11" x14ac:dyDescent="0.25">
      <c r="K1324" s="22"/>
    </row>
    <row r="1325" spans="11:11" collapsed="1" x14ac:dyDescent="0.25">
      <c r="K1325" s="22"/>
    </row>
    <row r="1326" spans="11:11" x14ac:dyDescent="0.25">
      <c r="K1326" s="22"/>
    </row>
    <row r="1327" spans="11:11" x14ac:dyDescent="0.25">
      <c r="K1327" s="22"/>
    </row>
    <row r="1328" spans="11:11" x14ac:dyDescent="0.25">
      <c r="K1328" s="22"/>
    </row>
    <row r="1329" spans="11:11" x14ac:dyDescent="0.25">
      <c r="K1329" s="22"/>
    </row>
    <row r="1330" spans="11:11" x14ac:dyDescent="0.25">
      <c r="K1330" s="22"/>
    </row>
    <row r="1331" spans="11:11" x14ac:dyDescent="0.25">
      <c r="K1331" s="22"/>
    </row>
    <row r="1332" spans="11:11" collapsed="1" x14ac:dyDescent="0.25">
      <c r="K1332" s="22"/>
    </row>
    <row r="1333" spans="11:11" x14ac:dyDescent="0.25">
      <c r="K1333" s="22"/>
    </row>
    <row r="1334" spans="11:11" x14ac:dyDescent="0.25">
      <c r="K1334" s="22"/>
    </row>
    <row r="1335" spans="11:11" x14ac:dyDescent="0.25">
      <c r="K1335" s="22"/>
    </row>
    <row r="1336" spans="11:11" x14ac:dyDescent="0.25">
      <c r="K1336" s="22"/>
    </row>
    <row r="1337" spans="11:11" x14ac:dyDescent="0.25">
      <c r="K1337" s="22"/>
    </row>
    <row r="1338" spans="11:11" x14ac:dyDescent="0.25">
      <c r="K1338" s="22"/>
    </row>
    <row r="1339" spans="11:11" x14ac:dyDescent="0.25">
      <c r="K1339" s="22"/>
    </row>
    <row r="1340" spans="11:11" x14ac:dyDescent="0.25">
      <c r="K1340" s="22"/>
    </row>
    <row r="1341" spans="11:11" x14ac:dyDescent="0.25">
      <c r="K1341" s="22"/>
    </row>
    <row r="1342" spans="11:11" x14ac:dyDescent="0.25">
      <c r="K1342" s="22"/>
    </row>
    <row r="1343" spans="11:11" x14ac:dyDescent="0.25">
      <c r="K1343" s="22"/>
    </row>
    <row r="1344" spans="11:11" x14ac:dyDescent="0.25">
      <c r="K1344" s="22"/>
    </row>
    <row r="1345" spans="11:11" x14ac:dyDescent="0.25">
      <c r="K1345" s="22"/>
    </row>
    <row r="1346" spans="11:11" x14ac:dyDescent="0.25">
      <c r="K1346" s="22"/>
    </row>
    <row r="1347" spans="11:11" x14ac:dyDescent="0.25">
      <c r="K1347" s="22"/>
    </row>
    <row r="1348" spans="11:11" x14ac:dyDescent="0.25">
      <c r="K1348" s="22"/>
    </row>
    <row r="1349" spans="11:11" x14ac:dyDescent="0.25">
      <c r="K1349" s="22"/>
    </row>
    <row r="1350" spans="11:11" x14ac:dyDescent="0.25">
      <c r="K1350" s="22"/>
    </row>
    <row r="1351" spans="11:11" collapsed="1" x14ac:dyDescent="0.25">
      <c r="K1351" s="22"/>
    </row>
    <row r="1352" spans="11:11" x14ac:dyDescent="0.25">
      <c r="K1352" s="22"/>
    </row>
    <row r="1353" spans="11:11" x14ac:dyDescent="0.25">
      <c r="K1353" s="22"/>
    </row>
    <row r="1354" spans="11:11" x14ac:dyDescent="0.25">
      <c r="K1354" s="22"/>
    </row>
    <row r="1355" spans="11:11" x14ac:dyDescent="0.25">
      <c r="K1355" s="22"/>
    </row>
    <row r="1356" spans="11:11" x14ac:dyDescent="0.25">
      <c r="K1356" s="22"/>
    </row>
    <row r="1357" spans="11:11" x14ac:dyDescent="0.25">
      <c r="K1357" s="22"/>
    </row>
    <row r="1358" spans="11:11" collapsed="1" x14ac:dyDescent="0.25">
      <c r="K1358" s="22"/>
    </row>
    <row r="1359" spans="11:11" x14ac:dyDescent="0.25">
      <c r="K1359" s="22"/>
    </row>
    <row r="1360" spans="11:11" x14ac:dyDescent="0.25">
      <c r="K1360" s="22"/>
    </row>
    <row r="1361" spans="11:11" x14ac:dyDescent="0.25">
      <c r="K1361" s="22"/>
    </row>
    <row r="1362" spans="11:11" x14ac:dyDescent="0.25">
      <c r="K1362" s="22"/>
    </row>
    <row r="1363" spans="11:11" x14ac:dyDescent="0.25">
      <c r="K1363" s="22"/>
    </row>
    <row r="1364" spans="11:11" x14ac:dyDescent="0.25">
      <c r="K1364" s="22"/>
    </row>
    <row r="1365" spans="11:11" x14ac:dyDescent="0.25">
      <c r="K1365" s="22"/>
    </row>
    <row r="1366" spans="11:11" x14ac:dyDescent="0.25">
      <c r="K1366" s="22"/>
    </row>
    <row r="1367" spans="11:11" x14ac:dyDescent="0.25">
      <c r="K1367" s="22"/>
    </row>
    <row r="1368" spans="11:11" x14ac:dyDescent="0.25">
      <c r="K1368" s="22"/>
    </row>
    <row r="1369" spans="11:11" x14ac:dyDescent="0.25">
      <c r="K1369" s="22"/>
    </row>
    <row r="1370" spans="11:11" x14ac:dyDescent="0.25">
      <c r="K1370" s="22"/>
    </row>
    <row r="1371" spans="11:11" x14ac:dyDescent="0.25">
      <c r="K1371" s="22"/>
    </row>
    <row r="1372" spans="11:11" x14ac:dyDescent="0.25">
      <c r="K1372" s="22"/>
    </row>
    <row r="1373" spans="11:11" x14ac:dyDescent="0.25">
      <c r="K1373" s="22"/>
    </row>
    <row r="1374" spans="11:11" x14ac:dyDescent="0.25">
      <c r="K1374" s="22"/>
    </row>
    <row r="1375" spans="11:11" x14ac:dyDescent="0.25">
      <c r="K1375" s="22"/>
    </row>
    <row r="1376" spans="11:11" x14ac:dyDescent="0.25">
      <c r="K1376" s="22"/>
    </row>
    <row r="1377" spans="11:11" x14ac:dyDescent="0.25">
      <c r="K1377" s="22"/>
    </row>
    <row r="1378" spans="11:11" x14ac:dyDescent="0.25">
      <c r="K1378" s="22"/>
    </row>
    <row r="1379" spans="11:11" collapsed="1" x14ac:dyDescent="0.25">
      <c r="K1379" s="22"/>
    </row>
    <row r="1380" spans="11:11" x14ac:dyDescent="0.25">
      <c r="K1380" s="22"/>
    </row>
    <row r="1381" spans="11:11" x14ac:dyDescent="0.25">
      <c r="K1381" s="22"/>
    </row>
    <row r="1382" spans="11:11" x14ac:dyDescent="0.25">
      <c r="K1382" s="22"/>
    </row>
    <row r="1383" spans="11:11" x14ac:dyDescent="0.25">
      <c r="K1383" s="22"/>
    </row>
    <row r="1384" spans="11:11" collapsed="1" x14ac:dyDescent="0.25">
      <c r="K1384" s="22"/>
    </row>
    <row r="1385" spans="11:11" x14ac:dyDescent="0.25">
      <c r="K1385" s="22"/>
    </row>
    <row r="1386" spans="11:11" x14ac:dyDescent="0.25">
      <c r="K1386" s="22"/>
    </row>
    <row r="1387" spans="11:11" x14ac:dyDescent="0.25">
      <c r="K1387" s="22"/>
    </row>
    <row r="1388" spans="11:11" x14ac:dyDescent="0.25">
      <c r="K1388" s="22"/>
    </row>
    <row r="1389" spans="11:11" x14ac:dyDescent="0.25">
      <c r="K1389" s="22"/>
    </row>
    <row r="1390" spans="11:11" x14ac:dyDescent="0.25">
      <c r="K1390" s="22"/>
    </row>
    <row r="1391" spans="11:11" x14ac:dyDescent="0.25">
      <c r="K1391" s="22"/>
    </row>
    <row r="1392" spans="11:11" x14ac:dyDescent="0.25">
      <c r="K1392" s="22"/>
    </row>
    <row r="1393" spans="11:11" x14ac:dyDescent="0.25">
      <c r="K1393" s="22"/>
    </row>
    <row r="1394" spans="11:11" x14ac:dyDescent="0.25">
      <c r="K1394" s="22"/>
    </row>
    <row r="1395" spans="11:11" x14ac:dyDescent="0.25">
      <c r="K1395" s="22"/>
    </row>
    <row r="1396" spans="11:11" x14ac:dyDescent="0.25">
      <c r="K1396" s="22"/>
    </row>
    <row r="1397" spans="11:11" x14ac:dyDescent="0.25">
      <c r="K1397" s="22"/>
    </row>
    <row r="1398" spans="11:11" x14ac:dyDescent="0.25">
      <c r="K1398" s="22"/>
    </row>
    <row r="1399" spans="11:11" x14ac:dyDescent="0.25">
      <c r="K1399" s="22"/>
    </row>
    <row r="1400" spans="11:11" x14ac:dyDescent="0.25">
      <c r="K1400" s="22"/>
    </row>
    <row r="1401" spans="11:11" x14ac:dyDescent="0.25">
      <c r="K1401" s="22"/>
    </row>
    <row r="1402" spans="11:11" x14ac:dyDescent="0.25">
      <c r="K1402" s="22"/>
    </row>
    <row r="1403" spans="11:11" x14ac:dyDescent="0.25">
      <c r="K1403" s="22"/>
    </row>
    <row r="1404" spans="11:11" x14ac:dyDescent="0.25">
      <c r="K1404" s="22"/>
    </row>
    <row r="1405" spans="11:11" collapsed="1" x14ac:dyDescent="0.25">
      <c r="K1405" s="22"/>
    </row>
    <row r="1406" spans="11:11" x14ac:dyDescent="0.25">
      <c r="K1406" s="22"/>
    </row>
    <row r="1407" spans="11:11" x14ac:dyDescent="0.25">
      <c r="K1407" s="22"/>
    </row>
    <row r="1408" spans="11:11" x14ac:dyDescent="0.25">
      <c r="K1408" s="22"/>
    </row>
    <row r="1409" spans="11:11" x14ac:dyDescent="0.25">
      <c r="K1409" s="22"/>
    </row>
    <row r="1410" spans="11:11" x14ac:dyDescent="0.25">
      <c r="K1410" s="22"/>
    </row>
    <row r="1411" spans="11:11" collapsed="1" x14ac:dyDescent="0.25">
      <c r="K1411" s="22"/>
    </row>
    <row r="1412" spans="11:11" x14ac:dyDescent="0.25">
      <c r="K1412" s="22"/>
    </row>
    <row r="1413" spans="11:11" x14ac:dyDescent="0.25">
      <c r="K1413" s="22"/>
    </row>
    <row r="1414" spans="11:11" x14ac:dyDescent="0.25">
      <c r="K1414" s="22"/>
    </row>
    <row r="1415" spans="11:11" x14ac:dyDescent="0.25">
      <c r="K1415" s="22"/>
    </row>
    <row r="1416" spans="11:11" x14ac:dyDescent="0.25">
      <c r="K1416" s="22"/>
    </row>
    <row r="1417" spans="11:11" x14ac:dyDescent="0.25">
      <c r="K1417" s="22"/>
    </row>
    <row r="1418" spans="11:11" x14ac:dyDescent="0.25">
      <c r="K1418" s="22"/>
    </row>
    <row r="1419" spans="11:11" x14ac:dyDescent="0.25">
      <c r="K1419" s="22"/>
    </row>
    <row r="1420" spans="11:11" x14ac:dyDescent="0.25">
      <c r="K1420" s="22"/>
    </row>
    <row r="1421" spans="11:11" x14ac:dyDescent="0.25">
      <c r="K1421" s="22"/>
    </row>
    <row r="1422" spans="11:11" x14ac:dyDescent="0.25">
      <c r="K1422" s="22"/>
    </row>
    <row r="1423" spans="11:11" x14ac:dyDescent="0.25">
      <c r="K1423" s="22"/>
    </row>
    <row r="1424" spans="11:11" x14ac:dyDescent="0.25">
      <c r="K1424" s="22"/>
    </row>
    <row r="1425" spans="1:11" x14ac:dyDescent="0.25">
      <c r="K1425" s="22"/>
    </row>
    <row r="1426" spans="1:11" x14ac:dyDescent="0.25">
      <c r="K1426" s="22"/>
    </row>
    <row r="1427" spans="1:11" x14ac:dyDescent="0.25">
      <c r="K1427" s="22"/>
    </row>
    <row r="1428" spans="1:11" x14ac:dyDescent="0.25">
      <c r="K1428" s="22"/>
    </row>
    <row r="1429" spans="1:11" x14ac:dyDescent="0.25">
      <c r="K1429" s="22"/>
    </row>
    <row r="1430" spans="1:11" x14ac:dyDescent="0.25">
      <c r="K1430" s="22"/>
    </row>
    <row r="1431" spans="1:11" collapsed="1" x14ac:dyDescent="0.25">
      <c r="K1431" s="22"/>
    </row>
    <row r="1432" spans="1:11" x14ac:dyDescent="0.25">
      <c r="K1432" s="22"/>
    </row>
    <row r="1433" spans="1:11" x14ac:dyDescent="0.25">
      <c r="K1433" s="22"/>
    </row>
    <row r="1434" spans="1:11" x14ac:dyDescent="0.25">
      <c r="K1434" s="22"/>
    </row>
    <row r="1435" spans="1:11" x14ac:dyDescent="0.25">
      <c r="K1435" s="22"/>
    </row>
    <row r="1436" spans="1:11" x14ac:dyDescent="0.25">
      <c r="K1436" s="22"/>
    </row>
    <row r="1437" spans="1:11" collapsed="1" x14ac:dyDescent="0.25">
      <c r="K1437" s="22"/>
    </row>
    <row r="1438" spans="1:11" x14ac:dyDescent="0.25">
      <c r="A1438" s="28"/>
      <c r="B1438" s="15" t="s">
        <v>65</v>
      </c>
      <c r="C1438" s="29">
        <f t="shared" ref="C1438:G1438" si="290">+SUM(C1439:C1446)</f>
        <v>0</v>
      </c>
      <c r="D1438" s="29">
        <f t="shared" si="290"/>
        <v>0</v>
      </c>
      <c r="E1438" s="29">
        <f t="shared" si="290"/>
        <v>0</v>
      </c>
      <c r="F1438" s="29">
        <f t="shared" si="290"/>
        <v>0</v>
      </c>
      <c r="G1438" s="29">
        <f t="shared" si="290"/>
        <v>0</v>
      </c>
      <c r="H1438" s="29">
        <f t="shared" ref="H1438:H1462" si="291">+SUM(C1438:G1438)</f>
        <v>0</v>
      </c>
      <c r="I1438" s="29">
        <v>0</v>
      </c>
      <c r="J1438" s="29">
        <f t="shared" ref="J1438:J1462" si="292">+I1438-H1438</f>
        <v>0</v>
      </c>
      <c r="K1438" s="30">
        <v>1434</v>
      </c>
    </row>
    <row r="1439" spans="1:11" x14ac:dyDescent="0.25">
      <c r="A1439" s="31"/>
      <c r="B1439" s="16" t="s">
        <v>66</v>
      </c>
      <c r="C1439" s="32"/>
      <c r="D1439" s="32"/>
      <c r="E1439" s="32"/>
      <c r="F1439" s="32"/>
      <c r="G1439" s="32"/>
      <c r="H1439" s="32">
        <f t="shared" si="291"/>
        <v>0</v>
      </c>
      <c r="I1439" s="32"/>
      <c r="J1439" s="32">
        <f t="shared" si="292"/>
        <v>0</v>
      </c>
      <c r="K1439" s="33">
        <v>1435</v>
      </c>
    </row>
    <row r="1440" spans="1:11" x14ac:dyDescent="0.25">
      <c r="A1440" s="31"/>
      <c r="B1440" s="17" t="s">
        <v>67</v>
      </c>
      <c r="C1440" s="32"/>
      <c r="D1440" s="32"/>
      <c r="E1440" s="32"/>
      <c r="F1440" s="32"/>
      <c r="G1440" s="32"/>
      <c r="H1440" s="32">
        <f t="shared" si="291"/>
        <v>0</v>
      </c>
      <c r="I1440" s="32"/>
      <c r="J1440" s="32">
        <f t="shared" si="292"/>
        <v>0</v>
      </c>
      <c r="K1440" s="33">
        <v>1436</v>
      </c>
    </row>
    <row r="1441" spans="1:11" ht="30" x14ac:dyDescent="0.25">
      <c r="A1441" s="31"/>
      <c r="B1441" s="17" t="s">
        <v>68</v>
      </c>
      <c r="C1441" s="32"/>
      <c r="D1441" s="32"/>
      <c r="E1441" s="32"/>
      <c r="F1441" s="32"/>
      <c r="G1441" s="32"/>
      <c r="H1441" s="32">
        <f t="shared" si="291"/>
        <v>0</v>
      </c>
      <c r="I1441" s="32"/>
      <c r="J1441" s="32">
        <f t="shared" si="292"/>
        <v>0</v>
      </c>
      <c r="K1441" s="33">
        <v>1437</v>
      </c>
    </row>
    <row r="1442" spans="1:11" x14ac:dyDescent="0.25">
      <c r="A1442" s="31"/>
      <c r="B1442" s="16" t="s">
        <v>69</v>
      </c>
      <c r="C1442" s="32"/>
      <c r="D1442" s="32"/>
      <c r="E1442" s="32"/>
      <c r="F1442" s="32"/>
      <c r="G1442" s="32"/>
      <c r="H1442" s="32">
        <f t="shared" si="291"/>
        <v>0</v>
      </c>
      <c r="I1442" s="32"/>
      <c r="J1442" s="32">
        <f t="shared" si="292"/>
        <v>0</v>
      </c>
      <c r="K1442" s="33">
        <v>1438</v>
      </c>
    </row>
    <row r="1443" spans="1:11" x14ac:dyDescent="0.25">
      <c r="A1443" s="31"/>
      <c r="B1443" s="17" t="s">
        <v>70</v>
      </c>
      <c r="C1443" s="32"/>
      <c r="D1443" s="32"/>
      <c r="E1443" s="32"/>
      <c r="F1443" s="32"/>
      <c r="G1443" s="32"/>
      <c r="H1443" s="32">
        <f t="shared" si="291"/>
        <v>0</v>
      </c>
      <c r="I1443" s="32"/>
      <c r="J1443" s="32">
        <f t="shared" si="292"/>
        <v>0</v>
      </c>
      <c r="K1443" s="33">
        <v>1439</v>
      </c>
    </row>
    <row r="1444" spans="1:11" ht="30" x14ac:dyDescent="0.25">
      <c r="A1444" s="31"/>
      <c r="B1444" s="17" t="s">
        <v>71</v>
      </c>
      <c r="C1444" s="32"/>
      <c r="D1444" s="32"/>
      <c r="E1444" s="32"/>
      <c r="F1444" s="32"/>
      <c r="G1444" s="32"/>
      <c r="H1444" s="32">
        <f t="shared" si="291"/>
        <v>0</v>
      </c>
      <c r="I1444" s="32"/>
      <c r="J1444" s="32">
        <f t="shared" si="292"/>
        <v>0</v>
      </c>
      <c r="K1444" s="33">
        <v>1440</v>
      </c>
    </row>
    <row r="1445" spans="1:11" x14ac:dyDescent="0.25">
      <c r="A1445" s="31"/>
      <c r="B1445" s="16" t="s">
        <v>72</v>
      </c>
      <c r="C1445" s="32"/>
      <c r="D1445" s="32"/>
      <c r="E1445" s="32"/>
      <c r="F1445" s="32"/>
      <c r="G1445" s="32"/>
      <c r="H1445" s="32">
        <f t="shared" si="291"/>
        <v>0</v>
      </c>
      <c r="I1445" s="32"/>
      <c r="J1445" s="32">
        <f t="shared" si="292"/>
        <v>0</v>
      </c>
      <c r="K1445" s="33">
        <v>1441</v>
      </c>
    </row>
    <row r="1446" spans="1:11" ht="30" x14ac:dyDescent="0.25">
      <c r="A1446" s="31"/>
      <c r="B1446" s="17" t="s">
        <v>73</v>
      </c>
      <c r="C1446" s="32"/>
      <c r="D1446" s="32"/>
      <c r="E1446" s="32"/>
      <c r="F1446" s="32"/>
      <c r="G1446" s="32"/>
      <c r="H1446" s="32">
        <f t="shared" si="291"/>
        <v>0</v>
      </c>
      <c r="I1446" s="32"/>
      <c r="J1446" s="32">
        <f t="shared" si="292"/>
        <v>0</v>
      </c>
      <c r="K1446" s="33">
        <v>1442</v>
      </c>
    </row>
    <row r="1447" spans="1:11" x14ac:dyDescent="0.25">
      <c r="A1447" s="28"/>
      <c r="B1447" s="15" t="s">
        <v>74</v>
      </c>
      <c r="C1447" s="29">
        <f t="shared" ref="C1447:G1447" si="293">+SUM(C1448:C1450)</f>
        <v>0</v>
      </c>
      <c r="D1447" s="29">
        <f t="shared" si="293"/>
        <v>0</v>
      </c>
      <c r="E1447" s="29">
        <f t="shared" si="293"/>
        <v>0</v>
      </c>
      <c r="F1447" s="29">
        <f t="shared" si="293"/>
        <v>0</v>
      </c>
      <c r="G1447" s="29">
        <f t="shared" si="293"/>
        <v>0</v>
      </c>
      <c r="H1447" s="29">
        <f t="shared" si="291"/>
        <v>0</v>
      </c>
      <c r="I1447" s="29"/>
      <c r="J1447" s="29">
        <f t="shared" si="292"/>
        <v>0</v>
      </c>
      <c r="K1447" s="30">
        <v>1443</v>
      </c>
    </row>
    <row r="1448" spans="1:11" ht="30" x14ac:dyDescent="0.25">
      <c r="A1448" s="34"/>
      <c r="B1448" s="17" t="s">
        <v>75</v>
      </c>
      <c r="C1448" s="35"/>
      <c r="D1448" s="35"/>
      <c r="E1448" s="35"/>
      <c r="F1448" s="35"/>
      <c r="G1448" s="35"/>
      <c r="H1448" s="35">
        <f t="shared" si="291"/>
        <v>0</v>
      </c>
      <c r="I1448" s="35"/>
      <c r="J1448" s="35">
        <f t="shared" si="292"/>
        <v>0</v>
      </c>
      <c r="K1448" s="36">
        <v>1444</v>
      </c>
    </row>
    <row r="1449" spans="1:11" ht="30" x14ac:dyDescent="0.25">
      <c r="A1449" s="34"/>
      <c r="B1449" s="17" t="s">
        <v>76</v>
      </c>
      <c r="C1449" s="35"/>
      <c r="D1449" s="35"/>
      <c r="E1449" s="35"/>
      <c r="F1449" s="35"/>
      <c r="G1449" s="35"/>
      <c r="H1449" s="35">
        <f t="shared" si="291"/>
        <v>0</v>
      </c>
      <c r="I1449" s="35"/>
      <c r="J1449" s="35">
        <f t="shared" si="292"/>
        <v>0</v>
      </c>
      <c r="K1449" s="36">
        <v>1445</v>
      </c>
    </row>
    <row r="1450" spans="1:11" ht="30" x14ac:dyDescent="0.25">
      <c r="A1450" s="34"/>
      <c r="B1450" s="17" t="s">
        <v>77</v>
      </c>
      <c r="C1450" s="35"/>
      <c r="D1450" s="35"/>
      <c r="E1450" s="35"/>
      <c r="F1450" s="35"/>
      <c r="G1450" s="35"/>
      <c r="H1450" s="35">
        <f t="shared" si="291"/>
        <v>0</v>
      </c>
      <c r="I1450" s="35"/>
      <c r="J1450" s="35">
        <f t="shared" si="292"/>
        <v>0</v>
      </c>
      <c r="K1450" s="36">
        <v>1446</v>
      </c>
    </row>
    <row r="1451" spans="1:11" x14ac:dyDescent="0.25">
      <c r="A1451" s="28"/>
      <c r="B1451" s="15" t="s">
        <v>78</v>
      </c>
      <c r="C1451" s="29">
        <f t="shared" ref="C1451:G1451" si="294">+SUM(C1452:C1456)</f>
        <v>0</v>
      </c>
      <c r="D1451" s="29">
        <f t="shared" si="294"/>
        <v>0</v>
      </c>
      <c r="E1451" s="29">
        <f t="shared" si="294"/>
        <v>0</v>
      </c>
      <c r="F1451" s="29">
        <f t="shared" si="294"/>
        <v>0</v>
      </c>
      <c r="G1451" s="29">
        <f t="shared" si="294"/>
        <v>0</v>
      </c>
      <c r="H1451" s="29">
        <f t="shared" si="291"/>
        <v>0</v>
      </c>
      <c r="I1451" s="29"/>
      <c r="J1451" s="29">
        <f t="shared" si="292"/>
        <v>0</v>
      </c>
      <c r="K1451" s="30">
        <v>1447</v>
      </c>
    </row>
    <row r="1452" spans="1:11" x14ac:dyDescent="0.25">
      <c r="A1452" s="34"/>
      <c r="B1452" s="18" t="s">
        <v>79</v>
      </c>
      <c r="C1452" s="35"/>
      <c r="D1452" s="35"/>
      <c r="E1452" s="35"/>
      <c r="F1452" s="35"/>
      <c r="G1452" s="35"/>
      <c r="H1452" s="35">
        <f t="shared" si="291"/>
        <v>0</v>
      </c>
      <c r="I1452" s="35"/>
      <c r="J1452" s="35">
        <f t="shared" si="292"/>
        <v>0</v>
      </c>
      <c r="K1452" s="36">
        <v>1448</v>
      </c>
    </row>
    <row r="1453" spans="1:11" ht="30" x14ac:dyDescent="0.25">
      <c r="A1453" s="34"/>
      <c r="B1453" s="17" t="s">
        <v>80</v>
      </c>
      <c r="C1453" s="35"/>
      <c r="D1453" s="35"/>
      <c r="E1453" s="35"/>
      <c r="F1453" s="35"/>
      <c r="G1453" s="35"/>
      <c r="H1453" s="35">
        <f t="shared" si="291"/>
        <v>0</v>
      </c>
      <c r="I1453" s="35"/>
      <c r="J1453" s="35">
        <f t="shared" si="292"/>
        <v>0</v>
      </c>
      <c r="K1453" s="36">
        <v>1449</v>
      </c>
    </row>
    <row r="1454" spans="1:11" x14ac:dyDescent="0.25">
      <c r="A1454" s="34"/>
      <c r="B1454" s="17" t="s">
        <v>81</v>
      </c>
      <c r="C1454" s="35"/>
      <c r="D1454" s="35"/>
      <c r="E1454" s="35"/>
      <c r="F1454" s="35"/>
      <c r="G1454" s="35"/>
      <c r="H1454" s="35">
        <f t="shared" si="291"/>
        <v>0</v>
      </c>
      <c r="I1454" s="35"/>
      <c r="J1454" s="35">
        <f t="shared" si="292"/>
        <v>0</v>
      </c>
      <c r="K1454" s="36">
        <v>1450</v>
      </c>
    </row>
    <row r="1455" spans="1:11" x14ac:dyDescent="0.25">
      <c r="A1455" s="34"/>
      <c r="B1455" s="18" t="s">
        <v>82</v>
      </c>
      <c r="C1455" s="35"/>
      <c r="D1455" s="35"/>
      <c r="E1455" s="35"/>
      <c r="F1455" s="35"/>
      <c r="G1455" s="35"/>
      <c r="H1455" s="35">
        <f t="shared" si="291"/>
        <v>0</v>
      </c>
      <c r="I1455" s="35"/>
      <c r="J1455" s="35">
        <f t="shared" si="292"/>
        <v>0</v>
      </c>
      <c r="K1455" s="36">
        <v>1451</v>
      </c>
    </row>
    <row r="1456" spans="1:11" ht="30" x14ac:dyDescent="0.25">
      <c r="A1456" s="34"/>
      <c r="B1456" s="17" t="s">
        <v>83</v>
      </c>
      <c r="C1456" s="35"/>
      <c r="D1456" s="35"/>
      <c r="E1456" s="35"/>
      <c r="F1456" s="35"/>
      <c r="G1456" s="35"/>
      <c r="H1456" s="35">
        <f t="shared" si="291"/>
        <v>0</v>
      </c>
      <c r="I1456" s="35"/>
      <c r="J1456" s="35">
        <f t="shared" si="292"/>
        <v>0</v>
      </c>
      <c r="K1456" s="36">
        <v>1452</v>
      </c>
    </row>
    <row r="1457" spans="1:11" x14ac:dyDescent="0.25">
      <c r="A1457" s="28"/>
      <c r="B1457" s="15" t="s">
        <v>84</v>
      </c>
      <c r="C1457" s="29">
        <f>+SUM(C1458:C1462)</f>
        <v>0</v>
      </c>
      <c r="D1457" s="29">
        <f t="shared" ref="D1457:G1457" si="295">+SUM(D1458:D1462)</f>
        <v>0</v>
      </c>
      <c r="E1457" s="29">
        <f t="shared" si="295"/>
        <v>0</v>
      </c>
      <c r="F1457" s="29">
        <f t="shared" si="295"/>
        <v>0</v>
      </c>
      <c r="G1457" s="29">
        <f t="shared" si="295"/>
        <v>0</v>
      </c>
      <c r="H1457" s="29">
        <f t="shared" si="291"/>
        <v>0</v>
      </c>
      <c r="I1457" s="29"/>
      <c r="J1457" s="29">
        <f t="shared" si="292"/>
        <v>0</v>
      </c>
      <c r="K1457" s="30">
        <v>1453</v>
      </c>
    </row>
    <row r="1458" spans="1:11" x14ac:dyDescent="0.25">
      <c r="A1458" s="34"/>
      <c r="B1458" s="17"/>
      <c r="C1458" s="35"/>
      <c r="D1458" s="35"/>
      <c r="E1458" s="35"/>
      <c r="F1458" s="35"/>
      <c r="G1458" s="35"/>
      <c r="H1458" s="35">
        <f t="shared" si="291"/>
        <v>0</v>
      </c>
      <c r="I1458" s="35"/>
      <c r="J1458" s="35">
        <f t="shared" si="292"/>
        <v>0</v>
      </c>
      <c r="K1458" s="36">
        <v>1454</v>
      </c>
    </row>
    <row r="1459" spans="1:11" collapsed="1" x14ac:dyDescent="0.25">
      <c r="A1459" s="34"/>
      <c r="B1459" s="17"/>
      <c r="C1459" s="35"/>
      <c r="D1459" s="35"/>
      <c r="E1459" s="35"/>
      <c r="F1459" s="35"/>
      <c r="G1459" s="35"/>
      <c r="H1459" s="35">
        <f t="shared" si="291"/>
        <v>0</v>
      </c>
      <c r="I1459" s="35"/>
      <c r="J1459" s="35">
        <f t="shared" si="292"/>
        <v>0</v>
      </c>
      <c r="K1459" s="36">
        <v>1455</v>
      </c>
    </row>
    <row r="1460" spans="1:11" x14ac:dyDescent="0.25">
      <c r="A1460" s="34"/>
      <c r="B1460" s="17"/>
      <c r="C1460" s="35"/>
      <c r="D1460" s="35"/>
      <c r="E1460" s="35"/>
      <c r="F1460" s="35"/>
      <c r="G1460" s="35"/>
      <c r="H1460" s="35">
        <f t="shared" si="291"/>
        <v>0</v>
      </c>
      <c r="I1460" s="35"/>
      <c r="J1460" s="35">
        <f t="shared" si="292"/>
        <v>0</v>
      </c>
      <c r="K1460" s="36">
        <v>1456</v>
      </c>
    </row>
    <row r="1461" spans="1:11" x14ac:dyDescent="0.25">
      <c r="A1461" s="34"/>
      <c r="B1461" s="17" t="s">
        <v>86</v>
      </c>
      <c r="C1461" s="35"/>
      <c r="D1461" s="35"/>
      <c r="E1461" s="35"/>
      <c r="F1461" s="35"/>
      <c r="G1461" s="35"/>
      <c r="H1461" s="35">
        <f t="shared" si="291"/>
        <v>0</v>
      </c>
      <c r="I1461" s="35"/>
      <c r="J1461" s="35">
        <f t="shared" si="292"/>
        <v>0</v>
      </c>
      <c r="K1461" s="36">
        <v>1457</v>
      </c>
    </row>
    <row r="1462" spans="1:11" x14ac:dyDescent="0.25">
      <c r="A1462" s="34"/>
      <c r="B1462" s="17"/>
      <c r="C1462" s="35"/>
      <c r="D1462" s="35"/>
      <c r="E1462" s="35"/>
      <c r="F1462" s="35"/>
      <c r="G1462" s="35"/>
      <c r="H1462" s="35">
        <f t="shared" si="291"/>
        <v>0</v>
      </c>
      <c r="I1462" s="35"/>
      <c r="J1462" s="35">
        <f t="shared" si="292"/>
        <v>0</v>
      </c>
      <c r="K1462" s="36">
        <v>1458</v>
      </c>
    </row>
    <row r="1463" spans="1:11" collapsed="1" x14ac:dyDescent="0.25">
      <c r="K1463" s="22"/>
    </row>
    <row r="1464" spans="1:11" x14ac:dyDescent="0.25">
      <c r="K1464" s="22"/>
    </row>
    <row r="1465" spans="1:11" x14ac:dyDescent="0.25">
      <c r="K1465" s="22"/>
    </row>
    <row r="1466" spans="1:11" x14ac:dyDescent="0.25">
      <c r="K1466" s="22"/>
    </row>
    <row r="1467" spans="1:11" x14ac:dyDescent="0.25">
      <c r="K1467" s="22"/>
    </row>
    <row r="1468" spans="1:11" x14ac:dyDescent="0.25">
      <c r="K1468" s="22"/>
    </row>
    <row r="1469" spans="1:11" x14ac:dyDescent="0.25">
      <c r="K1469" s="22"/>
    </row>
    <row r="1470" spans="1:11" x14ac:dyDescent="0.25">
      <c r="K1470" s="22"/>
    </row>
    <row r="1471" spans="1:11" x14ac:dyDescent="0.25">
      <c r="K1471" s="22"/>
    </row>
    <row r="1472" spans="1:11" x14ac:dyDescent="0.25">
      <c r="K1472" s="22"/>
    </row>
    <row r="1473" spans="11:11" x14ac:dyDescent="0.25">
      <c r="K1473" s="22"/>
    </row>
    <row r="1474" spans="11:11" x14ac:dyDescent="0.25">
      <c r="K1474" s="22"/>
    </row>
    <row r="1475" spans="11:11" x14ac:dyDescent="0.25">
      <c r="K1475" s="22"/>
    </row>
    <row r="1476" spans="11:11" x14ac:dyDescent="0.25">
      <c r="K1476" s="22"/>
    </row>
    <row r="1477" spans="11:11" x14ac:dyDescent="0.25">
      <c r="K1477" s="22"/>
    </row>
    <row r="1478" spans="11:11" x14ac:dyDescent="0.25">
      <c r="K1478" s="22"/>
    </row>
    <row r="1479" spans="11:11" x14ac:dyDescent="0.25">
      <c r="K1479" s="22"/>
    </row>
    <row r="1480" spans="11:11" x14ac:dyDescent="0.25">
      <c r="K1480" s="22"/>
    </row>
    <row r="1481" spans="11:11" x14ac:dyDescent="0.25">
      <c r="K1481" s="22"/>
    </row>
    <row r="1482" spans="11:11" x14ac:dyDescent="0.25">
      <c r="K1482" s="22"/>
    </row>
    <row r="1483" spans="11:11" x14ac:dyDescent="0.25">
      <c r="K1483" s="22"/>
    </row>
    <row r="1484" spans="11:11" x14ac:dyDescent="0.25">
      <c r="K1484" s="22"/>
    </row>
    <row r="1485" spans="11:11" x14ac:dyDescent="0.25">
      <c r="K1485" s="22"/>
    </row>
    <row r="1486" spans="11:11" collapsed="1" x14ac:dyDescent="0.25">
      <c r="K1486" s="22"/>
    </row>
    <row r="1487" spans="11:11" x14ac:dyDescent="0.25">
      <c r="K1487" s="22"/>
    </row>
    <row r="1488" spans="11:11" x14ac:dyDescent="0.25">
      <c r="K1488" s="22"/>
    </row>
    <row r="1489" spans="11:11" x14ac:dyDescent="0.25">
      <c r="K1489" s="22"/>
    </row>
    <row r="1490" spans="11:11" x14ac:dyDescent="0.25">
      <c r="K1490" s="22"/>
    </row>
    <row r="1491" spans="11:11" x14ac:dyDescent="0.25">
      <c r="K1491" s="22"/>
    </row>
    <row r="1492" spans="11:11" x14ac:dyDescent="0.25">
      <c r="K1492" s="22"/>
    </row>
    <row r="1493" spans="11:11" x14ac:dyDescent="0.25">
      <c r="K1493" s="22"/>
    </row>
    <row r="1494" spans="11:11" x14ac:dyDescent="0.25">
      <c r="K1494" s="22"/>
    </row>
    <row r="1495" spans="11:11" x14ac:dyDescent="0.25">
      <c r="K1495" s="22"/>
    </row>
    <row r="1496" spans="11:11" x14ac:dyDescent="0.25">
      <c r="K1496" s="22"/>
    </row>
    <row r="1497" spans="11:11" x14ac:dyDescent="0.25">
      <c r="K1497" s="22"/>
    </row>
    <row r="1498" spans="11:11" x14ac:dyDescent="0.25">
      <c r="K1498" s="22"/>
    </row>
    <row r="1499" spans="11:11" x14ac:dyDescent="0.25">
      <c r="K1499" s="22"/>
    </row>
    <row r="1500" spans="11:11" x14ac:dyDescent="0.25">
      <c r="K1500" s="22"/>
    </row>
    <row r="1501" spans="11:11" x14ac:dyDescent="0.25">
      <c r="K1501" s="22"/>
    </row>
    <row r="1502" spans="11:11" x14ac:dyDescent="0.25">
      <c r="K1502" s="22"/>
    </row>
    <row r="1503" spans="11:11" x14ac:dyDescent="0.25">
      <c r="K1503" s="22"/>
    </row>
    <row r="1504" spans="11:11" x14ac:dyDescent="0.25">
      <c r="K1504" s="22"/>
    </row>
    <row r="1505" spans="11:11" x14ac:dyDescent="0.25">
      <c r="K1505" s="22"/>
    </row>
    <row r="1506" spans="11:11" x14ac:dyDescent="0.25">
      <c r="K1506" s="22"/>
    </row>
    <row r="1507" spans="11:11" x14ac:dyDescent="0.25">
      <c r="K1507" s="22"/>
    </row>
    <row r="1508" spans="11:11" x14ac:dyDescent="0.25">
      <c r="K1508" s="22"/>
    </row>
    <row r="1509" spans="11:11" x14ac:dyDescent="0.25">
      <c r="K1509" s="22"/>
    </row>
    <row r="1510" spans="11:11" x14ac:dyDescent="0.25">
      <c r="K1510" s="22"/>
    </row>
    <row r="1511" spans="11:11" x14ac:dyDescent="0.25">
      <c r="K1511" s="22"/>
    </row>
    <row r="1512" spans="11:11" x14ac:dyDescent="0.25">
      <c r="K1512" s="22"/>
    </row>
    <row r="1513" spans="11:11" collapsed="1" x14ac:dyDescent="0.25">
      <c r="K1513" s="22"/>
    </row>
    <row r="1514" spans="11:11" x14ac:dyDescent="0.25">
      <c r="K1514" s="22"/>
    </row>
    <row r="1515" spans="11:11" x14ac:dyDescent="0.25">
      <c r="K1515" s="22"/>
    </row>
    <row r="1516" spans="11:11" x14ac:dyDescent="0.25">
      <c r="K1516" s="22"/>
    </row>
    <row r="1517" spans="11:11" x14ac:dyDescent="0.25">
      <c r="K1517" s="22"/>
    </row>
    <row r="1518" spans="11:11" x14ac:dyDescent="0.25">
      <c r="K1518" s="22"/>
    </row>
    <row r="1519" spans="11:11" x14ac:dyDescent="0.25">
      <c r="K1519" s="22"/>
    </row>
    <row r="1520" spans="11:11" x14ac:dyDescent="0.25">
      <c r="K1520" s="22"/>
    </row>
    <row r="1521" spans="11:11" x14ac:dyDescent="0.25">
      <c r="K1521" s="22"/>
    </row>
    <row r="1522" spans="11:11" x14ac:dyDescent="0.25">
      <c r="K1522" s="22"/>
    </row>
    <row r="1523" spans="11:11" x14ac:dyDescent="0.25">
      <c r="K1523" s="22"/>
    </row>
    <row r="1524" spans="11:11" x14ac:dyDescent="0.25">
      <c r="K1524" s="22"/>
    </row>
    <row r="1525" spans="11:11" x14ac:dyDescent="0.25">
      <c r="K1525" s="22"/>
    </row>
    <row r="1526" spans="11:11" x14ac:dyDescent="0.25">
      <c r="K1526" s="22"/>
    </row>
    <row r="1527" spans="11:11" x14ac:dyDescent="0.25">
      <c r="K1527" s="22"/>
    </row>
    <row r="1528" spans="11:11" x14ac:dyDescent="0.25">
      <c r="K1528" s="22"/>
    </row>
    <row r="1529" spans="11:11" x14ac:dyDescent="0.25">
      <c r="K1529" s="22"/>
    </row>
    <row r="1530" spans="11:11" x14ac:dyDescent="0.25">
      <c r="K1530" s="22"/>
    </row>
    <row r="1531" spans="11:11" x14ac:dyDescent="0.25">
      <c r="K1531" s="22"/>
    </row>
    <row r="1532" spans="11:11" x14ac:dyDescent="0.25">
      <c r="K1532" s="22"/>
    </row>
    <row r="1533" spans="11:11" x14ac:dyDescent="0.25">
      <c r="K1533" s="22"/>
    </row>
    <row r="1534" spans="11:11" x14ac:dyDescent="0.25">
      <c r="K1534" s="22"/>
    </row>
    <row r="1535" spans="11:11" x14ac:dyDescent="0.25">
      <c r="K1535" s="22"/>
    </row>
    <row r="1536" spans="11:11" x14ac:dyDescent="0.25">
      <c r="K1536" s="22"/>
    </row>
    <row r="1537" spans="11:11" x14ac:dyDescent="0.25">
      <c r="K1537" s="22"/>
    </row>
    <row r="1538" spans="11:11" x14ac:dyDescent="0.25">
      <c r="K1538" s="22"/>
    </row>
    <row r="1539" spans="11:11" collapsed="1" x14ac:dyDescent="0.25">
      <c r="K1539" s="22"/>
    </row>
    <row r="1540" spans="11:11" x14ac:dyDescent="0.25">
      <c r="K1540" s="22"/>
    </row>
    <row r="1541" spans="11:11" x14ac:dyDescent="0.25">
      <c r="K1541" s="22"/>
    </row>
    <row r="1542" spans="11:11" x14ac:dyDescent="0.25">
      <c r="K1542" s="22"/>
    </row>
    <row r="1543" spans="11:11" x14ac:dyDescent="0.25">
      <c r="K1543" s="22"/>
    </row>
    <row r="1544" spans="11:11" x14ac:dyDescent="0.25">
      <c r="K1544" s="22"/>
    </row>
    <row r="1545" spans="11:11" x14ac:dyDescent="0.25">
      <c r="K1545" s="22"/>
    </row>
    <row r="1546" spans="11:11" x14ac:dyDescent="0.25">
      <c r="K1546" s="22"/>
    </row>
    <row r="1547" spans="11:11" x14ac:dyDescent="0.25">
      <c r="K1547" s="22"/>
    </row>
    <row r="1548" spans="11:11" x14ac:dyDescent="0.25">
      <c r="K1548" s="22"/>
    </row>
    <row r="1549" spans="11:11" x14ac:dyDescent="0.25">
      <c r="K1549" s="22"/>
    </row>
    <row r="1550" spans="11:11" x14ac:dyDescent="0.25">
      <c r="K1550" s="22"/>
    </row>
    <row r="1551" spans="11:11" x14ac:dyDescent="0.25">
      <c r="K1551" s="22"/>
    </row>
    <row r="1552" spans="11:11" x14ac:dyDescent="0.25">
      <c r="K1552" s="22"/>
    </row>
    <row r="1553" spans="11:11" x14ac:dyDescent="0.25">
      <c r="K1553" s="22"/>
    </row>
    <row r="1554" spans="11:11" x14ac:dyDescent="0.25">
      <c r="K1554" s="22"/>
    </row>
    <row r="1555" spans="11:11" x14ac:dyDescent="0.25">
      <c r="K1555" s="22"/>
    </row>
    <row r="1556" spans="11:11" x14ac:dyDescent="0.25">
      <c r="K1556" s="22"/>
    </row>
    <row r="1557" spans="11:11" x14ac:dyDescent="0.25">
      <c r="K1557" s="22"/>
    </row>
    <row r="1558" spans="11:11" x14ac:dyDescent="0.25">
      <c r="K1558" s="22"/>
    </row>
    <row r="1559" spans="11:11" x14ac:dyDescent="0.25">
      <c r="K1559" s="22"/>
    </row>
    <row r="1560" spans="11:11" x14ac:dyDescent="0.25">
      <c r="K1560" s="22"/>
    </row>
    <row r="1561" spans="11:11" x14ac:dyDescent="0.25">
      <c r="K1561" s="22"/>
    </row>
    <row r="1562" spans="11:11" x14ac:dyDescent="0.25">
      <c r="K1562" s="22"/>
    </row>
    <row r="1563" spans="11:11" x14ac:dyDescent="0.25">
      <c r="K1563" s="22"/>
    </row>
    <row r="1564" spans="11:11" x14ac:dyDescent="0.25">
      <c r="K1564" s="22"/>
    </row>
    <row r="1565" spans="11:11" collapsed="1" x14ac:dyDescent="0.25">
      <c r="K1565" s="22"/>
    </row>
    <row r="1566" spans="11:11" x14ac:dyDescent="0.25">
      <c r="K1566" s="22"/>
    </row>
    <row r="1567" spans="11:11" x14ac:dyDescent="0.25">
      <c r="K1567" s="22"/>
    </row>
    <row r="1568" spans="11:11" x14ac:dyDescent="0.25">
      <c r="K1568" s="22"/>
    </row>
    <row r="1569" spans="11:11" x14ac:dyDescent="0.25">
      <c r="K1569" s="22"/>
    </row>
    <row r="1570" spans="11:11" x14ac:dyDescent="0.25">
      <c r="K1570" s="22"/>
    </row>
    <row r="1571" spans="11:11" x14ac:dyDescent="0.25">
      <c r="K1571" s="22"/>
    </row>
    <row r="1572" spans="11:11" x14ac:dyDescent="0.25">
      <c r="K1572" s="22"/>
    </row>
    <row r="1573" spans="11:11" x14ac:dyDescent="0.25">
      <c r="K1573" s="22"/>
    </row>
    <row r="1574" spans="11:11" x14ac:dyDescent="0.25">
      <c r="K1574" s="22"/>
    </row>
    <row r="1575" spans="11:11" x14ac:dyDescent="0.25">
      <c r="K1575" s="22"/>
    </row>
    <row r="1576" spans="11:11" x14ac:dyDescent="0.25">
      <c r="K1576" s="22"/>
    </row>
    <row r="1577" spans="11:11" x14ac:dyDescent="0.25">
      <c r="K1577" s="22"/>
    </row>
    <row r="1578" spans="11:11" x14ac:dyDescent="0.25">
      <c r="K1578" s="22"/>
    </row>
    <row r="1579" spans="11:11" x14ac:dyDescent="0.25">
      <c r="K1579" s="22"/>
    </row>
    <row r="1580" spans="11:11" x14ac:dyDescent="0.25">
      <c r="K1580" s="22"/>
    </row>
    <row r="1581" spans="11:11" x14ac:dyDescent="0.25">
      <c r="K1581" s="22"/>
    </row>
    <row r="1582" spans="11:11" x14ac:dyDescent="0.25">
      <c r="K1582" s="22"/>
    </row>
    <row r="1583" spans="11:11" x14ac:dyDescent="0.25">
      <c r="K1583" s="22"/>
    </row>
    <row r="1584" spans="11:11" x14ac:dyDescent="0.25">
      <c r="K1584" s="22"/>
    </row>
    <row r="1585" spans="11:11" x14ac:dyDescent="0.25">
      <c r="K1585" s="22"/>
    </row>
    <row r="1586" spans="11:11" x14ac:dyDescent="0.25">
      <c r="K1586" s="22"/>
    </row>
    <row r="1587" spans="11:11" x14ac:dyDescent="0.25">
      <c r="K1587" s="22"/>
    </row>
    <row r="1588" spans="11:11" x14ac:dyDescent="0.25">
      <c r="K1588" s="22"/>
    </row>
    <row r="1589" spans="11:11" x14ac:dyDescent="0.25">
      <c r="K1589" s="22"/>
    </row>
    <row r="1590" spans="11:11" x14ac:dyDescent="0.25">
      <c r="K1590" s="22"/>
    </row>
    <row r="1591" spans="11:11" x14ac:dyDescent="0.25">
      <c r="K1591" s="22"/>
    </row>
    <row r="1592" spans="11:11" collapsed="1" x14ac:dyDescent="0.25">
      <c r="K1592" s="22"/>
    </row>
    <row r="1593" spans="11:11" x14ac:dyDescent="0.25">
      <c r="K1593" s="22"/>
    </row>
    <row r="1594" spans="11:11" x14ac:dyDescent="0.25">
      <c r="K1594" s="22"/>
    </row>
    <row r="1595" spans="11:11" x14ac:dyDescent="0.25">
      <c r="K1595" s="22"/>
    </row>
    <row r="1596" spans="11:11" x14ac:dyDescent="0.25">
      <c r="K1596" s="22"/>
    </row>
    <row r="1597" spans="11:11" x14ac:dyDescent="0.25">
      <c r="K1597" s="22"/>
    </row>
    <row r="1598" spans="11:11" x14ac:dyDescent="0.25">
      <c r="K1598" s="22"/>
    </row>
    <row r="1599" spans="11:11" x14ac:dyDescent="0.25">
      <c r="K1599" s="22"/>
    </row>
    <row r="1600" spans="11:11" x14ac:dyDescent="0.25">
      <c r="K1600" s="22"/>
    </row>
    <row r="1601" spans="11:11" x14ac:dyDescent="0.25">
      <c r="K1601" s="22"/>
    </row>
    <row r="1602" spans="11:11" x14ac:dyDescent="0.25">
      <c r="K1602" s="22"/>
    </row>
    <row r="1603" spans="11:11" x14ac:dyDescent="0.25">
      <c r="K1603" s="22"/>
    </row>
    <row r="1604" spans="11:11" x14ac:dyDescent="0.25">
      <c r="K1604" s="22"/>
    </row>
    <row r="1605" spans="11:11" x14ac:dyDescent="0.25">
      <c r="K1605" s="22"/>
    </row>
    <row r="1606" spans="11:11" x14ac:dyDescent="0.25">
      <c r="K1606" s="22"/>
    </row>
    <row r="1607" spans="11:11" x14ac:dyDescent="0.25">
      <c r="K1607" s="22"/>
    </row>
    <row r="1608" spans="11:11" x14ac:dyDescent="0.25">
      <c r="K1608" s="22"/>
    </row>
    <row r="1609" spans="11:11" x14ac:dyDescent="0.25">
      <c r="K1609" s="22"/>
    </row>
    <row r="1610" spans="11:11" x14ac:dyDescent="0.25">
      <c r="K1610" s="22"/>
    </row>
    <row r="1611" spans="11:11" x14ac:dyDescent="0.25">
      <c r="K1611" s="22"/>
    </row>
    <row r="1612" spans="11:11" x14ac:dyDescent="0.25">
      <c r="K1612" s="22"/>
    </row>
    <row r="1613" spans="11:11" x14ac:dyDescent="0.25">
      <c r="K1613" s="22"/>
    </row>
    <row r="1614" spans="11:11" x14ac:dyDescent="0.25">
      <c r="K1614" s="22"/>
    </row>
    <row r="1615" spans="11:11" x14ac:dyDescent="0.25">
      <c r="K1615" s="22"/>
    </row>
    <row r="1616" spans="11:11" x14ac:dyDescent="0.25">
      <c r="K1616" s="22"/>
    </row>
    <row r="1617" spans="11:11" x14ac:dyDescent="0.25">
      <c r="K1617" s="22"/>
    </row>
    <row r="1618" spans="11:11" collapsed="1" x14ac:dyDescent="0.25">
      <c r="K1618" s="22"/>
    </row>
    <row r="1619" spans="11:11" x14ac:dyDescent="0.25">
      <c r="K1619" s="22"/>
    </row>
    <row r="1620" spans="11:11" x14ac:dyDescent="0.25">
      <c r="K1620" s="22"/>
    </row>
    <row r="1621" spans="11:11" x14ac:dyDescent="0.25">
      <c r="K1621" s="22"/>
    </row>
    <row r="1622" spans="11:11" x14ac:dyDescent="0.25">
      <c r="K1622" s="22"/>
    </row>
    <row r="1623" spans="11:11" x14ac:dyDescent="0.25">
      <c r="K1623" s="22"/>
    </row>
    <row r="1624" spans="11:11" x14ac:dyDescent="0.25">
      <c r="K1624" s="22"/>
    </row>
    <row r="1625" spans="11:11" x14ac:dyDescent="0.25">
      <c r="K1625" s="22"/>
    </row>
    <row r="1626" spans="11:11" x14ac:dyDescent="0.25">
      <c r="K1626" s="22"/>
    </row>
    <row r="1627" spans="11:11" x14ac:dyDescent="0.25">
      <c r="K1627" s="22"/>
    </row>
    <row r="1628" spans="11:11" x14ac:dyDescent="0.25">
      <c r="K1628" s="22"/>
    </row>
    <row r="1629" spans="11:11" x14ac:dyDescent="0.25">
      <c r="K1629" s="22"/>
    </row>
    <row r="1630" spans="11:11" x14ac:dyDescent="0.25">
      <c r="K1630" s="22"/>
    </row>
    <row r="1631" spans="11:11" x14ac:dyDescent="0.25">
      <c r="K1631" s="22"/>
    </row>
    <row r="1632" spans="11:11" x14ac:dyDescent="0.25">
      <c r="K1632" s="22"/>
    </row>
    <row r="1633" spans="11:11" x14ac:dyDescent="0.25">
      <c r="K1633" s="22"/>
    </row>
    <row r="1634" spans="11:11" x14ac:dyDescent="0.25">
      <c r="K1634" s="22"/>
    </row>
    <row r="1635" spans="11:11" x14ac:dyDescent="0.25">
      <c r="K1635" s="22"/>
    </row>
    <row r="1636" spans="11:11" x14ac:dyDescent="0.25">
      <c r="K1636" s="22"/>
    </row>
    <row r="1637" spans="11:11" x14ac:dyDescent="0.25">
      <c r="K1637" s="22"/>
    </row>
    <row r="1638" spans="11:11" x14ac:dyDescent="0.25">
      <c r="K1638" s="22"/>
    </row>
    <row r="1639" spans="11:11" x14ac:dyDescent="0.25">
      <c r="K1639" s="22"/>
    </row>
    <row r="1640" spans="11:11" x14ac:dyDescent="0.25">
      <c r="K1640" s="22"/>
    </row>
    <row r="1641" spans="11:11" x14ac:dyDescent="0.25">
      <c r="K1641" s="22"/>
    </row>
    <row r="1642" spans="11:11" x14ac:dyDescent="0.25">
      <c r="K1642" s="22"/>
    </row>
    <row r="1643" spans="11:11" x14ac:dyDescent="0.25">
      <c r="K1643" s="22"/>
    </row>
    <row r="1644" spans="11:11" x14ac:dyDescent="0.25">
      <c r="K1644" s="22"/>
    </row>
    <row r="1645" spans="11:11" collapsed="1" x14ac:dyDescent="0.25">
      <c r="K1645" s="22"/>
    </row>
    <row r="1646" spans="11:11" x14ac:dyDescent="0.25">
      <c r="K1646" s="22"/>
    </row>
    <row r="1647" spans="11:11" x14ac:dyDescent="0.25">
      <c r="K1647" s="22"/>
    </row>
    <row r="1648" spans="11:11" x14ac:dyDescent="0.25">
      <c r="K1648" s="22"/>
    </row>
    <row r="1649" spans="11:11" x14ac:dyDescent="0.25">
      <c r="K1649" s="22"/>
    </row>
    <row r="1650" spans="11:11" x14ac:dyDescent="0.25">
      <c r="K1650" s="22"/>
    </row>
    <row r="1651" spans="11:11" x14ac:dyDescent="0.25">
      <c r="K1651" s="22"/>
    </row>
    <row r="1652" spans="11:11" x14ac:dyDescent="0.25">
      <c r="K1652" s="22"/>
    </row>
    <row r="1653" spans="11:11" x14ac:dyDescent="0.25">
      <c r="K1653" s="22"/>
    </row>
    <row r="1654" spans="11:11" x14ac:dyDescent="0.25">
      <c r="K1654" s="22"/>
    </row>
    <row r="1655" spans="11:11" x14ac:dyDescent="0.25">
      <c r="K1655" s="22"/>
    </row>
    <row r="1656" spans="11:11" x14ac:dyDescent="0.25">
      <c r="K1656" s="22"/>
    </row>
    <row r="1657" spans="11:11" x14ac:dyDescent="0.25">
      <c r="K1657" s="22"/>
    </row>
    <row r="1658" spans="11:11" x14ac:dyDescent="0.25">
      <c r="K1658" s="22"/>
    </row>
    <row r="1659" spans="11:11" x14ac:dyDescent="0.25">
      <c r="K1659" s="22"/>
    </row>
    <row r="1660" spans="11:11" x14ac:dyDescent="0.25">
      <c r="K1660" s="22"/>
    </row>
    <row r="1661" spans="11:11" x14ac:dyDescent="0.25">
      <c r="K1661" s="22"/>
    </row>
    <row r="1662" spans="11:11" x14ac:dyDescent="0.25">
      <c r="K1662" s="22"/>
    </row>
    <row r="1663" spans="11:11" x14ac:dyDescent="0.25">
      <c r="K1663" s="22"/>
    </row>
    <row r="1664" spans="11:11" x14ac:dyDescent="0.25">
      <c r="K1664" s="22"/>
    </row>
    <row r="1665" spans="11:11" x14ac:dyDescent="0.25">
      <c r="K1665" s="22"/>
    </row>
    <row r="1666" spans="11:11" x14ac:dyDescent="0.25">
      <c r="K1666" s="22"/>
    </row>
    <row r="1667" spans="11:11" x14ac:dyDescent="0.25">
      <c r="K1667" s="22"/>
    </row>
    <row r="1668" spans="11:11" x14ac:dyDescent="0.25">
      <c r="K1668" s="22"/>
    </row>
    <row r="1669" spans="11:11" x14ac:dyDescent="0.25">
      <c r="K1669" s="22"/>
    </row>
    <row r="1670" spans="11:11" x14ac:dyDescent="0.25">
      <c r="K1670" s="22"/>
    </row>
    <row r="1671" spans="11:11" collapsed="1" x14ac:dyDescent="0.25">
      <c r="K1671" s="22"/>
    </row>
    <row r="1672" spans="11:11" x14ac:dyDescent="0.25">
      <c r="K1672" s="22"/>
    </row>
    <row r="1673" spans="11:11" x14ac:dyDescent="0.25">
      <c r="K1673" s="22"/>
    </row>
    <row r="1674" spans="11:11" x14ac:dyDescent="0.25">
      <c r="K1674" s="22"/>
    </row>
    <row r="1675" spans="11:11" x14ac:dyDescent="0.25">
      <c r="K1675" s="22"/>
    </row>
    <row r="1676" spans="11:11" x14ac:dyDescent="0.25">
      <c r="K1676" s="22"/>
    </row>
    <row r="1677" spans="11:11" x14ac:dyDescent="0.25">
      <c r="K1677" s="22"/>
    </row>
    <row r="1678" spans="11:11" x14ac:dyDescent="0.25">
      <c r="K1678" s="22"/>
    </row>
    <row r="1679" spans="11:11" x14ac:dyDescent="0.25">
      <c r="K1679" s="22"/>
    </row>
    <row r="1680" spans="11:11" x14ac:dyDescent="0.25">
      <c r="K1680" s="22"/>
    </row>
    <row r="1681" spans="11:11" x14ac:dyDescent="0.25">
      <c r="K1681" s="22"/>
    </row>
    <row r="1682" spans="11:11" x14ac:dyDescent="0.25">
      <c r="K1682" s="22"/>
    </row>
    <row r="1683" spans="11:11" x14ac:dyDescent="0.25">
      <c r="K1683" s="22"/>
    </row>
    <row r="1684" spans="11:11" x14ac:dyDescent="0.25">
      <c r="K1684" s="22"/>
    </row>
    <row r="1685" spans="11:11" x14ac:dyDescent="0.25">
      <c r="K1685" s="22"/>
    </row>
    <row r="1686" spans="11:11" x14ac:dyDescent="0.25">
      <c r="K1686" s="22"/>
    </row>
    <row r="1687" spans="11:11" x14ac:dyDescent="0.25">
      <c r="K1687" s="22"/>
    </row>
    <row r="1688" spans="11:11" x14ac:dyDescent="0.25">
      <c r="K1688" s="22"/>
    </row>
    <row r="1689" spans="11:11" x14ac:dyDescent="0.25">
      <c r="K1689" s="22"/>
    </row>
    <row r="1690" spans="11:11" x14ac:dyDescent="0.25">
      <c r="K1690" s="22"/>
    </row>
    <row r="1691" spans="11:11" x14ac:dyDescent="0.25">
      <c r="K1691" s="22"/>
    </row>
    <row r="1692" spans="11:11" x14ac:dyDescent="0.25">
      <c r="K1692" s="22"/>
    </row>
    <row r="1693" spans="11:11" x14ac:dyDescent="0.25">
      <c r="K1693" s="22"/>
    </row>
    <row r="1694" spans="11:11" x14ac:dyDescent="0.25">
      <c r="K1694" s="22"/>
    </row>
    <row r="1695" spans="11:11" x14ac:dyDescent="0.25">
      <c r="K1695" s="22"/>
    </row>
    <row r="1696" spans="11:11" x14ac:dyDescent="0.25">
      <c r="K1696" s="22"/>
    </row>
    <row r="1697" spans="11:11" x14ac:dyDescent="0.25">
      <c r="K1697" s="22"/>
    </row>
    <row r="1698" spans="11:11" x14ac:dyDescent="0.25">
      <c r="K1698" s="22"/>
    </row>
    <row r="1699" spans="11:11" x14ac:dyDescent="0.25">
      <c r="K1699" s="22"/>
    </row>
    <row r="1700" spans="11:11" x14ac:dyDescent="0.25">
      <c r="K1700" s="22"/>
    </row>
    <row r="1701" spans="11:11" x14ac:dyDescent="0.25">
      <c r="K1701" s="22"/>
    </row>
    <row r="1702" spans="11:11" x14ac:dyDescent="0.25">
      <c r="K1702" s="22"/>
    </row>
    <row r="1703" spans="11:11" x14ac:dyDescent="0.25">
      <c r="K1703" s="22"/>
    </row>
    <row r="1704" spans="11:11" x14ac:dyDescent="0.25">
      <c r="K1704" s="22"/>
    </row>
    <row r="1705" spans="11:11" x14ac:dyDescent="0.25">
      <c r="K1705" s="22"/>
    </row>
    <row r="1706" spans="11:11" x14ac:dyDescent="0.25">
      <c r="K1706" s="22"/>
    </row>
    <row r="1707" spans="11:11" x14ac:dyDescent="0.25">
      <c r="K1707" s="22"/>
    </row>
    <row r="1708" spans="11:11" x14ac:dyDescent="0.25">
      <c r="K1708" s="22"/>
    </row>
    <row r="1709" spans="11:11" x14ac:dyDescent="0.25">
      <c r="K1709" s="22"/>
    </row>
    <row r="1710" spans="11:11" x14ac:dyDescent="0.25">
      <c r="K1710" s="22"/>
    </row>
    <row r="1711" spans="11:11" x14ac:dyDescent="0.25">
      <c r="K1711" s="22"/>
    </row>
    <row r="1712" spans="11:11" x14ac:dyDescent="0.25">
      <c r="K1712" s="22"/>
    </row>
    <row r="1713" spans="11:11" x14ac:dyDescent="0.25">
      <c r="K1713" s="22"/>
    </row>
    <row r="1714" spans="11:11" x14ac:dyDescent="0.25">
      <c r="K1714" s="22"/>
    </row>
    <row r="1715" spans="11:11" x14ac:dyDescent="0.25">
      <c r="K1715" s="22"/>
    </row>
    <row r="1716" spans="11:11" x14ac:dyDescent="0.25">
      <c r="K1716" s="22"/>
    </row>
    <row r="1717" spans="11:11" x14ac:dyDescent="0.25">
      <c r="K1717" s="22"/>
    </row>
    <row r="1718" spans="11:11" x14ac:dyDescent="0.25">
      <c r="K1718" s="22"/>
    </row>
    <row r="1719" spans="11:11" x14ac:dyDescent="0.25">
      <c r="K1719" s="22"/>
    </row>
    <row r="1720" spans="11:11" x14ac:dyDescent="0.25">
      <c r="K1720" s="22"/>
    </row>
    <row r="1721" spans="11:11" x14ac:dyDescent="0.25">
      <c r="K1721" s="22"/>
    </row>
    <row r="1722" spans="11:11" x14ac:dyDescent="0.25">
      <c r="K1722" s="22"/>
    </row>
    <row r="1723" spans="11:11" x14ac:dyDescent="0.25">
      <c r="K1723" s="22"/>
    </row>
    <row r="1724" spans="11:11" x14ac:dyDescent="0.25">
      <c r="K1724" s="22"/>
    </row>
    <row r="1725" spans="11:11" x14ac:dyDescent="0.25">
      <c r="K1725" s="22"/>
    </row>
    <row r="1726" spans="11:11" x14ac:dyDescent="0.25">
      <c r="K1726" s="22"/>
    </row>
    <row r="1727" spans="11:11" x14ac:dyDescent="0.25">
      <c r="K1727" s="22"/>
    </row>
    <row r="1728" spans="11:11" x14ac:dyDescent="0.25">
      <c r="K1728" s="22"/>
    </row>
    <row r="1729" spans="11:11" x14ac:dyDescent="0.25">
      <c r="K1729" s="22"/>
    </row>
    <row r="1730" spans="11:11" x14ac:dyDescent="0.25">
      <c r="K1730" s="22"/>
    </row>
    <row r="1731" spans="11:11" x14ac:dyDescent="0.25">
      <c r="K1731" s="22"/>
    </row>
    <row r="1732" spans="11:11" x14ac:dyDescent="0.25">
      <c r="K1732" s="22"/>
    </row>
    <row r="1733" spans="11:11" x14ac:dyDescent="0.25">
      <c r="K1733" s="22"/>
    </row>
    <row r="1734" spans="11:11" x14ac:dyDescent="0.25">
      <c r="K1734" s="22"/>
    </row>
    <row r="1735" spans="11:11" x14ac:dyDescent="0.25">
      <c r="K1735" s="22"/>
    </row>
    <row r="1736" spans="11:11" x14ac:dyDescent="0.25">
      <c r="K1736" s="22"/>
    </row>
    <row r="1737" spans="11:11" x14ac:dyDescent="0.25">
      <c r="K1737" s="22"/>
    </row>
    <row r="1738" spans="11:11" x14ac:dyDescent="0.25">
      <c r="K1738" s="22"/>
    </row>
    <row r="1739" spans="11:11" x14ac:dyDescent="0.25">
      <c r="K1739" s="22"/>
    </row>
    <row r="1740" spans="11:11" x14ac:dyDescent="0.25">
      <c r="K1740" s="22"/>
    </row>
    <row r="1741" spans="11:11" x14ac:dyDescent="0.25">
      <c r="K1741" s="22"/>
    </row>
    <row r="1742" spans="11:11" x14ac:dyDescent="0.25">
      <c r="K1742" s="22"/>
    </row>
    <row r="1743" spans="11:11" x14ac:dyDescent="0.25">
      <c r="K1743" s="22"/>
    </row>
    <row r="1744" spans="11:11" x14ac:dyDescent="0.25">
      <c r="K1744" s="22"/>
    </row>
    <row r="1745" spans="11:11" x14ac:dyDescent="0.25">
      <c r="K1745" s="22"/>
    </row>
    <row r="1746" spans="11:11" x14ac:dyDescent="0.25">
      <c r="K1746" s="22"/>
    </row>
    <row r="1747" spans="11:11" x14ac:dyDescent="0.25">
      <c r="K1747" s="22"/>
    </row>
    <row r="1748" spans="11:11" x14ac:dyDescent="0.25">
      <c r="K1748" s="22"/>
    </row>
    <row r="1749" spans="11:11" x14ac:dyDescent="0.25">
      <c r="K1749" s="22"/>
    </row>
    <row r="1750" spans="11:11" x14ac:dyDescent="0.25">
      <c r="K1750" s="22"/>
    </row>
    <row r="1751" spans="11:11" x14ac:dyDescent="0.25">
      <c r="K1751" s="22"/>
    </row>
    <row r="1752" spans="11:11" x14ac:dyDescent="0.25">
      <c r="K1752" s="22"/>
    </row>
    <row r="1753" spans="11:11" x14ac:dyDescent="0.25">
      <c r="K1753" s="22"/>
    </row>
    <row r="1754" spans="11:11" x14ac:dyDescent="0.25">
      <c r="K1754" s="22"/>
    </row>
    <row r="1755" spans="11:11" x14ac:dyDescent="0.25">
      <c r="K1755" s="22"/>
    </row>
    <row r="1756" spans="11:11" x14ac:dyDescent="0.25">
      <c r="K1756" s="22"/>
    </row>
    <row r="1757" spans="11:11" x14ac:dyDescent="0.25">
      <c r="K1757" s="22"/>
    </row>
    <row r="1758" spans="11:11" x14ac:dyDescent="0.25">
      <c r="K1758" s="22"/>
    </row>
    <row r="1759" spans="11:11" x14ac:dyDescent="0.25">
      <c r="K1759" s="22"/>
    </row>
    <row r="1760" spans="11:11" x14ac:dyDescent="0.25">
      <c r="K1760" s="22"/>
    </row>
    <row r="1761" spans="11:11" x14ac:dyDescent="0.25">
      <c r="K1761" s="22"/>
    </row>
    <row r="1762" spans="11:11" x14ac:dyDescent="0.25">
      <c r="K1762" s="22"/>
    </row>
    <row r="1763" spans="11:11" x14ac:dyDescent="0.25">
      <c r="K1763" s="22"/>
    </row>
    <row r="1764" spans="11:11" x14ac:dyDescent="0.25">
      <c r="K1764" s="22"/>
    </row>
    <row r="1765" spans="11:11" x14ac:dyDescent="0.25">
      <c r="K1765" s="22"/>
    </row>
    <row r="1766" spans="11:11" x14ac:dyDescent="0.25">
      <c r="K1766" s="22"/>
    </row>
    <row r="1767" spans="11:11" x14ac:dyDescent="0.25">
      <c r="K1767" s="22"/>
    </row>
    <row r="1768" spans="11:11" x14ac:dyDescent="0.25">
      <c r="K1768" s="22"/>
    </row>
    <row r="1769" spans="11:11" x14ac:dyDescent="0.25">
      <c r="K1769" s="22"/>
    </row>
    <row r="1770" spans="11:11" x14ac:dyDescent="0.25">
      <c r="K1770" s="22"/>
    </row>
    <row r="1771" spans="11:11" x14ac:dyDescent="0.25">
      <c r="K1771" s="22"/>
    </row>
    <row r="1772" spans="11:11" x14ac:dyDescent="0.25">
      <c r="K1772" s="22"/>
    </row>
    <row r="1773" spans="11:11" x14ac:dyDescent="0.25">
      <c r="K1773" s="22"/>
    </row>
    <row r="1774" spans="11:11" x14ac:dyDescent="0.25">
      <c r="K1774" s="22"/>
    </row>
    <row r="1775" spans="11:11" x14ac:dyDescent="0.25">
      <c r="K1775" s="22"/>
    </row>
    <row r="1776" spans="11:11" x14ac:dyDescent="0.25">
      <c r="K1776" s="22"/>
    </row>
    <row r="1777" spans="11:11" x14ac:dyDescent="0.25">
      <c r="K1777" s="22"/>
    </row>
    <row r="1778" spans="11:11" x14ac:dyDescent="0.25">
      <c r="K1778" s="22"/>
    </row>
    <row r="1779" spans="11:11" x14ac:dyDescent="0.25">
      <c r="K1779" s="22"/>
    </row>
    <row r="1780" spans="11:11" x14ac:dyDescent="0.25">
      <c r="K1780" s="22"/>
    </row>
    <row r="1781" spans="11:11" x14ac:dyDescent="0.25">
      <c r="K1781" s="22"/>
    </row>
    <row r="1782" spans="11:11" x14ac:dyDescent="0.25">
      <c r="K1782" s="22"/>
    </row>
    <row r="1783" spans="11:11" x14ac:dyDescent="0.25">
      <c r="K1783" s="22"/>
    </row>
    <row r="1784" spans="11:11" x14ac:dyDescent="0.25">
      <c r="K1784" s="22"/>
    </row>
    <row r="1785" spans="11:11" x14ac:dyDescent="0.25">
      <c r="K1785" s="22"/>
    </row>
    <row r="1786" spans="11:11" x14ac:dyDescent="0.25">
      <c r="K1786" s="22"/>
    </row>
    <row r="1787" spans="11:11" x14ac:dyDescent="0.25">
      <c r="K1787" s="22"/>
    </row>
    <row r="1788" spans="11:11" x14ac:dyDescent="0.25">
      <c r="K1788" s="22"/>
    </row>
    <row r="1789" spans="11:11" x14ac:dyDescent="0.25">
      <c r="K1789" s="22"/>
    </row>
    <row r="1790" spans="11:11" x14ac:dyDescent="0.25">
      <c r="K1790" s="22"/>
    </row>
    <row r="1791" spans="11:11" x14ac:dyDescent="0.25">
      <c r="K1791" s="22"/>
    </row>
    <row r="1792" spans="11:11" x14ac:dyDescent="0.25">
      <c r="K1792" s="22"/>
    </row>
    <row r="1793" spans="11:11" x14ac:dyDescent="0.25">
      <c r="K1793" s="22"/>
    </row>
    <row r="1794" spans="11:11" x14ac:dyDescent="0.25">
      <c r="K1794" s="22"/>
    </row>
    <row r="1795" spans="11:11" x14ac:dyDescent="0.25">
      <c r="K1795" s="22"/>
    </row>
    <row r="1796" spans="11:11" x14ac:dyDescent="0.25">
      <c r="K1796" s="22"/>
    </row>
    <row r="1797" spans="11:11" x14ac:dyDescent="0.25">
      <c r="K1797" s="22"/>
    </row>
    <row r="1798" spans="11:11" x14ac:dyDescent="0.25">
      <c r="K1798" s="22"/>
    </row>
    <row r="1799" spans="11:11" x14ac:dyDescent="0.25">
      <c r="K1799" s="22"/>
    </row>
    <row r="1800" spans="11:11" x14ac:dyDescent="0.25">
      <c r="K1800" s="22"/>
    </row>
    <row r="1801" spans="11:11" x14ac:dyDescent="0.25">
      <c r="K1801" s="22"/>
    </row>
    <row r="1802" spans="11:11" x14ac:dyDescent="0.25">
      <c r="K1802" s="22"/>
    </row>
    <row r="1803" spans="11:11" x14ac:dyDescent="0.25">
      <c r="K1803" s="22"/>
    </row>
    <row r="1804" spans="11:11" x14ac:dyDescent="0.25">
      <c r="K1804" s="22"/>
    </row>
    <row r="1805" spans="11:11" x14ac:dyDescent="0.25">
      <c r="K1805" s="22"/>
    </row>
    <row r="1806" spans="11:11" x14ac:dyDescent="0.25">
      <c r="K1806" s="22"/>
    </row>
    <row r="1807" spans="11:11" x14ac:dyDescent="0.25">
      <c r="K1807" s="22"/>
    </row>
    <row r="1808" spans="11:11" x14ac:dyDescent="0.25">
      <c r="K1808" s="22"/>
    </row>
    <row r="1809" spans="11:11" x14ac:dyDescent="0.25">
      <c r="K1809" s="22"/>
    </row>
    <row r="1810" spans="11:11" x14ac:dyDescent="0.25">
      <c r="K1810" s="22"/>
    </row>
    <row r="1811" spans="11:11" x14ac:dyDescent="0.25">
      <c r="K1811" s="22"/>
    </row>
    <row r="1812" spans="11:11" x14ac:dyDescent="0.25">
      <c r="K1812" s="22"/>
    </row>
    <row r="1813" spans="11:11" x14ac:dyDescent="0.25">
      <c r="K1813" s="22"/>
    </row>
    <row r="1814" spans="11:11" x14ac:dyDescent="0.25">
      <c r="K1814" s="22"/>
    </row>
    <row r="1815" spans="11:11" x14ac:dyDescent="0.25">
      <c r="K1815" s="22"/>
    </row>
    <row r="1816" spans="11:11" x14ac:dyDescent="0.25">
      <c r="K1816" s="22"/>
    </row>
    <row r="1817" spans="11:11" x14ac:dyDescent="0.25">
      <c r="K1817" s="22"/>
    </row>
    <row r="1818" spans="11:11" x14ac:dyDescent="0.25">
      <c r="K1818" s="22"/>
    </row>
    <row r="1819" spans="11:11" x14ac:dyDescent="0.25">
      <c r="K1819" s="22"/>
    </row>
    <row r="1820" spans="11:11" x14ac:dyDescent="0.25">
      <c r="K1820" s="22"/>
    </row>
    <row r="1821" spans="11:11" x14ac:dyDescent="0.25">
      <c r="K1821" s="22"/>
    </row>
    <row r="1822" spans="11:11" x14ac:dyDescent="0.25">
      <c r="K1822" s="22"/>
    </row>
    <row r="1823" spans="11:11" x14ac:dyDescent="0.25">
      <c r="K1823" s="22"/>
    </row>
    <row r="1824" spans="11:11" x14ac:dyDescent="0.25">
      <c r="K1824" s="22"/>
    </row>
    <row r="1825" spans="11:11" x14ac:dyDescent="0.25">
      <c r="K1825" s="22"/>
    </row>
    <row r="1826" spans="11:11" x14ac:dyDescent="0.25">
      <c r="K1826" s="22"/>
    </row>
    <row r="1827" spans="11:11" x14ac:dyDescent="0.25">
      <c r="K1827" s="22"/>
    </row>
    <row r="1828" spans="11:11" x14ac:dyDescent="0.25">
      <c r="K1828" s="22"/>
    </row>
    <row r="1829" spans="11:11" x14ac:dyDescent="0.25">
      <c r="K1829" s="22"/>
    </row>
    <row r="1830" spans="11:11" x14ac:dyDescent="0.25">
      <c r="K1830" s="22"/>
    </row>
    <row r="1831" spans="11:11" x14ac:dyDescent="0.25">
      <c r="K1831" s="22"/>
    </row>
    <row r="1832" spans="11:11" x14ac:dyDescent="0.25">
      <c r="K1832" s="22"/>
    </row>
    <row r="1833" spans="11:11" x14ac:dyDescent="0.25">
      <c r="K1833" s="22"/>
    </row>
    <row r="1834" spans="11:11" x14ac:dyDescent="0.25">
      <c r="K1834" s="22"/>
    </row>
    <row r="1835" spans="11:11" x14ac:dyDescent="0.25">
      <c r="K1835" s="22"/>
    </row>
    <row r="1836" spans="11:11" x14ac:dyDescent="0.25">
      <c r="K1836" s="22"/>
    </row>
    <row r="1837" spans="11:11" x14ac:dyDescent="0.25">
      <c r="K1837" s="22"/>
    </row>
    <row r="1838" spans="11:11" x14ac:dyDescent="0.25">
      <c r="K1838" s="22"/>
    </row>
    <row r="1839" spans="11:11" x14ac:dyDescent="0.25">
      <c r="K1839" s="22"/>
    </row>
    <row r="1840" spans="11:11" x14ac:dyDescent="0.25">
      <c r="K1840" s="22"/>
    </row>
    <row r="1841" spans="11:11" x14ac:dyDescent="0.25">
      <c r="K1841" s="22"/>
    </row>
    <row r="1842" spans="11:11" x14ac:dyDescent="0.25">
      <c r="K1842" s="22"/>
    </row>
    <row r="1843" spans="11:11" x14ac:dyDescent="0.25">
      <c r="K1843" s="22"/>
    </row>
    <row r="1844" spans="11:11" x14ac:dyDescent="0.25">
      <c r="K1844" s="22"/>
    </row>
    <row r="1845" spans="11:11" x14ac:dyDescent="0.25">
      <c r="K1845" s="22"/>
    </row>
    <row r="1846" spans="11:11" x14ac:dyDescent="0.25">
      <c r="K1846" s="22"/>
    </row>
    <row r="1847" spans="11:11" x14ac:dyDescent="0.25">
      <c r="K1847" s="22"/>
    </row>
    <row r="1848" spans="11:11" x14ac:dyDescent="0.25">
      <c r="K1848" s="22"/>
    </row>
    <row r="1849" spans="11:11" x14ac:dyDescent="0.25">
      <c r="K1849" s="22"/>
    </row>
    <row r="1850" spans="11:11" x14ac:dyDescent="0.25">
      <c r="K1850" s="22"/>
    </row>
    <row r="1851" spans="11:11" x14ac:dyDescent="0.25">
      <c r="K1851" s="22"/>
    </row>
    <row r="1852" spans="11:11" x14ac:dyDescent="0.25">
      <c r="K1852" s="22"/>
    </row>
    <row r="1853" spans="11:11" x14ac:dyDescent="0.25">
      <c r="K1853" s="22"/>
    </row>
    <row r="1854" spans="11:11" x14ac:dyDescent="0.25">
      <c r="K1854" s="22"/>
    </row>
    <row r="1855" spans="11:11" x14ac:dyDescent="0.25">
      <c r="K1855" s="22"/>
    </row>
    <row r="1856" spans="11:11" x14ac:dyDescent="0.25">
      <c r="K1856" s="22"/>
    </row>
    <row r="1857" spans="11:11" x14ac:dyDescent="0.25">
      <c r="K1857" s="22"/>
    </row>
    <row r="1858" spans="11:11" x14ac:dyDescent="0.25">
      <c r="K1858" s="22"/>
    </row>
    <row r="1859" spans="11:11" x14ac:dyDescent="0.25">
      <c r="K1859" s="22"/>
    </row>
    <row r="1860" spans="11:11" x14ac:dyDescent="0.25">
      <c r="K1860" s="22"/>
    </row>
    <row r="1861" spans="11:11" x14ac:dyDescent="0.25">
      <c r="K1861" s="22"/>
    </row>
    <row r="10000" spans="1:11" ht="45" x14ac:dyDescent="0.25">
      <c r="A10000" s="7" t="s">
        <v>12</v>
      </c>
      <c r="B10000" s="7" t="s">
        <v>11</v>
      </c>
      <c r="C10000" s="8" t="s">
        <v>16</v>
      </c>
      <c r="D10000" s="8" t="s">
        <v>17</v>
      </c>
      <c r="E10000" s="8" t="s">
        <v>18</v>
      </c>
      <c r="F10000" s="8" t="s">
        <v>19</v>
      </c>
      <c r="G10000" s="8" t="s">
        <v>20</v>
      </c>
      <c r="H10000" s="8" t="s">
        <v>14</v>
      </c>
      <c r="I10000" s="8" t="s">
        <v>22</v>
      </c>
      <c r="J10000" s="8" t="s">
        <v>21</v>
      </c>
      <c r="K10000" s="7" t="s">
        <v>85</v>
      </c>
    </row>
    <row r="10001" spans="1:11" x14ac:dyDescent="0.25">
      <c r="A10001" s="38"/>
      <c r="B10001" s="13"/>
      <c r="C10001" s="19"/>
      <c r="D10001" s="19"/>
      <c r="E10001" s="19"/>
      <c r="F10001" s="19"/>
      <c r="G10001" s="19"/>
      <c r="H10001" s="19"/>
      <c r="I10001" s="19"/>
      <c r="J10001" s="19">
        <f t="shared" ref="J10001:J10028" si="296">+I10001-H10001</f>
        <v>0</v>
      </c>
      <c r="K10001" s="23">
        <v>1</v>
      </c>
    </row>
    <row r="10002" spans="1:11" x14ac:dyDescent="0.25">
      <c r="A10002" s="39"/>
      <c r="B10002" s="14"/>
      <c r="C10002" s="24"/>
      <c r="D10002" s="24"/>
      <c r="E10002" s="24"/>
      <c r="F10002" s="24"/>
      <c r="G10002" s="24"/>
      <c r="H10002" s="24"/>
      <c r="I10002" s="24"/>
      <c r="J10002" s="24">
        <f t="shared" si="296"/>
        <v>0</v>
      </c>
      <c r="K10002" s="25">
        <v>2</v>
      </c>
    </row>
    <row r="10003" spans="1:11" x14ac:dyDescent="0.25">
      <c r="A10003" s="40"/>
      <c r="B10003" s="10"/>
      <c r="C10003" s="26">
        <f t="shared" ref="C10003:H10003" si="297">+C10004+C10013+C10017+C10023</f>
        <v>0</v>
      </c>
      <c r="D10003" s="26">
        <f t="shared" si="297"/>
        <v>0</v>
      </c>
      <c r="E10003" s="26">
        <f t="shared" si="297"/>
        <v>0</v>
      </c>
      <c r="F10003" s="26">
        <f t="shared" si="297"/>
        <v>0</v>
      </c>
      <c r="G10003" s="26">
        <f t="shared" si="297"/>
        <v>0</v>
      </c>
      <c r="H10003" s="26">
        <f t="shared" si="297"/>
        <v>0</v>
      </c>
      <c r="I10003" s="26">
        <v>0</v>
      </c>
      <c r="J10003" s="26">
        <f t="shared" si="296"/>
        <v>0</v>
      </c>
      <c r="K10003" s="27">
        <v>3</v>
      </c>
    </row>
    <row r="10004" spans="1:11" x14ac:dyDescent="0.25">
      <c r="A10004" s="28"/>
      <c r="B10004" s="15" t="s">
        <v>65</v>
      </c>
      <c r="C10004" s="29">
        <f t="shared" ref="C10004:H10004" si="298">+SUM(C10005:C10012)</f>
        <v>0</v>
      </c>
      <c r="D10004" s="29">
        <f t="shared" si="298"/>
        <v>0</v>
      </c>
      <c r="E10004" s="29">
        <f t="shared" si="298"/>
        <v>0</v>
      </c>
      <c r="F10004" s="29">
        <f t="shared" si="298"/>
        <v>0</v>
      </c>
      <c r="G10004" s="29">
        <f t="shared" si="298"/>
        <v>0</v>
      </c>
      <c r="H10004" s="29">
        <f t="shared" si="298"/>
        <v>0</v>
      </c>
      <c r="I10004" s="29">
        <v>0</v>
      </c>
      <c r="J10004" s="29">
        <f t="shared" si="296"/>
        <v>0</v>
      </c>
      <c r="K10004" s="30">
        <v>4</v>
      </c>
    </row>
    <row r="10005" spans="1:11" x14ac:dyDescent="0.25">
      <c r="A10005" s="31"/>
      <c r="B10005" s="16" t="s">
        <v>66</v>
      </c>
      <c r="C10005" s="32"/>
      <c r="D10005" s="32"/>
      <c r="E10005" s="32"/>
      <c r="F10005" s="32"/>
      <c r="G10005" s="32"/>
      <c r="H10005" s="32"/>
      <c r="I10005" s="32"/>
      <c r="J10005" s="32">
        <f t="shared" si="296"/>
        <v>0</v>
      </c>
      <c r="K10005" s="33">
        <v>5</v>
      </c>
    </row>
    <row r="10006" spans="1:11" x14ac:dyDescent="0.25">
      <c r="A10006" s="31"/>
      <c r="B10006" s="17" t="s">
        <v>67</v>
      </c>
      <c r="C10006" s="32"/>
      <c r="D10006" s="32"/>
      <c r="E10006" s="32"/>
      <c r="F10006" s="32"/>
      <c r="G10006" s="32"/>
      <c r="H10006" s="32"/>
      <c r="I10006" s="32"/>
      <c r="J10006" s="32">
        <f t="shared" si="296"/>
        <v>0</v>
      </c>
      <c r="K10006" s="33">
        <v>6</v>
      </c>
    </row>
    <row r="10007" spans="1:11" ht="30" x14ac:dyDescent="0.25">
      <c r="A10007" s="31"/>
      <c r="B10007" s="17" t="s">
        <v>68</v>
      </c>
      <c r="C10007" s="32"/>
      <c r="D10007" s="32"/>
      <c r="E10007" s="32"/>
      <c r="F10007" s="32"/>
      <c r="G10007" s="32"/>
      <c r="H10007" s="32"/>
      <c r="I10007" s="32"/>
      <c r="J10007" s="32">
        <f t="shared" si="296"/>
        <v>0</v>
      </c>
      <c r="K10007" s="33">
        <v>7</v>
      </c>
    </row>
    <row r="10008" spans="1:11" x14ac:dyDescent="0.25">
      <c r="A10008" s="31"/>
      <c r="B10008" s="16" t="s">
        <v>69</v>
      </c>
      <c r="C10008" s="32"/>
      <c r="D10008" s="32"/>
      <c r="E10008" s="32"/>
      <c r="F10008" s="32"/>
      <c r="G10008" s="32"/>
      <c r="H10008" s="32"/>
      <c r="I10008" s="32"/>
      <c r="J10008" s="32">
        <f t="shared" si="296"/>
        <v>0</v>
      </c>
      <c r="K10008" s="33">
        <v>8</v>
      </c>
    </row>
    <row r="10009" spans="1:11" x14ac:dyDescent="0.25">
      <c r="A10009" s="31"/>
      <c r="B10009" s="17" t="s">
        <v>70</v>
      </c>
      <c r="C10009" s="32"/>
      <c r="D10009" s="32"/>
      <c r="E10009" s="32"/>
      <c r="F10009" s="32"/>
      <c r="G10009" s="32"/>
      <c r="H10009" s="32"/>
      <c r="I10009" s="32"/>
      <c r="J10009" s="32">
        <f t="shared" si="296"/>
        <v>0</v>
      </c>
      <c r="K10009" s="33">
        <v>9</v>
      </c>
    </row>
    <row r="10010" spans="1:11" ht="30" x14ac:dyDescent="0.25">
      <c r="A10010" s="31"/>
      <c r="B10010" s="17" t="s">
        <v>71</v>
      </c>
      <c r="C10010" s="32"/>
      <c r="D10010" s="32"/>
      <c r="E10010" s="32"/>
      <c r="F10010" s="32"/>
      <c r="G10010" s="32"/>
      <c r="H10010" s="32"/>
      <c r="I10010" s="32"/>
      <c r="J10010" s="32">
        <f t="shared" si="296"/>
        <v>0</v>
      </c>
      <c r="K10010" s="33">
        <v>10</v>
      </c>
    </row>
    <row r="10011" spans="1:11" x14ac:dyDescent="0.25">
      <c r="A10011" s="31"/>
      <c r="B10011" s="16" t="s">
        <v>72</v>
      </c>
      <c r="C10011" s="32"/>
      <c r="D10011" s="32"/>
      <c r="E10011" s="32"/>
      <c r="F10011" s="32"/>
      <c r="G10011" s="32"/>
      <c r="H10011" s="32"/>
      <c r="I10011" s="32"/>
      <c r="J10011" s="32">
        <f t="shared" si="296"/>
        <v>0</v>
      </c>
      <c r="K10011" s="33">
        <v>11</v>
      </c>
    </row>
    <row r="10012" spans="1:11" ht="30" x14ac:dyDescent="0.25">
      <c r="A10012" s="31"/>
      <c r="B10012" s="17" t="s">
        <v>73</v>
      </c>
      <c r="C10012" s="32"/>
      <c r="D10012" s="32"/>
      <c r="E10012" s="32"/>
      <c r="F10012" s="32"/>
      <c r="G10012" s="32"/>
      <c r="H10012" s="32"/>
      <c r="I10012" s="32"/>
      <c r="J10012" s="32">
        <f t="shared" si="296"/>
        <v>0</v>
      </c>
      <c r="K10012" s="33">
        <v>12</v>
      </c>
    </row>
    <row r="10013" spans="1:11" x14ac:dyDescent="0.25">
      <c r="A10013" s="28"/>
      <c r="B10013" s="15" t="s">
        <v>74</v>
      </c>
      <c r="C10013" s="29">
        <f t="shared" ref="C10013:H10013" si="299">+SUM(C10014:C10016)</f>
        <v>0</v>
      </c>
      <c r="D10013" s="29">
        <f t="shared" si="299"/>
        <v>0</v>
      </c>
      <c r="E10013" s="29">
        <f t="shared" si="299"/>
        <v>0</v>
      </c>
      <c r="F10013" s="29">
        <f t="shared" si="299"/>
        <v>0</v>
      </c>
      <c r="G10013" s="29">
        <f t="shared" si="299"/>
        <v>0</v>
      </c>
      <c r="H10013" s="29">
        <f t="shared" si="299"/>
        <v>0</v>
      </c>
      <c r="I10013" s="29"/>
      <c r="J10013" s="29">
        <f t="shared" si="296"/>
        <v>0</v>
      </c>
      <c r="K10013" s="30">
        <v>13</v>
      </c>
    </row>
    <row r="10014" spans="1:11" ht="30" x14ac:dyDescent="0.25">
      <c r="A10014" s="34"/>
      <c r="B10014" s="17" t="s">
        <v>75</v>
      </c>
      <c r="C10014" s="35"/>
      <c r="D10014" s="35"/>
      <c r="E10014" s="35"/>
      <c r="F10014" s="35"/>
      <c r="G10014" s="35"/>
      <c r="H10014" s="35"/>
      <c r="I10014" s="35"/>
      <c r="J10014" s="35">
        <f t="shared" si="296"/>
        <v>0</v>
      </c>
      <c r="K10014" s="36">
        <v>14</v>
      </c>
    </row>
    <row r="10015" spans="1:11" ht="30" x14ac:dyDescent="0.25">
      <c r="A10015" s="34"/>
      <c r="B10015" s="17" t="s">
        <v>76</v>
      </c>
      <c r="C10015" s="35"/>
      <c r="D10015" s="35"/>
      <c r="E10015" s="35"/>
      <c r="F10015" s="35"/>
      <c r="G10015" s="35"/>
      <c r="H10015" s="35"/>
      <c r="I10015" s="35"/>
      <c r="J10015" s="35">
        <f t="shared" si="296"/>
        <v>0</v>
      </c>
      <c r="K10015" s="36">
        <v>15</v>
      </c>
    </row>
    <row r="10016" spans="1:11" ht="30" x14ac:dyDescent="0.25">
      <c r="A10016" s="34"/>
      <c r="B10016" s="17" t="s">
        <v>77</v>
      </c>
      <c r="C10016" s="35"/>
      <c r="D10016" s="35"/>
      <c r="E10016" s="35"/>
      <c r="F10016" s="35"/>
      <c r="G10016" s="35"/>
      <c r="H10016" s="35"/>
      <c r="I10016" s="35"/>
      <c r="J10016" s="35">
        <f t="shared" si="296"/>
        <v>0</v>
      </c>
      <c r="K10016" s="36">
        <v>16</v>
      </c>
    </row>
    <row r="10017" spans="1:11" x14ac:dyDescent="0.25">
      <c r="A10017" s="28"/>
      <c r="B10017" s="15" t="s">
        <v>78</v>
      </c>
      <c r="C10017" s="29">
        <f t="shared" ref="C10017:H10017" si="300">+SUM(C10018:C10022)</f>
        <v>0</v>
      </c>
      <c r="D10017" s="29">
        <f t="shared" si="300"/>
        <v>0</v>
      </c>
      <c r="E10017" s="29">
        <f t="shared" si="300"/>
        <v>0</v>
      </c>
      <c r="F10017" s="29">
        <f t="shared" si="300"/>
        <v>0</v>
      </c>
      <c r="G10017" s="29">
        <f t="shared" si="300"/>
        <v>0</v>
      </c>
      <c r="H10017" s="29">
        <f t="shared" si="300"/>
        <v>0</v>
      </c>
      <c r="I10017" s="29"/>
      <c r="J10017" s="29">
        <f t="shared" si="296"/>
        <v>0</v>
      </c>
      <c r="K10017" s="30">
        <v>17</v>
      </c>
    </row>
    <row r="10018" spans="1:11" x14ac:dyDescent="0.25">
      <c r="A10018" s="34"/>
      <c r="B10018" s="18" t="s">
        <v>79</v>
      </c>
      <c r="C10018" s="35"/>
      <c r="D10018" s="35"/>
      <c r="E10018" s="35"/>
      <c r="F10018" s="35"/>
      <c r="G10018" s="35"/>
      <c r="H10018" s="35"/>
      <c r="I10018" s="35"/>
      <c r="J10018" s="35">
        <f t="shared" si="296"/>
        <v>0</v>
      </c>
      <c r="K10018" s="36">
        <v>18</v>
      </c>
    </row>
    <row r="10019" spans="1:11" ht="30" x14ac:dyDescent="0.25">
      <c r="A10019" s="34"/>
      <c r="B10019" s="17" t="s">
        <v>80</v>
      </c>
      <c r="C10019" s="35"/>
      <c r="D10019" s="35"/>
      <c r="E10019" s="35"/>
      <c r="F10019" s="35"/>
      <c r="G10019" s="35"/>
      <c r="H10019" s="35"/>
      <c r="I10019" s="35"/>
      <c r="J10019" s="35">
        <f t="shared" si="296"/>
        <v>0</v>
      </c>
      <c r="K10019" s="36">
        <v>19</v>
      </c>
    </row>
    <row r="10020" spans="1:11" x14ac:dyDescent="0.25">
      <c r="A10020" s="34"/>
      <c r="B10020" s="17" t="s">
        <v>81</v>
      </c>
      <c r="C10020" s="35"/>
      <c r="D10020" s="35"/>
      <c r="E10020" s="35"/>
      <c r="F10020" s="35"/>
      <c r="G10020" s="35"/>
      <c r="H10020" s="35"/>
      <c r="I10020" s="35"/>
      <c r="J10020" s="35">
        <f t="shared" si="296"/>
        <v>0</v>
      </c>
      <c r="K10020" s="36">
        <v>20</v>
      </c>
    </row>
    <row r="10021" spans="1:11" x14ac:dyDescent="0.25">
      <c r="A10021" s="34"/>
      <c r="B10021" s="18" t="s">
        <v>82</v>
      </c>
      <c r="C10021" s="35"/>
      <c r="D10021" s="35"/>
      <c r="E10021" s="35"/>
      <c r="F10021" s="35"/>
      <c r="G10021" s="35"/>
      <c r="H10021" s="35"/>
      <c r="I10021" s="35"/>
      <c r="J10021" s="35">
        <f t="shared" si="296"/>
        <v>0</v>
      </c>
      <c r="K10021" s="36">
        <v>21</v>
      </c>
    </row>
    <row r="10022" spans="1:11" ht="30" x14ac:dyDescent="0.25">
      <c r="A10022" s="34"/>
      <c r="B10022" s="17" t="s">
        <v>83</v>
      </c>
      <c r="C10022" s="35"/>
      <c r="D10022" s="35"/>
      <c r="E10022" s="35"/>
      <c r="F10022" s="35"/>
      <c r="G10022" s="35"/>
      <c r="H10022" s="35"/>
      <c r="I10022" s="35"/>
      <c r="J10022" s="35">
        <f t="shared" si="296"/>
        <v>0</v>
      </c>
      <c r="K10022" s="36">
        <v>22</v>
      </c>
    </row>
    <row r="10023" spans="1:11" x14ac:dyDescent="0.25">
      <c r="A10023" s="28"/>
      <c r="B10023" s="15" t="s">
        <v>84</v>
      </c>
      <c r="C10023" s="29">
        <f>+SUM(C10024:C10028)</f>
        <v>0</v>
      </c>
      <c r="D10023" s="29">
        <f t="shared" ref="D10023:H10023" si="301">+SUM(D10024:D10028)</f>
        <v>0</v>
      </c>
      <c r="E10023" s="29">
        <f t="shared" si="301"/>
        <v>0</v>
      </c>
      <c r="F10023" s="29">
        <f t="shared" si="301"/>
        <v>0</v>
      </c>
      <c r="G10023" s="29">
        <f t="shared" si="301"/>
        <v>0</v>
      </c>
      <c r="H10023" s="29">
        <f t="shared" si="301"/>
        <v>0</v>
      </c>
      <c r="I10023" s="29"/>
      <c r="J10023" s="29">
        <f t="shared" si="296"/>
        <v>0</v>
      </c>
      <c r="K10023" s="30">
        <v>23</v>
      </c>
    </row>
    <row r="10024" spans="1:11" x14ac:dyDescent="0.25">
      <c r="A10024" s="34"/>
      <c r="B10024" s="17"/>
      <c r="C10024" s="35"/>
      <c r="D10024" s="35"/>
      <c r="E10024" s="35"/>
      <c r="F10024" s="35"/>
      <c r="G10024" s="35"/>
      <c r="H10024" s="35"/>
      <c r="I10024" s="35"/>
      <c r="J10024" s="35">
        <f t="shared" si="296"/>
        <v>0</v>
      </c>
      <c r="K10024" s="36">
        <v>24</v>
      </c>
    </row>
    <row r="10025" spans="1:11" x14ac:dyDescent="0.25">
      <c r="A10025" s="34"/>
      <c r="B10025" s="17"/>
      <c r="C10025" s="35"/>
      <c r="D10025" s="35"/>
      <c r="E10025" s="35"/>
      <c r="F10025" s="35"/>
      <c r="G10025" s="35"/>
      <c r="H10025" s="35"/>
      <c r="I10025" s="35"/>
      <c r="J10025" s="35">
        <f t="shared" si="296"/>
        <v>0</v>
      </c>
      <c r="K10025" s="36">
        <v>25</v>
      </c>
    </row>
    <row r="10026" spans="1:11" x14ac:dyDescent="0.25">
      <c r="A10026" s="34"/>
      <c r="B10026" s="17"/>
      <c r="C10026" s="35"/>
      <c r="D10026" s="35"/>
      <c r="E10026" s="35"/>
      <c r="F10026" s="35"/>
      <c r="G10026" s="35"/>
      <c r="H10026" s="35"/>
      <c r="I10026" s="35"/>
      <c r="J10026" s="35">
        <f t="shared" si="296"/>
        <v>0</v>
      </c>
      <c r="K10026" s="36">
        <v>26</v>
      </c>
    </row>
    <row r="10027" spans="1:11" x14ac:dyDescent="0.25">
      <c r="A10027" s="34"/>
      <c r="B10027" s="17" t="s">
        <v>86</v>
      </c>
      <c r="C10027" s="35"/>
      <c r="D10027" s="35"/>
      <c r="E10027" s="35"/>
      <c r="F10027" s="35"/>
      <c r="G10027" s="35"/>
      <c r="H10027" s="35"/>
      <c r="I10027" s="35"/>
      <c r="J10027" s="35">
        <f t="shared" si="296"/>
        <v>0</v>
      </c>
      <c r="K10027" s="36">
        <v>27</v>
      </c>
    </row>
    <row r="10028" spans="1:11" x14ac:dyDescent="0.25">
      <c r="A10028" s="34"/>
      <c r="B10028" s="17"/>
      <c r="C10028" s="35"/>
      <c r="D10028" s="35"/>
      <c r="E10028" s="35"/>
      <c r="F10028" s="35"/>
      <c r="G10028" s="35"/>
      <c r="H10028" s="35"/>
      <c r="I10028" s="35"/>
      <c r="J10028" s="35">
        <f t="shared" si="296"/>
        <v>0</v>
      </c>
      <c r="K10028" s="36">
        <v>28</v>
      </c>
    </row>
    <row r="1048445" spans="11:11" x14ac:dyDescent="0.25">
      <c r="K1048445" s="22"/>
    </row>
    <row r="1048446" spans="11:11" x14ac:dyDescent="0.25">
      <c r="K1048446" s="22"/>
    </row>
    <row r="1048447" spans="11:11" x14ac:dyDescent="0.25">
      <c r="K1048447" s="22"/>
    </row>
    <row r="1048448" spans="11:11" x14ac:dyDescent="0.25">
      <c r="K1048448" s="22"/>
    </row>
    <row r="1048449" spans="11:11" x14ac:dyDescent="0.25">
      <c r="K1048449" s="22"/>
    </row>
    <row r="1048450" spans="11:11" x14ac:dyDescent="0.25">
      <c r="K1048450" s="22"/>
    </row>
    <row r="1048451" spans="11:11" x14ac:dyDescent="0.25">
      <c r="K1048451" s="22"/>
    </row>
    <row r="1048452" spans="11:11" x14ac:dyDescent="0.25">
      <c r="K1048452" s="22"/>
    </row>
    <row r="1048453" spans="11:11" x14ac:dyDescent="0.25">
      <c r="K1048453" s="22"/>
    </row>
    <row r="1048454" spans="11:11" x14ac:dyDescent="0.25">
      <c r="K1048454" s="22"/>
    </row>
    <row r="1048455" spans="11:11" x14ac:dyDescent="0.25">
      <c r="K1048455" s="22"/>
    </row>
    <row r="1048456" spans="11:11" x14ac:dyDescent="0.25">
      <c r="K1048456" s="22"/>
    </row>
    <row r="1048457" spans="11:11" x14ac:dyDescent="0.25">
      <c r="K1048457" s="22"/>
    </row>
    <row r="1048458" spans="11:11" x14ac:dyDescent="0.25">
      <c r="K1048458" s="22"/>
    </row>
    <row r="1048459" spans="11:11" x14ac:dyDescent="0.25">
      <c r="K1048459" s="22"/>
    </row>
    <row r="1048460" spans="11:11" x14ac:dyDescent="0.25">
      <c r="K1048460" s="22"/>
    </row>
    <row r="1048461" spans="11:11" x14ac:dyDescent="0.25">
      <c r="K1048461" s="22"/>
    </row>
    <row r="1048462" spans="11:11" x14ac:dyDescent="0.25">
      <c r="K1048462" s="22"/>
    </row>
    <row r="1048463" spans="11:11" x14ac:dyDescent="0.25">
      <c r="K1048463" s="22"/>
    </row>
    <row r="1048464" spans="11:11" x14ac:dyDescent="0.25">
      <c r="K1048464" s="22"/>
    </row>
    <row r="1048465" spans="1:11" x14ac:dyDescent="0.25">
      <c r="K1048465" s="22"/>
    </row>
    <row r="1048466" spans="1:11" x14ac:dyDescent="0.25">
      <c r="K1048466" s="22"/>
    </row>
    <row r="1048467" spans="1:11" x14ac:dyDescent="0.25">
      <c r="K1048467" s="22"/>
    </row>
    <row r="1048468" spans="1:11" x14ac:dyDescent="0.25">
      <c r="K1048468" s="22"/>
    </row>
    <row r="1048469" spans="1:11" x14ac:dyDescent="0.25">
      <c r="K1048469" s="22"/>
    </row>
    <row r="1048470" spans="1:11" x14ac:dyDescent="0.25">
      <c r="K1048470" s="22"/>
    </row>
    <row r="1048471" spans="1:11" x14ac:dyDescent="0.25">
      <c r="K1048471" s="22"/>
    </row>
    <row r="1048472" spans="1:11" x14ac:dyDescent="0.25">
      <c r="K1048472" s="22"/>
    </row>
    <row r="1048473" spans="1:11" x14ac:dyDescent="0.25">
      <c r="A1048473" s="34"/>
      <c r="B1048473" s="17"/>
      <c r="C1048473" s="35"/>
      <c r="D1048473" s="35"/>
      <c r="E1048473" s="35"/>
      <c r="F1048473" s="35"/>
      <c r="G1048473" s="35"/>
      <c r="H1048473" s="35"/>
      <c r="I1048473" s="35"/>
      <c r="J1048473" s="35">
        <f>+I1048473-H1048473</f>
        <v>0</v>
      </c>
      <c r="K1048473" s="36">
        <v>28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9:H71"/>
  <sheetViews>
    <sheetView topLeftCell="A31" workbookViewId="0">
      <selection activeCell="E74" sqref="E74"/>
    </sheetView>
  </sheetViews>
  <sheetFormatPr baseColWidth="10" defaultColWidth="11.42578125" defaultRowHeight="15" x14ac:dyDescent="0.25"/>
  <cols>
    <col min="1" max="16384" width="11.42578125" style="2"/>
  </cols>
  <sheetData>
    <row r="19" spans="1:8" ht="8.25" customHeight="1" x14ac:dyDescent="0.25"/>
    <row r="20" spans="1:8" x14ac:dyDescent="0.25">
      <c r="A20" s="5" t="s">
        <v>29</v>
      </c>
      <c r="D20" s="5" t="s">
        <v>37</v>
      </c>
    </row>
    <row r="22" spans="1:8" x14ac:dyDescent="0.25">
      <c r="A22" s="5" t="s">
        <v>30</v>
      </c>
      <c r="B22" s="6">
        <v>150</v>
      </c>
      <c r="D22" s="5" t="s">
        <v>30</v>
      </c>
      <c r="E22" s="41">
        <v>0.05</v>
      </c>
    </row>
    <row r="23" spans="1:8" x14ac:dyDescent="0.25">
      <c r="A23" s="5" t="s">
        <v>31</v>
      </c>
      <c r="B23" s="6">
        <v>20</v>
      </c>
      <c r="D23" s="5" t="s">
        <v>31</v>
      </c>
      <c r="E23" s="41">
        <v>0.05</v>
      </c>
    </row>
    <row r="24" spans="1:8" x14ac:dyDescent="0.25">
      <c r="A24" s="5" t="s">
        <v>32</v>
      </c>
      <c r="B24" s="6">
        <v>30</v>
      </c>
      <c r="D24" s="5" t="s">
        <v>32</v>
      </c>
      <c r="E24" s="41">
        <v>0.05</v>
      </c>
    </row>
    <row r="26" spans="1:8" x14ac:dyDescent="0.25">
      <c r="A26" s="5" t="s">
        <v>33</v>
      </c>
      <c r="D26" s="5" t="s">
        <v>38</v>
      </c>
      <c r="H26" s="41">
        <v>0.1</v>
      </c>
    </row>
    <row r="28" spans="1:8" x14ac:dyDescent="0.25">
      <c r="A28" s="5" t="s">
        <v>34</v>
      </c>
      <c r="B28" s="6">
        <v>30</v>
      </c>
    </row>
    <row r="29" spans="1:8" x14ac:dyDescent="0.25">
      <c r="A29" s="5" t="s">
        <v>35</v>
      </c>
      <c r="B29" s="6">
        <v>2</v>
      </c>
    </row>
    <row r="31" spans="1:8" x14ac:dyDescent="0.25">
      <c r="A31" s="5" t="s">
        <v>36</v>
      </c>
    </row>
    <row r="33" spans="1:2" x14ac:dyDescent="0.25">
      <c r="A33" s="5" t="s">
        <v>30</v>
      </c>
      <c r="B33" s="6" t="s">
        <v>198</v>
      </c>
    </row>
    <row r="34" spans="1:2" x14ac:dyDescent="0.25">
      <c r="A34" s="5" t="s">
        <v>31</v>
      </c>
      <c r="B34" s="6" t="s">
        <v>198</v>
      </c>
    </row>
    <row r="35" spans="1:2" x14ac:dyDescent="0.25">
      <c r="A35" s="5" t="s">
        <v>32</v>
      </c>
      <c r="B35" s="6" t="s">
        <v>198</v>
      </c>
    </row>
    <row r="42" spans="1:2" ht="11.25" customHeight="1" x14ac:dyDescent="0.25"/>
    <row r="43" spans="1:2" ht="18.75" x14ac:dyDescent="0.3">
      <c r="A43" s="42" t="s">
        <v>199</v>
      </c>
    </row>
    <row r="46" spans="1:2" ht="48.75" customHeight="1" x14ac:dyDescent="0.25"/>
    <row r="47" spans="1:2" ht="27.75" customHeight="1" x14ac:dyDescent="0.25"/>
    <row r="48" spans="1:2" ht="21" customHeight="1" x14ac:dyDescent="0.25"/>
    <row r="49" spans="1:1" ht="18.75" x14ac:dyDescent="0.3">
      <c r="A49" s="42" t="s">
        <v>200</v>
      </c>
    </row>
    <row r="54" spans="1:1" ht="6" customHeight="1" x14ac:dyDescent="0.25"/>
    <row r="55" spans="1:1" ht="18.75" x14ac:dyDescent="0.3">
      <c r="A55" s="42" t="s">
        <v>201</v>
      </c>
    </row>
    <row r="59" spans="1:1" ht="26.25" customHeight="1" x14ac:dyDescent="0.25"/>
    <row r="60" spans="1:1" ht="6" customHeight="1" x14ac:dyDescent="0.25"/>
    <row r="61" spans="1:1" ht="15" customHeight="1" x14ac:dyDescent="0.3">
      <c r="A61" s="42" t="s">
        <v>202</v>
      </c>
    </row>
    <row r="62" spans="1:1" ht="15" customHeight="1" x14ac:dyDescent="0.25"/>
    <row r="63" spans="1:1" ht="15" customHeight="1" x14ac:dyDescent="0.25"/>
    <row r="64" spans="1:1" ht="21" customHeight="1" x14ac:dyDescent="0.25"/>
    <row r="65" spans="1:1" ht="37.5" customHeight="1" x14ac:dyDescent="0.25"/>
    <row r="66" spans="1:1" ht="6" customHeight="1" x14ac:dyDescent="0.25"/>
    <row r="67" spans="1:1" ht="18.75" x14ac:dyDescent="0.3">
      <c r="A67" s="42" t="s">
        <v>203</v>
      </c>
    </row>
    <row r="71" spans="1:1" ht="32.25" customHeight="1" x14ac:dyDescent="0.25"/>
  </sheetData>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2529" r:id="rId4" name="Group Box 1">
              <controlPr defaultSize="0" autoFill="0" autoPict="0" macro="[0]!Cuadrodegrupo1_Haga_clic_en">
                <anchor moveWithCells="1">
                  <from>
                    <xdr:col>0</xdr:col>
                    <xdr:colOff>0</xdr:colOff>
                    <xdr:row>7</xdr:row>
                    <xdr:rowOff>0</xdr:rowOff>
                  </from>
                  <to>
                    <xdr:col>6</xdr:col>
                    <xdr:colOff>609600</xdr:colOff>
                    <xdr:row>9</xdr:row>
                    <xdr:rowOff>85725</xdr:rowOff>
                  </to>
                </anchor>
              </controlPr>
            </control>
          </mc:Choice>
        </mc:AlternateContent>
        <mc:AlternateContent xmlns:mc="http://schemas.openxmlformats.org/markup-compatibility/2006">
          <mc:Choice Requires="x14">
            <control shapeId="22530" r:id="rId5" name="Option Button 2">
              <controlPr defaultSize="0" autoFill="0" autoLine="0" autoPict="0">
                <anchor moveWithCells="1">
                  <from>
                    <xdr:col>0</xdr:col>
                    <xdr:colOff>0</xdr:colOff>
                    <xdr:row>8</xdr:row>
                    <xdr:rowOff>0</xdr:rowOff>
                  </from>
                  <to>
                    <xdr:col>4</xdr:col>
                    <xdr:colOff>0</xdr:colOff>
                    <xdr:row>9</xdr:row>
                    <xdr:rowOff>28575</xdr:rowOff>
                  </to>
                </anchor>
              </controlPr>
            </control>
          </mc:Choice>
        </mc:AlternateContent>
        <mc:AlternateContent xmlns:mc="http://schemas.openxmlformats.org/markup-compatibility/2006">
          <mc:Choice Requires="x14">
            <control shapeId="22531" r:id="rId6" name="Option Button 3">
              <controlPr defaultSize="0" autoFill="0" autoLine="0" autoPict="0">
                <anchor moveWithCells="1">
                  <from>
                    <xdr:col>2</xdr:col>
                    <xdr:colOff>200025</xdr:colOff>
                    <xdr:row>8</xdr:row>
                    <xdr:rowOff>0</xdr:rowOff>
                  </from>
                  <to>
                    <xdr:col>5</xdr:col>
                    <xdr:colOff>200025</xdr:colOff>
                    <xdr:row>9</xdr:row>
                    <xdr:rowOff>28575</xdr:rowOff>
                  </to>
                </anchor>
              </controlPr>
            </control>
          </mc:Choice>
        </mc:AlternateContent>
        <mc:AlternateContent xmlns:mc="http://schemas.openxmlformats.org/markup-compatibility/2006">
          <mc:Choice Requires="x14">
            <control shapeId="22532" r:id="rId7" name="Option Button 4">
              <controlPr defaultSize="0" autoFill="0" autoLine="0" autoPict="0">
                <anchor moveWithCells="1">
                  <from>
                    <xdr:col>4</xdr:col>
                    <xdr:colOff>619125</xdr:colOff>
                    <xdr:row>7</xdr:row>
                    <xdr:rowOff>180975</xdr:rowOff>
                  </from>
                  <to>
                    <xdr:col>7</xdr:col>
                    <xdr:colOff>133350</xdr:colOff>
                    <xdr:row>9</xdr:row>
                    <xdr:rowOff>19050</xdr:rowOff>
                  </to>
                </anchor>
              </controlPr>
            </control>
          </mc:Choice>
        </mc:AlternateContent>
        <mc:AlternateContent xmlns:mc="http://schemas.openxmlformats.org/markup-compatibility/2006">
          <mc:Choice Requires="x14">
            <control shapeId="22533" r:id="rId8" name="Option Button 5">
              <controlPr defaultSize="0" autoFill="0" autoLine="0" autoPict="0">
                <anchor moveWithCells="1" sizeWithCells="1">
                  <from>
                    <xdr:col>0</xdr:col>
                    <xdr:colOff>0</xdr:colOff>
                    <xdr:row>11</xdr:row>
                    <xdr:rowOff>142875</xdr:rowOff>
                  </from>
                  <to>
                    <xdr:col>3</xdr:col>
                    <xdr:colOff>0</xdr:colOff>
                    <xdr:row>12</xdr:row>
                    <xdr:rowOff>171450</xdr:rowOff>
                  </to>
                </anchor>
              </controlPr>
            </control>
          </mc:Choice>
        </mc:AlternateContent>
        <mc:AlternateContent xmlns:mc="http://schemas.openxmlformats.org/markup-compatibility/2006">
          <mc:Choice Requires="x14">
            <control shapeId="22534" r:id="rId9" name="Option Button 6">
              <controlPr defaultSize="0" autoFill="0" autoLine="0" autoPict="0">
                <anchor moveWithCells="1" sizeWithCells="1">
                  <from>
                    <xdr:col>2</xdr:col>
                    <xdr:colOff>200025</xdr:colOff>
                    <xdr:row>11</xdr:row>
                    <xdr:rowOff>142875</xdr:rowOff>
                  </from>
                  <to>
                    <xdr:col>5</xdr:col>
                    <xdr:colOff>200025</xdr:colOff>
                    <xdr:row>12</xdr:row>
                    <xdr:rowOff>171450</xdr:rowOff>
                  </to>
                </anchor>
              </controlPr>
            </control>
          </mc:Choice>
        </mc:AlternateContent>
        <mc:AlternateContent xmlns:mc="http://schemas.openxmlformats.org/markup-compatibility/2006">
          <mc:Choice Requires="x14">
            <control shapeId="22535" r:id="rId10" name="Option Button 7">
              <controlPr defaultSize="0" autoFill="0" autoLine="0" autoPict="0">
                <anchor moveWithCells="1" sizeWithCells="1">
                  <from>
                    <xdr:col>4</xdr:col>
                    <xdr:colOff>619125</xdr:colOff>
                    <xdr:row>11</xdr:row>
                    <xdr:rowOff>142875</xdr:rowOff>
                  </from>
                  <to>
                    <xdr:col>6</xdr:col>
                    <xdr:colOff>428625</xdr:colOff>
                    <xdr:row>12</xdr:row>
                    <xdr:rowOff>171450</xdr:rowOff>
                  </to>
                </anchor>
              </controlPr>
            </control>
          </mc:Choice>
        </mc:AlternateContent>
        <mc:AlternateContent xmlns:mc="http://schemas.openxmlformats.org/markup-compatibility/2006">
          <mc:Choice Requires="x14">
            <control shapeId="22536" r:id="rId11" name="Group Box 8">
              <controlPr defaultSize="0" autoFill="0" autoPict="0">
                <anchor moveWithCells="1" sizeWithCells="1">
                  <from>
                    <xdr:col>0</xdr:col>
                    <xdr:colOff>0</xdr:colOff>
                    <xdr:row>10</xdr:row>
                    <xdr:rowOff>114300</xdr:rowOff>
                  </from>
                  <to>
                    <xdr:col>6</xdr:col>
                    <xdr:colOff>619125</xdr:colOff>
                    <xdr:row>13</xdr:row>
                    <xdr:rowOff>104775</xdr:rowOff>
                  </to>
                </anchor>
              </controlPr>
            </control>
          </mc:Choice>
        </mc:AlternateContent>
        <mc:AlternateContent xmlns:mc="http://schemas.openxmlformats.org/markup-compatibility/2006">
          <mc:Choice Requires="x14">
            <control shapeId="22537" r:id="rId12" name="Option Button 9">
              <controlPr defaultSize="0" autoFill="0" autoLine="0" autoPict="0">
                <anchor moveWithCells="1" sizeWithCells="1">
                  <from>
                    <xdr:col>0</xdr:col>
                    <xdr:colOff>0</xdr:colOff>
                    <xdr:row>15</xdr:row>
                    <xdr:rowOff>161925</xdr:rowOff>
                  </from>
                  <to>
                    <xdr:col>3</xdr:col>
                    <xdr:colOff>0</xdr:colOff>
                    <xdr:row>17</xdr:row>
                    <xdr:rowOff>0</xdr:rowOff>
                  </to>
                </anchor>
              </controlPr>
            </control>
          </mc:Choice>
        </mc:AlternateContent>
        <mc:AlternateContent xmlns:mc="http://schemas.openxmlformats.org/markup-compatibility/2006">
          <mc:Choice Requires="x14">
            <control shapeId="22538" r:id="rId13" name="Option Button 10">
              <controlPr defaultSize="0" autoFill="0" autoLine="0" autoPict="0">
                <anchor moveWithCells="1" sizeWithCells="1">
                  <from>
                    <xdr:col>2</xdr:col>
                    <xdr:colOff>200025</xdr:colOff>
                    <xdr:row>15</xdr:row>
                    <xdr:rowOff>161925</xdr:rowOff>
                  </from>
                  <to>
                    <xdr:col>5</xdr:col>
                    <xdr:colOff>200025</xdr:colOff>
                    <xdr:row>17</xdr:row>
                    <xdr:rowOff>0</xdr:rowOff>
                  </to>
                </anchor>
              </controlPr>
            </control>
          </mc:Choice>
        </mc:AlternateContent>
        <mc:AlternateContent xmlns:mc="http://schemas.openxmlformats.org/markup-compatibility/2006">
          <mc:Choice Requires="x14">
            <control shapeId="22539" r:id="rId14" name="Option Button 11">
              <controlPr defaultSize="0" autoFill="0" autoLine="0" autoPict="0">
                <anchor moveWithCells="1" sizeWithCells="1">
                  <from>
                    <xdr:col>4</xdr:col>
                    <xdr:colOff>619125</xdr:colOff>
                    <xdr:row>15</xdr:row>
                    <xdr:rowOff>161925</xdr:rowOff>
                  </from>
                  <to>
                    <xdr:col>6</xdr:col>
                    <xdr:colOff>428625</xdr:colOff>
                    <xdr:row>17</xdr:row>
                    <xdr:rowOff>0</xdr:rowOff>
                  </to>
                </anchor>
              </controlPr>
            </control>
          </mc:Choice>
        </mc:AlternateContent>
        <mc:AlternateContent xmlns:mc="http://schemas.openxmlformats.org/markup-compatibility/2006">
          <mc:Choice Requires="x14">
            <control shapeId="22540" r:id="rId15" name="Group Box 12">
              <controlPr defaultSize="0" autoFill="0" autoPict="0">
                <anchor moveWithCells="1" sizeWithCells="1">
                  <from>
                    <xdr:col>0</xdr:col>
                    <xdr:colOff>0</xdr:colOff>
                    <xdr:row>14</xdr:row>
                    <xdr:rowOff>133350</xdr:rowOff>
                  </from>
                  <to>
                    <xdr:col>6</xdr:col>
                    <xdr:colOff>619125</xdr:colOff>
                    <xdr:row>17</xdr:row>
                    <xdr:rowOff>123825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 Misión-Visión</vt:lpstr>
      <vt:lpstr>2. Plan de Desarrollo Facultad</vt:lpstr>
      <vt:lpstr>3. Plan Financiero por unidad</vt:lpstr>
      <vt:lpstr>3. Preguntas Claves</vt:lpstr>
    </vt:vector>
  </TitlesOfParts>
  <Company>UNIANDES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ce.castellanos394</dc:creator>
  <cp:lastModifiedBy>Victor Andres Cagüeñas Rubio</cp:lastModifiedBy>
  <cp:lastPrinted>2010-08-18T16:01:50Z</cp:lastPrinted>
  <dcterms:created xsi:type="dcterms:W3CDTF">2010-07-07T15:28:16Z</dcterms:created>
  <dcterms:modified xsi:type="dcterms:W3CDTF">2013-01-15T20:48:24Z</dcterms:modified>
</cp:coreProperties>
</file>