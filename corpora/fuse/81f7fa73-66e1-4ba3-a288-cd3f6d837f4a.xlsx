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ommon\DEV SERVICES\Staff\NMcKinney\NEW REPORTS FOR STARTS\2014\NOVEMBER 2014\"/>
    </mc:Choice>
  </mc:AlternateContent>
  <bookViews>
    <workbookView xWindow="300" yWindow="15" windowWidth="15180" windowHeight="9345"/>
  </bookViews>
  <sheets>
    <sheet name="SFR STARTS ONLY" sheetId="4" r:id="rId1"/>
    <sheet name="SFR VALUATIONS ONLY" sheetId="2" r:id="rId2"/>
  </sheets>
  <calcPr calcId="152511"/>
</workbook>
</file>

<file path=xl/calcChain.xml><?xml version="1.0" encoding="utf-8"?>
<calcChain xmlns="http://schemas.openxmlformats.org/spreadsheetml/2006/main">
  <c r="N4" i="4" l="1"/>
  <c r="N7" i="2"/>
  <c r="N5" i="4"/>
  <c r="N8" i="2"/>
  <c r="N9" i="2"/>
  <c r="N6" i="4"/>
  <c r="N7" i="4"/>
  <c r="N10" i="2"/>
  <c r="N8" i="4"/>
  <c r="N35" i="2"/>
  <c r="N11" i="2"/>
  <c r="N9" i="4"/>
  <c r="N10" i="4"/>
  <c r="N11" i="4"/>
  <c r="N12" i="4"/>
  <c r="N13" i="4"/>
  <c r="N34" i="4"/>
  <c r="N12" i="2"/>
  <c r="N36" i="2" s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</calcChain>
</file>

<file path=xl/sharedStrings.xml><?xml version="1.0" encoding="utf-8"?>
<sst xmlns="http://schemas.openxmlformats.org/spreadsheetml/2006/main" count="36" uniqueCount="20">
  <si>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</si>
  <si>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</si>
  <si>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</si>
  <si>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</si>
  <si>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</si>
  <si>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</si>
  <si>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</si>
  <si>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</si>
  <si>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</si>
  <si>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</si>
  <si>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</si>
  <si>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</si>
  <si>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</si>
  <si>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</si>
  <si>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**Totals include Manufactured Homes as well as stick-built homes.**</t>
  </si>
  <si>
    <t>Single Family Residential Starts</t>
  </si>
  <si>
    <t>(Prior to that date, permits were obtained through C.I.D.-State)</t>
  </si>
  <si>
    <t>***BUILDING INSPECTION BECAME A DIVISION OF C.D.D. IN MAY, 1987.</t>
  </si>
  <si>
    <t>R-1 SINGLE FAMILY RESIDENTIAL VALUATION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</si>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</sst>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$&quot;#,##0_);\(&quot;$&quot;#,##0\)"/>
    <numFmt numFmtId="164" formatCode="0;[Red]0"/>
    <numFmt numFmtId="165" formatCode="#,##0;[Red]#,##0"/>
    <numFmt numFmtId="166" formatCode="&quot;$&quot;#,##0;[Red]&quot;$&quot;#,##0"/>
    <numFmt numFmtId="167" formatCode="&quot;$&quot;#,##0"/>
    <numFmt numFmtId="168" formatCode="&quot;$&quot;#,##0.00;[Red]&quot;$&quot;#,##0.00"/>
  </numFmts>
  <fonts count="2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Verdana"/>
      <family val="2"/>
    </font>
    <font>
      <sz val="10"/>
      <name val="Verdana"/>
      <family val="2"/>
    </font>
    <font>
      <sz val="12"/>
      <name val="Verdana"/>
      <family val="2"/>
    </font>
    <font>
      <b/>
      <u/>
      <sz val="14"/>
      <name val="Verdana"/>
      <family val="2"/>
    </font>
    <font>
      <b/>
      <sz val="12"/>
      <name val="Verdana"/>
      <family val="2"/>
    </font>
    <font>
      <i/>
      <sz val="12"/>
      <color indexed="10"/>
      <name val="Verdana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92D05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3" fontId="3" fillId="0" borderId="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0" fontId="5" fillId="0" borderId="0" xfId="0" applyFont="1"/>
    <xf numFmtId="0" fontId="6" fillId="0" borderId="7" xfId="0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5" fontId="6" fillId="0" borderId="7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4" fillId="0" borderId="0" xfId="0" applyFont="1" applyAlignment="1"/>
    <xf numFmtId="0" fontId="9" fillId="0" borderId="0" xfId="0" applyFont="1" applyAlignment="1"/>
    <xf numFmtId="0" fontId="0" fillId="2" borderId="1" xfId="0" applyFill="1" applyBorder="1"/>
    <xf numFmtId="0" fontId="0" fillId="2" borderId="2" xfId="0" applyFill="1" applyBorder="1"/>
    <xf numFmtId="0" fontId="10" fillId="2" borderId="2" xfId="0" applyFont="1" applyFill="1" applyBorder="1"/>
    <xf numFmtId="0" fontId="0" fillId="2" borderId="5" xfId="0" applyFill="1" applyBorder="1"/>
    <xf numFmtId="0" fontId="3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10" xfId="0" applyFont="1" applyFill="1" applyBorder="1"/>
    <xf numFmtId="0" fontId="1" fillId="2" borderId="0" xfId="0" applyFont="1" applyFill="1" applyBorder="1"/>
    <xf numFmtId="0" fontId="1" fillId="2" borderId="11" xfId="0" applyFont="1" applyFill="1" applyBorder="1"/>
    <xf numFmtId="0" fontId="1" fillId="0" borderId="0" xfId="0" applyFont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2" fillId="0" borderId="7" xfId="0" applyFont="1" applyBorder="1" applyAlignment="1">
      <alignment horizontal="center"/>
    </xf>
    <xf numFmtId="0" fontId="13" fillId="0" borderId="0" xfId="0" applyFont="1"/>
    <xf numFmtId="0" fontId="14" fillId="0" borderId="7" xfId="0" applyFont="1" applyBorder="1" applyAlignment="1">
      <alignment horizontal="center"/>
    </xf>
    <xf numFmtId="166" fontId="15" fillId="0" borderId="7" xfId="0" applyNumberFormat="1" applyFont="1" applyFill="1" applyBorder="1" applyAlignment="1">
      <alignment horizontal="center"/>
    </xf>
    <xf numFmtId="166" fontId="15" fillId="0" borderId="7" xfId="0" applyNumberFormat="1" applyFont="1" applyBorder="1" applyAlignment="1">
      <alignment horizontal="center"/>
    </xf>
    <xf numFmtId="166" fontId="14" fillId="0" borderId="7" xfId="0" applyNumberFormat="1" applyFont="1" applyBorder="1" applyAlignment="1">
      <alignment horizontal="center"/>
    </xf>
    <xf numFmtId="0" fontId="15" fillId="0" borderId="0" xfId="0" applyFont="1"/>
    <xf numFmtId="166" fontId="16" fillId="0" borderId="7" xfId="0" applyNumberFormat="1" applyFont="1" applyBorder="1" applyAlignment="1">
      <alignment horizontal="center"/>
    </xf>
    <xf numFmtId="167" fontId="15" fillId="0" borderId="7" xfId="0" applyNumberFormat="1" applyFont="1" applyBorder="1" applyAlignment="1">
      <alignment horizontal="center"/>
    </xf>
    <xf numFmtId="168" fontId="15" fillId="0" borderId="7" xfId="0" applyNumberFormat="1" applyFont="1" applyBorder="1" applyAlignment="1">
      <alignment horizontal="center"/>
    </xf>
    <xf numFmtId="5" fontId="14" fillId="0" borderId="7" xfId="0" applyNumberFormat="1" applyFont="1" applyBorder="1" applyAlignment="1">
      <alignment horizontal="center"/>
    </xf>
    <xf numFmtId="5" fontId="15" fillId="0" borderId="7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5" fontId="15" fillId="0" borderId="8" xfId="0" applyNumberFormat="1" applyFont="1" applyBorder="1" applyAlignment="1">
      <alignment horizontal="center"/>
    </xf>
    <xf numFmtId="3" fontId="17" fillId="2" borderId="7" xfId="0" applyNumberFormat="1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/>
    </xf>
    <xf numFmtId="166" fontId="18" fillId="0" borderId="7" xfId="0" applyNumberFormat="1" applyFont="1" applyBorder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5" fillId="0" borderId="0" xfId="0" applyNumberFormat="1" applyFont="1"/>
    <xf numFmtId="167" fontId="1" fillId="0" borderId="0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0" fontId="19" fillId="0" borderId="0" xfId="0" applyFont="1"/>
    <xf numFmtId="0" fontId="17" fillId="0" borderId="7" xfId="0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20" fillId="0" borderId="7" xfId="0" applyFont="1" applyBorder="1" applyAlignment="1">
      <alignment horizontal="center"/>
    </xf>
    <xf numFmtId="166" fontId="20" fillId="0" borderId="7" xfId="0" applyNumberFormat="1" applyFont="1" applyBorder="1" applyAlignment="1">
      <alignment horizont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workbookViewId="0">
      <selection activeCell="M4" sqref="M4"/>
    </sheetView>
  </sheetViews>
  <sheetFormatPr defaultColWidth="8.85546875" defaultRowHeight="12.75" x14ac:dyDescent="0.2"/>
  <cols>
    <col min="14" max="14" width="10.140625" customWidth="1"/>
  </cols>
  <sheetData>
    <row r="1" spans="1:15" ht="18" x14ac:dyDescent="0.25">
      <c r="A1" s="1"/>
      <c r="B1" s="2"/>
      <c r="C1" s="2"/>
      <c r="D1" s="2"/>
      <c r="E1" s="23" t="s">
        <v>15</v>
      </c>
      <c r="F1" s="2"/>
      <c r="G1" s="2"/>
      <c r="H1" s="2"/>
      <c r="I1" s="2"/>
      <c r="J1" s="2"/>
      <c r="K1" s="2"/>
      <c r="L1" s="2"/>
      <c r="M1" s="2"/>
      <c r="N1" s="7"/>
    </row>
    <row r="2" spans="1:15" ht="15.75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8"/>
    </row>
    <row r="3" spans="1:15" s="12" customFormat="1" ht="15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1" t="s">
        <v>13</v>
      </c>
    </row>
    <row r="4" spans="1:15" s="12" customFormat="1" ht="15" x14ac:dyDescent="0.2">
      <c r="A4" s="10">
        <v>2014</v>
      </c>
      <c r="B4" s="13">
        <v>40</v>
      </c>
      <c r="C4" s="13">
        <v>59</v>
      </c>
      <c r="D4" s="13">
        <v>45</v>
      </c>
      <c r="E4" s="13">
        <v>49</v>
      </c>
      <c r="F4" s="13">
        <v>60</v>
      </c>
      <c r="G4" s="13">
        <v>38</v>
      </c>
      <c r="H4" s="13">
        <v>32</v>
      </c>
      <c r="I4" s="13">
        <v>34</v>
      </c>
      <c r="J4" s="13">
        <v>59</v>
      </c>
      <c r="K4" s="13">
        <v>16</v>
      </c>
      <c r="L4" s="13">
        <v>24</v>
      </c>
      <c r="M4" s="13"/>
      <c r="N4" s="11">
        <f>SUM(B4:M4)</f>
        <v>456</v>
      </c>
      <c r="O4" s="71" t="s">
        <v>19</v>
      </c>
    </row>
    <row r="5" spans="1:15" s="12" customFormat="1" ht="15" x14ac:dyDescent="0.2">
      <c r="A5" s="10">
        <v>2013</v>
      </c>
      <c r="B5" s="13">
        <v>50</v>
      </c>
      <c r="C5" s="13">
        <v>31</v>
      </c>
      <c r="D5" s="13">
        <v>53</v>
      </c>
      <c r="E5" s="13">
        <v>67</v>
      </c>
      <c r="F5" s="13">
        <v>45</v>
      </c>
      <c r="G5" s="13">
        <v>47</v>
      </c>
      <c r="H5" s="13">
        <v>31</v>
      </c>
      <c r="I5" s="13">
        <v>24</v>
      </c>
      <c r="J5" s="13">
        <v>31</v>
      </c>
      <c r="K5" s="13">
        <v>36</v>
      </c>
      <c r="L5" s="13">
        <v>35</v>
      </c>
      <c r="M5" s="13">
        <v>29</v>
      </c>
      <c r="N5" s="11">
        <f>SUM(B5:M5)</f>
        <v>479</v>
      </c>
    </row>
    <row r="6" spans="1:15" s="12" customFormat="1" ht="15" x14ac:dyDescent="0.2">
      <c r="A6" s="10">
        <v>2012</v>
      </c>
      <c r="B6" s="13">
        <v>19</v>
      </c>
      <c r="C6" s="13">
        <v>19</v>
      </c>
      <c r="D6" s="13">
        <v>44</v>
      </c>
      <c r="E6" s="13">
        <v>46</v>
      </c>
      <c r="F6" s="13">
        <v>38</v>
      </c>
      <c r="G6" s="13">
        <v>46</v>
      </c>
      <c r="H6" s="13">
        <v>46</v>
      </c>
      <c r="I6" s="13">
        <v>48</v>
      </c>
      <c r="J6" s="13">
        <v>26</v>
      </c>
      <c r="K6" s="13">
        <v>37</v>
      </c>
      <c r="L6" s="13">
        <v>22</v>
      </c>
      <c r="M6" s="13">
        <v>26</v>
      </c>
      <c r="N6" s="11">
        <f>SUM(B6:M6)</f>
        <v>417</v>
      </c>
    </row>
    <row r="7" spans="1:15" s="12" customFormat="1" ht="15" x14ac:dyDescent="0.2">
      <c r="A7" s="10">
        <v>2011</v>
      </c>
      <c r="B7" s="13">
        <v>5</v>
      </c>
      <c r="C7" s="13">
        <v>20</v>
      </c>
      <c r="D7" s="13">
        <v>32</v>
      </c>
      <c r="E7" s="13">
        <v>44</v>
      </c>
      <c r="F7" s="13">
        <v>26</v>
      </c>
      <c r="G7" s="13">
        <v>51</v>
      </c>
      <c r="H7" s="13">
        <v>9</v>
      </c>
      <c r="I7" s="13">
        <v>10</v>
      </c>
      <c r="J7" s="13">
        <v>36</v>
      </c>
      <c r="K7" s="13">
        <v>19</v>
      </c>
      <c r="L7" s="13">
        <v>12</v>
      </c>
      <c r="M7" s="13">
        <v>37</v>
      </c>
      <c r="N7" s="11">
        <f>SUM(B7:M7)</f>
        <v>301</v>
      </c>
    </row>
    <row r="8" spans="1:15" s="12" customFormat="1" ht="15" x14ac:dyDescent="0.2">
      <c r="A8" s="10">
        <v>2010</v>
      </c>
      <c r="B8" s="13">
        <v>19</v>
      </c>
      <c r="C8" s="13">
        <v>47</v>
      </c>
      <c r="D8" s="13">
        <v>60</v>
      </c>
      <c r="E8" s="13">
        <v>44</v>
      </c>
      <c r="F8" s="13">
        <v>33</v>
      </c>
      <c r="G8" s="13">
        <v>83</v>
      </c>
      <c r="H8" s="13">
        <v>36</v>
      </c>
      <c r="I8" s="13">
        <v>37</v>
      </c>
      <c r="J8" s="13">
        <v>25</v>
      </c>
      <c r="K8" s="13">
        <v>27</v>
      </c>
      <c r="L8" s="13">
        <v>25</v>
      </c>
      <c r="M8" s="13">
        <v>19</v>
      </c>
      <c r="N8" s="11">
        <f t="shared" ref="N8:N13" si="0">SUM(B8:M8)</f>
        <v>455</v>
      </c>
    </row>
    <row r="9" spans="1:15" s="12" customFormat="1" ht="15" x14ac:dyDescent="0.2">
      <c r="A9" s="10">
        <v>2009</v>
      </c>
      <c r="B9" s="13">
        <v>57</v>
      </c>
      <c r="C9" s="13">
        <v>93</v>
      </c>
      <c r="D9" s="13">
        <v>68</v>
      </c>
      <c r="E9" s="13">
        <v>85</v>
      </c>
      <c r="F9" s="13">
        <v>89</v>
      </c>
      <c r="G9" s="13">
        <v>61</v>
      </c>
      <c r="H9" s="13">
        <v>44</v>
      </c>
      <c r="I9" s="13">
        <v>67</v>
      </c>
      <c r="J9" s="13">
        <v>19</v>
      </c>
      <c r="K9" s="13">
        <v>31</v>
      </c>
      <c r="L9" s="13">
        <v>35</v>
      </c>
      <c r="M9" s="13">
        <v>39</v>
      </c>
      <c r="N9" s="11">
        <f t="shared" si="0"/>
        <v>688</v>
      </c>
    </row>
    <row r="10" spans="1:15" s="61" customFormat="1" ht="15" x14ac:dyDescent="0.2">
      <c r="A10" s="60">
        <v>2008</v>
      </c>
      <c r="B10" s="14">
        <v>50</v>
      </c>
      <c r="C10" s="14">
        <v>105</v>
      </c>
      <c r="D10" s="14">
        <v>87</v>
      </c>
      <c r="E10" s="14">
        <v>82</v>
      </c>
      <c r="F10" s="14">
        <v>106</v>
      </c>
      <c r="G10" s="14">
        <v>76</v>
      </c>
      <c r="H10" s="14">
        <v>45</v>
      </c>
      <c r="I10" s="14">
        <v>35</v>
      </c>
      <c r="J10" s="14">
        <v>28</v>
      </c>
      <c r="K10" s="14">
        <v>53</v>
      </c>
      <c r="L10" s="14">
        <v>23</v>
      </c>
      <c r="M10" s="14">
        <v>25</v>
      </c>
      <c r="N10" s="60">
        <f t="shared" si="0"/>
        <v>715</v>
      </c>
    </row>
    <row r="11" spans="1:15" s="12" customFormat="1" ht="15" x14ac:dyDescent="0.2">
      <c r="A11" s="10">
        <v>2007</v>
      </c>
      <c r="B11" s="13">
        <v>112</v>
      </c>
      <c r="C11" s="13">
        <v>91</v>
      </c>
      <c r="D11" s="13">
        <v>124</v>
      </c>
      <c r="E11" s="13">
        <v>90</v>
      </c>
      <c r="F11" s="13">
        <v>111</v>
      </c>
      <c r="G11" s="13">
        <v>107</v>
      </c>
      <c r="H11" s="13">
        <v>85</v>
      </c>
      <c r="I11" s="13">
        <v>59</v>
      </c>
      <c r="J11" s="13">
        <v>63</v>
      </c>
      <c r="K11" s="13">
        <v>101</v>
      </c>
      <c r="L11" s="13">
        <v>49</v>
      </c>
      <c r="M11" s="13">
        <v>54</v>
      </c>
      <c r="N11" s="11">
        <f t="shared" si="0"/>
        <v>1046</v>
      </c>
    </row>
    <row r="12" spans="1:15" s="12" customFormat="1" ht="15" x14ac:dyDescent="0.2">
      <c r="A12" s="10">
        <v>2006</v>
      </c>
      <c r="B12" s="13">
        <v>322</v>
      </c>
      <c r="C12" s="13">
        <v>178</v>
      </c>
      <c r="D12" s="13">
        <v>337</v>
      </c>
      <c r="E12" s="13">
        <v>242</v>
      </c>
      <c r="F12" s="13">
        <v>170</v>
      </c>
      <c r="G12" s="13">
        <v>191</v>
      </c>
      <c r="H12" s="13">
        <v>126</v>
      </c>
      <c r="I12" s="13">
        <v>113</v>
      </c>
      <c r="J12" s="13">
        <v>81</v>
      </c>
      <c r="K12" s="13">
        <v>55</v>
      </c>
      <c r="L12" s="13">
        <v>90</v>
      </c>
      <c r="M12" s="13">
        <v>144</v>
      </c>
      <c r="N12" s="11">
        <f t="shared" si="0"/>
        <v>2049</v>
      </c>
    </row>
    <row r="13" spans="1:15" s="12" customFormat="1" ht="15" x14ac:dyDescent="0.2">
      <c r="A13" s="10">
        <v>2005</v>
      </c>
      <c r="B13" s="14">
        <v>193</v>
      </c>
      <c r="C13" s="14">
        <v>347</v>
      </c>
      <c r="D13" s="14">
        <v>195</v>
      </c>
      <c r="E13" s="14">
        <v>335</v>
      </c>
      <c r="F13" s="14">
        <v>288</v>
      </c>
      <c r="G13" s="14">
        <v>315</v>
      </c>
      <c r="H13" s="14">
        <v>254</v>
      </c>
      <c r="I13" s="14">
        <v>317</v>
      </c>
      <c r="J13" s="14">
        <v>236</v>
      </c>
      <c r="K13" s="14">
        <v>218</v>
      </c>
      <c r="L13" s="14">
        <v>146</v>
      </c>
      <c r="M13" s="14">
        <v>240</v>
      </c>
      <c r="N13" s="11">
        <f t="shared" si="0"/>
        <v>3084</v>
      </c>
    </row>
    <row r="14" spans="1:15" s="12" customFormat="1" ht="15" x14ac:dyDescent="0.2">
      <c r="A14" s="10">
        <v>2004</v>
      </c>
      <c r="B14" s="15">
        <v>94</v>
      </c>
      <c r="C14" s="15">
        <v>85</v>
      </c>
      <c r="D14" s="16">
        <v>201</v>
      </c>
      <c r="E14" s="16">
        <v>176</v>
      </c>
      <c r="F14" s="16">
        <v>142</v>
      </c>
      <c r="G14" s="16">
        <v>185</v>
      </c>
      <c r="H14" s="16">
        <v>166</v>
      </c>
      <c r="I14" s="16">
        <v>135</v>
      </c>
      <c r="J14" s="16">
        <v>113</v>
      </c>
      <c r="K14" s="16">
        <v>181</v>
      </c>
      <c r="L14" s="16">
        <v>121</v>
      </c>
      <c r="M14" s="16">
        <v>121</v>
      </c>
      <c r="N14" s="11">
        <v>1720</v>
      </c>
    </row>
    <row r="15" spans="1:15" s="12" customFormat="1" ht="15" x14ac:dyDescent="0.2">
      <c r="A15" s="10">
        <v>2003</v>
      </c>
      <c r="B15" s="13">
        <v>60</v>
      </c>
      <c r="C15" s="13">
        <v>79</v>
      </c>
      <c r="D15" s="13">
        <v>110</v>
      </c>
      <c r="E15" s="13">
        <v>114</v>
      </c>
      <c r="F15" s="13">
        <v>111</v>
      </c>
      <c r="G15" s="13">
        <v>135</v>
      </c>
      <c r="H15" s="13">
        <v>141</v>
      </c>
      <c r="I15" s="13">
        <v>105</v>
      </c>
      <c r="J15" s="13">
        <v>93</v>
      </c>
      <c r="K15" s="13">
        <v>103</v>
      </c>
      <c r="L15" s="13">
        <v>71</v>
      </c>
      <c r="M15" s="13">
        <v>102</v>
      </c>
      <c r="N15" s="11">
        <v>1224</v>
      </c>
    </row>
    <row r="16" spans="1:15" s="12" customFormat="1" ht="15" x14ac:dyDescent="0.2">
      <c r="A16" s="10">
        <v>2002</v>
      </c>
      <c r="B16" s="13">
        <v>71</v>
      </c>
      <c r="C16" s="13">
        <v>66</v>
      </c>
      <c r="D16" s="13">
        <v>83</v>
      </c>
      <c r="E16" s="13">
        <v>75</v>
      </c>
      <c r="F16" s="13">
        <v>68</v>
      </c>
      <c r="G16" s="13">
        <v>77</v>
      </c>
      <c r="H16" s="13">
        <v>70</v>
      </c>
      <c r="I16" s="13">
        <v>83</v>
      </c>
      <c r="J16" s="13">
        <v>66</v>
      </c>
      <c r="K16" s="13">
        <v>90</v>
      </c>
      <c r="L16" s="13">
        <v>75</v>
      </c>
      <c r="M16" s="13">
        <v>77</v>
      </c>
      <c r="N16" s="11">
        <v>901</v>
      </c>
    </row>
    <row r="17" spans="1:14" s="12" customFormat="1" ht="15" x14ac:dyDescent="0.2">
      <c r="A17" s="10">
        <v>2001</v>
      </c>
      <c r="B17" s="17">
        <v>62</v>
      </c>
      <c r="C17" s="13">
        <v>67</v>
      </c>
      <c r="D17" s="13">
        <v>102</v>
      </c>
      <c r="E17" s="13">
        <v>78</v>
      </c>
      <c r="F17" s="13">
        <v>114</v>
      </c>
      <c r="G17" s="13">
        <v>83</v>
      </c>
      <c r="H17" s="13">
        <v>64</v>
      </c>
      <c r="I17" s="13">
        <v>92</v>
      </c>
      <c r="J17" s="13">
        <v>68</v>
      </c>
      <c r="K17" s="13">
        <v>72</v>
      </c>
      <c r="L17" s="13">
        <v>58</v>
      </c>
      <c r="M17" s="13">
        <v>56</v>
      </c>
      <c r="N17" s="11">
        <v>916</v>
      </c>
    </row>
    <row r="18" spans="1:14" s="12" customFormat="1" ht="15" x14ac:dyDescent="0.2">
      <c r="A18" s="10">
        <v>2000</v>
      </c>
      <c r="B18" s="13">
        <v>44</v>
      </c>
      <c r="C18" s="13">
        <v>28</v>
      </c>
      <c r="D18" s="13">
        <v>47</v>
      </c>
      <c r="E18" s="13">
        <v>64</v>
      </c>
      <c r="F18" s="13">
        <v>57</v>
      </c>
      <c r="G18" s="13">
        <v>57</v>
      </c>
      <c r="H18" s="13">
        <v>69</v>
      </c>
      <c r="I18" s="13">
        <v>43</v>
      </c>
      <c r="J18" s="13">
        <v>70</v>
      </c>
      <c r="K18" s="13">
        <v>51</v>
      </c>
      <c r="L18" s="13">
        <v>44</v>
      </c>
      <c r="M18" s="13">
        <v>54</v>
      </c>
      <c r="N18" s="11">
        <v>628</v>
      </c>
    </row>
    <row r="19" spans="1:14" s="12" customFormat="1" ht="15" x14ac:dyDescent="0.2">
      <c r="A19" s="10">
        <v>1999</v>
      </c>
      <c r="B19" s="13">
        <v>20</v>
      </c>
      <c r="C19" s="13">
        <v>53</v>
      </c>
      <c r="D19" s="13">
        <v>26</v>
      </c>
      <c r="E19" s="13">
        <v>61</v>
      </c>
      <c r="F19" s="13">
        <v>47</v>
      </c>
      <c r="G19" s="13">
        <v>23</v>
      </c>
      <c r="H19" s="13">
        <v>55</v>
      </c>
      <c r="I19" s="13">
        <v>48</v>
      </c>
      <c r="J19" s="13">
        <v>48</v>
      </c>
      <c r="K19" s="13">
        <v>30</v>
      </c>
      <c r="L19" s="13">
        <v>37</v>
      </c>
      <c r="M19" s="13">
        <v>58</v>
      </c>
      <c r="N19" s="11">
        <v>506</v>
      </c>
    </row>
    <row r="20" spans="1:14" s="12" customFormat="1" ht="15" x14ac:dyDescent="0.2">
      <c r="A20" s="10">
        <v>1998</v>
      </c>
      <c r="B20" s="13">
        <v>35</v>
      </c>
      <c r="C20" s="13">
        <v>33</v>
      </c>
      <c r="D20" s="13">
        <v>85</v>
      </c>
      <c r="E20" s="13">
        <v>85</v>
      </c>
      <c r="F20" s="13">
        <v>63</v>
      </c>
      <c r="G20" s="13">
        <v>75</v>
      </c>
      <c r="H20" s="13">
        <v>57</v>
      </c>
      <c r="I20" s="13">
        <v>38</v>
      </c>
      <c r="J20" s="13">
        <v>66</v>
      </c>
      <c r="K20" s="13">
        <v>60</v>
      </c>
      <c r="L20" s="13">
        <v>16</v>
      </c>
      <c r="M20" s="13">
        <v>51</v>
      </c>
      <c r="N20" s="11">
        <v>664</v>
      </c>
    </row>
    <row r="21" spans="1:14" s="12" customFormat="1" ht="15" x14ac:dyDescent="0.2">
      <c r="A21" s="10">
        <v>1997</v>
      </c>
      <c r="B21" s="13">
        <v>48</v>
      </c>
      <c r="C21" s="13">
        <v>70</v>
      </c>
      <c r="D21" s="13">
        <v>69</v>
      </c>
      <c r="E21" s="13">
        <v>35</v>
      </c>
      <c r="F21" s="13">
        <v>87</v>
      </c>
      <c r="G21" s="13">
        <v>79</v>
      </c>
      <c r="H21" s="13">
        <v>18</v>
      </c>
      <c r="I21" s="13">
        <v>63</v>
      </c>
      <c r="J21" s="13">
        <v>23</v>
      </c>
      <c r="K21" s="13">
        <v>43</v>
      </c>
      <c r="L21" s="13">
        <v>49</v>
      </c>
      <c r="M21" s="13">
        <v>91</v>
      </c>
      <c r="N21" s="11">
        <v>675</v>
      </c>
    </row>
    <row r="22" spans="1:14" s="12" customFormat="1" ht="15" x14ac:dyDescent="0.2">
      <c r="A22" s="10">
        <v>1996</v>
      </c>
      <c r="B22" s="13">
        <v>34</v>
      </c>
      <c r="C22" s="13">
        <v>81</v>
      </c>
      <c r="D22" s="13">
        <v>58</v>
      </c>
      <c r="E22" s="13">
        <v>48</v>
      </c>
      <c r="F22" s="13">
        <v>65</v>
      </c>
      <c r="G22" s="13">
        <v>64</v>
      </c>
      <c r="H22" s="13">
        <v>91</v>
      </c>
      <c r="I22" s="13">
        <v>110</v>
      </c>
      <c r="J22" s="13">
        <v>40</v>
      </c>
      <c r="K22" s="13">
        <v>91</v>
      </c>
      <c r="L22" s="13">
        <v>38</v>
      </c>
      <c r="M22" s="13">
        <v>58</v>
      </c>
      <c r="N22" s="11">
        <v>778</v>
      </c>
    </row>
    <row r="23" spans="1:14" s="12" customFormat="1" ht="15" x14ac:dyDescent="0.2">
      <c r="A23" s="10">
        <v>1995</v>
      </c>
      <c r="B23" s="13">
        <v>56</v>
      </c>
      <c r="C23" s="13">
        <v>60</v>
      </c>
      <c r="D23" s="13">
        <v>105</v>
      </c>
      <c r="E23" s="13">
        <v>77</v>
      </c>
      <c r="F23" s="13">
        <v>117</v>
      </c>
      <c r="G23" s="13">
        <v>63</v>
      </c>
      <c r="H23" s="13">
        <v>56</v>
      </c>
      <c r="I23" s="13">
        <v>67</v>
      </c>
      <c r="J23" s="13">
        <v>55</v>
      </c>
      <c r="K23" s="13">
        <v>64</v>
      </c>
      <c r="L23" s="13">
        <v>50</v>
      </c>
      <c r="M23" s="13">
        <v>89</v>
      </c>
      <c r="N23" s="11">
        <v>859</v>
      </c>
    </row>
    <row r="24" spans="1:14" s="12" customFormat="1" ht="15" x14ac:dyDescent="0.2">
      <c r="A24" s="10">
        <v>1994</v>
      </c>
      <c r="B24" s="13">
        <v>63</v>
      </c>
      <c r="C24" s="13">
        <v>72</v>
      </c>
      <c r="D24" s="13">
        <v>69</v>
      </c>
      <c r="E24" s="13">
        <v>64</v>
      </c>
      <c r="F24" s="13">
        <v>41</v>
      </c>
      <c r="G24" s="13">
        <v>52</v>
      </c>
      <c r="H24" s="13">
        <v>41</v>
      </c>
      <c r="I24" s="13">
        <v>65</v>
      </c>
      <c r="J24" s="13">
        <v>67</v>
      </c>
      <c r="K24" s="13">
        <v>91</v>
      </c>
      <c r="L24" s="13">
        <v>56</v>
      </c>
      <c r="M24" s="13">
        <v>91</v>
      </c>
      <c r="N24" s="11">
        <v>772</v>
      </c>
    </row>
    <row r="25" spans="1:14" s="12" customFormat="1" ht="15" x14ac:dyDescent="0.2">
      <c r="A25" s="10">
        <v>1993</v>
      </c>
      <c r="B25" s="13">
        <v>29</v>
      </c>
      <c r="C25" s="13">
        <v>73</v>
      </c>
      <c r="D25" s="13">
        <v>105</v>
      </c>
      <c r="E25" s="13">
        <v>91</v>
      </c>
      <c r="F25" s="13">
        <v>90</v>
      </c>
      <c r="G25" s="13">
        <v>115</v>
      </c>
      <c r="H25" s="13">
        <v>80</v>
      </c>
      <c r="I25" s="13">
        <v>100</v>
      </c>
      <c r="J25" s="13">
        <v>48</v>
      </c>
      <c r="K25" s="13">
        <v>111</v>
      </c>
      <c r="L25" s="13">
        <v>70</v>
      </c>
      <c r="M25" s="13">
        <v>91</v>
      </c>
      <c r="N25" s="11">
        <v>1003</v>
      </c>
    </row>
    <row r="26" spans="1:14" s="12" customFormat="1" ht="15" x14ac:dyDescent="0.2">
      <c r="A26" s="10">
        <v>1992</v>
      </c>
      <c r="B26" s="13">
        <v>22</v>
      </c>
      <c r="C26" s="13">
        <v>43</v>
      </c>
      <c r="D26" s="13">
        <v>59</v>
      </c>
      <c r="E26" s="13">
        <v>54</v>
      </c>
      <c r="F26" s="13">
        <v>48</v>
      </c>
      <c r="G26" s="13">
        <v>55</v>
      </c>
      <c r="H26" s="13">
        <v>69</v>
      </c>
      <c r="I26" s="13">
        <v>81</v>
      </c>
      <c r="J26" s="13">
        <v>72</v>
      </c>
      <c r="K26" s="13">
        <v>24</v>
      </c>
      <c r="L26" s="13">
        <v>52</v>
      </c>
      <c r="M26" s="13">
        <v>41</v>
      </c>
      <c r="N26" s="11">
        <v>620</v>
      </c>
    </row>
    <row r="27" spans="1:14" s="12" customFormat="1" ht="15" x14ac:dyDescent="0.2">
      <c r="A27" s="10">
        <v>1991</v>
      </c>
      <c r="B27" s="13">
        <v>35</v>
      </c>
      <c r="C27" s="13">
        <v>31</v>
      </c>
      <c r="D27" s="13">
        <v>39</v>
      </c>
      <c r="E27" s="13">
        <v>39</v>
      </c>
      <c r="F27" s="13">
        <v>31</v>
      </c>
      <c r="G27" s="13">
        <v>44</v>
      </c>
      <c r="H27" s="13">
        <v>45</v>
      </c>
      <c r="I27" s="13">
        <v>43</v>
      </c>
      <c r="J27" s="13">
        <v>48</v>
      </c>
      <c r="K27" s="13">
        <v>49</v>
      </c>
      <c r="L27" s="13">
        <v>95</v>
      </c>
      <c r="M27" s="13">
        <v>75</v>
      </c>
      <c r="N27" s="11">
        <v>574</v>
      </c>
    </row>
    <row r="28" spans="1:14" s="12" customFormat="1" ht="15" x14ac:dyDescent="0.2">
      <c r="A28" s="10">
        <v>1990</v>
      </c>
      <c r="B28" s="13">
        <v>29</v>
      </c>
      <c r="C28" s="13">
        <v>20</v>
      </c>
      <c r="D28" s="13">
        <v>14</v>
      </c>
      <c r="E28" s="13">
        <v>25</v>
      </c>
      <c r="F28" s="13">
        <v>53</v>
      </c>
      <c r="G28" s="13">
        <v>39</v>
      </c>
      <c r="H28" s="13">
        <v>30</v>
      </c>
      <c r="I28" s="13">
        <v>76</v>
      </c>
      <c r="J28" s="13">
        <v>29</v>
      </c>
      <c r="K28" s="13">
        <v>35</v>
      </c>
      <c r="L28" s="13">
        <v>38</v>
      </c>
      <c r="M28" s="13">
        <v>28</v>
      </c>
      <c r="N28" s="11">
        <v>416</v>
      </c>
    </row>
    <row r="29" spans="1:14" s="12" customFormat="1" ht="15" x14ac:dyDescent="0.2">
      <c r="A29" s="10">
        <v>1989</v>
      </c>
      <c r="B29" s="13">
        <v>58</v>
      </c>
      <c r="C29" s="13">
        <v>65</v>
      </c>
      <c r="D29" s="13">
        <v>105</v>
      </c>
      <c r="E29" s="13">
        <v>64</v>
      </c>
      <c r="F29" s="13">
        <v>61</v>
      </c>
      <c r="G29" s="13">
        <v>59</v>
      </c>
      <c r="H29" s="13">
        <v>51</v>
      </c>
      <c r="I29" s="13">
        <v>53</v>
      </c>
      <c r="J29" s="13">
        <v>37</v>
      </c>
      <c r="K29" s="13">
        <v>49</v>
      </c>
      <c r="L29" s="13">
        <v>8</v>
      </c>
      <c r="M29" s="13">
        <v>46</v>
      </c>
      <c r="N29" s="11">
        <v>656</v>
      </c>
    </row>
    <row r="30" spans="1:14" s="12" customFormat="1" ht="15" x14ac:dyDescent="0.2">
      <c r="A30" s="10">
        <v>1988</v>
      </c>
      <c r="B30" s="13">
        <v>38</v>
      </c>
      <c r="C30" s="13">
        <v>75</v>
      </c>
      <c r="D30" s="13">
        <v>100</v>
      </c>
      <c r="E30" s="13">
        <v>70</v>
      </c>
      <c r="F30" s="13">
        <v>99</v>
      </c>
      <c r="G30" s="13">
        <v>127</v>
      </c>
      <c r="H30" s="13">
        <v>54</v>
      </c>
      <c r="I30" s="13">
        <v>58</v>
      </c>
      <c r="J30" s="13">
        <v>103</v>
      </c>
      <c r="K30" s="13">
        <v>55</v>
      </c>
      <c r="L30" s="13">
        <v>45</v>
      </c>
      <c r="M30" s="13">
        <v>39</v>
      </c>
      <c r="N30" s="11">
        <v>863</v>
      </c>
    </row>
    <row r="31" spans="1:14" s="12" customFormat="1" ht="15" x14ac:dyDescent="0.2">
      <c r="A31" s="10">
        <v>1987</v>
      </c>
      <c r="B31" s="13">
        <v>102</v>
      </c>
      <c r="C31" s="13">
        <v>106</v>
      </c>
      <c r="D31" s="13">
        <v>95</v>
      </c>
      <c r="E31" s="13">
        <v>78</v>
      </c>
      <c r="F31" s="13">
        <v>36</v>
      </c>
      <c r="G31" s="13">
        <v>48</v>
      </c>
      <c r="H31" s="13">
        <v>43</v>
      </c>
      <c r="I31" s="13">
        <v>39</v>
      </c>
      <c r="J31" s="13">
        <v>84</v>
      </c>
      <c r="K31" s="13">
        <v>81</v>
      </c>
      <c r="L31" s="13">
        <v>43</v>
      </c>
      <c r="M31" s="13">
        <v>45</v>
      </c>
      <c r="N31" s="11">
        <v>800</v>
      </c>
    </row>
    <row r="32" spans="1:14" s="12" customFormat="1" ht="15" x14ac:dyDescent="0.2">
      <c r="A32" s="10">
        <v>1986</v>
      </c>
      <c r="B32" s="13">
        <v>73</v>
      </c>
      <c r="C32" s="13">
        <v>85</v>
      </c>
      <c r="D32" s="13">
        <v>89</v>
      </c>
      <c r="E32" s="13">
        <v>118</v>
      </c>
      <c r="F32" s="13">
        <v>74</v>
      </c>
      <c r="G32" s="13">
        <v>129</v>
      </c>
      <c r="H32" s="13">
        <v>76</v>
      </c>
      <c r="I32" s="13">
        <v>95</v>
      </c>
      <c r="J32" s="13">
        <v>109</v>
      </c>
      <c r="K32" s="13">
        <v>74</v>
      </c>
      <c r="L32" s="13">
        <v>72</v>
      </c>
      <c r="M32" s="13">
        <v>32</v>
      </c>
      <c r="N32" s="11">
        <v>1026</v>
      </c>
    </row>
    <row r="33" spans="1:14" s="12" customFormat="1" ht="15" x14ac:dyDescent="0.2">
      <c r="A33" s="18">
        <v>1985</v>
      </c>
      <c r="B33" s="19">
        <v>91</v>
      </c>
      <c r="C33" s="19">
        <v>108</v>
      </c>
      <c r="D33" s="19">
        <v>67</v>
      </c>
      <c r="E33" s="19">
        <v>73</v>
      </c>
      <c r="F33" s="19">
        <v>182</v>
      </c>
      <c r="G33" s="19">
        <v>105</v>
      </c>
      <c r="H33" s="19">
        <v>93</v>
      </c>
      <c r="I33" s="19">
        <v>103</v>
      </c>
      <c r="J33" s="19">
        <v>81</v>
      </c>
      <c r="K33" s="19">
        <v>128</v>
      </c>
      <c r="L33" s="19">
        <v>37</v>
      </c>
      <c r="M33" s="19">
        <v>59</v>
      </c>
      <c r="N33" s="20">
        <v>1127</v>
      </c>
    </row>
    <row r="34" spans="1:14" s="12" customFormat="1" ht="15" x14ac:dyDescent="0.2">
      <c r="A34" s="21" t="s">
        <v>13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7">
        <f>SUM(N9:N33)</f>
        <v>24310</v>
      </c>
    </row>
    <row r="35" spans="1:14" ht="15.7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9"/>
    </row>
    <row r="36" spans="1:14" ht="15.75" x14ac:dyDescent="0.25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9"/>
    </row>
    <row r="37" spans="1:14" s="12" customFormat="1" ht="15" x14ac:dyDescent="0.2">
      <c r="A37" s="24" t="s">
        <v>14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</row>
    <row r="38" spans="1:14" ht="15.7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9"/>
    </row>
    <row r="39" spans="1:14" s="12" customFormat="1" ht="15" x14ac:dyDescent="0.2">
      <c r="A39" s="27" t="s">
        <v>17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6"/>
    </row>
    <row r="40" spans="1:14" s="12" customFormat="1" ht="15" x14ac:dyDescent="0.2">
      <c r="A40" s="28" t="s">
        <v>16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/>
    </row>
  </sheetData>
  <phoneticPr fontId="11" type="noConversion"/>
  <pageMargins left="0.25" right="0.25" top="0.25" bottom="0.25" header="0.5" footer="0.5"/>
  <pageSetup scale="96" orientation="landscape" r:id="rId1"/>
  <headerFooter alignWithMargins="0"/>
  <ignoredErrors>
    <ignoredError sqref="N8:N13 N5:N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36"/>
  <sheetViews>
    <sheetView workbookViewId="0">
      <selection activeCell="M7" sqref="M7"/>
    </sheetView>
  </sheetViews>
  <sheetFormatPr defaultColWidth="8.85546875" defaultRowHeight="12.75" x14ac:dyDescent="0.2"/>
  <cols>
    <col min="2" max="2" width="16.140625" customWidth="1"/>
    <col min="3" max="3" width="14.42578125" customWidth="1"/>
    <col min="4" max="4" width="13.7109375" customWidth="1"/>
    <col min="5" max="5" width="14.28515625" customWidth="1"/>
    <col min="6" max="6" width="15.42578125" customWidth="1"/>
    <col min="7" max="7" width="14.42578125" customWidth="1"/>
    <col min="8" max="8" width="15.140625" customWidth="1"/>
    <col min="9" max="9" width="17.28515625" bestFit="1" customWidth="1"/>
    <col min="10" max="10" width="16.28515625" customWidth="1"/>
    <col min="11" max="11" width="17.42578125" customWidth="1"/>
    <col min="12" max="12" width="16" customWidth="1"/>
    <col min="13" max="13" width="16.28515625" customWidth="1"/>
    <col min="14" max="14" width="15.85546875" customWidth="1"/>
  </cols>
  <sheetData>
    <row r="3" spans="1:14" ht="18" x14ac:dyDescent="0.25">
      <c r="A3" s="29"/>
      <c r="B3" s="30"/>
      <c r="C3" s="30"/>
      <c r="D3" s="31" t="s">
        <v>18</v>
      </c>
      <c r="E3" s="30"/>
      <c r="F3" s="30"/>
      <c r="G3" s="30"/>
      <c r="H3" s="30"/>
      <c r="I3" s="30"/>
      <c r="J3" s="30"/>
      <c r="K3" s="30"/>
      <c r="L3" s="30"/>
      <c r="M3" s="30"/>
      <c r="N3" s="32"/>
    </row>
    <row r="4" spans="1:14" s="38" customForma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s="38" customFormat="1" x14ac:dyDescent="0.2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</row>
    <row r="6" spans="1:14" s="43" customFormat="1" x14ac:dyDescent="0.2">
      <c r="A6" s="42" t="s">
        <v>0</v>
      </c>
      <c r="B6" s="42" t="s">
        <v>1</v>
      </c>
      <c r="C6" s="42" t="s">
        <v>2</v>
      </c>
      <c r="D6" s="42" t="s">
        <v>3</v>
      </c>
      <c r="E6" s="42" t="s">
        <v>4</v>
      </c>
      <c r="F6" s="42" t="s">
        <v>5</v>
      </c>
      <c r="G6" s="42" t="s">
        <v>6</v>
      </c>
      <c r="H6" s="42" t="s">
        <v>7</v>
      </c>
      <c r="I6" s="42" t="s">
        <v>8</v>
      </c>
      <c r="J6" s="42" t="s">
        <v>9</v>
      </c>
      <c r="K6" s="42" t="s">
        <v>10</v>
      </c>
      <c r="L6" s="42" t="s">
        <v>11</v>
      </c>
      <c r="M6" s="42" t="s">
        <v>12</v>
      </c>
      <c r="N6" s="42" t="s">
        <v>13</v>
      </c>
    </row>
    <row r="7" spans="1:14" s="43" customFormat="1" x14ac:dyDescent="0.2">
      <c r="A7" s="69">
        <v>2014</v>
      </c>
      <c r="B7" s="67">
        <v>8105237</v>
      </c>
      <c r="C7" s="67">
        <v>11060267</v>
      </c>
      <c r="D7" s="67">
        <v>8538428</v>
      </c>
      <c r="E7" s="67">
        <v>10156701</v>
      </c>
      <c r="F7" s="67">
        <v>12789126</v>
      </c>
      <c r="G7" s="67">
        <v>7503326</v>
      </c>
      <c r="H7" s="67">
        <v>6669077</v>
      </c>
      <c r="I7" s="67">
        <v>8208081</v>
      </c>
      <c r="J7" s="67">
        <v>11302613</v>
      </c>
      <c r="K7" s="67">
        <v>3719567</v>
      </c>
      <c r="L7" s="67">
        <v>5242380</v>
      </c>
      <c r="M7" s="67"/>
      <c r="N7" s="70">
        <f>SUM(B7:M7)</f>
        <v>93294803</v>
      </c>
    </row>
    <row r="8" spans="1:14" s="43" customFormat="1" x14ac:dyDescent="0.2">
      <c r="A8" s="69">
        <v>2013</v>
      </c>
      <c r="B8" s="67">
        <v>10971968</v>
      </c>
      <c r="C8" s="67">
        <v>6009381</v>
      </c>
      <c r="D8" s="67">
        <v>10246819</v>
      </c>
      <c r="E8" s="67">
        <v>350000</v>
      </c>
      <c r="F8" s="67">
        <v>8903034</v>
      </c>
      <c r="G8" s="67">
        <v>8646412</v>
      </c>
      <c r="H8" s="67">
        <v>6504384</v>
      </c>
      <c r="I8" s="67">
        <v>4960636</v>
      </c>
      <c r="J8" s="67">
        <v>6581812</v>
      </c>
      <c r="K8" s="67">
        <v>7674644</v>
      </c>
      <c r="L8" s="67">
        <v>7147989</v>
      </c>
      <c r="M8" s="67">
        <v>5652322</v>
      </c>
      <c r="N8" s="70">
        <f>SUM(B8:M8)</f>
        <v>83649401</v>
      </c>
    </row>
    <row r="9" spans="1:14" s="65" customFormat="1" x14ac:dyDescent="0.2">
      <c r="A9" s="66">
        <v>2012</v>
      </c>
      <c r="B9" s="58">
        <v>3397533</v>
      </c>
      <c r="C9" s="58">
        <v>2787318</v>
      </c>
      <c r="D9" s="58">
        <v>8639702</v>
      </c>
      <c r="E9" s="58">
        <v>7688422</v>
      </c>
      <c r="F9" s="58">
        <v>7353094</v>
      </c>
      <c r="G9" s="58">
        <v>8514735</v>
      </c>
      <c r="H9" s="67">
        <v>7457754</v>
      </c>
      <c r="I9" s="58">
        <v>8793406</v>
      </c>
      <c r="J9" s="58">
        <v>4599448</v>
      </c>
      <c r="K9" s="58">
        <v>8207694</v>
      </c>
      <c r="L9" s="68">
        <v>4495592</v>
      </c>
      <c r="M9" s="58">
        <v>4995790</v>
      </c>
      <c r="N9" s="59">
        <f t="shared" ref="N9:N14" si="0">SUM(B9:M9)</f>
        <v>76930488</v>
      </c>
    </row>
    <row r="10" spans="1:14" s="43" customFormat="1" x14ac:dyDescent="0.2">
      <c r="A10" s="44">
        <v>2010</v>
      </c>
      <c r="B10" s="63">
        <v>3604002</v>
      </c>
      <c r="C10" s="64">
        <v>9118393</v>
      </c>
      <c r="D10" s="63">
        <v>9327338</v>
      </c>
      <c r="E10" s="63">
        <v>9467807</v>
      </c>
      <c r="F10" s="63">
        <v>5892973</v>
      </c>
      <c r="G10" s="63">
        <v>15282522</v>
      </c>
      <c r="H10" s="63">
        <v>7256735</v>
      </c>
      <c r="I10" s="63">
        <v>6518094</v>
      </c>
      <c r="J10" s="63">
        <v>4114194</v>
      </c>
      <c r="K10" s="63">
        <v>5080694</v>
      </c>
      <c r="L10" s="63">
        <v>4799023</v>
      </c>
      <c r="M10" s="63">
        <v>4228383</v>
      </c>
      <c r="N10" s="47">
        <f t="shared" si="0"/>
        <v>84690158</v>
      </c>
    </row>
    <row r="11" spans="1:14" s="43" customFormat="1" x14ac:dyDescent="0.2">
      <c r="A11" s="44">
        <v>2009</v>
      </c>
      <c r="B11" s="58">
        <v>8738241</v>
      </c>
      <c r="C11" s="62">
        <v>12952920</v>
      </c>
      <c r="D11" s="58">
        <v>11117693</v>
      </c>
      <c r="E11" s="58">
        <v>12731295</v>
      </c>
      <c r="F11" s="58">
        <v>13619692</v>
      </c>
      <c r="G11" s="58">
        <v>9861984</v>
      </c>
      <c r="H11" s="58">
        <v>7661062</v>
      </c>
      <c r="I11" s="58">
        <v>10790296</v>
      </c>
      <c r="J11" s="58">
        <v>3268559</v>
      </c>
      <c r="K11" s="58">
        <v>5212415</v>
      </c>
      <c r="L11" s="58">
        <v>6076285</v>
      </c>
      <c r="M11" s="58">
        <v>6160103</v>
      </c>
      <c r="N11" s="59">
        <f t="shared" si="0"/>
        <v>108190545</v>
      </c>
    </row>
    <row r="12" spans="1:14" s="43" customFormat="1" x14ac:dyDescent="0.2">
      <c r="A12" s="44">
        <v>2008</v>
      </c>
      <c r="B12" s="58">
        <v>10945714</v>
      </c>
      <c r="C12" s="58">
        <v>19537346</v>
      </c>
      <c r="D12" s="58">
        <v>18533628</v>
      </c>
      <c r="E12" s="58">
        <v>14657425</v>
      </c>
      <c r="F12" s="58">
        <v>19417651</v>
      </c>
      <c r="G12" s="58">
        <v>14434396</v>
      </c>
      <c r="H12" s="58">
        <v>8231615</v>
      </c>
      <c r="I12" s="58">
        <v>7829425</v>
      </c>
      <c r="J12" s="58">
        <v>5693960</v>
      </c>
      <c r="K12" s="58">
        <v>10137082</v>
      </c>
      <c r="L12" s="58">
        <v>3837895</v>
      </c>
      <c r="M12" s="58">
        <v>4587016</v>
      </c>
      <c r="N12" s="59">
        <f t="shared" si="0"/>
        <v>137843153</v>
      </c>
    </row>
    <row r="13" spans="1:14" s="48" customFormat="1" x14ac:dyDescent="0.2">
      <c r="A13" s="44">
        <v>2007</v>
      </c>
      <c r="B13" s="45">
        <v>23759302</v>
      </c>
      <c r="C13" s="46">
        <v>17933698</v>
      </c>
      <c r="D13" s="45">
        <v>25932187</v>
      </c>
      <c r="E13" s="45">
        <v>18136127</v>
      </c>
      <c r="F13" s="45">
        <v>21884660</v>
      </c>
      <c r="G13" s="45">
        <v>21625722</v>
      </c>
      <c r="H13" s="45">
        <v>17547390</v>
      </c>
      <c r="I13" s="45">
        <v>14384249</v>
      </c>
      <c r="J13" s="45">
        <v>15546860</v>
      </c>
      <c r="K13" s="45">
        <v>22477250</v>
      </c>
      <c r="L13" s="45">
        <v>10989252</v>
      </c>
      <c r="M13" s="45">
        <v>12499796</v>
      </c>
      <c r="N13" s="47">
        <f t="shared" si="0"/>
        <v>222716493</v>
      </c>
    </row>
    <row r="14" spans="1:14" s="48" customFormat="1" x14ac:dyDescent="0.2">
      <c r="A14" s="44">
        <v>2006</v>
      </c>
      <c r="B14" s="46">
        <v>59395582</v>
      </c>
      <c r="C14" s="46">
        <v>41225098</v>
      </c>
      <c r="D14" s="46">
        <v>70905980</v>
      </c>
      <c r="E14" s="46">
        <v>53631753</v>
      </c>
      <c r="F14" s="46">
        <v>35170228</v>
      </c>
      <c r="G14" s="46">
        <v>43787719</v>
      </c>
      <c r="H14" s="46">
        <v>29345795</v>
      </c>
      <c r="I14" s="46">
        <v>26920189</v>
      </c>
      <c r="J14" s="46">
        <v>18019955</v>
      </c>
      <c r="K14" s="46">
        <v>12376623</v>
      </c>
      <c r="L14" s="46">
        <v>20318307</v>
      </c>
      <c r="M14" s="46">
        <v>29244260</v>
      </c>
      <c r="N14" s="47">
        <f t="shared" si="0"/>
        <v>440341489</v>
      </c>
    </row>
    <row r="15" spans="1:14" s="48" customFormat="1" x14ac:dyDescent="0.2">
      <c r="A15" s="44">
        <v>2005</v>
      </c>
      <c r="B15" s="46">
        <v>34992121</v>
      </c>
      <c r="C15" s="46">
        <v>1107047</v>
      </c>
      <c r="D15" s="46">
        <v>36927904</v>
      </c>
      <c r="E15" s="46">
        <v>60705754</v>
      </c>
      <c r="F15" s="46">
        <v>53649449</v>
      </c>
      <c r="G15" s="46">
        <v>57757408</v>
      </c>
      <c r="H15" s="46">
        <v>52759888</v>
      </c>
      <c r="I15" s="46">
        <v>63054962</v>
      </c>
      <c r="J15" s="46">
        <v>50557760</v>
      </c>
      <c r="K15" s="46">
        <v>45090837</v>
      </c>
      <c r="L15" s="46">
        <v>33501633</v>
      </c>
      <c r="M15" s="46">
        <v>52018160</v>
      </c>
      <c r="N15" s="47">
        <f t="shared" ref="N15:N34" si="1">SUM(B15:M15)</f>
        <v>542122923</v>
      </c>
    </row>
    <row r="16" spans="1:14" s="48" customFormat="1" x14ac:dyDescent="0.2">
      <c r="A16" s="44">
        <v>2004</v>
      </c>
      <c r="B16" s="46">
        <v>9174244</v>
      </c>
      <c r="C16" s="46">
        <v>9885983</v>
      </c>
      <c r="D16" s="46">
        <v>19106937</v>
      </c>
      <c r="E16" s="46">
        <v>17221670</v>
      </c>
      <c r="F16" s="46">
        <v>14617587</v>
      </c>
      <c r="G16" s="46">
        <v>15323611</v>
      </c>
      <c r="H16" s="46">
        <v>17925752</v>
      </c>
      <c r="I16" s="46">
        <v>13733384</v>
      </c>
      <c r="J16" s="46">
        <v>20219144</v>
      </c>
      <c r="K16" s="46">
        <v>30565450</v>
      </c>
      <c r="L16" s="46">
        <v>20829535</v>
      </c>
      <c r="M16" s="46">
        <v>20995272</v>
      </c>
      <c r="N16" s="47">
        <f t="shared" si="1"/>
        <v>209598569</v>
      </c>
    </row>
    <row r="17" spans="1:14" s="48" customFormat="1" x14ac:dyDescent="0.2">
      <c r="A17" s="44">
        <v>2003</v>
      </c>
      <c r="B17" s="49">
        <v>5075354</v>
      </c>
      <c r="C17" s="49">
        <v>8058756</v>
      </c>
      <c r="D17" s="49">
        <v>10307214</v>
      </c>
      <c r="E17" s="49">
        <v>10659594</v>
      </c>
      <c r="F17" s="49">
        <v>9516958</v>
      </c>
      <c r="G17" s="49">
        <v>12557287</v>
      </c>
      <c r="H17" s="49">
        <v>13367988</v>
      </c>
      <c r="I17" s="49">
        <v>9571137</v>
      </c>
      <c r="J17" s="49">
        <v>8449930</v>
      </c>
      <c r="K17" s="49">
        <v>11283300</v>
      </c>
      <c r="L17" s="49">
        <v>6490321</v>
      </c>
      <c r="M17" s="49">
        <v>9869166</v>
      </c>
      <c r="N17" s="47">
        <f t="shared" si="1"/>
        <v>115207005</v>
      </c>
    </row>
    <row r="18" spans="1:14" s="48" customFormat="1" x14ac:dyDescent="0.2">
      <c r="A18" s="44">
        <v>2002</v>
      </c>
      <c r="B18" s="46">
        <v>6410162</v>
      </c>
      <c r="C18" s="46">
        <v>5903733</v>
      </c>
      <c r="D18" s="46">
        <v>9054862</v>
      </c>
      <c r="E18" s="46">
        <v>6708599</v>
      </c>
      <c r="F18" s="46">
        <v>7576480</v>
      </c>
      <c r="G18" s="46">
        <v>6559494</v>
      </c>
      <c r="H18" s="46">
        <v>8340015</v>
      </c>
      <c r="I18" s="46">
        <v>7531741</v>
      </c>
      <c r="J18" s="46">
        <v>5628722</v>
      </c>
      <c r="K18" s="46">
        <v>9040844</v>
      </c>
      <c r="L18" s="46">
        <v>6670762</v>
      </c>
      <c r="M18" s="46">
        <v>7239758</v>
      </c>
      <c r="N18" s="47">
        <f t="shared" si="1"/>
        <v>86665172</v>
      </c>
    </row>
    <row r="19" spans="1:14" s="48" customFormat="1" x14ac:dyDescent="0.2">
      <c r="A19" s="44">
        <v>2001</v>
      </c>
      <c r="B19" s="50">
        <v>4813725</v>
      </c>
      <c r="C19" s="46">
        <v>5487487</v>
      </c>
      <c r="D19" s="46">
        <v>8785275</v>
      </c>
      <c r="E19" s="46">
        <v>6808573</v>
      </c>
      <c r="F19" s="46">
        <v>8842467</v>
      </c>
      <c r="G19" s="46">
        <v>7302004</v>
      </c>
      <c r="H19" s="46">
        <v>5903462</v>
      </c>
      <c r="I19" s="51">
        <v>15127426</v>
      </c>
      <c r="J19" s="51">
        <v>5930887</v>
      </c>
      <c r="K19" s="51">
        <v>6295050</v>
      </c>
      <c r="L19" s="51">
        <v>5293226</v>
      </c>
      <c r="M19" s="51">
        <v>4281682</v>
      </c>
      <c r="N19" s="52">
        <f t="shared" si="1"/>
        <v>84871264</v>
      </c>
    </row>
    <row r="20" spans="1:14" s="48" customFormat="1" x14ac:dyDescent="0.2">
      <c r="A20" s="44">
        <v>2000</v>
      </c>
      <c r="B20" s="53">
        <v>3909852</v>
      </c>
      <c r="C20" s="53">
        <v>2965788</v>
      </c>
      <c r="D20" s="53">
        <v>3176284</v>
      </c>
      <c r="E20" s="53">
        <v>4863324</v>
      </c>
      <c r="F20" s="53">
        <v>4691537</v>
      </c>
      <c r="G20" s="53">
        <v>5370101</v>
      </c>
      <c r="H20" s="53">
        <v>5304424</v>
      </c>
      <c r="I20" s="53">
        <v>3727938</v>
      </c>
      <c r="J20" s="53">
        <v>5372522</v>
      </c>
      <c r="K20" s="53">
        <v>4170499</v>
      </c>
      <c r="L20" s="53">
        <v>3854317</v>
      </c>
      <c r="M20" s="53">
        <v>4220633</v>
      </c>
      <c r="N20" s="52">
        <f t="shared" si="1"/>
        <v>51627219</v>
      </c>
    </row>
    <row r="21" spans="1:14" s="48" customFormat="1" x14ac:dyDescent="0.2">
      <c r="A21" s="44">
        <v>1999</v>
      </c>
      <c r="B21" s="53">
        <v>2104447</v>
      </c>
      <c r="C21" s="53">
        <v>3980637</v>
      </c>
      <c r="D21" s="53">
        <v>2839490</v>
      </c>
      <c r="E21" s="53">
        <v>4877134</v>
      </c>
      <c r="F21" s="53">
        <v>4247537</v>
      </c>
      <c r="G21" s="53">
        <v>2030313</v>
      </c>
      <c r="H21" s="53">
        <v>4345807</v>
      </c>
      <c r="I21" s="53">
        <v>4043842</v>
      </c>
      <c r="J21" s="53">
        <v>3603442</v>
      </c>
      <c r="K21" s="53">
        <v>2316369</v>
      </c>
      <c r="L21" s="53">
        <v>3758807</v>
      </c>
      <c r="M21" s="53">
        <v>4357202</v>
      </c>
      <c r="N21" s="52">
        <f t="shared" si="1"/>
        <v>42505027</v>
      </c>
    </row>
    <row r="22" spans="1:14" s="48" customFormat="1" x14ac:dyDescent="0.2">
      <c r="A22" s="44">
        <v>1998</v>
      </c>
      <c r="B22" s="53">
        <v>2401510</v>
      </c>
      <c r="C22" s="53">
        <v>1964303</v>
      </c>
      <c r="D22" s="53">
        <v>6612023</v>
      </c>
      <c r="E22" s="53">
        <v>6612022</v>
      </c>
      <c r="F22" s="53">
        <v>3034973</v>
      </c>
      <c r="G22" s="53">
        <v>4347989</v>
      </c>
      <c r="H22" s="53">
        <v>2132665</v>
      </c>
      <c r="I22" s="53">
        <v>2566188</v>
      </c>
      <c r="J22" s="53">
        <v>4617127</v>
      </c>
      <c r="K22" s="53">
        <v>4302583</v>
      </c>
      <c r="L22" s="53">
        <v>1136583</v>
      </c>
      <c r="M22" s="53">
        <v>3799291</v>
      </c>
      <c r="N22" s="52">
        <f t="shared" si="1"/>
        <v>43527257</v>
      </c>
    </row>
    <row r="23" spans="1:14" s="48" customFormat="1" x14ac:dyDescent="0.2">
      <c r="A23" s="44">
        <v>1997</v>
      </c>
      <c r="B23" s="53">
        <v>2950722</v>
      </c>
      <c r="C23" s="53">
        <v>4082522</v>
      </c>
      <c r="D23" s="53">
        <v>4813153</v>
      </c>
      <c r="E23" s="53">
        <v>4869847</v>
      </c>
      <c r="F23" s="53">
        <v>6913376</v>
      </c>
      <c r="G23" s="53">
        <v>4341887</v>
      </c>
      <c r="H23" s="53">
        <v>1517850</v>
      </c>
      <c r="I23" s="53">
        <v>3633280</v>
      </c>
      <c r="J23" s="53">
        <v>1687038</v>
      </c>
      <c r="K23" s="53">
        <v>2712788</v>
      </c>
      <c r="L23" s="53">
        <v>2631592</v>
      </c>
      <c r="M23" s="53">
        <v>3649189</v>
      </c>
      <c r="N23" s="52">
        <f t="shared" si="1"/>
        <v>43803244</v>
      </c>
    </row>
    <row r="24" spans="1:14" s="48" customFormat="1" x14ac:dyDescent="0.2">
      <c r="A24" s="44">
        <v>1996</v>
      </c>
      <c r="B24" s="53">
        <v>2133700</v>
      </c>
      <c r="C24" s="53">
        <v>2730503</v>
      </c>
      <c r="D24" s="53">
        <v>3616612</v>
      </c>
      <c r="E24" s="53">
        <v>5367192</v>
      </c>
      <c r="F24" s="53">
        <v>3757791</v>
      </c>
      <c r="G24" s="53">
        <v>3515158</v>
      </c>
      <c r="H24" s="53">
        <v>4768523</v>
      </c>
      <c r="I24" s="53">
        <v>3007464</v>
      </c>
      <c r="J24" s="53">
        <v>2925077</v>
      </c>
      <c r="K24" s="53">
        <v>5393501</v>
      </c>
      <c r="L24" s="53">
        <v>3260882</v>
      </c>
      <c r="M24" s="53">
        <v>3049422</v>
      </c>
      <c r="N24" s="52">
        <f t="shared" si="1"/>
        <v>43525825</v>
      </c>
    </row>
    <row r="25" spans="1:14" s="48" customFormat="1" x14ac:dyDescent="0.2">
      <c r="A25" s="44">
        <v>1995</v>
      </c>
      <c r="B25" s="53">
        <v>2540712</v>
      </c>
      <c r="C25" s="53">
        <v>3955314</v>
      </c>
      <c r="D25" s="53">
        <v>3175445</v>
      </c>
      <c r="E25" s="53">
        <v>4579419</v>
      </c>
      <c r="F25" s="53">
        <v>5637025</v>
      </c>
      <c r="G25" s="53">
        <v>3310767</v>
      </c>
      <c r="H25" s="53">
        <v>2933669</v>
      </c>
      <c r="I25" s="53">
        <v>3448654</v>
      </c>
      <c r="J25" s="53">
        <v>2977183</v>
      </c>
      <c r="K25" s="53">
        <v>3884910</v>
      </c>
      <c r="L25" s="53">
        <v>3005334</v>
      </c>
      <c r="M25" s="53">
        <v>2709429</v>
      </c>
      <c r="N25" s="52">
        <f t="shared" si="1"/>
        <v>42157861</v>
      </c>
    </row>
    <row r="26" spans="1:14" s="48" customFormat="1" x14ac:dyDescent="0.2">
      <c r="A26" s="44">
        <v>1994</v>
      </c>
      <c r="B26" s="53">
        <v>3515000</v>
      </c>
      <c r="C26" s="53">
        <v>3158655</v>
      </c>
      <c r="D26" s="53">
        <v>4544715</v>
      </c>
      <c r="E26" s="53">
        <v>4559307</v>
      </c>
      <c r="F26" s="53">
        <v>2621914</v>
      </c>
      <c r="G26" s="53">
        <v>3870465</v>
      </c>
      <c r="H26" s="53">
        <v>2653149</v>
      </c>
      <c r="I26" s="53">
        <v>4431272</v>
      </c>
      <c r="J26" s="53">
        <v>3458105</v>
      </c>
      <c r="K26" s="53">
        <v>3163117</v>
      </c>
      <c r="L26" s="53">
        <v>3305388</v>
      </c>
      <c r="M26" s="53">
        <v>3351470</v>
      </c>
      <c r="N26" s="52">
        <f t="shared" si="1"/>
        <v>42632557</v>
      </c>
    </row>
    <row r="27" spans="1:14" s="48" customFormat="1" x14ac:dyDescent="0.2">
      <c r="A27" s="44">
        <v>1993</v>
      </c>
      <c r="B27" s="53">
        <v>1924662</v>
      </c>
      <c r="C27" s="53">
        <v>3492512</v>
      </c>
      <c r="D27" s="53">
        <v>5638705</v>
      </c>
      <c r="E27" s="53">
        <v>4658309</v>
      </c>
      <c r="F27" s="53">
        <v>5747458</v>
      </c>
      <c r="G27" s="53">
        <v>5946432</v>
      </c>
      <c r="H27" s="53">
        <v>4334360</v>
      </c>
      <c r="I27" s="53">
        <v>5593853</v>
      </c>
      <c r="J27" s="53">
        <v>3216383</v>
      </c>
      <c r="K27" s="53">
        <v>5745117</v>
      </c>
      <c r="L27" s="53">
        <v>3918119</v>
      </c>
      <c r="M27" s="53">
        <v>4740617</v>
      </c>
      <c r="N27" s="52">
        <f t="shared" si="1"/>
        <v>54956527</v>
      </c>
    </row>
    <row r="28" spans="1:14" s="48" customFormat="1" x14ac:dyDescent="0.2">
      <c r="A28" s="44">
        <v>1992</v>
      </c>
      <c r="B28" s="53">
        <v>1487191</v>
      </c>
      <c r="C28" s="53">
        <v>2418849</v>
      </c>
      <c r="D28" s="53">
        <v>2989526</v>
      </c>
      <c r="E28" s="53">
        <v>2436326</v>
      </c>
      <c r="F28" s="53">
        <v>2234138</v>
      </c>
      <c r="G28" s="53">
        <v>2987136</v>
      </c>
      <c r="H28" s="53">
        <v>3866442</v>
      </c>
      <c r="I28" s="53">
        <v>2802419</v>
      </c>
      <c r="J28" s="53">
        <v>3615208</v>
      </c>
      <c r="K28" s="53">
        <v>481520</v>
      </c>
      <c r="L28" s="53">
        <v>2926248</v>
      </c>
      <c r="M28" s="53">
        <v>2144733</v>
      </c>
      <c r="N28" s="52">
        <f t="shared" si="1"/>
        <v>30389736</v>
      </c>
    </row>
    <row r="29" spans="1:14" s="48" customFormat="1" x14ac:dyDescent="0.2">
      <c r="A29" s="44">
        <v>1991</v>
      </c>
      <c r="B29" s="53">
        <v>1839553</v>
      </c>
      <c r="C29" s="53">
        <v>1561304</v>
      </c>
      <c r="D29" s="53">
        <v>1944595</v>
      </c>
      <c r="E29" s="53">
        <v>2213858</v>
      </c>
      <c r="F29" s="53">
        <v>1778317</v>
      </c>
      <c r="G29" s="53">
        <v>2132180</v>
      </c>
      <c r="H29" s="53">
        <v>2268606</v>
      </c>
      <c r="I29" s="53">
        <v>1936451</v>
      </c>
      <c r="J29" s="53">
        <v>2666212</v>
      </c>
      <c r="K29" s="53">
        <v>2482306</v>
      </c>
      <c r="L29" s="53">
        <v>4523031</v>
      </c>
      <c r="M29" s="53">
        <v>3476878</v>
      </c>
      <c r="N29" s="52">
        <f t="shared" si="1"/>
        <v>28823291</v>
      </c>
    </row>
    <row r="30" spans="1:14" s="48" customFormat="1" x14ac:dyDescent="0.2">
      <c r="A30" s="44">
        <v>1990</v>
      </c>
      <c r="B30" s="53">
        <v>1624641</v>
      </c>
      <c r="C30" s="53">
        <v>1131652</v>
      </c>
      <c r="D30" s="53">
        <v>606872</v>
      </c>
      <c r="E30" s="53">
        <v>1014871</v>
      </c>
      <c r="F30" s="53">
        <v>2567633</v>
      </c>
      <c r="G30" s="53">
        <v>1498593</v>
      </c>
      <c r="H30" s="53">
        <v>1675200</v>
      </c>
      <c r="I30" s="53">
        <v>3768379</v>
      </c>
      <c r="J30" s="53">
        <v>1238975</v>
      </c>
      <c r="K30" s="53">
        <v>1577058</v>
      </c>
      <c r="L30" s="53">
        <v>2499752</v>
      </c>
      <c r="M30" s="53">
        <v>1368727</v>
      </c>
      <c r="N30" s="52">
        <f t="shared" si="1"/>
        <v>20572353</v>
      </c>
    </row>
    <row r="31" spans="1:14" s="48" customFormat="1" x14ac:dyDescent="0.2">
      <c r="A31" s="44">
        <v>1989</v>
      </c>
      <c r="B31" s="53">
        <v>2944150</v>
      </c>
      <c r="C31" s="53">
        <v>3008426</v>
      </c>
      <c r="D31" s="53">
        <v>5198126</v>
      </c>
      <c r="E31" s="53">
        <v>2911360</v>
      </c>
      <c r="F31" s="53">
        <v>2761663</v>
      </c>
      <c r="G31" s="53">
        <v>3036102</v>
      </c>
      <c r="H31" s="53">
        <v>2610877</v>
      </c>
      <c r="I31" s="53">
        <v>2689338</v>
      </c>
      <c r="J31" s="53">
        <v>1713165</v>
      </c>
      <c r="K31" s="53">
        <v>2655345</v>
      </c>
      <c r="L31" s="53">
        <v>423803</v>
      </c>
      <c r="M31" s="53">
        <v>1924262</v>
      </c>
      <c r="N31" s="52">
        <f t="shared" si="1"/>
        <v>31876617</v>
      </c>
    </row>
    <row r="32" spans="1:14" s="48" customFormat="1" x14ac:dyDescent="0.2">
      <c r="A32" s="44">
        <v>1988</v>
      </c>
      <c r="B32" s="53">
        <v>1684880</v>
      </c>
      <c r="C32" s="53">
        <v>3300887</v>
      </c>
      <c r="D32" s="53">
        <v>4177325</v>
      </c>
      <c r="E32" s="53">
        <v>3061958</v>
      </c>
      <c r="F32" s="53">
        <v>4625876</v>
      </c>
      <c r="G32" s="53">
        <v>5717077</v>
      </c>
      <c r="H32" s="53">
        <v>2795387</v>
      </c>
      <c r="I32" s="53">
        <v>2854742</v>
      </c>
      <c r="J32" s="53">
        <v>4672827</v>
      </c>
      <c r="K32" s="53">
        <v>2635824</v>
      </c>
      <c r="L32" s="53">
        <v>2249883</v>
      </c>
      <c r="M32" s="53">
        <v>1852507</v>
      </c>
      <c r="N32" s="52">
        <f t="shared" si="1"/>
        <v>39629173</v>
      </c>
    </row>
    <row r="33" spans="1:14" s="48" customFormat="1" x14ac:dyDescent="0.2">
      <c r="A33" s="44">
        <v>1987</v>
      </c>
      <c r="B33" s="53">
        <v>6177300</v>
      </c>
      <c r="C33" s="53">
        <v>6257455</v>
      </c>
      <c r="D33" s="53">
        <v>5493591</v>
      </c>
      <c r="E33" s="53">
        <v>5021351</v>
      </c>
      <c r="F33" s="53">
        <v>2363271</v>
      </c>
      <c r="G33" s="53">
        <v>2935767</v>
      </c>
      <c r="H33" s="53">
        <v>2529848</v>
      </c>
      <c r="I33" s="53">
        <v>1717721</v>
      </c>
      <c r="J33" s="53">
        <v>3576167</v>
      </c>
      <c r="K33" s="53">
        <v>3600538</v>
      </c>
      <c r="L33" s="53">
        <v>1966167</v>
      </c>
      <c r="M33" s="53">
        <v>2295639</v>
      </c>
      <c r="N33" s="52">
        <f t="shared" si="1"/>
        <v>43934815</v>
      </c>
    </row>
    <row r="34" spans="1:14" s="48" customFormat="1" x14ac:dyDescent="0.2">
      <c r="A34" s="44">
        <v>1986</v>
      </c>
      <c r="B34" s="53">
        <v>2705887</v>
      </c>
      <c r="C34" s="53">
        <v>4336605</v>
      </c>
      <c r="D34" s="53">
        <v>5053280</v>
      </c>
      <c r="E34" s="53">
        <v>6394925</v>
      </c>
      <c r="F34" s="53">
        <v>4763122</v>
      </c>
      <c r="G34" s="53">
        <v>7887618</v>
      </c>
      <c r="H34" s="53">
        <v>4169055</v>
      </c>
      <c r="I34" s="53">
        <v>5776961</v>
      </c>
      <c r="J34" s="53">
        <v>5870986</v>
      </c>
      <c r="K34" s="53">
        <v>4489948</v>
      </c>
      <c r="L34" s="53">
        <v>4298930</v>
      </c>
      <c r="M34" s="53">
        <v>1880448</v>
      </c>
      <c r="N34" s="52">
        <f t="shared" si="1"/>
        <v>57627765</v>
      </c>
    </row>
    <row r="35" spans="1:14" s="48" customFormat="1" x14ac:dyDescent="0.2">
      <c r="A35" s="54">
        <v>1985</v>
      </c>
      <c r="B35" s="55">
        <v>5064634</v>
      </c>
      <c r="C35" s="55">
        <v>5705917</v>
      </c>
      <c r="D35" s="55">
        <v>3769405</v>
      </c>
      <c r="E35" s="55">
        <v>3741515</v>
      </c>
      <c r="F35" s="55">
        <v>9824607</v>
      </c>
      <c r="G35" s="55">
        <v>6399169</v>
      </c>
      <c r="H35" s="55">
        <v>4922295</v>
      </c>
      <c r="I35" s="55">
        <v>6198251</v>
      </c>
      <c r="J35" s="55">
        <v>4530628</v>
      </c>
      <c r="K35" s="55">
        <v>7605767</v>
      </c>
      <c r="L35" s="55">
        <v>2218704</v>
      </c>
      <c r="M35" s="55">
        <v>3076145</v>
      </c>
      <c r="N35" s="52">
        <f>SUM(B35:M35)</f>
        <v>63057037</v>
      </c>
    </row>
    <row r="36" spans="1:14" ht="15.75" x14ac:dyDescent="0.25">
      <c r="A36" s="33" t="s">
        <v>13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6">
        <f>SUM(N11:N35)</f>
        <v>2628202917</v>
      </c>
    </row>
  </sheetData>
  <phoneticPr fontId="11" type="noConversion"/>
  <pageMargins left="0.5" right="0.5" top="0.5" bottom="0.5" header="0.5" footer="0.5"/>
  <pageSetup scale="61" orientation="landscape" r:id="rId1"/>
  <headerFooter alignWithMargins="0"/>
  <ignoredErrors>
    <ignoredError sqref="N10:N18 N19:N35 N8:N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SFR STARTS ONLY</vt:lpstr>
      <vt:lpstr>SFR VALUATIONS ONLY</vt:lpstr>
    </vt:vector>
  </TitlesOfParts>
  <Company>City of Rio Rancho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McKinney</dc:creator>
  <cp:lastModifiedBy>nmckinney</cp:lastModifiedBy>
  <cp:lastPrinted>2014-11-06T14:46:16Z</cp:lastPrinted>
  <dcterms:created xsi:type="dcterms:W3CDTF">2005-02-10T16:47:10Z</dcterms:created>
  <dcterms:modified xsi:type="dcterms:W3CDTF">2014-12-09T21:31:01Z</dcterms:modified>
</cp:coreProperties>
</file>