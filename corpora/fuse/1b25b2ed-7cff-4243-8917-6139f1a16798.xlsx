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workbookProtection lockStructure="1" lockWindows="1"/>
  <bookViews>
    <workbookView xWindow="75" yWindow="780" windowWidth="13725" windowHeight="7350" tabRatio="856"/>
  </bookViews>
  <sheets>
    <sheet name="Calculator" sheetId="16" r:id="rId1"/>
    <sheet name="One-time, PV-FV " sheetId="17" r:id="rId2"/>
    <sheet name="One-time, FV-PV" sheetId="18" r:id="rId3"/>
    <sheet name="Annuity, A-FV" sheetId="19" r:id="rId4"/>
    <sheet name="Annuity, A-PV" sheetId="20" r:id="rId5"/>
    <sheet name="Annuity, FV-A" sheetId="21" r:id="rId6"/>
    <sheet name="Annuity, PV-A" sheetId="22" r:id="rId7"/>
  </sheets>
  <definedNames>
    <definedName name="_xlnm.Print_Area" localSheetId="3">'Annuity, A-FV'!$A$1:$O$45</definedName>
    <definedName name="_xlnm.Print_Area" localSheetId="4">'Annuity, A-PV'!$A$1:$O$45</definedName>
    <definedName name="_xlnm.Print_Area" localSheetId="5">'Annuity, FV-A'!$A$1:$O$44</definedName>
    <definedName name="_xlnm.Print_Area" localSheetId="6">'Annuity, PV-A'!$A$1:$O$44</definedName>
    <definedName name="_xlnm.Print_Area" localSheetId="2">'One-time, FV-PV'!$A$1:$O$45</definedName>
    <definedName name="_xlnm.Print_Area" localSheetId="1">'One-time, PV-FV '!$A$1:$O$45</definedName>
  </definedNames>
  <calcPr calcId="145621"/>
</workbook>
</file>

<file path=xl/calcChain.xml><?xml version="1.0" encoding="utf-8"?>
<calcChain xmlns="http://schemas.openxmlformats.org/spreadsheetml/2006/main">
  <c r="B6" i="22" l="1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B10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B12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B15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B17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B18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B20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B34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B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B38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B40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B41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B42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O42" i="22"/>
  <c r="B43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O43" i="22"/>
  <c r="B44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B5" i="22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B5" i="21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B30" i="20"/>
  <c r="C30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B32" i="20"/>
  <c r="C32" i="20"/>
  <c r="D32" i="20"/>
  <c r="E32" i="20"/>
  <c r="F32" i="20"/>
  <c r="G32" i="20"/>
  <c r="H32" i="20"/>
  <c r="I32" i="20"/>
  <c r="J32" i="20"/>
  <c r="K32" i="20"/>
  <c r="L32" i="20"/>
  <c r="M32" i="20"/>
  <c r="N32" i="20"/>
  <c r="O32" i="20"/>
  <c r="B33" i="20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B34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B35" i="20"/>
  <c r="C35" i="20"/>
  <c r="D35" i="20"/>
  <c r="E35" i="20"/>
  <c r="F35" i="20"/>
  <c r="G35" i="20"/>
  <c r="H35" i="20"/>
  <c r="I35" i="20"/>
  <c r="J35" i="20"/>
  <c r="K35" i="20"/>
  <c r="L35" i="20"/>
  <c r="M35" i="20"/>
  <c r="N35" i="20"/>
  <c r="O35" i="20"/>
  <c r="B36" i="20"/>
  <c r="C36" i="20"/>
  <c r="D36" i="20"/>
  <c r="E36" i="20"/>
  <c r="F36" i="20"/>
  <c r="G36" i="20"/>
  <c r="H36" i="20"/>
  <c r="I36" i="20"/>
  <c r="J36" i="20"/>
  <c r="K36" i="20"/>
  <c r="L36" i="20"/>
  <c r="M36" i="20"/>
  <c r="N36" i="20"/>
  <c r="O36" i="20"/>
  <c r="B37" i="20"/>
  <c r="C37" i="20"/>
  <c r="D37" i="20"/>
  <c r="E37" i="20"/>
  <c r="F37" i="20"/>
  <c r="G37" i="20"/>
  <c r="H37" i="20"/>
  <c r="I37" i="20"/>
  <c r="J37" i="20"/>
  <c r="K37" i="20"/>
  <c r="L37" i="20"/>
  <c r="M37" i="20"/>
  <c r="N37" i="20"/>
  <c r="O37" i="20"/>
  <c r="B38" i="20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B39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B40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B41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B42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B44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B45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B5" i="20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B13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B14" i="19"/>
  <c r="C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B15" i="19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B16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B18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B19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B20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B21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B22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B23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B24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B25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B26" i="19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B27" i="19"/>
  <c r="C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B28" i="19"/>
  <c r="C28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B29" i="19"/>
  <c r="C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B30" i="19"/>
  <c r="C30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B31" i="19"/>
  <c r="C31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B32" i="19"/>
  <c r="C32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B33" i="19"/>
  <c r="C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B34" i="19"/>
  <c r="C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B35" i="19"/>
  <c r="C35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B36" i="19"/>
  <c r="C36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B37" i="19"/>
  <c r="C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B38" i="19"/>
  <c r="C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B40" i="19"/>
  <c r="C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B41" i="19"/>
  <c r="C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B42" i="19"/>
  <c r="C42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B43" i="19"/>
  <c r="C43" i="19"/>
  <c r="D43" i="19"/>
  <c r="E43" i="19"/>
  <c r="F43" i="19"/>
  <c r="G43" i="19"/>
  <c r="H43" i="19"/>
  <c r="I43" i="19"/>
  <c r="J43" i="19"/>
  <c r="K43" i="19"/>
  <c r="L43" i="19"/>
  <c r="M43" i="19"/>
  <c r="N43" i="19"/>
  <c r="O43" i="19"/>
  <c r="B44" i="19"/>
  <c r="C44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B45" i="19"/>
  <c r="C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B5" i="19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B5" i="18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B5" i="17"/>
  <c r="D10" i="16" l="1"/>
  <c r="D12" i="16"/>
  <c r="D13" i="16"/>
  <c r="D11" i="16"/>
  <c r="D9" i="16"/>
  <c r="D8" i="16"/>
</calcChain>
</file>

<file path=xl/sharedStrings.xml><?xml version="1.0" encoding="utf-8"?>
<sst xmlns="http://schemas.openxmlformats.org/spreadsheetml/2006/main" count="62" uniqueCount="48">
  <si>
    <t>Discount Factor Formula</t>
  </si>
  <si>
    <t>Discount Factor Formula in Excel</t>
  </si>
  <si>
    <t>Fund Type</t>
  </si>
  <si>
    <t>Discount Factor Value (d)</t>
  </si>
  <si>
    <t>Interest Rate (r):</t>
  </si>
  <si>
    <t>Investment Periods (n):</t>
  </si>
  <si>
    <t>Annuity</t>
  </si>
  <si>
    <r>
      <t>(1+r)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</si>
  <si>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(1+r)</t>
    </r>
    <r>
      <rPr>
        <vertAlign val="superscript"/>
        <sz val="11"/>
        <color theme="1"/>
        <rFont val="Calibri"/>
        <family val="2"/>
        <scheme val="minor"/>
      </rPr>
      <t>-n</t>
    </r>
  </si>
  <si>
    <t>=FV(r,n,0,-1)</t>
  </si>
  <si>
    <t>=PV(r,n,0,-1)</t>
  </si>
  <si>
    <t>=PMT(r,n,-1)</t>
  </si>
  <si>
    <t>=PMT(r,n,0,-1)</t>
  </si>
  <si>
    <t>=PV(r,n,-1)</t>
  </si>
  <si>
    <t>=FV(r,n,-1)</t>
  </si>
  <si>
    <r>
      <t>r/((1+r)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-1)</t>
    </r>
  </si>
  <si>
    <r>
      <t>((1+r)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-1)/r</t>
    </r>
  </si>
  <si>
    <t>Independent Variables:</t>
  </si>
  <si>
    <t>Note:</t>
  </si>
  <si>
    <t>Discount Factor ID</t>
  </si>
  <si>
    <r>
      <t>((1+r)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-1)/(r(1+r)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</si>
  <si>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r(1+r)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/((1+r)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-1)</t>
    </r>
  </si>
  <si>
    <t>Value Conversion</t>
  </si>
  <si>
    <t>PV -&gt; A</t>
  </si>
  <si>
    <t>FV -&gt; A</t>
  </si>
  <si>
    <t>A -&gt; PV</t>
  </si>
  <si>
    <t>A -&gt; FV</t>
  </si>
  <si>
    <t>PV -&gt; FV</t>
  </si>
  <si>
    <t>FV -&gt; PV</t>
  </si>
  <si>
    <t>Discount Factor Calculator:</t>
  </si>
  <si>
    <t>PV: present value</t>
  </si>
  <si>
    <t>FV: future value</t>
  </si>
  <si>
    <t>A: annuity</t>
  </si>
  <si>
    <t>One-time</t>
  </si>
  <si>
    <t>Formula: (1+r%)^n</t>
  </si>
  <si>
    <t>Present Value (PV) --&gt; Future Value (FV)</t>
  </si>
  <si>
    <t>Discount Factor Table for Annuity</t>
  </si>
  <si>
    <t>Annuity (A) --&gt; Future Value (FV)</t>
  </si>
  <si>
    <t>Discount Factor Table for One-time Fund</t>
  </si>
  <si>
    <t>Formula: 1/(1+r%)^n</t>
  </si>
  <si>
    <t>Column: discount rate (r%), Row: Year (n)</t>
  </si>
  <si>
    <t>Annuity (A) --&gt; Prenset Value (PV)</t>
  </si>
  <si>
    <t>Future Value (FV) --&gt; Annuity (A)</t>
  </si>
  <si>
    <t>Present Value (PV) --&gt; Annuity (A)</t>
  </si>
  <si>
    <t>Formula: ((1+r)^n-1)/r</t>
  </si>
  <si>
    <t>Formula: ((1+r)^n-1)/(r(1+r)^n)</t>
  </si>
  <si>
    <t>Formula: r/((1+r)^n-1)</t>
  </si>
  <si>
    <t>Formula: r(1+r)^n/((1+r)^n-1)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</si>
</sst>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4" fontId="0" fillId="0" borderId="0" xfId="0" applyNumberFormat="1" applyBorder="1"/>
    <xf numFmtId="164" fontId="0" fillId="0" borderId="2" xfId="0" applyNumberFormat="1" applyBorder="1"/>
    <xf numFmtId="9" fontId="1" fillId="0" borderId="3" xfId="0" applyNumberFormat="1" applyFont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164" fontId="6" fillId="0" borderId="3" xfId="0" applyNumberFormat="1" applyFont="1" applyBorder="1"/>
    <xf numFmtId="0" fontId="2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0" fillId="0" borderId="3" xfId="0" applyNumberFormat="1" applyBorder="1"/>
    <xf numFmtId="164" fontId="0" fillId="2" borderId="3" xfId="0" applyNumberFormat="1" applyFill="1" applyBorder="1"/>
    <xf numFmtId="0" fontId="2" fillId="0" borderId="0" xfId="0" applyFont="1"/>
    <xf numFmtId="165" fontId="0" fillId="0" borderId="3" xfId="0" applyNumberFormat="1" applyBorder="1"/>
    <xf numFmtId="165" fontId="0" fillId="2" borderId="3" xfId="0" applyNumberFormat="1" applyFill="1" applyBorder="1"/>
    <xf numFmtId="0" fontId="2" fillId="0" borderId="3" xfId="0" applyFont="1" applyBorder="1"/>
    <xf numFmtId="0" fontId="2" fillId="2" borderId="3" xfId="0" applyFont="1" applyFill="1" applyBorder="1"/>
    <xf numFmtId="2" fontId="0" fillId="0" borderId="3" xfId="0" applyNumberFormat="1" applyBorder="1"/>
    <xf numFmtId="2" fontId="0" fillId="2" borderId="3" xfId="0" applyNumberForma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400049</xdr:colOff>
      <xdr:row>0</xdr:row>
      <xdr:rowOff>28575</xdr:rowOff>
    </xdr:from>
    <xdr:ext cx="2057401" cy="933451"/>
    <xdr:sp macro="" textlink="">
      <xdr:nvSpPr>
        <xdr:cNvPr id="4" name="TextBox 3"/>
        <xdr:cNvSpPr txBox="1"/>
      </xdr:nvSpPr>
      <xdr:spPr>
        <a:xfrm>
          <a:off x="3200399" y="28575"/>
          <a:ext cx="2057401" cy="933451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t">
          <a:noAutofit/>
        </a:bodyPr>
        <a:lstStyle/>
        <a:p>
          <a:r>
            <a:rPr lang="en-US" sz="1200" b="1"/>
            <a:t>Change interest rate and investment</a:t>
          </a:r>
          <a:r>
            <a:rPr lang="en-US" sz="1200" b="1" baseline="0"/>
            <a:t> periods to get corresponding discount factors.</a:t>
          </a:r>
        </a:p>
        <a:p>
          <a:endParaRPr lang="en-US" sz="1100"/>
        </a:p>
      </xdr:txBody>
    </xdr:sp>
    <xdr:clientData/>
  </xdr:oneCellAnchor>
  <xdr:twoCellAnchor>
    <xdr:from>
      <xdr:col>3</xdr:col>
      <xdr:colOff>47628</xdr:colOff>
      <xdr:row>3</xdr:row>
      <xdr:rowOff>161924</xdr:rowOff>
    </xdr:from>
    <xdr:to>
      <xdr:col>3</xdr:col>
      <xdr:colOff>381001</xdr:colOff>
      <xdr:row>3</xdr:row>
      <xdr:rowOff>171449</xdr:rowOff>
    </xdr:to>
    <xdr:cxnSp macro="">
      <xdr:nvCxnSpPr>
        <xdr:cNvPr id="8" name="Straight Arrow Connector 7"/>
        <xdr:cNvCxnSpPr/>
      </xdr:nvCxnSpPr>
      <xdr:spPr>
        <a:xfrm rot="10800000" flipV="1">
          <a:off x="2847978" y="781049"/>
          <a:ext cx="333373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847725</xdr:colOff>
      <xdr:row>4</xdr:row>
      <xdr:rowOff>161925</xdr:rowOff>
    </xdr:from>
    <xdr:to>
      <xdr:col>3</xdr:col>
      <xdr:colOff>847727</xdr:colOff>
      <xdr:row>5</xdr:row>
      <xdr:rowOff>161925</xdr:rowOff>
    </xdr:to>
    <xdr:cxnSp macro="">
      <xdr:nvCxnSpPr>
        <xdr:cNvPr id="10" name="Straight Arrow Connector 9"/>
        <xdr:cNvCxnSpPr/>
      </xdr:nvCxnSpPr>
      <xdr:spPr>
        <a:xfrm rot="16200000" flipH="1">
          <a:off x="3552826" y="1066799"/>
          <a:ext cx="190500" cy="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indowProtection="1" tabSelected="1" workbookViewId="0">
      <selection activeCell="D13" sqref="D13"/>
    </sheetView>
  </sheetViews>
  <sheetFormatPr defaultRowHeight="15" x14ac:dyDescent="0.25"/>
  <cols>
    <col min="1" max="1" width="10.85546875" customWidth="1"/>
    <col min="2" max="2" width="15.28515625" customWidth="1"/>
    <col min="3" max="3" width="15.85546875" customWidth="1"/>
    <col min="4" max="4" width="15.7109375" customWidth="1"/>
    <col min="5" max="5" width="21" customWidth="1"/>
    <col min="6" max="6" width="20.5703125" customWidth="1"/>
    <col min="7" max="7" width="16.5703125" customWidth="1"/>
  </cols>
  <sheetData>
    <row r="1" spans="1:6" ht="18.75" x14ac:dyDescent="0.3">
      <c r="A1" s="8" t="s">
        <v>29</v>
      </c>
    </row>
    <row r="3" spans="1:6" x14ac:dyDescent="0.25">
      <c r="A3" s="9" t="s">
        <v>17</v>
      </c>
    </row>
    <row r="4" spans="1:6" x14ac:dyDescent="0.25">
      <c r="A4" t="s">
        <v>4</v>
      </c>
      <c r="C4" s="6">
        <v>0.11</v>
      </c>
    </row>
    <row r="5" spans="1:6" x14ac:dyDescent="0.25">
      <c r="A5" t="s">
        <v>5</v>
      </c>
      <c r="C5" s="7">
        <v>20</v>
      </c>
    </row>
    <row r="7" spans="1:6" ht="43.5" customHeight="1" x14ac:dyDescent="0.25">
      <c r="A7" s="14" t="s">
        <v>19</v>
      </c>
      <c r="B7" s="14" t="s">
        <v>2</v>
      </c>
      <c r="C7" s="14" t="s">
        <v>22</v>
      </c>
      <c r="D7" s="15" t="s">
        <v>3</v>
      </c>
      <c r="E7" s="14" t="s">
        <v>0</v>
      </c>
      <c r="F7" s="14" t="s">
        <v>1</v>
      </c>
    </row>
    <row r="8" spans="1:6" ht="27" customHeight="1" x14ac:dyDescent="0.25">
      <c r="A8" s="10">
        <v>1</v>
      </c>
      <c r="B8" s="1" t="s">
        <v>33</v>
      </c>
      <c r="C8" s="1" t="s">
        <v>27</v>
      </c>
      <c r="D8" s="13">
        <f>+(1+C4)^C5</f>
        <v>8.0623115361291529</v>
      </c>
      <c r="E8" s="1" t="s">
        <v>7</v>
      </c>
      <c r="F8" s="1" t="s">
        <v>9</v>
      </c>
    </row>
    <row r="9" spans="1:6" ht="27" customHeight="1" x14ac:dyDescent="0.25">
      <c r="A9" s="11">
        <v>2</v>
      </c>
      <c r="B9" s="2" t="s">
        <v>33</v>
      </c>
      <c r="C9" s="2" t="s">
        <v>28</v>
      </c>
      <c r="D9" s="13">
        <f>+(1+C4)^(-C5)</f>
        <v>0.12403390708964297</v>
      </c>
      <c r="E9" s="2" t="s">
        <v>8</v>
      </c>
      <c r="F9" s="2" t="s">
        <v>10</v>
      </c>
    </row>
    <row r="10" spans="1:6" ht="27" customHeight="1" x14ac:dyDescent="0.25">
      <c r="A10" s="11">
        <v>3</v>
      </c>
      <c r="B10" s="2" t="s">
        <v>6</v>
      </c>
      <c r="C10" s="2" t="s">
        <v>26</v>
      </c>
      <c r="D10" s="13">
        <f>+((1+C4)^C5-1)/C4</f>
        <v>64.202832146628666</v>
      </c>
      <c r="E10" s="4" t="s">
        <v>16</v>
      </c>
      <c r="F10" s="4" t="s">
        <v>14</v>
      </c>
    </row>
    <row r="11" spans="1:6" ht="27" customHeight="1" x14ac:dyDescent="0.25">
      <c r="A11" s="11">
        <v>4</v>
      </c>
      <c r="B11" s="2" t="s">
        <v>6</v>
      </c>
      <c r="C11" s="2" t="s">
        <v>25</v>
      </c>
      <c r="D11" s="13">
        <f>((1+C4)^C5-1)/(C4*(1+C4)^C5)</f>
        <v>7.9633281173668822</v>
      </c>
      <c r="E11" s="4" t="s">
        <v>20</v>
      </c>
      <c r="F11" s="4" t="s">
        <v>13</v>
      </c>
    </row>
    <row r="12" spans="1:6" ht="27" customHeight="1" x14ac:dyDescent="0.25">
      <c r="A12" s="11">
        <v>5</v>
      </c>
      <c r="B12" s="2" t="s">
        <v>6</v>
      </c>
      <c r="C12" s="2" t="s">
        <v>24</v>
      </c>
      <c r="D12" s="13">
        <f>+C4/((1+C4)^C5-1)</f>
        <v>1.5575636877142198E-2</v>
      </c>
      <c r="E12" s="4" t="s">
        <v>15</v>
      </c>
      <c r="F12" s="4" t="s">
        <v>12</v>
      </c>
    </row>
    <row r="13" spans="1:6" ht="27" customHeight="1" x14ac:dyDescent="0.25">
      <c r="A13" s="12">
        <v>6</v>
      </c>
      <c r="B13" s="3" t="s">
        <v>6</v>
      </c>
      <c r="C13" s="3" t="s">
        <v>23</v>
      </c>
      <c r="D13" s="13">
        <f>+C4*(1+C4)^C5/((1+C4)^C5-1)</f>
        <v>0.12557563687714221</v>
      </c>
      <c r="E13" s="5" t="s">
        <v>21</v>
      </c>
      <c r="F13" s="5" t="s">
        <v>11</v>
      </c>
    </row>
    <row r="15" spans="1:6" x14ac:dyDescent="0.25">
      <c r="A15" t="s">
        <v>18</v>
      </c>
    </row>
    <row r="16" spans="1:6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</sheetData>
  <sheetProtection sheet="1" objects="1" scenarios="1"/>
  <protectedRanges>
    <protectedRange sqref="C4:C5" name="Inputs"/>
  </protectedRange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indowProtection="1" workbookViewId="0">
      <selection activeCell="G23" sqref="G23"/>
    </sheetView>
  </sheetViews>
  <sheetFormatPr defaultRowHeight="15" x14ac:dyDescent="0.25"/>
  <cols>
    <col min="1" max="1" width="4.85546875" customWidth="1"/>
    <col min="2" max="12" width="6.5703125" bestFit="1" customWidth="1"/>
    <col min="13" max="15" width="7.5703125" bestFit="1" customWidth="1"/>
  </cols>
  <sheetData>
    <row r="1" spans="1:15" x14ac:dyDescent="0.25">
      <c r="A1" s="18" t="s">
        <v>38</v>
      </c>
    </row>
    <row r="2" spans="1:15" x14ac:dyDescent="0.25">
      <c r="A2" s="18" t="s">
        <v>35</v>
      </c>
      <c r="J2" t="s">
        <v>40</v>
      </c>
    </row>
    <row r="3" spans="1:15" x14ac:dyDescent="0.25">
      <c r="A3" s="18"/>
      <c r="J3" t="s">
        <v>34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1">
        <v>0</v>
      </c>
      <c r="B5" s="19">
        <f>+(1+B$4%)^$A5</f>
        <v>1</v>
      </c>
      <c r="C5" s="19">
        <f t="shared" ref="C5:O20" si="0">+(1+C$4%)^$A5</f>
        <v>1</v>
      </c>
      <c r="D5" s="19">
        <f t="shared" si="0"/>
        <v>1</v>
      </c>
      <c r="E5" s="19">
        <f t="shared" si="0"/>
        <v>1</v>
      </c>
      <c r="F5" s="19">
        <f t="shared" si="0"/>
        <v>1</v>
      </c>
      <c r="G5" s="19">
        <f t="shared" si="0"/>
        <v>1</v>
      </c>
      <c r="H5" s="19">
        <f t="shared" si="0"/>
        <v>1</v>
      </c>
      <c r="I5" s="19">
        <f t="shared" si="0"/>
        <v>1</v>
      </c>
      <c r="J5" s="19">
        <f t="shared" si="0"/>
        <v>1</v>
      </c>
      <c r="K5" s="19">
        <f t="shared" si="0"/>
        <v>1</v>
      </c>
      <c r="L5" s="19">
        <f t="shared" si="0"/>
        <v>1</v>
      </c>
      <c r="M5" s="19">
        <f t="shared" si="0"/>
        <v>1</v>
      </c>
      <c r="N5" s="19">
        <f t="shared" si="0"/>
        <v>1</v>
      </c>
      <c r="O5" s="19">
        <f t="shared" si="0"/>
        <v>1</v>
      </c>
    </row>
    <row r="6" spans="1:15" x14ac:dyDescent="0.25">
      <c r="A6" s="22">
        <v>1</v>
      </c>
      <c r="B6" s="20">
        <f t="shared" ref="B6:O36" si="1">+(1+B$4%)^$A6</f>
        <v>1.02</v>
      </c>
      <c r="C6" s="20">
        <f t="shared" si="0"/>
        <v>1.03</v>
      </c>
      <c r="D6" s="20">
        <f t="shared" si="0"/>
        <v>1.04</v>
      </c>
      <c r="E6" s="20">
        <f t="shared" si="0"/>
        <v>1.05</v>
      </c>
      <c r="F6" s="20">
        <f t="shared" si="0"/>
        <v>1.06</v>
      </c>
      <c r="G6" s="20">
        <f t="shared" si="0"/>
        <v>1.07</v>
      </c>
      <c r="H6" s="20">
        <f t="shared" si="0"/>
        <v>1.08</v>
      </c>
      <c r="I6" s="20">
        <f t="shared" si="0"/>
        <v>1.0900000000000001</v>
      </c>
      <c r="J6" s="20">
        <f t="shared" si="0"/>
        <v>1.1000000000000001</v>
      </c>
      <c r="K6" s="20">
        <f t="shared" si="0"/>
        <v>1.1100000000000001</v>
      </c>
      <c r="L6" s="20">
        <f t="shared" si="0"/>
        <v>1.1200000000000001</v>
      </c>
      <c r="M6" s="20">
        <f t="shared" si="0"/>
        <v>1.1299999999999999</v>
      </c>
      <c r="N6" s="20">
        <f t="shared" si="0"/>
        <v>1.1400000000000001</v>
      </c>
      <c r="O6" s="20">
        <f t="shared" si="0"/>
        <v>1.1499999999999999</v>
      </c>
    </row>
    <row r="7" spans="1:15" x14ac:dyDescent="0.25">
      <c r="A7" s="21">
        <v>2</v>
      </c>
      <c r="B7" s="19">
        <f t="shared" si="1"/>
        <v>1.0404</v>
      </c>
      <c r="C7" s="19">
        <f t="shared" si="0"/>
        <v>1.0609</v>
      </c>
      <c r="D7" s="19">
        <f t="shared" si="0"/>
        <v>1.0816000000000001</v>
      </c>
      <c r="E7" s="19">
        <f t="shared" si="0"/>
        <v>1.1025</v>
      </c>
      <c r="F7" s="19">
        <f t="shared" si="0"/>
        <v>1.1236000000000002</v>
      </c>
      <c r="G7" s="19">
        <f t="shared" si="0"/>
        <v>1.1449</v>
      </c>
      <c r="H7" s="19">
        <f t="shared" si="0"/>
        <v>1.1664000000000001</v>
      </c>
      <c r="I7" s="19">
        <f t="shared" si="0"/>
        <v>1.1881000000000002</v>
      </c>
      <c r="J7" s="19">
        <f t="shared" si="0"/>
        <v>1.2100000000000002</v>
      </c>
      <c r="K7" s="19">
        <f t="shared" si="0"/>
        <v>1.2321000000000002</v>
      </c>
      <c r="L7" s="19">
        <f t="shared" si="0"/>
        <v>1.2544000000000002</v>
      </c>
      <c r="M7" s="19">
        <f t="shared" si="0"/>
        <v>1.2768999999999997</v>
      </c>
      <c r="N7" s="19">
        <f t="shared" si="0"/>
        <v>1.2996000000000003</v>
      </c>
      <c r="O7" s="19">
        <f t="shared" si="0"/>
        <v>1.3224999999999998</v>
      </c>
    </row>
    <row r="8" spans="1:15" x14ac:dyDescent="0.25">
      <c r="A8" s="22">
        <v>3</v>
      </c>
      <c r="B8" s="20">
        <f t="shared" si="1"/>
        <v>1.0612079999999999</v>
      </c>
      <c r="C8" s="20">
        <f t="shared" si="0"/>
        <v>1.092727</v>
      </c>
      <c r="D8" s="20">
        <f t="shared" si="0"/>
        <v>1.1248640000000001</v>
      </c>
      <c r="E8" s="20">
        <f t="shared" si="0"/>
        <v>1.1576250000000001</v>
      </c>
      <c r="F8" s="20">
        <f t="shared" si="0"/>
        <v>1.1910160000000003</v>
      </c>
      <c r="G8" s="20">
        <f t="shared" si="0"/>
        <v>1.2250430000000001</v>
      </c>
      <c r="H8" s="20">
        <f t="shared" si="0"/>
        <v>1.2597120000000002</v>
      </c>
      <c r="I8" s="20">
        <f t="shared" si="0"/>
        <v>1.2950290000000002</v>
      </c>
      <c r="J8" s="20">
        <f t="shared" si="0"/>
        <v>1.3310000000000004</v>
      </c>
      <c r="K8" s="20">
        <f t="shared" si="0"/>
        <v>1.3676310000000003</v>
      </c>
      <c r="L8" s="20">
        <f t="shared" si="0"/>
        <v>1.4049280000000004</v>
      </c>
      <c r="M8" s="20">
        <f t="shared" si="0"/>
        <v>1.4428969999999994</v>
      </c>
      <c r="N8" s="20">
        <f t="shared" si="0"/>
        <v>1.4815440000000004</v>
      </c>
      <c r="O8" s="20">
        <f t="shared" si="0"/>
        <v>1.5208749999999995</v>
      </c>
    </row>
    <row r="9" spans="1:15" x14ac:dyDescent="0.25">
      <c r="A9" s="21">
        <v>4</v>
      </c>
      <c r="B9" s="19">
        <f t="shared" si="1"/>
        <v>1.08243216</v>
      </c>
      <c r="C9" s="19">
        <f t="shared" si="0"/>
        <v>1.1255088099999999</v>
      </c>
      <c r="D9" s="19">
        <f t="shared" si="0"/>
        <v>1.1698585600000002</v>
      </c>
      <c r="E9" s="19">
        <f t="shared" si="0"/>
        <v>1.21550625</v>
      </c>
      <c r="F9" s="19">
        <f t="shared" si="0"/>
        <v>1.2624769600000003</v>
      </c>
      <c r="G9" s="19">
        <f t="shared" si="0"/>
        <v>1.31079601</v>
      </c>
      <c r="H9" s="19">
        <f t="shared" si="0"/>
        <v>1.3604889600000003</v>
      </c>
      <c r="I9" s="19">
        <f t="shared" si="0"/>
        <v>1.4115816100000003</v>
      </c>
      <c r="J9" s="19">
        <f t="shared" si="0"/>
        <v>1.4641000000000004</v>
      </c>
      <c r="K9" s="19">
        <f t="shared" si="0"/>
        <v>1.5180704100000004</v>
      </c>
      <c r="L9" s="19">
        <f t="shared" si="0"/>
        <v>1.5735193600000004</v>
      </c>
      <c r="M9" s="19">
        <f t="shared" si="0"/>
        <v>1.6304736099999992</v>
      </c>
      <c r="N9" s="19">
        <f t="shared" si="0"/>
        <v>1.6889601600000008</v>
      </c>
      <c r="O9" s="19">
        <f t="shared" si="0"/>
        <v>1.7490062499999994</v>
      </c>
    </row>
    <row r="10" spans="1:15" x14ac:dyDescent="0.25">
      <c r="A10" s="22">
        <v>5</v>
      </c>
      <c r="B10" s="20">
        <f t="shared" si="1"/>
        <v>1.1040808032</v>
      </c>
      <c r="C10" s="20">
        <f t="shared" si="0"/>
        <v>1.1592740742999998</v>
      </c>
      <c r="D10" s="20">
        <f t="shared" si="0"/>
        <v>1.2166529024000003</v>
      </c>
      <c r="E10" s="20">
        <f t="shared" si="0"/>
        <v>1.2762815625000001</v>
      </c>
      <c r="F10" s="20">
        <f t="shared" si="0"/>
        <v>1.3382255776000005</v>
      </c>
      <c r="G10" s="20">
        <f t="shared" si="0"/>
        <v>1.4025517307000002</v>
      </c>
      <c r="H10" s="20">
        <f t="shared" si="0"/>
        <v>1.4693280768000003</v>
      </c>
      <c r="I10" s="20">
        <f t="shared" si="0"/>
        <v>1.5386239549000005</v>
      </c>
      <c r="J10" s="20">
        <f t="shared" si="0"/>
        <v>1.6105100000000006</v>
      </c>
      <c r="K10" s="20">
        <f t="shared" si="0"/>
        <v>1.6850581551000006</v>
      </c>
      <c r="L10" s="20">
        <f t="shared" si="0"/>
        <v>1.7623416832000005</v>
      </c>
      <c r="M10" s="20">
        <f t="shared" si="0"/>
        <v>1.8424351792999989</v>
      </c>
      <c r="N10" s="20">
        <f t="shared" si="0"/>
        <v>1.9254145824000011</v>
      </c>
      <c r="O10" s="20">
        <f t="shared" si="0"/>
        <v>2.0113571874999994</v>
      </c>
    </row>
    <row r="11" spans="1:15" x14ac:dyDescent="0.25">
      <c r="A11" s="21">
        <v>6</v>
      </c>
      <c r="B11" s="19">
        <f t="shared" si="1"/>
        <v>1.1261624192640001</v>
      </c>
      <c r="C11" s="19">
        <f t="shared" si="0"/>
        <v>1.1940522965289999</v>
      </c>
      <c r="D11" s="19">
        <f t="shared" si="0"/>
        <v>1.2653190184960004</v>
      </c>
      <c r="E11" s="19">
        <f t="shared" si="0"/>
        <v>1.340095640625</v>
      </c>
      <c r="F11" s="19">
        <f t="shared" si="0"/>
        <v>1.4185191122560006</v>
      </c>
      <c r="G11" s="19">
        <f t="shared" si="0"/>
        <v>1.5007303518490001</v>
      </c>
      <c r="H11" s="19">
        <f t="shared" si="0"/>
        <v>1.5868743229440005</v>
      </c>
      <c r="I11" s="19">
        <f t="shared" si="0"/>
        <v>1.6771001108410006</v>
      </c>
      <c r="J11" s="19">
        <f t="shared" si="0"/>
        <v>1.7715610000000008</v>
      </c>
      <c r="K11" s="19">
        <f t="shared" si="0"/>
        <v>1.8704145521610007</v>
      </c>
      <c r="L11" s="19">
        <f t="shared" si="0"/>
        <v>1.9738226851840008</v>
      </c>
      <c r="M11" s="19">
        <f t="shared" si="0"/>
        <v>2.0819517526089983</v>
      </c>
      <c r="N11" s="19">
        <f t="shared" si="0"/>
        <v>2.1949726239360015</v>
      </c>
      <c r="O11" s="19">
        <f t="shared" si="0"/>
        <v>2.3130607656249991</v>
      </c>
    </row>
    <row r="12" spans="1:15" x14ac:dyDescent="0.25">
      <c r="A12" s="22">
        <v>7</v>
      </c>
      <c r="B12" s="20">
        <f t="shared" si="1"/>
        <v>1.1486856676492798</v>
      </c>
      <c r="C12" s="20">
        <f t="shared" si="0"/>
        <v>1.22987386542487</v>
      </c>
      <c r="D12" s="20">
        <f t="shared" si="0"/>
        <v>1.3159317792358403</v>
      </c>
      <c r="E12" s="20">
        <f t="shared" si="0"/>
        <v>1.4071004226562502</v>
      </c>
      <c r="F12" s="20">
        <f t="shared" si="0"/>
        <v>1.5036302589913608</v>
      </c>
      <c r="G12" s="20">
        <f t="shared" si="0"/>
        <v>1.6057814764784302</v>
      </c>
      <c r="H12" s="20">
        <f t="shared" si="0"/>
        <v>1.7138242687795207</v>
      </c>
      <c r="I12" s="20">
        <f t="shared" si="0"/>
        <v>1.8280391208166906</v>
      </c>
      <c r="J12" s="20">
        <f t="shared" si="0"/>
        <v>1.9487171000000012</v>
      </c>
      <c r="K12" s="20">
        <f t="shared" si="0"/>
        <v>2.0761601528987108</v>
      </c>
      <c r="L12" s="20">
        <f t="shared" si="0"/>
        <v>2.210681407406081</v>
      </c>
      <c r="M12" s="20">
        <f t="shared" si="0"/>
        <v>2.352605480448168</v>
      </c>
      <c r="N12" s="20">
        <f t="shared" si="0"/>
        <v>2.502268791287042</v>
      </c>
      <c r="O12" s="20">
        <f t="shared" si="0"/>
        <v>2.6600198804687483</v>
      </c>
    </row>
    <row r="13" spans="1:15" x14ac:dyDescent="0.25">
      <c r="A13" s="21">
        <v>8</v>
      </c>
      <c r="B13" s="19">
        <f t="shared" si="1"/>
        <v>1.1716593810022655</v>
      </c>
      <c r="C13" s="19">
        <f t="shared" si="0"/>
        <v>1.2667700813876159</v>
      </c>
      <c r="D13" s="19">
        <f t="shared" si="0"/>
        <v>1.3685690504052741</v>
      </c>
      <c r="E13" s="19">
        <f t="shared" si="0"/>
        <v>1.4774554437890626</v>
      </c>
      <c r="F13" s="19">
        <f t="shared" si="0"/>
        <v>1.5938480745308423</v>
      </c>
      <c r="G13" s="19">
        <f t="shared" si="0"/>
        <v>1.7181861798319202</v>
      </c>
      <c r="H13" s="19">
        <f t="shared" si="0"/>
        <v>1.8509302102818823</v>
      </c>
      <c r="I13" s="19">
        <f t="shared" si="0"/>
        <v>1.9925626416901929</v>
      </c>
      <c r="J13" s="19">
        <f t="shared" si="0"/>
        <v>2.1435888100000011</v>
      </c>
      <c r="K13" s="19">
        <f t="shared" si="0"/>
        <v>2.3045377697175695</v>
      </c>
      <c r="L13" s="19">
        <f t="shared" si="0"/>
        <v>2.4759631762948109</v>
      </c>
      <c r="M13" s="19">
        <f t="shared" si="0"/>
        <v>2.6584441929064297</v>
      </c>
      <c r="N13" s="19">
        <f t="shared" si="0"/>
        <v>2.8525864220672283</v>
      </c>
      <c r="O13" s="19">
        <f t="shared" si="0"/>
        <v>3.0590228625390603</v>
      </c>
    </row>
    <row r="14" spans="1:15" x14ac:dyDescent="0.25">
      <c r="A14" s="22">
        <v>9</v>
      </c>
      <c r="B14" s="20">
        <f t="shared" si="1"/>
        <v>1.1950925686223108</v>
      </c>
      <c r="C14" s="20">
        <f t="shared" si="0"/>
        <v>1.3047731838292445</v>
      </c>
      <c r="D14" s="20">
        <f t="shared" si="0"/>
        <v>1.4233118124214852</v>
      </c>
      <c r="E14" s="20">
        <f t="shared" si="0"/>
        <v>1.5513282159785158</v>
      </c>
      <c r="F14" s="20">
        <f t="shared" si="0"/>
        <v>1.6894789590026928</v>
      </c>
      <c r="G14" s="20">
        <f t="shared" si="0"/>
        <v>1.8384592124201549</v>
      </c>
      <c r="H14" s="20">
        <f t="shared" si="0"/>
        <v>1.9990046271044331</v>
      </c>
      <c r="I14" s="20">
        <f t="shared" si="0"/>
        <v>2.1718932794423105</v>
      </c>
      <c r="J14" s="20">
        <f t="shared" si="0"/>
        <v>2.3579476910000015</v>
      </c>
      <c r="K14" s="20">
        <f t="shared" si="0"/>
        <v>2.5580369243865024</v>
      </c>
      <c r="L14" s="20">
        <f t="shared" si="0"/>
        <v>2.7730787574501883</v>
      </c>
      <c r="M14" s="20">
        <f t="shared" si="0"/>
        <v>3.0040419379842653</v>
      </c>
      <c r="N14" s="20">
        <f t="shared" si="0"/>
        <v>3.2519485211566406</v>
      </c>
      <c r="O14" s="20">
        <f t="shared" si="0"/>
        <v>3.5178762919199191</v>
      </c>
    </row>
    <row r="15" spans="1:15" x14ac:dyDescent="0.25">
      <c r="A15" s="21">
        <v>10</v>
      </c>
      <c r="B15" s="19">
        <f t="shared" si="1"/>
        <v>1.2189944199947571</v>
      </c>
      <c r="C15" s="19">
        <f t="shared" si="0"/>
        <v>1.3439163793441218</v>
      </c>
      <c r="D15" s="19">
        <f t="shared" si="0"/>
        <v>1.4802442849183446</v>
      </c>
      <c r="E15" s="19">
        <f t="shared" si="0"/>
        <v>1.6288946267774416</v>
      </c>
      <c r="F15" s="19">
        <f t="shared" si="0"/>
        <v>1.7908476965428546</v>
      </c>
      <c r="G15" s="19">
        <f t="shared" si="0"/>
        <v>1.9671513572895656</v>
      </c>
      <c r="H15" s="19">
        <f t="shared" si="0"/>
        <v>2.1589249972727877</v>
      </c>
      <c r="I15" s="19">
        <f t="shared" si="0"/>
        <v>2.3673636745921187</v>
      </c>
      <c r="J15" s="19">
        <f t="shared" si="0"/>
        <v>2.5937424601000019</v>
      </c>
      <c r="K15" s="19">
        <f t="shared" si="0"/>
        <v>2.839420986069018</v>
      </c>
      <c r="L15" s="19">
        <f t="shared" si="0"/>
        <v>3.1058482083442112</v>
      </c>
      <c r="M15" s="19">
        <f t="shared" si="0"/>
        <v>3.3945673899222193</v>
      </c>
      <c r="N15" s="19">
        <f t="shared" si="0"/>
        <v>3.7072213141185708</v>
      </c>
      <c r="O15" s="19">
        <f t="shared" si="0"/>
        <v>4.0455577357079067</v>
      </c>
    </row>
    <row r="16" spans="1:15" x14ac:dyDescent="0.25">
      <c r="A16" s="22">
        <v>11</v>
      </c>
      <c r="B16" s="20">
        <f t="shared" si="1"/>
        <v>1.243374308394652</v>
      </c>
      <c r="C16" s="20">
        <f t="shared" si="0"/>
        <v>1.3842338707244455</v>
      </c>
      <c r="D16" s="20">
        <f t="shared" si="0"/>
        <v>1.5394540563150783</v>
      </c>
      <c r="E16" s="20">
        <f t="shared" si="0"/>
        <v>1.7103393581163138</v>
      </c>
      <c r="F16" s="20">
        <f t="shared" si="0"/>
        <v>1.8982985583354262</v>
      </c>
      <c r="G16" s="20">
        <f t="shared" si="0"/>
        <v>2.1048519522998355</v>
      </c>
      <c r="H16" s="20">
        <f t="shared" si="0"/>
        <v>2.3316389970546108</v>
      </c>
      <c r="I16" s="20">
        <f t="shared" si="0"/>
        <v>2.5804264053054093</v>
      </c>
      <c r="J16" s="20">
        <f t="shared" si="0"/>
        <v>2.8531167061100025</v>
      </c>
      <c r="K16" s="20">
        <f t="shared" si="0"/>
        <v>3.1517572945366101</v>
      </c>
      <c r="L16" s="20">
        <f t="shared" si="0"/>
        <v>3.4785499933455171</v>
      </c>
      <c r="M16" s="20">
        <f t="shared" si="0"/>
        <v>3.8358611506121072</v>
      </c>
      <c r="N16" s="20">
        <f t="shared" si="0"/>
        <v>4.2262322980951712</v>
      </c>
      <c r="O16" s="20">
        <f t="shared" si="0"/>
        <v>4.6523913960640924</v>
      </c>
    </row>
    <row r="17" spans="1:15" x14ac:dyDescent="0.25">
      <c r="A17" s="21">
        <v>12</v>
      </c>
      <c r="B17" s="19">
        <f t="shared" si="1"/>
        <v>1.2682417945625453</v>
      </c>
      <c r="C17" s="19">
        <f t="shared" si="0"/>
        <v>1.4257608868461786</v>
      </c>
      <c r="D17" s="19">
        <f t="shared" si="0"/>
        <v>1.6010322185676817</v>
      </c>
      <c r="E17" s="19">
        <f t="shared" si="0"/>
        <v>1.7958563260221292</v>
      </c>
      <c r="F17" s="19">
        <f t="shared" si="0"/>
        <v>2.0121964718355518</v>
      </c>
      <c r="G17" s="19">
        <f t="shared" si="0"/>
        <v>2.2521915889608235</v>
      </c>
      <c r="H17" s="19">
        <f t="shared" si="0"/>
        <v>2.5181701168189798</v>
      </c>
      <c r="I17" s="19">
        <f t="shared" si="0"/>
        <v>2.812664781782896</v>
      </c>
      <c r="J17" s="19">
        <f t="shared" si="0"/>
        <v>3.1384283767210026</v>
      </c>
      <c r="K17" s="19">
        <f t="shared" si="0"/>
        <v>3.4984505969356374</v>
      </c>
      <c r="L17" s="19">
        <f t="shared" si="0"/>
        <v>3.8959759925469788</v>
      </c>
      <c r="M17" s="19">
        <f t="shared" si="0"/>
        <v>4.3345231001916806</v>
      </c>
      <c r="N17" s="19">
        <f t="shared" si="0"/>
        <v>4.8179048198284962</v>
      </c>
      <c r="O17" s="19">
        <f t="shared" si="0"/>
        <v>5.3502501054737053</v>
      </c>
    </row>
    <row r="18" spans="1:15" x14ac:dyDescent="0.25">
      <c r="A18" s="22">
        <v>13</v>
      </c>
      <c r="B18" s="20">
        <f t="shared" si="1"/>
        <v>1.2936066304537961</v>
      </c>
      <c r="C18" s="20">
        <f t="shared" si="0"/>
        <v>1.4685337134515639</v>
      </c>
      <c r="D18" s="20">
        <f t="shared" si="0"/>
        <v>1.6650735073103891</v>
      </c>
      <c r="E18" s="20">
        <f t="shared" si="0"/>
        <v>1.885649142323236</v>
      </c>
      <c r="F18" s="20">
        <f t="shared" si="0"/>
        <v>2.1329282601456852</v>
      </c>
      <c r="G18" s="20">
        <f t="shared" si="0"/>
        <v>2.4098450001880813</v>
      </c>
      <c r="H18" s="20">
        <f t="shared" si="0"/>
        <v>2.7196237261644982</v>
      </c>
      <c r="I18" s="20">
        <f t="shared" si="0"/>
        <v>3.0658046121433573</v>
      </c>
      <c r="J18" s="20">
        <f t="shared" si="0"/>
        <v>3.4522712143931029</v>
      </c>
      <c r="K18" s="20">
        <f t="shared" si="0"/>
        <v>3.8832801625985578</v>
      </c>
      <c r="L18" s="20">
        <f t="shared" si="0"/>
        <v>4.363493111652617</v>
      </c>
      <c r="M18" s="20">
        <f t="shared" si="0"/>
        <v>4.8980111032165992</v>
      </c>
      <c r="N18" s="20">
        <f t="shared" si="0"/>
        <v>5.492411494604486</v>
      </c>
      <c r="O18" s="20">
        <f t="shared" si="0"/>
        <v>6.1527876212947614</v>
      </c>
    </row>
    <row r="19" spans="1:15" x14ac:dyDescent="0.25">
      <c r="A19" s="21">
        <v>14</v>
      </c>
      <c r="B19" s="19">
        <f t="shared" si="1"/>
        <v>1.3194787630628722</v>
      </c>
      <c r="C19" s="19">
        <f t="shared" si="0"/>
        <v>1.512589724855111</v>
      </c>
      <c r="D19" s="19">
        <f t="shared" si="0"/>
        <v>1.7316764476028046</v>
      </c>
      <c r="E19" s="19">
        <f t="shared" si="0"/>
        <v>1.9799315994393973</v>
      </c>
      <c r="F19" s="19">
        <f t="shared" si="0"/>
        <v>2.2609039557544262</v>
      </c>
      <c r="G19" s="19">
        <f t="shared" si="0"/>
        <v>2.5785341502012469</v>
      </c>
      <c r="H19" s="19">
        <f t="shared" si="0"/>
        <v>2.9371936242576586</v>
      </c>
      <c r="I19" s="19">
        <f t="shared" si="0"/>
        <v>3.3417270272362596</v>
      </c>
      <c r="J19" s="19">
        <f t="shared" si="0"/>
        <v>3.7974983358324139</v>
      </c>
      <c r="K19" s="19">
        <f t="shared" si="0"/>
        <v>4.3104409804843993</v>
      </c>
      <c r="L19" s="19">
        <f t="shared" si="0"/>
        <v>4.8871122850509314</v>
      </c>
      <c r="M19" s="19">
        <f t="shared" si="0"/>
        <v>5.5347525466347554</v>
      </c>
      <c r="N19" s="19">
        <f t="shared" si="0"/>
        <v>6.2613491038491143</v>
      </c>
      <c r="O19" s="19">
        <f t="shared" si="0"/>
        <v>7.0757057644889754</v>
      </c>
    </row>
    <row r="20" spans="1:15" x14ac:dyDescent="0.25">
      <c r="A20" s="22">
        <v>15</v>
      </c>
      <c r="B20" s="20">
        <f t="shared" si="1"/>
        <v>1.3458683383241292</v>
      </c>
      <c r="C20" s="20">
        <f t="shared" si="0"/>
        <v>1.5579674166007644</v>
      </c>
      <c r="D20" s="20">
        <f t="shared" si="0"/>
        <v>1.8009435055069167</v>
      </c>
      <c r="E20" s="20">
        <f t="shared" si="0"/>
        <v>2.0789281794113679</v>
      </c>
      <c r="F20" s="20">
        <f t="shared" si="0"/>
        <v>2.3965581930996924</v>
      </c>
      <c r="G20" s="20">
        <f t="shared" si="0"/>
        <v>2.7590315407153345</v>
      </c>
      <c r="H20" s="20">
        <f t="shared" si="0"/>
        <v>3.1721691141982715</v>
      </c>
      <c r="I20" s="20">
        <f t="shared" si="0"/>
        <v>3.6424824596875229</v>
      </c>
      <c r="J20" s="20">
        <f t="shared" si="0"/>
        <v>4.1772481694156554</v>
      </c>
      <c r="K20" s="20">
        <f t="shared" si="0"/>
        <v>4.7845894883376827</v>
      </c>
      <c r="L20" s="20">
        <f t="shared" si="0"/>
        <v>5.4735657592570428</v>
      </c>
      <c r="M20" s="20">
        <f t="shared" si="0"/>
        <v>6.2542703776972735</v>
      </c>
      <c r="N20" s="20">
        <f t="shared" si="0"/>
        <v>7.137937978387991</v>
      </c>
      <c r="O20" s="20">
        <f t="shared" si="0"/>
        <v>8.1370616291623197</v>
      </c>
    </row>
    <row r="21" spans="1:15" x14ac:dyDescent="0.25">
      <c r="A21" s="21">
        <v>16</v>
      </c>
      <c r="B21" s="19">
        <f t="shared" si="1"/>
        <v>1.372785705090612</v>
      </c>
      <c r="C21" s="19">
        <f t="shared" si="1"/>
        <v>1.6047064390987871</v>
      </c>
      <c r="D21" s="19">
        <f t="shared" si="1"/>
        <v>1.8729812457271937</v>
      </c>
      <c r="E21" s="19">
        <f t="shared" si="1"/>
        <v>2.182874588381936</v>
      </c>
      <c r="F21" s="19">
        <f t="shared" si="1"/>
        <v>2.5403516846856733</v>
      </c>
      <c r="G21" s="19">
        <f t="shared" si="1"/>
        <v>2.9521637485654075</v>
      </c>
      <c r="H21" s="19">
        <f t="shared" si="1"/>
        <v>3.4259426433341331</v>
      </c>
      <c r="I21" s="19">
        <f t="shared" si="1"/>
        <v>3.9703058810594003</v>
      </c>
      <c r="J21" s="19">
        <f t="shared" si="1"/>
        <v>4.5949729863572211</v>
      </c>
      <c r="K21" s="19">
        <f t="shared" si="1"/>
        <v>5.3108943320548292</v>
      </c>
      <c r="L21" s="19">
        <f t="shared" si="1"/>
        <v>6.1303936503678891</v>
      </c>
      <c r="M21" s="19">
        <f t="shared" si="1"/>
        <v>7.0673255267979185</v>
      </c>
      <c r="N21" s="19">
        <f t="shared" si="1"/>
        <v>8.1372492953623112</v>
      </c>
      <c r="O21" s="19">
        <f t="shared" si="1"/>
        <v>9.3576208735366659</v>
      </c>
    </row>
    <row r="22" spans="1:15" x14ac:dyDescent="0.25">
      <c r="A22" s="22">
        <v>17</v>
      </c>
      <c r="B22" s="20">
        <f t="shared" si="1"/>
        <v>1.4002414191924244</v>
      </c>
      <c r="C22" s="20">
        <f t="shared" si="1"/>
        <v>1.6528476322717507</v>
      </c>
      <c r="D22" s="20">
        <f t="shared" si="1"/>
        <v>1.9479004955562815</v>
      </c>
      <c r="E22" s="20">
        <f t="shared" si="1"/>
        <v>2.2920183178010332</v>
      </c>
      <c r="F22" s="20">
        <f t="shared" si="1"/>
        <v>2.692772785766814</v>
      </c>
      <c r="G22" s="20">
        <f t="shared" si="1"/>
        <v>3.1588152109649861</v>
      </c>
      <c r="H22" s="20">
        <f t="shared" si="1"/>
        <v>3.7000180548008639</v>
      </c>
      <c r="I22" s="20">
        <f t="shared" si="1"/>
        <v>4.3276334103547462</v>
      </c>
      <c r="J22" s="20">
        <f t="shared" si="1"/>
        <v>5.0544702849929433</v>
      </c>
      <c r="K22" s="20">
        <f t="shared" si="1"/>
        <v>5.8950927085808607</v>
      </c>
      <c r="L22" s="20">
        <f t="shared" si="1"/>
        <v>6.8660408884120363</v>
      </c>
      <c r="M22" s="20">
        <f t="shared" si="1"/>
        <v>7.9860778452816472</v>
      </c>
      <c r="N22" s="20">
        <f t="shared" si="1"/>
        <v>9.2764641967130359</v>
      </c>
      <c r="O22" s="20">
        <f t="shared" si="1"/>
        <v>10.761264004567165</v>
      </c>
    </row>
    <row r="23" spans="1:15" x14ac:dyDescent="0.25">
      <c r="A23" s="21">
        <v>18</v>
      </c>
      <c r="B23" s="19">
        <f t="shared" si="1"/>
        <v>1.4282462475762727</v>
      </c>
      <c r="C23" s="19">
        <f t="shared" si="1"/>
        <v>1.7024330612399032</v>
      </c>
      <c r="D23" s="19">
        <f t="shared" si="1"/>
        <v>2.025816515378533</v>
      </c>
      <c r="E23" s="19">
        <f t="shared" si="1"/>
        <v>2.4066192336910848</v>
      </c>
      <c r="F23" s="19">
        <f t="shared" si="1"/>
        <v>2.8543391529128228</v>
      </c>
      <c r="G23" s="19">
        <f t="shared" si="1"/>
        <v>3.3799322757325352</v>
      </c>
      <c r="H23" s="19">
        <f t="shared" si="1"/>
        <v>3.9960194991849334</v>
      </c>
      <c r="I23" s="19">
        <f t="shared" si="1"/>
        <v>4.7171204172866741</v>
      </c>
      <c r="J23" s="19">
        <f t="shared" si="1"/>
        <v>5.5599173134922379</v>
      </c>
      <c r="K23" s="19">
        <f t="shared" si="1"/>
        <v>6.5435529065247557</v>
      </c>
      <c r="L23" s="19">
        <f t="shared" si="1"/>
        <v>7.6899657950214815</v>
      </c>
      <c r="M23" s="19">
        <f t="shared" si="1"/>
        <v>9.02426796516826</v>
      </c>
      <c r="N23" s="19">
        <f t="shared" si="1"/>
        <v>10.575169184252863</v>
      </c>
      <c r="O23" s="19">
        <f t="shared" si="1"/>
        <v>12.375453605252238</v>
      </c>
    </row>
    <row r="24" spans="1:15" x14ac:dyDescent="0.25">
      <c r="A24" s="22">
        <v>19</v>
      </c>
      <c r="B24" s="20">
        <f t="shared" si="1"/>
        <v>1.4568111725277981</v>
      </c>
      <c r="C24" s="20">
        <f t="shared" si="1"/>
        <v>1.7535060530771003</v>
      </c>
      <c r="D24" s="20">
        <f t="shared" si="1"/>
        <v>2.1068491759936743</v>
      </c>
      <c r="E24" s="20">
        <f t="shared" si="1"/>
        <v>2.526950195375639</v>
      </c>
      <c r="F24" s="20">
        <f t="shared" si="1"/>
        <v>3.0255995020875925</v>
      </c>
      <c r="G24" s="20">
        <f t="shared" si="1"/>
        <v>3.6165275350338129</v>
      </c>
      <c r="H24" s="20">
        <f t="shared" si="1"/>
        <v>4.3157010591197285</v>
      </c>
      <c r="I24" s="20">
        <f t="shared" si="1"/>
        <v>5.1416612548424752</v>
      </c>
      <c r="J24" s="20">
        <f t="shared" si="1"/>
        <v>6.1159090448414632</v>
      </c>
      <c r="K24" s="20">
        <f t="shared" si="1"/>
        <v>7.2633437262424794</v>
      </c>
      <c r="L24" s="20">
        <f t="shared" si="1"/>
        <v>8.61276169042406</v>
      </c>
      <c r="M24" s="20">
        <f t="shared" si="1"/>
        <v>10.197422800640132</v>
      </c>
      <c r="N24" s="20">
        <f t="shared" si="1"/>
        <v>12.055692870048263</v>
      </c>
      <c r="O24" s="20">
        <f t="shared" si="1"/>
        <v>14.231771646040073</v>
      </c>
    </row>
    <row r="25" spans="1:15" x14ac:dyDescent="0.25">
      <c r="A25" s="21">
        <v>20</v>
      </c>
      <c r="B25" s="19">
        <f t="shared" si="1"/>
        <v>1.4859473959783542</v>
      </c>
      <c r="C25" s="19">
        <f t="shared" si="1"/>
        <v>1.8061112346694133</v>
      </c>
      <c r="D25" s="19">
        <f t="shared" si="1"/>
        <v>2.1911231430334213</v>
      </c>
      <c r="E25" s="19">
        <f t="shared" si="1"/>
        <v>2.6532977051444209</v>
      </c>
      <c r="F25" s="19">
        <f t="shared" si="1"/>
        <v>3.207135472212848</v>
      </c>
      <c r="G25" s="19">
        <f t="shared" si="1"/>
        <v>3.8696844624861795</v>
      </c>
      <c r="H25" s="19">
        <f t="shared" si="1"/>
        <v>4.6609571438493065</v>
      </c>
      <c r="I25" s="19">
        <f t="shared" si="1"/>
        <v>5.6044107677782975</v>
      </c>
      <c r="J25" s="19">
        <f t="shared" si="1"/>
        <v>6.7274999493256091</v>
      </c>
      <c r="K25" s="19">
        <f t="shared" si="1"/>
        <v>8.0623115361291529</v>
      </c>
      <c r="L25" s="19">
        <f t="shared" si="1"/>
        <v>9.6462930932749469</v>
      </c>
      <c r="M25" s="19">
        <f t="shared" si="1"/>
        <v>11.523087764723348</v>
      </c>
      <c r="N25" s="19">
        <f t="shared" si="1"/>
        <v>13.743489871855022</v>
      </c>
      <c r="O25" s="19">
        <f t="shared" si="1"/>
        <v>16.366537392946082</v>
      </c>
    </row>
    <row r="26" spans="1:15" x14ac:dyDescent="0.25">
      <c r="A26" s="22">
        <v>21</v>
      </c>
      <c r="B26" s="20">
        <f t="shared" si="1"/>
        <v>1.5156663438979212</v>
      </c>
      <c r="C26" s="20">
        <f t="shared" si="1"/>
        <v>1.8602945717094954</v>
      </c>
      <c r="D26" s="20">
        <f t="shared" si="1"/>
        <v>2.2787680687547587</v>
      </c>
      <c r="E26" s="20">
        <f t="shared" si="1"/>
        <v>2.7859625904016418</v>
      </c>
      <c r="F26" s="20">
        <f t="shared" si="1"/>
        <v>3.3995636005456196</v>
      </c>
      <c r="G26" s="20">
        <f t="shared" si="1"/>
        <v>4.1405623748602123</v>
      </c>
      <c r="H26" s="20">
        <f t="shared" si="1"/>
        <v>5.0338337153572512</v>
      </c>
      <c r="I26" s="20">
        <f t="shared" si="1"/>
        <v>6.1088077368783456</v>
      </c>
      <c r="J26" s="20">
        <f t="shared" si="1"/>
        <v>7.4002499442581708</v>
      </c>
      <c r="K26" s="20">
        <f t="shared" si="1"/>
        <v>8.9491658051033607</v>
      </c>
      <c r="L26" s="20">
        <f t="shared" si="1"/>
        <v>10.803848264467941</v>
      </c>
      <c r="M26" s="20">
        <f t="shared" si="1"/>
        <v>13.021089174137382</v>
      </c>
      <c r="N26" s="20">
        <f t="shared" si="1"/>
        <v>15.667578453914727</v>
      </c>
      <c r="O26" s="20">
        <f t="shared" si="1"/>
        <v>18.821518001887995</v>
      </c>
    </row>
    <row r="27" spans="1:15" x14ac:dyDescent="0.25">
      <c r="A27" s="21">
        <v>22</v>
      </c>
      <c r="B27" s="19">
        <f t="shared" si="1"/>
        <v>1.5459796707758797</v>
      </c>
      <c r="C27" s="19">
        <f t="shared" si="1"/>
        <v>1.9161034088607805</v>
      </c>
      <c r="D27" s="19">
        <f t="shared" si="1"/>
        <v>2.3699187915049489</v>
      </c>
      <c r="E27" s="19">
        <f t="shared" si="1"/>
        <v>2.9252607199217238</v>
      </c>
      <c r="F27" s="19">
        <f t="shared" si="1"/>
        <v>3.6035374165783569</v>
      </c>
      <c r="G27" s="19">
        <f t="shared" si="1"/>
        <v>4.4304017411004271</v>
      </c>
      <c r="H27" s="19">
        <f t="shared" si="1"/>
        <v>5.4365404125858321</v>
      </c>
      <c r="I27" s="19">
        <f t="shared" si="1"/>
        <v>6.6586004331973969</v>
      </c>
      <c r="J27" s="19">
        <f t="shared" si="1"/>
        <v>8.140274938683989</v>
      </c>
      <c r="K27" s="19">
        <f t="shared" si="1"/>
        <v>9.9335740436647306</v>
      </c>
      <c r="L27" s="19">
        <f t="shared" si="1"/>
        <v>12.100310056204096</v>
      </c>
      <c r="M27" s="19">
        <f t="shared" si="1"/>
        <v>14.713830766775239</v>
      </c>
      <c r="N27" s="19">
        <f t="shared" si="1"/>
        <v>17.861039437462789</v>
      </c>
      <c r="O27" s="19">
        <f t="shared" si="1"/>
        <v>21.644745702171193</v>
      </c>
    </row>
    <row r="28" spans="1:15" x14ac:dyDescent="0.25">
      <c r="A28" s="22">
        <v>23</v>
      </c>
      <c r="B28" s="20">
        <f t="shared" si="1"/>
        <v>1.576899264191397</v>
      </c>
      <c r="C28" s="20">
        <f t="shared" si="1"/>
        <v>1.973586511126604</v>
      </c>
      <c r="D28" s="20">
        <f t="shared" si="1"/>
        <v>2.4647155431651466</v>
      </c>
      <c r="E28" s="20">
        <f t="shared" si="1"/>
        <v>3.0715237559178106</v>
      </c>
      <c r="F28" s="20">
        <f t="shared" si="1"/>
        <v>3.8197496615730588</v>
      </c>
      <c r="G28" s="20">
        <f t="shared" si="1"/>
        <v>4.740529862977457</v>
      </c>
      <c r="H28" s="20">
        <f t="shared" si="1"/>
        <v>5.8714636455926987</v>
      </c>
      <c r="I28" s="20">
        <f t="shared" si="1"/>
        <v>7.2578744721851622</v>
      </c>
      <c r="J28" s="20">
        <f t="shared" si="1"/>
        <v>8.9543024325523888</v>
      </c>
      <c r="K28" s="20">
        <f t="shared" si="1"/>
        <v>11.02626718846785</v>
      </c>
      <c r="L28" s="20">
        <f t="shared" si="1"/>
        <v>13.552347262948587</v>
      </c>
      <c r="M28" s="20">
        <f t="shared" si="1"/>
        <v>16.626628766456019</v>
      </c>
      <c r="N28" s="20">
        <f t="shared" si="1"/>
        <v>20.361584958707585</v>
      </c>
      <c r="O28" s="20">
        <f t="shared" si="1"/>
        <v>24.891457557496867</v>
      </c>
    </row>
    <row r="29" spans="1:15" x14ac:dyDescent="0.25">
      <c r="A29" s="21">
        <v>24</v>
      </c>
      <c r="B29" s="19">
        <f t="shared" si="1"/>
        <v>1.608437249475225</v>
      </c>
      <c r="C29" s="19">
        <f t="shared" si="1"/>
        <v>2.0327941064604018</v>
      </c>
      <c r="D29" s="19">
        <f t="shared" si="1"/>
        <v>2.5633041648917527</v>
      </c>
      <c r="E29" s="19">
        <f t="shared" si="1"/>
        <v>3.2250999437137007</v>
      </c>
      <c r="F29" s="19">
        <f t="shared" si="1"/>
        <v>4.0489346412674418</v>
      </c>
      <c r="G29" s="19">
        <f t="shared" si="1"/>
        <v>5.0723669533858793</v>
      </c>
      <c r="H29" s="19">
        <f t="shared" si="1"/>
        <v>6.3411807372401148</v>
      </c>
      <c r="I29" s="19">
        <f t="shared" si="1"/>
        <v>7.9110831746818278</v>
      </c>
      <c r="J29" s="19">
        <f t="shared" si="1"/>
        <v>9.8497326758076262</v>
      </c>
      <c r="K29" s="19">
        <f t="shared" si="1"/>
        <v>12.239156579199317</v>
      </c>
      <c r="L29" s="19">
        <f t="shared" si="1"/>
        <v>15.178628934502418</v>
      </c>
      <c r="M29" s="19">
        <f t="shared" si="1"/>
        <v>18.788090506095301</v>
      </c>
      <c r="N29" s="19">
        <f t="shared" si="1"/>
        <v>23.212206852926652</v>
      </c>
      <c r="O29" s="19">
        <f t="shared" si="1"/>
        <v>28.625176191121394</v>
      </c>
    </row>
    <row r="30" spans="1:15" x14ac:dyDescent="0.25">
      <c r="A30" s="22">
        <v>25</v>
      </c>
      <c r="B30" s="20">
        <f t="shared" si="1"/>
        <v>1.6406059944647295</v>
      </c>
      <c r="C30" s="20">
        <f t="shared" si="1"/>
        <v>2.0937779296542138</v>
      </c>
      <c r="D30" s="20">
        <f t="shared" si="1"/>
        <v>2.6658363314874234</v>
      </c>
      <c r="E30" s="20">
        <f t="shared" si="1"/>
        <v>3.3863549408993858</v>
      </c>
      <c r="F30" s="20">
        <f t="shared" si="1"/>
        <v>4.2918707197434882</v>
      </c>
      <c r="G30" s="20">
        <f t="shared" si="1"/>
        <v>5.4274326401228912</v>
      </c>
      <c r="H30" s="20">
        <f t="shared" si="1"/>
        <v>6.8484751962193249</v>
      </c>
      <c r="I30" s="20">
        <f t="shared" si="1"/>
        <v>8.6230806604031933</v>
      </c>
      <c r="J30" s="20">
        <f t="shared" si="1"/>
        <v>10.834705943388391</v>
      </c>
      <c r="K30" s="20">
        <f t="shared" si="1"/>
        <v>13.585463802911244</v>
      </c>
      <c r="L30" s="20">
        <f t="shared" si="1"/>
        <v>17.000064406642711</v>
      </c>
      <c r="M30" s="20">
        <f t="shared" si="1"/>
        <v>21.230542271887689</v>
      </c>
      <c r="N30" s="20">
        <f t="shared" si="1"/>
        <v>26.461915812336382</v>
      </c>
      <c r="O30" s="20">
        <f t="shared" si="1"/>
        <v>32.9189526197896</v>
      </c>
    </row>
    <row r="31" spans="1:15" x14ac:dyDescent="0.25">
      <c r="A31" s="21">
        <v>26</v>
      </c>
      <c r="B31" s="19">
        <f t="shared" si="1"/>
        <v>1.6734181143540243</v>
      </c>
      <c r="C31" s="19">
        <f t="shared" si="1"/>
        <v>2.1565912675438406</v>
      </c>
      <c r="D31" s="19">
        <f t="shared" si="1"/>
        <v>2.77246978474692</v>
      </c>
      <c r="E31" s="19">
        <f t="shared" si="1"/>
        <v>3.5556726879443552</v>
      </c>
      <c r="F31" s="19">
        <f t="shared" si="1"/>
        <v>4.5493829629280977</v>
      </c>
      <c r="G31" s="19">
        <f t="shared" si="1"/>
        <v>5.807352924931493</v>
      </c>
      <c r="H31" s="19">
        <f t="shared" si="1"/>
        <v>7.3963532119168702</v>
      </c>
      <c r="I31" s="19">
        <f t="shared" si="1"/>
        <v>9.3991579198394817</v>
      </c>
      <c r="J31" s="19">
        <f t="shared" si="1"/>
        <v>11.918176537727231</v>
      </c>
      <c r="K31" s="19">
        <f t="shared" si="1"/>
        <v>15.079864821231482</v>
      </c>
      <c r="L31" s="19">
        <f t="shared" si="1"/>
        <v>19.040072135439836</v>
      </c>
      <c r="M31" s="19">
        <f t="shared" si="1"/>
        <v>23.990512767233085</v>
      </c>
      <c r="N31" s="19">
        <f t="shared" si="1"/>
        <v>30.166584026063482</v>
      </c>
      <c r="O31" s="19">
        <f t="shared" si="1"/>
        <v>37.85679551275804</v>
      </c>
    </row>
    <row r="32" spans="1:15" x14ac:dyDescent="0.25">
      <c r="A32" s="22">
        <v>27</v>
      </c>
      <c r="B32" s="20">
        <f t="shared" si="1"/>
        <v>1.7068864766411045</v>
      </c>
      <c r="C32" s="20">
        <f t="shared" si="1"/>
        <v>2.2212890055701555</v>
      </c>
      <c r="D32" s="20">
        <f t="shared" si="1"/>
        <v>2.8833685761367969</v>
      </c>
      <c r="E32" s="20">
        <f t="shared" si="1"/>
        <v>3.7334563223415733</v>
      </c>
      <c r="F32" s="20">
        <f t="shared" si="1"/>
        <v>4.8223459407037845</v>
      </c>
      <c r="G32" s="20">
        <f t="shared" si="1"/>
        <v>6.2138676296766988</v>
      </c>
      <c r="H32" s="20">
        <f t="shared" si="1"/>
        <v>7.9880614688702201</v>
      </c>
      <c r="I32" s="20">
        <f t="shared" si="1"/>
        <v>10.245082132625035</v>
      </c>
      <c r="J32" s="20">
        <f t="shared" si="1"/>
        <v>13.109994191499956</v>
      </c>
      <c r="K32" s="20">
        <f t="shared" si="1"/>
        <v>16.738649951566945</v>
      </c>
      <c r="L32" s="20">
        <f t="shared" si="1"/>
        <v>21.324880791692621</v>
      </c>
      <c r="M32" s="20">
        <f t="shared" si="1"/>
        <v>27.10927942697338</v>
      </c>
      <c r="N32" s="20">
        <f t="shared" si="1"/>
        <v>34.389905789712373</v>
      </c>
      <c r="O32" s="20">
        <f t="shared" si="1"/>
        <v>43.535314839671742</v>
      </c>
    </row>
    <row r="33" spans="1:15" x14ac:dyDescent="0.25">
      <c r="A33" s="21">
        <v>28</v>
      </c>
      <c r="B33" s="19">
        <f t="shared" si="1"/>
        <v>1.7410242061739269</v>
      </c>
      <c r="C33" s="19">
        <f t="shared" si="1"/>
        <v>2.2879276757372602</v>
      </c>
      <c r="D33" s="19">
        <f t="shared" si="1"/>
        <v>2.9987033191822694</v>
      </c>
      <c r="E33" s="19">
        <f t="shared" si="1"/>
        <v>3.9201291384586514</v>
      </c>
      <c r="F33" s="19">
        <f t="shared" si="1"/>
        <v>5.1116866971460118</v>
      </c>
      <c r="G33" s="19">
        <f t="shared" si="1"/>
        <v>6.6488383637540664</v>
      </c>
      <c r="H33" s="19">
        <f t="shared" si="1"/>
        <v>8.6271063863798378</v>
      </c>
      <c r="I33" s="19">
        <f t="shared" si="1"/>
        <v>11.167139524561287</v>
      </c>
      <c r="J33" s="19">
        <f t="shared" si="1"/>
        <v>14.420993610649951</v>
      </c>
      <c r="K33" s="19">
        <f t="shared" si="1"/>
        <v>18.579901446239312</v>
      </c>
      <c r="L33" s="19">
        <f t="shared" si="1"/>
        <v>23.883866486695734</v>
      </c>
      <c r="M33" s="19">
        <f t="shared" si="1"/>
        <v>30.633485752479917</v>
      </c>
      <c r="N33" s="19">
        <f t="shared" si="1"/>
        <v>39.204492600272111</v>
      </c>
      <c r="O33" s="19">
        <f t="shared" si="1"/>
        <v>50.065612065622496</v>
      </c>
    </row>
    <row r="34" spans="1:15" x14ac:dyDescent="0.25">
      <c r="A34" s="22">
        <v>29</v>
      </c>
      <c r="B34" s="20">
        <f t="shared" si="1"/>
        <v>1.7758446902974052</v>
      </c>
      <c r="C34" s="20">
        <f t="shared" si="1"/>
        <v>2.3565655060093778</v>
      </c>
      <c r="D34" s="20">
        <f t="shared" si="1"/>
        <v>3.1186514519495603</v>
      </c>
      <c r="E34" s="20">
        <f t="shared" si="1"/>
        <v>4.1161355953815848</v>
      </c>
      <c r="F34" s="20">
        <f t="shared" si="1"/>
        <v>5.4183878989747729</v>
      </c>
      <c r="G34" s="20">
        <f t="shared" si="1"/>
        <v>7.1142570492168513</v>
      </c>
      <c r="H34" s="20">
        <f t="shared" si="1"/>
        <v>9.3172748972902255</v>
      </c>
      <c r="I34" s="20">
        <f t="shared" si="1"/>
        <v>12.172182081771805</v>
      </c>
      <c r="J34" s="20">
        <f t="shared" si="1"/>
        <v>15.863092971714947</v>
      </c>
      <c r="K34" s="20">
        <f t="shared" si="1"/>
        <v>20.623690605325635</v>
      </c>
      <c r="L34" s="20">
        <f t="shared" si="1"/>
        <v>26.749930465099226</v>
      </c>
      <c r="M34" s="20">
        <f t="shared" si="1"/>
        <v>34.615838900302307</v>
      </c>
      <c r="N34" s="20">
        <f t="shared" si="1"/>
        <v>44.693121564310211</v>
      </c>
      <c r="O34" s="20">
        <f t="shared" si="1"/>
        <v>57.575453875465868</v>
      </c>
    </row>
    <row r="35" spans="1:15" x14ac:dyDescent="0.25">
      <c r="A35" s="21">
        <v>30</v>
      </c>
      <c r="B35" s="19">
        <f t="shared" si="1"/>
        <v>1.8113615841033535</v>
      </c>
      <c r="C35" s="19">
        <f t="shared" si="1"/>
        <v>2.4272624711896591</v>
      </c>
      <c r="D35" s="19">
        <f t="shared" si="1"/>
        <v>3.2433975100275423</v>
      </c>
      <c r="E35" s="19">
        <f t="shared" si="1"/>
        <v>4.3219423751506625</v>
      </c>
      <c r="F35" s="19">
        <f t="shared" si="1"/>
        <v>5.7434911729132594</v>
      </c>
      <c r="G35" s="19">
        <f t="shared" si="1"/>
        <v>7.6122550426620306</v>
      </c>
      <c r="H35" s="19">
        <f t="shared" si="1"/>
        <v>10.062656889073445</v>
      </c>
      <c r="I35" s="19">
        <f t="shared" si="1"/>
        <v>13.267678469131269</v>
      </c>
      <c r="J35" s="19">
        <f t="shared" si="1"/>
        <v>17.449402268886445</v>
      </c>
      <c r="K35" s="19">
        <f t="shared" si="1"/>
        <v>22.892296571911455</v>
      </c>
      <c r="L35" s="19">
        <f t="shared" si="1"/>
        <v>29.959922120911134</v>
      </c>
      <c r="M35" s="19">
        <f t="shared" si="1"/>
        <v>39.115897957341595</v>
      </c>
      <c r="N35" s="19">
        <f t="shared" si="1"/>
        <v>50.950158583313645</v>
      </c>
      <c r="O35" s="19">
        <f t="shared" si="1"/>
        <v>66.211771956785753</v>
      </c>
    </row>
    <row r="36" spans="1:15" x14ac:dyDescent="0.25">
      <c r="A36" s="22">
        <v>31</v>
      </c>
      <c r="B36" s="20">
        <f t="shared" si="1"/>
        <v>1.8475888157854201</v>
      </c>
      <c r="C36" s="20">
        <f t="shared" si="1"/>
        <v>2.5000803453253493</v>
      </c>
      <c r="D36" s="20">
        <f t="shared" si="1"/>
        <v>3.3731334104286441</v>
      </c>
      <c r="E36" s="20">
        <f t="shared" si="1"/>
        <v>4.5380394939081974</v>
      </c>
      <c r="F36" s="20">
        <f t="shared" si="1"/>
        <v>6.0881006432880564</v>
      </c>
      <c r="G36" s="20">
        <f t="shared" si="1"/>
        <v>8.1451128956483743</v>
      </c>
      <c r="H36" s="20">
        <f t="shared" si="1"/>
        <v>10.867669440199322</v>
      </c>
      <c r="I36" s="20">
        <f t="shared" si="1"/>
        <v>14.461769531353083</v>
      </c>
      <c r="J36" s="20">
        <f t="shared" si="1"/>
        <v>19.194342495775089</v>
      </c>
      <c r="K36" s="20">
        <f t="shared" si="1"/>
        <v>25.410449194821716</v>
      </c>
      <c r="L36" s="20">
        <f t="shared" si="1"/>
        <v>33.555112775420469</v>
      </c>
      <c r="M36" s="20">
        <f t="shared" si="1"/>
        <v>44.200964691796003</v>
      </c>
      <c r="N36" s="20">
        <f t="shared" si="1"/>
        <v>58.083180784977557</v>
      </c>
      <c r="O36" s="20">
        <f t="shared" si="1"/>
        <v>76.143537750303594</v>
      </c>
    </row>
    <row r="37" spans="1:15" x14ac:dyDescent="0.25">
      <c r="A37" s="21">
        <v>32</v>
      </c>
      <c r="B37" s="19">
        <f t="shared" ref="B37:O45" si="2">+(1+B$4%)^$A37</f>
        <v>1.8845405921011289</v>
      </c>
      <c r="C37" s="19">
        <f t="shared" si="2"/>
        <v>2.5750827556851092</v>
      </c>
      <c r="D37" s="19">
        <f t="shared" si="2"/>
        <v>3.5080587468457902</v>
      </c>
      <c r="E37" s="19">
        <f t="shared" si="2"/>
        <v>4.7649414686036069</v>
      </c>
      <c r="F37" s="19">
        <f t="shared" si="2"/>
        <v>6.4533866818853385</v>
      </c>
      <c r="G37" s="19">
        <f t="shared" si="2"/>
        <v>8.7152707983437594</v>
      </c>
      <c r="H37" s="19">
        <f t="shared" si="2"/>
        <v>11.737082995415268</v>
      </c>
      <c r="I37" s="19">
        <f t="shared" si="2"/>
        <v>15.76332878917486</v>
      </c>
      <c r="J37" s="19">
        <f t="shared" si="2"/>
        <v>21.113776745352599</v>
      </c>
      <c r="K37" s="19">
        <f t="shared" si="2"/>
        <v>28.20559860625211</v>
      </c>
      <c r="L37" s="19">
        <f t="shared" si="2"/>
        <v>37.581726308470934</v>
      </c>
      <c r="M37" s="19">
        <f t="shared" si="2"/>
        <v>49.947090101729479</v>
      </c>
      <c r="N37" s="19">
        <f t="shared" si="2"/>
        <v>66.214826094874425</v>
      </c>
      <c r="O37" s="19">
        <f t="shared" si="2"/>
        <v>87.565068412849115</v>
      </c>
    </row>
    <row r="38" spans="1:15" x14ac:dyDescent="0.25">
      <c r="A38" s="22">
        <v>33</v>
      </c>
      <c r="B38" s="20">
        <f t="shared" si="2"/>
        <v>1.9222314039431516</v>
      </c>
      <c r="C38" s="20">
        <f t="shared" si="2"/>
        <v>2.6523352383556626</v>
      </c>
      <c r="D38" s="20">
        <f t="shared" si="2"/>
        <v>3.6483810967196217</v>
      </c>
      <c r="E38" s="20">
        <f t="shared" si="2"/>
        <v>5.0031885420337874</v>
      </c>
      <c r="F38" s="20">
        <f t="shared" si="2"/>
        <v>6.8405898827984588</v>
      </c>
      <c r="G38" s="20">
        <f t="shared" si="2"/>
        <v>9.3253397542278229</v>
      </c>
      <c r="H38" s="20">
        <f t="shared" si="2"/>
        <v>12.676049635048489</v>
      </c>
      <c r="I38" s="20">
        <f t="shared" si="2"/>
        <v>17.182028380200599</v>
      </c>
      <c r="J38" s="20">
        <f t="shared" si="2"/>
        <v>23.225154419887861</v>
      </c>
      <c r="K38" s="20">
        <f t="shared" si="2"/>
        <v>31.308214452939843</v>
      </c>
      <c r="L38" s="20">
        <f t="shared" si="2"/>
        <v>42.091533465487451</v>
      </c>
      <c r="M38" s="20">
        <f t="shared" si="2"/>
        <v>56.440211814954303</v>
      </c>
      <c r="N38" s="20">
        <f t="shared" si="2"/>
        <v>75.484901748156858</v>
      </c>
      <c r="O38" s="20">
        <f t="shared" si="2"/>
        <v>100.69982867477647</v>
      </c>
    </row>
    <row r="39" spans="1:15" x14ac:dyDescent="0.25">
      <c r="A39" s="21">
        <v>34</v>
      </c>
      <c r="B39" s="19">
        <f t="shared" si="2"/>
        <v>1.9606760320220145</v>
      </c>
      <c r="C39" s="19">
        <f t="shared" si="2"/>
        <v>2.7319052955063321</v>
      </c>
      <c r="D39" s="19">
        <f t="shared" si="2"/>
        <v>3.7943163405884071</v>
      </c>
      <c r="E39" s="19">
        <f t="shared" si="2"/>
        <v>5.2533479691354765</v>
      </c>
      <c r="F39" s="19">
        <f t="shared" si="2"/>
        <v>7.2510252757663674</v>
      </c>
      <c r="G39" s="19">
        <f t="shared" si="2"/>
        <v>9.9781135370237699</v>
      </c>
      <c r="H39" s="19">
        <f t="shared" si="2"/>
        <v>13.690133605852369</v>
      </c>
      <c r="I39" s="19">
        <f t="shared" si="2"/>
        <v>18.728410934418655</v>
      </c>
      <c r="J39" s="19">
        <f t="shared" si="2"/>
        <v>25.547669861876649</v>
      </c>
      <c r="K39" s="19">
        <f t="shared" si="2"/>
        <v>34.752118042763229</v>
      </c>
      <c r="L39" s="19">
        <f t="shared" si="2"/>
        <v>47.142517481345948</v>
      </c>
      <c r="M39" s="19">
        <f t="shared" si="2"/>
        <v>63.777439350898355</v>
      </c>
      <c r="N39" s="19">
        <f t="shared" si="2"/>
        <v>86.052787992898828</v>
      </c>
      <c r="O39" s="19">
        <f t="shared" si="2"/>
        <v>115.80480297599294</v>
      </c>
    </row>
    <row r="40" spans="1:15" x14ac:dyDescent="0.25">
      <c r="A40" s="22">
        <v>35</v>
      </c>
      <c r="B40" s="20">
        <f t="shared" si="2"/>
        <v>1.9998895526624547</v>
      </c>
      <c r="C40" s="20">
        <f t="shared" si="2"/>
        <v>2.8138624543715225</v>
      </c>
      <c r="D40" s="20">
        <f t="shared" si="2"/>
        <v>3.9460889942119435</v>
      </c>
      <c r="E40" s="20">
        <f t="shared" si="2"/>
        <v>5.5160153675922512</v>
      </c>
      <c r="F40" s="20">
        <f t="shared" si="2"/>
        <v>7.6860867923123504</v>
      </c>
      <c r="G40" s="20">
        <f t="shared" si="2"/>
        <v>10.676581484615435</v>
      </c>
      <c r="H40" s="20">
        <f t="shared" si="2"/>
        <v>14.785344294320559</v>
      </c>
      <c r="I40" s="20">
        <f t="shared" si="2"/>
        <v>20.413967918516335</v>
      </c>
      <c r="J40" s="20">
        <f t="shared" si="2"/>
        <v>28.102436848064318</v>
      </c>
      <c r="K40" s="20">
        <f t="shared" si="2"/>
        <v>38.57485102746719</v>
      </c>
      <c r="L40" s="20">
        <f t="shared" si="2"/>
        <v>52.799619579107464</v>
      </c>
      <c r="M40" s="20">
        <f t="shared" si="2"/>
        <v>72.068506466515132</v>
      </c>
      <c r="N40" s="20">
        <f t="shared" si="2"/>
        <v>98.100178311904656</v>
      </c>
      <c r="O40" s="20">
        <f t="shared" si="2"/>
        <v>133.17552342239185</v>
      </c>
    </row>
    <row r="41" spans="1:15" x14ac:dyDescent="0.25">
      <c r="A41" s="21">
        <v>36</v>
      </c>
      <c r="B41" s="19">
        <f t="shared" si="2"/>
        <v>2.0398873437157037</v>
      </c>
      <c r="C41" s="19">
        <f t="shared" si="2"/>
        <v>2.898278328002668</v>
      </c>
      <c r="D41" s="19">
        <f t="shared" si="2"/>
        <v>4.103932553980421</v>
      </c>
      <c r="E41" s="19">
        <f t="shared" si="2"/>
        <v>5.791816135971863</v>
      </c>
      <c r="F41" s="19">
        <f t="shared" si="2"/>
        <v>8.1472519998510915</v>
      </c>
      <c r="G41" s="19">
        <f t="shared" si="2"/>
        <v>11.423942188538515</v>
      </c>
      <c r="H41" s="19">
        <f t="shared" si="2"/>
        <v>15.968171837866207</v>
      </c>
      <c r="I41" s="19">
        <f t="shared" si="2"/>
        <v>22.251225031182805</v>
      </c>
      <c r="J41" s="19">
        <f t="shared" si="2"/>
        <v>30.912680532870748</v>
      </c>
      <c r="K41" s="19">
        <f t="shared" si="2"/>
        <v>42.818084640488578</v>
      </c>
      <c r="L41" s="19">
        <f t="shared" si="2"/>
        <v>59.135573928600358</v>
      </c>
      <c r="M41" s="19">
        <f t="shared" si="2"/>
        <v>81.437412307162091</v>
      </c>
      <c r="N41" s="19">
        <f t="shared" si="2"/>
        <v>111.83420327557134</v>
      </c>
      <c r="O41" s="19">
        <f t="shared" si="2"/>
        <v>153.15185193575064</v>
      </c>
    </row>
    <row r="42" spans="1:15" x14ac:dyDescent="0.25">
      <c r="A42" s="22">
        <v>37</v>
      </c>
      <c r="B42" s="20">
        <f t="shared" si="2"/>
        <v>2.080685090590018</v>
      </c>
      <c r="C42" s="20">
        <f t="shared" si="2"/>
        <v>2.9852266778427476</v>
      </c>
      <c r="D42" s="20">
        <f t="shared" si="2"/>
        <v>4.268089856139639</v>
      </c>
      <c r="E42" s="20">
        <f t="shared" si="2"/>
        <v>6.0814069427704567</v>
      </c>
      <c r="F42" s="20">
        <f t="shared" si="2"/>
        <v>8.6360871198421574</v>
      </c>
      <c r="G42" s="20">
        <f t="shared" si="2"/>
        <v>12.223618141736212</v>
      </c>
      <c r="H42" s="20">
        <f t="shared" si="2"/>
        <v>17.245625584895503</v>
      </c>
      <c r="I42" s="20">
        <f t="shared" si="2"/>
        <v>24.253835283989257</v>
      </c>
      <c r="J42" s="20">
        <f t="shared" si="2"/>
        <v>34.003948586157826</v>
      </c>
      <c r="K42" s="20">
        <f t="shared" si="2"/>
        <v>47.528073950942328</v>
      </c>
      <c r="L42" s="20">
        <f t="shared" si="2"/>
        <v>66.23184280003241</v>
      </c>
      <c r="M42" s="20">
        <f t="shared" si="2"/>
        <v>92.024275907093156</v>
      </c>
      <c r="N42" s="20">
        <f t="shared" si="2"/>
        <v>127.49099173415134</v>
      </c>
      <c r="O42" s="20">
        <f t="shared" si="2"/>
        <v>176.12462972611323</v>
      </c>
    </row>
    <row r="43" spans="1:15" x14ac:dyDescent="0.25">
      <c r="A43" s="21">
        <v>38</v>
      </c>
      <c r="B43" s="19">
        <f t="shared" si="2"/>
        <v>2.1222987924018186</v>
      </c>
      <c r="C43" s="19">
        <f t="shared" si="2"/>
        <v>3.0747834781780301</v>
      </c>
      <c r="D43" s="19">
        <f t="shared" si="2"/>
        <v>4.4388134503852239</v>
      </c>
      <c r="E43" s="19">
        <f t="shared" si="2"/>
        <v>6.3854772899089784</v>
      </c>
      <c r="F43" s="19">
        <f t="shared" si="2"/>
        <v>9.1542523470326884</v>
      </c>
      <c r="G43" s="19">
        <f t="shared" si="2"/>
        <v>13.079271411657746</v>
      </c>
      <c r="H43" s="19">
        <f t="shared" si="2"/>
        <v>18.625275631687146</v>
      </c>
      <c r="I43" s="19">
        <f t="shared" si="2"/>
        <v>26.436680459548295</v>
      </c>
      <c r="J43" s="19">
        <f t="shared" si="2"/>
        <v>37.404343444773616</v>
      </c>
      <c r="K43" s="19">
        <f t="shared" si="2"/>
        <v>52.756162085545988</v>
      </c>
      <c r="L43" s="19">
        <f t="shared" si="2"/>
        <v>74.179663936036306</v>
      </c>
      <c r="M43" s="19">
        <f t="shared" si="2"/>
        <v>103.98743177501524</v>
      </c>
      <c r="N43" s="19">
        <f t="shared" si="2"/>
        <v>145.33973057693254</v>
      </c>
      <c r="O43" s="19">
        <f t="shared" si="2"/>
        <v>202.5433241850302</v>
      </c>
    </row>
    <row r="44" spans="1:15" x14ac:dyDescent="0.25">
      <c r="A44" s="22">
        <v>39</v>
      </c>
      <c r="B44" s="20">
        <f t="shared" si="2"/>
        <v>2.1647447682498542</v>
      </c>
      <c r="C44" s="20">
        <f t="shared" si="2"/>
        <v>3.1670269825233714</v>
      </c>
      <c r="D44" s="20">
        <f t="shared" si="2"/>
        <v>4.6163659884006325</v>
      </c>
      <c r="E44" s="20">
        <f t="shared" si="2"/>
        <v>6.7047511544044287</v>
      </c>
      <c r="F44" s="20">
        <f t="shared" si="2"/>
        <v>9.703507487854651</v>
      </c>
      <c r="G44" s="20">
        <f t="shared" si="2"/>
        <v>13.994820410473789</v>
      </c>
      <c r="H44" s="20">
        <f t="shared" si="2"/>
        <v>20.115297682222117</v>
      </c>
      <c r="I44" s="20">
        <f t="shared" si="2"/>
        <v>28.815981700907638</v>
      </c>
      <c r="J44" s="20">
        <f t="shared" si="2"/>
        <v>41.144777789250981</v>
      </c>
      <c r="K44" s="20">
        <f t="shared" si="2"/>
        <v>58.559339914956048</v>
      </c>
      <c r="L44" s="20">
        <f t="shared" si="2"/>
        <v>83.081223608360659</v>
      </c>
      <c r="M44" s="20">
        <f t="shared" si="2"/>
        <v>117.50579790576721</v>
      </c>
      <c r="N44" s="20">
        <f t="shared" si="2"/>
        <v>165.68729285770311</v>
      </c>
      <c r="O44" s="20">
        <f t="shared" si="2"/>
        <v>232.92482281278467</v>
      </c>
    </row>
    <row r="45" spans="1:15" x14ac:dyDescent="0.25">
      <c r="A45" s="21">
        <v>40</v>
      </c>
      <c r="B45" s="19">
        <f t="shared" si="2"/>
        <v>2.2080396636148518</v>
      </c>
      <c r="C45" s="19">
        <f t="shared" si="2"/>
        <v>3.262037791999072</v>
      </c>
      <c r="D45" s="19">
        <f t="shared" si="2"/>
        <v>4.8010206279366594</v>
      </c>
      <c r="E45" s="19">
        <f t="shared" si="2"/>
        <v>7.0399887121246492</v>
      </c>
      <c r="F45" s="19">
        <f t="shared" si="2"/>
        <v>10.285717937125929</v>
      </c>
      <c r="G45" s="19">
        <f t="shared" si="2"/>
        <v>14.974457839206954</v>
      </c>
      <c r="H45" s="19">
        <f t="shared" si="2"/>
        <v>21.724521496799888</v>
      </c>
      <c r="I45" s="19">
        <f t="shared" si="2"/>
        <v>31.409420053989329</v>
      </c>
      <c r="J45" s="19">
        <f t="shared" si="2"/>
        <v>45.259255568176073</v>
      </c>
      <c r="K45" s="19">
        <f t="shared" si="2"/>
        <v>65.000867305601219</v>
      </c>
      <c r="L45" s="19">
        <f t="shared" si="2"/>
        <v>93.050970441363958</v>
      </c>
      <c r="M45" s="19">
        <f t="shared" si="2"/>
        <v>132.78155163351695</v>
      </c>
      <c r="N45" s="19">
        <f t="shared" si="2"/>
        <v>188.88351385778159</v>
      </c>
      <c r="O45" s="19">
        <f t="shared" si="2"/>
        <v>267.86354623470237</v>
      </c>
    </row>
  </sheetData>
  <sheetProtection sheet="1" objects="1" scenarios="1"/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indowProtection="1" workbookViewId="0">
      <selection activeCell="J2" sqref="J2:J3"/>
    </sheetView>
  </sheetViews>
  <sheetFormatPr defaultRowHeight="15" x14ac:dyDescent="0.25"/>
  <cols>
    <col min="1" max="1" width="4.85546875" customWidth="1"/>
    <col min="2" max="12" width="6.5703125" bestFit="1" customWidth="1"/>
    <col min="13" max="15" width="7.5703125" bestFit="1" customWidth="1"/>
  </cols>
  <sheetData>
    <row r="1" spans="1:15" x14ac:dyDescent="0.25">
      <c r="A1" s="18" t="s">
        <v>38</v>
      </c>
    </row>
    <row r="2" spans="1:15" x14ac:dyDescent="0.25">
      <c r="A2" s="18" t="s">
        <v>35</v>
      </c>
      <c r="J2" t="s">
        <v>40</v>
      </c>
    </row>
    <row r="3" spans="1:15" x14ac:dyDescent="0.25">
      <c r="A3" s="18"/>
      <c r="J3" t="s">
        <v>39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1">
        <v>0</v>
      </c>
      <c r="B5" s="16">
        <f>1/(1+B$4%)^$A5</f>
        <v>1</v>
      </c>
      <c r="C5" s="16">
        <f t="shared" ref="C5:O5" si="0">1/(1+C$4%)^$A5</f>
        <v>1</v>
      </c>
      <c r="D5" s="16">
        <f t="shared" si="0"/>
        <v>1</v>
      </c>
      <c r="E5" s="16">
        <f t="shared" si="0"/>
        <v>1</v>
      </c>
      <c r="F5" s="16">
        <f t="shared" si="0"/>
        <v>1</v>
      </c>
      <c r="G5" s="16">
        <f t="shared" si="0"/>
        <v>1</v>
      </c>
      <c r="H5" s="16">
        <f t="shared" si="0"/>
        <v>1</v>
      </c>
      <c r="I5" s="16">
        <f t="shared" si="0"/>
        <v>1</v>
      </c>
      <c r="J5" s="16">
        <f t="shared" si="0"/>
        <v>1</v>
      </c>
      <c r="K5" s="16">
        <f t="shared" si="0"/>
        <v>1</v>
      </c>
      <c r="L5" s="16">
        <f t="shared" si="0"/>
        <v>1</v>
      </c>
      <c r="M5" s="16">
        <f t="shared" si="0"/>
        <v>1</v>
      </c>
      <c r="N5" s="16">
        <f t="shared" si="0"/>
        <v>1</v>
      </c>
      <c r="O5" s="16">
        <f t="shared" si="0"/>
        <v>1</v>
      </c>
    </row>
    <row r="6" spans="1:15" x14ac:dyDescent="0.25">
      <c r="A6" s="22">
        <v>1</v>
      </c>
      <c r="B6" s="17">
        <f t="shared" ref="B6:O44" si="1">1/(1+B$4%)^$A6</f>
        <v>0.98039215686274506</v>
      </c>
      <c r="C6" s="17">
        <f t="shared" si="1"/>
        <v>0.970873786407767</v>
      </c>
      <c r="D6" s="17">
        <f t="shared" si="1"/>
        <v>0.96153846153846145</v>
      </c>
      <c r="E6" s="17">
        <f t="shared" si="1"/>
        <v>0.95238095238095233</v>
      </c>
      <c r="F6" s="17">
        <f t="shared" si="1"/>
        <v>0.94339622641509424</v>
      </c>
      <c r="G6" s="17">
        <f t="shared" si="1"/>
        <v>0.93457943925233644</v>
      </c>
      <c r="H6" s="17">
        <f t="shared" si="1"/>
        <v>0.92592592592592582</v>
      </c>
      <c r="I6" s="17">
        <f t="shared" si="1"/>
        <v>0.9174311926605504</v>
      </c>
      <c r="J6" s="17">
        <f t="shared" si="1"/>
        <v>0.90909090909090906</v>
      </c>
      <c r="K6" s="17">
        <f t="shared" si="1"/>
        <v>0.9009009009009008</v>
      </c>
      <c r="L6" s="17">
        <f t="shared" si="1"/>
        <v>0.89285714285714279</v>
      </c>
      <c r="M6" s="17">
        <f t="shared" si="1"/>
        <v>0.88495575221238942</v>
      </c>
      <c r="N6" s="17">
        <f t="shared" si="1"/>
        <v>0.8771929824561403</v>
      </c>
      <c r="O6" s="17">
        <f t="shared" si="1"/>
        <v>0.86956521739130443</v>
      </c>
    </row>
    <row r="7" spans="1:15" x14ac:dyDescent="0.25">
      <c r="A7" s="21">
        <v>2</v>
      </c>
      <c r="B7" s="16">
        <f t="shared" si="1"/>
        <v>0.96116878123798544</v>
      </c>
      <c r="C7" s="16">
        <f t="shared" si="1"/>
        <v>0.94259590913375435</v>
      </c>
      <c r="D7" s="16">
        <f t="shared" si="1"/>
        <v>0.92455621301775137</v>
      </c>
      <c r="E7" s="16">
        <f t="shared" si="1"/>
        <v>0.90702947845804982</v>
      </c>
      <c r="F7" s="16">
        <f t="shared" si="1"/>
        <v>0.88999644001423983</v>
      </c>
      <c r="G7" s="16">
        <f t="shared" si="1"/>
        <v>0.87343872827321156</v>
      </c>
      <c r="H7" s="16">
        <f t="shared" si="1"/>
        <v>0.85733882030178321</v>
      </c>
      <c r="I7" s="16">
        <f t="shared" si="1"/>
        <v>0.84167999326655996</v>
      </c>
      <c r="J7" s="16">
        <f t="shared" si="1"/>
        <v>0.82644628099173545</v>
      </c>
      <c r="K7" s="16">
        <f t="shared" si="1"/>
        <v>0.8116224332440547</v>
      </c>
      <c r="L7" s="16">
        <f t="shared" si="1"/>
        <v>0.79719387755102034</v>
      </c>
      <c r="M7" s="16">
        <f t="shared" si="1"/>
        <v>0.78314668337379612</v>
      </c>
      <c r="N7" s="16">
        <f t="shared" si="1"/>
        <v>0.76946752847029842</v>
      </c>
      <c r="O7" s="16">
        <f t="shared" si="1"/>
        <v>0.7561436672967865</v>
      </c>
    </row>
    <row r="8" spans="1:15" x14ac:dyDescent="0.25">
      <c r="A8" s="22">
        <v>3</v>
      </c>
      <c r="B8" s="17">
        <f t="shared" si="1"/>
        <v>0.94232233454704462</v>
      </c>
      <c r="C8" s="17">
        <f t="shared" si="1"/>
        <v>0.91514165935315961</v>
      </c>
      <c r="D8" s="17">
        <f t="shared" si="1"/>
        <v>0.88899635867091487</v>
      </c>
      <c r="E8" s="17">
        <f t="shared" si="1"/>
        <v>0.86383759853147601</v>
      </c>
      <c r="F8" s="17">
        <f t="shared" si="1"/>
        <v>0.8396192830323016</v>
      </c>
      <c r="G8" s="17">
        <f t="shared" si="1"/>
        <v>0.81629787689085187</v>
      </c>
      <c r="H8" s="17">
        <f t="shared" si="1"/>
        <v>0.79383224102016958</v>
      </c>
      <c r="I8" s="17">
        <f t="shared" si="1"/>
        <v>0.77218348006106419</v>
      </c>
      <c r="J8" s="17">
        <f t="shared" si="1"/>
        <v>0.75131480090157754</v>
      </c>
      <c r="K8" s="17">
        <f t="shared" si="1"/>
        <v>0.73119138130095018</v>
      </c>
      <c r="L8" s="17">
        <f t="shared" si="1"/>
        <v>0.71178024781341087</v>
      </c>
      <c r="M8" s="17">
        <f t="shared" si="1"/>
        <v>0.69305016227769578</v>
      </c>
      <c r="N8" s="17">
        <f t="shared" si="1"/>
        <v>0.67497151620201612</v>
      </c>
      <c r="O8" s="17">
        <f t="shared" si="1"/>
        <v>0.65751623243198831</v>
      </c>
    </row>
    <row r="9" spans="1:15" x14ac:dyDescent="0.25">
      <c r="A9" s="21">
        <v>4</v>
      </c>
      <c r="B9" s="16">
        <f t="shared" si="1"/>
        <v>0.9238454260265142</v>
      </c>
      <c r="C9" s="16">
        <f t="shared" si="1"/>
        <v>0.888487047915689</v>
      </c>
      <c r="D9" s="16">
        <f t="shared" si="1"/>
        <v>0.85480419102972571</v>
      </c>
      <c r="E9" s="16">
        <f t="shared" si="1"/>
        <v>0.82270247479188197</v>
      </c>
      <c r="F9" s="16">
        <f t="shared" si="1"/>
        <v>0.79209366323802044</v>
      </c>
      <c r="G9" s="16">
        <f t="shared" si="1"/>
        <v>0.7628952120475252</v>
      </c>
      <c r="H9" s="16">
        <f t="shared" si="1"/>
        <v>0.73502985279645328</v>
      </c>
      <c r="I9" s="16">
        <f t="shared" si="1"/>
        <v>0.7084252110651964</v>
      </c>
      <c r="J9" s="16">
        <f t="shared" si="1"/>
        <v>0.68301345536507052</v>
      </c>
      <c r="K9" s="16">
        <f t="shared" si="1"/>
        <v>0.65873097414500015</v>
      </c>
      <c r="L9" s="16">
        <f t="shared" si="1"/>
        <v>0.63551807840483121</v>
      </c>
      <c r="M9" s="16">
        <f t="shared" si="1"/>
        <v>0.61331872767937679</v>
      </c>
      <c r="N9" s="16">
        <f t="shared" si="1"/>
        <v>0.59208027737018942</v>
      </c>
      <c r="O9" s="16">
        <f t="shared" si="1"/>
        <v>0.57175324559303342</v>
      </c>
    </row>
    <row r="10" spans="1:15" x14ac:dyDescent="0.25">
      <c r="A10" s="22">
        <v>5</v>
      </c>
      <c r="B10" s="17">
        <f t="shared" si="1"/>
        <v>0.90573080982991594</v>
      </c>
      <c r="C10" s="17">
        <f t="shared" si="1"/>
        <v>0.86260878438416411</v>
      </c>
      <c r="D10" s="17">
        <f t="shared" si="1"/>
        <v>0.82192710675935154</v>
      </c>
      <c r="E10" s="17">
        <f t="shared" si="1"/>
        <v>0.78352616646845896</v>
      </c>
      <c r="F10" s="17">
        <f t="shared" si="1"/>
        <v>0.74725817286605689</v>
      </c>
      <c r="G10" s="17">
        <f t="shared" si="1"/>
        <v>0.71298617948366838</v>
      </c>
      <c r="H10" s="17">
        <f t="shared" si="1"/>
        <v>0.68058319703375303</v>
      </c>
      <c r="I10" s="17">
        <f t="shared" si="1"/>
        <v>0.64993138629834524</v>
      </c>
      <c r="J10" s="17">
        <f t="shared" si="1"/>
        <v>0.62092132305915493</v>
      </c>
      <c r="K10" s="17">
        <f t="shared" si="1"/>
        <v>0.5934513280585586</v>
      </c>
      <c r="L10" s="17">
        <f t="shared" si="1"/>
        <v>0.56742685571859919</v>
      </c>
      <c r="M10" s="17">
        <f t="shared" si="1"/>
        <v>0.54275993599944861</v>
      </c>
      <c r="N10" s="17">
        <f t="shared" si="1"/>
        <v>0.51936866435981521</v>
      </c>
      <c r="O10" s="17">
        <f t="shared" si="1"/>
        <v>0.49717673529828987</v>
      </c>
    </row>
    <row r="11" spans="1:15" x14ac:dyDescent="0.25">
      <c r="A11" s="21">
        <v>6</v>
      </c>
      <c r="B11" s="16">
        <f t="shared" si="1"/>
        <v>0.88797138218619198</v>
      </c>
      <c r="C11" s="16">
        <f t="shared" si="1"/>
        <v>0.83748425668365445</v>
      </c>
      <c r="D11" s="16">
        <f t="shared" si="1"/>
        <v>0.79031452573014571</v>
      </c>
      <c r="E11" s="16">
        <f t="shared" si="1"/>
        <v>0.74621539663662761</v>
      </c>
      <c r="F11" s="16">
        <f t="shared" si="1"/>
        <v>0.70496054043967626</v>
      </c>
      <c r="G11" s="16">
        <f t="shared" si="1"/>
        <v>0.66634222381651254</v>
      </c>
      <c r="H11" s="16">
        <f t="shared" si="1"/>
        <v>0.63016962688310452</v>
      </c>
      <c r="I11" s="16">
        <f t="shared" si="1"/>
        <v>0.5962673268792158</v>
      </c>
      <c r="J11" s="16">
        <f t="shared" si="1"/>
        <v>0.56447393005377722</v>
      </c>
      <c r="K11" s="16">
        <f t="shared" si="1"/>
        <v>0.53464083608879154</v>
      </c>
      <c r="L11" s="16">
        <f t="shared" si="1"/>
        <v>0.50663112117732068</v>
      </c>
      <c r="M11" s="16">
        <f t="shared" si="1"/>
        <v>0.48031852743314046</v>
      </c>
      <c r="N11" s="16">
        <f t="shared" si="1"/>
        <v>0.45558654768404844</v>
      </c>
      <c r="O11" s="16">
        <f t="shared" si="1"/>
        <v>0.43232759591155645</v>
      </c>
    </row>
    <row r="12" spans="1:15" x14ac:dyDescent="0.25">
      <c r="A12" s="22">
        <v>7</v>
      </c>
      <c r="B12" s="17">
        <f t="shared" si="1"/>
        <v>0.87056017861391388</v>
      </c>
      <c r="C12" s="17">
        <f t="shared" si="1"/>
        <v>0.81309151134335378</v>
      </c>
      <c r="D12" s="17">
        <f t="shared" si="1"/>
        <v>0.75991781320206331</v>
      </c>
      <c r="E12" s="17">
        <f t="shared" si="1"/>
        <v>0.71068133013012147</v>
      </c>
      <c r="F12" s="17">
        <f t="shared" si="1"/>
        <v>0.66505711362233599</v>
      </c>
      <c r="G12" s="17">
        <f t="shared" si="1"/>
        <v>0.62274974188459109</v>
      </c>
      <c r="H12" s="17">
        <f t="shared" si="1"/>
        <v>0.58349039526213387</v>
      </c>
      <c r="I12" s="17">
        <f t="shared" si="1"/>
        <v>0.54703424484331731</v>
      </c>
      <c r="J12" s="17">
        <f t="shared" si="1"/>
        <v>0.51315811823070645</v>
      </c>
      <c r="K12" s="17">
        <f t="shared" si="1"/>
        <v>0.48165841089080319</v>
      </c>
      <c r="L12" s="17">
        <f t="shared" si="1"/>
        <v>0.45234921533689343</v>
      </c>
      <c r="M12" s="17">
        <f t="shared" si="1"/>
        <v>0.425060643746142</v>
      </c>
      <c r="N12" s="17">
        <f t="shared" si="1"/>
        <v>0.39963732252986695</v>
      </c>
      <c r="O12" s="17">
        <f t="shared" si="1"/>
        <v>0.37593703992309269</v>
      </c>
    </row>
    <row r="13" spans="1:15" x14ac:dyDescent="0.25">
      <c r="A13" s="21">
        <v>8</v>
      </c>
      <c r="B13" s="16">
        <f t="shared" si="1"/>
        <v>0.85349037119011162</v>
      </c>
      <c r="C13" s="16">
        <f t="shared" si="1"/>
        <v>0.78940923431393573</v>
      </c>
      <c r="D13" s="16">
        <f t="shared" si="1"/>
        <v>0.73069020500198378</v>
      </c>
      <c r="E13" s="16">
        <f t="shared" si="1"/>
        <v>0.67683936202868722</v>
      </c>
      <c r="F13" s="16">
        <f t="shared" si="1"/>
        <v>0.62741237134182648</v>
      </c>
      <c r="G13" s="16">
        <f t="shared" si="1"/>
        <v>0.5820091045650384</v>
      </c>
      <c r="H13" s="16">
        <f t="shared" si="1"/>
        <v>0.54026888450197574</v>
      </c>
      <c r="I13" s="16">
        <f t="shared" si="1"/>
        <v>0.50186627967276809</v>
      </c>
      <c r="J13" s="16">
        <f t="shared" si="1"/>
        <v>0.46650738020973315</v>
      </c>
      <c r="K13" s="16">
        <f t="shared" si="1"/>
        <v>0.43392649629802077</v>
      </c>
      <c r="L13" s="16">
        <f t="shared" si="1"/>
        <v>0.4038832279793691</v>
      </c>
      <c r="M13" s="16">
        <f t="shared" si="1"/>
        <v>0.37615986172224958</v>
      </c>
      <c r="N13" s="16">
        <f t="shared" si="1"/>
        <v>0.35055905485076044</v>
      </c>
      <c r="O13" s="16">
        <f t="shared" si="1"/>
        <v>0.32690177384616753</v>
      </c>
    </row>
    <row r="14" spans="1:15" x14ac:dyDescent="0.25">
      <c r="A14" s="22">
        <v>9</v>
      </c>
      <c r="B14" s="17">
        <f t="shared" si="1"/>
        <v>0.83675526587265847</v>
      </c>
      <c r="C14" s="17">
        <f t="shared" si="1"/>
        <v>0.76641673234362695</v>
      </c>
      <c r="D14" s="17">
        <f t="shared" si="1"/>
        <v>0.70258673557883045</v>
      </c>
      <c r="E14" s="17">
        <f t="shared" si="1"/>
        <v>0.64460891621779726</v>
      </c>
      <c r="F14" s="17">
        <f t="shared" si="1"/>
        <v>0.59189846353002495</v>
      </c>
      <c r="G14" s="17">
        <f t="shared" si="1"/>
        <v>0.54393374258414806</v>
      </c>
      <c r="H14" s="17">
        <f t="shared" si="1"/>
        <v>0.50024896713145905</v>
      </c>
      <c r="I14" s="17">
        <f t="shared" si="1"/>
        <v>0.46042777951630098</v>
      </c>
      <c r="J14" s="17">
        <f t="shared" si="1"/>
        <v>0.42409761837248466</v>
      </c>
      <c r="K14" s="17">
        <f t="shared" si="1"/>
        <v>0.39092477143965831</v>
      </c>
      <c r="L14" s="17">
        <f t="shared" si="1"/>
        <v>0.36061002498157957</v>
      </c>
      <c r="M14" s="17">
        <f t="shared" si="1"/>
        <v>0.33288483338252178</v>
      </c>
      <c r="N14" s="17">
        <f t="shared" si="1"/>
        <v>0.3075079428515442</v>
      </c>
      <c r="O14" s="17">
        <f t="shared" si="1"/>
        <v>0.28426241204014574</v>
      </c>
    </row>
    <row r="15" spans="1:15" x14ac:dyDescent="0.25">
      <c r="A15" s="21">
        <v>10</v>
      </c>
      <c r="B15" s="16">
        <f t="shared" si="1"/>
        <v>0.82034829987515534</v>
      </c>
      <c r="C15" s="16">
        <f t="shared" si="1"/>
        <v>0.74409391489672516</v>
      </c>
      <c r="D15" s="16">
        <f t="shared" si="1"/>
        <v>0.67556416882579851</v>
      </c>
      <c r="E15" s="16">
        <f t="shared" si="1"/>
        <v>0.61391325354075932</v>
      </c>
      <c r="F15" s="16">
        <f t="shared" si="1"/>
        <v>0.55839477691511785</v>
      </c>
      <c r="G15" s="16">
        <f t="shared" si="1"/>
        <v>0.5083492921347178</v>
      </c>
      <c r="H15" s="16">
        <f t="shared" si="1"/>
        <v>0.46319348808468425</v>
      </c>
      <c r="I15" s="16">
        <f t="shared" si="1"/>
        <v>0.42241080689568894</v>
      </c>
      <c r="J15" s="16">
        <f t="shared" si="1"/>
        <v>0.38554328942953148</v>
      </c>
      <c r="K15" s="16">
        <f t="shared" si="1"/>
        <v>0.3521844787744669</v>
      </c>
      <c r="L15" s="16">
        <f t="shared" si="1"/>
        <v>0.32197323659069599</v>
      </c>
      <c r="M15" s="16">
        <f t="shared" si="1"/>
        <v>0.2945883481261255</v>
      </c>
      <c r="N15" s="16">
        <f t="shared" si="1"/>
        <v>0.26974380951889843</v>
      </c>
      <c r="O15" s="16">
        <f t="shared" si="1"/>
        <v>0.24718470612186585</v>
      </c>
    </row>
    <row r="16" spans="1:15" x14ac:dyDescent="0.25">
      <c r="A16" s="22">
        <v>11</v>
      </c>
      <c r="B16" s="17">
        <f t="shared" si="1"/>
        <v>0.80426303909328967</v>
      </c>
      <c r="C16" s="17">
        <f t="shared" si="1"/>
        <v>0.72242127659876232</v>
      </c>
      <c r="D16" s="17">
        <f t="shared" si="1"/>
        <v>0.6495809315632679</v>
      </c>
      <c r="E16" s="17">
        <f t="shared" si="1"/>
        <v>0.5846792890864374</v>
      </c>
      <c r="F16" s="17">
        <f t="shared" si="1"/>
        <v>0.52678752539162055</v>
      </c>
      <c r="G16" s="17">
        <f t="shared" si="1"/>
        <v>0.47509279638758667</v>
      </c>
      <c r="H16" s="17">
        <f t="shared" si="1"/>
        <v>0.42888285933767062</v>
      </c>
      <c r="I16" s="17">
        <f t="shared" si="1"/>
        <v>0.38753285036301738</v>
      </c>
      <c r="J16" s="17">
        <f t="shared" si="1"/>
        <v>0.3504938994813922</v>
      </c>
      <c r="K16" s="17">
        <f t="shared" si="1"/>
        <v>0.31728331421123146</v>
      </c>
      <c r="L16" s="17">
        <f t="shared" si="1"/>
        <v>0.28747610409883567</v>
      </c>
      <c r="M16" s="17">
        <f t="shared" si="1"/>
        <v>0.26069765320896066</v>
      </c>
      <c r="N16" s="17">
        <f t="shared" si="1"/>
        <v>0.23661737677096348</v>
      </c>
      <c r="O16" s="17">
        <f t="shared" si="1"/>
        <v>0.21494322271466598</v>
      </c>
    </row>
    <row r="17" spans="1:15" x14ac:dyDescent="0.25">
      <c r="A17" s="21">
        <v>12</v>
      </c>
      <c r="B17" s="16">
        <f t="shared" si="1"/>
        <v>0.78849317558165644</v>
      </c>
      <c r="C17" s="16">
        <f t="shared" si="1"/>
        <v>0.70137988019297326</v>
      </c>
      <c r="D17" s="16">
        <f t="shared" si="1"/>
        <v>0.62459704958006512</v>
      </c>
      <c r="E17" s="16">
        <f t="shared" si="1"/>
        <v>0.5568374181775595</v>
      </c>
      <c r="F17" s="16">
        <f t="shared" si="1"/>
        <v>0.4969693635770005</v>
      </c>
      <c r="G17" s="16">
        <f t="shared" si="1"/>
        <v>0.44401195924073528</v>
      </c>
      <c r="H17" s="16">
        <f t="shared" si="1"/>
        <v>0.39711375864599124</v>
      </c>
      <c r="I17" s="16">
        <f t="shared" si="1"/>
        <v>0.35553472510368567</v>
      </c>
      <c r="J17" s="16">
        <f t="shared" si="1"/>
        <v>0.31863081771035656</v>
      </c>
      <c r="K17" s="16">
        <f t="shared" si="1"/>
        <v>0.28584082361372198</v>
      </c>
      <c r="L17" s="16">
        <f t="shared" si="1"/>
        <v>0.25667509294538904</v>
      </c>
      <c r="M17" s="16">
        <f t="shared" si="1"/>
        <v>0.23070588779554044</v>
      </c>
      <c r="N17" s="16">
        <f t="shared" si="1"/>
        <v>0.20755910243066969</v>
      </c>
      <c r="O17" s="16">
        <f t="shared" si="1"/>
        <v>0.18690715018666609</v>
      </c>
    </row>
    <row r="18" spans="1:15" x14ac:dyDescent="0.25">
      <c r="A18" s="22">
        <v>13</v>
      </c>
      <c r="B18" s="17">
        <f t="shared" si="1"/>
        <v>0.77303252508005538</v>
      </c>
      <c r="C18" s="17">
        <f t="shared" si="1"/>
        <v>0.68095133999317792</v>
      </c>
      <c r="D18" s="17">
        <f t="shared" si="1"/>
        <v>0.600574086134678</v>
      </c>
      <c r="E18" s="17">
        <f t="shared" si="1"/>
        <v>0.53032135064529462</v>
      </c>
      <c r="F18" s="17">
        <f t="shared" si="1"/>
        <v>0.46883902224245327</v>
      </c>
      <c r="G18" s="17">
        <f t="shared" si="1"/>
        <v>0.41496444788853759</v>
      </c>
      <c r="H18" s="17">
        <f t="shared" si="1"/>
        <v>0.36769792467221413</v>
      </c>
      <c r="I18" s="17">
        <f t="shared" si="1"/>
        <v>0.32617864688411524</v>
      </c>
      <c r="J18" s="17">
        <f t="shared" si="1"/>
        <v>0.28966437973668779</v>
      </c>
      <c r="K18" s="17">
        <f t="shared" si="1"/>
        <v>0.25751425550785767</v>
      </c>
      <c r="L18" s="17">
        <f t="shared" si="1"/>
        <v>0.22917419012981158</v>
      </c>
      <c r="M18" s="17">
        <f t="shared" si="1"/>
        <v>0.20416450247392959</v>
      </c>
      <c r="N18" s="17">
        <f t="shared" si="1"/>
        <v>0.18206938809707865</v>
      </c>
      <c r="O18" s="17">
        <f t="shared" si="1"/>
        <v>0.16252795668405748</v>
      </c>
    </row>
    <row r="19" spans="1:15" x14ac:dyDescent="0.25">
      <c r="A19" s="21">
        <v>14</v>
      </c>
      <c r="B19" s="16">
        <f t="shared" si="1"/>
        <v>0.75787502458828948</v>
      </c>
      <c r="C19" s="16">
        <f t="shared" si="1"/>
        <v>0.66111780581861923</v>
      </c>
      <c r="D19" s="16">
        <f t="shared" si="1"/>
        <v>0.57747508282180582</v>
      </c>
      <c r="E19" s="16">
        <f t="shared" si="1"/>
        <v>0.50506795299551888</v>
      </c>
      <c r="F19" s="16">
        <f t="shared" si="1"/>
        <v>0.44230096437967292</v>
      </c>
      <c r="G19" s="16">
        <f t="shared" si="1"/>
        <v>0.3878172410173249</v>
      </c>
      <c r="H19" s="16">
        <f t="shared" si="1"/>
        <v>0.34046104136316119</v>
      </c>
      <c r="I19" s="16">
        <f t="shared" si="1"/>
        <v>0.29924646503129837</v>
      </c>
      <c r="J19" s="16">
        <f t="shared" si="1"/>
        <v>0.26333125430607973</v>
      </c>
      <c r="K19" s="16">
        <f t="shared" si="1"/>
        <v>0.23199482478185374</v>
      </c>
      <c r="L19" s="16">
        <f t="shared" si="1"/>
        <v>0.20461981261590317</v>
      </c>
      <c r="M19" s="16">
        <f t="shared" si="1"/>
        <v>0.18067655086188467</v>
      </c>
      <c r="N19" s="16">
        <f t="shared" si="1"/>
        <v>0.15970998955884091</v>
      </c>
      <c r="O19" s="16">
        <f t="shared" si="1"/>
        <v>0.14132865798613695</v>
      </c>
    </row>
    <row r="20" spans="1:15" x14ac:dyDescent="0.25">
      <c r="A20" s="22">
        <v>15</v>
      </c>
      <c r="B20" s="17">
        <f t="shared" si="1"/>
        <v>0.74301472998851925</v>
      </c>
      <c r="C20" s="17">
        <f t="shared" si="1"/>
        <v>0.64186194739671765</v>
      </c>
      <c r="D20" s="17">
        <f t="shared" si="1"/>
        <v>0.55526450271327477</v>
      </c>
      <c r="E20" s="17">
        <f t="shared" si="1"/>
        <v>0.48101709809097021</v>
      </c>
      <c r="F20" s="17">
        <f t="shared" si="1"/>
        <v>0.41726506073554037</v>
      </c>
      <c r="G20" s="17">
        <f t="shared" si="1"/>
        <v>0.36244601964235967</v>
      </c>
      <c r="H20" s="17">
        <f t="shared" si="1"/>
        <v>0.31524170496588994</v>
      </c>
      <c r="I20" s="17">
        <f t="shared" si="1"/>
        <v>0.27453804131311776</v>
      </c>
      <c r="J20" s="17">
        <f t="shared" si="1"/>
        <v>0.23939204936916339</v>
      </c>
      <c r="K20" s="17">
        <f t="shared" si="1"/>
        <v>0.2090043466503187</v>
      </c>
      <c r="L20" s="17">
        <f t="shared" si="1"/>
        <v>0.18269626126419927</v>
      </c>
      <c r="M20" s="17">
        <f t="shared" si="1"/>
        <v>0.15989075297511918</v>
      </c>
      <c r="N20" s="17">
        <f t="shared" si="1"/>
        <v>0.1400964820691587</v>
      </c>
      <c r="O20" s="17">
        <f t="shared" si="1"/>
        <v>0.1228944852053365</v>
      </c>
    </row>
    <row r="21" spans="1:15" x14ac:dyDescent="0.25">
      <c r="A21" s="21">
        <v>16</v>
      </c>
      <c r="B21" s="16">
        <f t="shared" si="1"/>
        <v>0.72844581371423445</v>
      </c>
      <c r="C21" s="16">
        <f t="shared" si="1"/>
        <v>0.62316693922011435</v>
      </c>
      <c r="D21" s="16">
        <f t="shared" si="1"/>
        <v>0.53390817568584104</v>
      </c>
      <c r="E21" s="16">
        <f t="shared" si="1"/>
        <v>0.45811152199140021</v>
      </c>
      <c r="F21" s="16">
        <f t="shared" si="1"/>
        <v>0.39364628371277405</v>
      </c>
      <c r="G21" s="16">
        <f t="shared" si="1"/>
        <v>0.33873459779659787</v>
      </c>
      <c r="H21" s="16">
        <f t="shared" si="1"/>
        <v>0.29189046756100923</v>
      </c>
      <c r="I21" s="16">
        <f t="shared" si="1"/>
        <v>0.2518697626725851</v>
      </c>
      <c r="J21" s="16">
        <f t="shared" si="1"/>
        <v>0.21762913579014853</v>
      </c>
      <c r="K21" s="16">
        <f t="shared" si="1"/>
        <v>0.18829220418947626</v>
      </c>
      <c r="L21" s="16">
        <f t="shared" si="1"/>
        <v>0.16312166184303503</v>
      </c>
      <c r="M21" s="16">
        <f t="shared" si="1"/>
        <v>0.14149624157090193</v>
      </c>
      <c r="N21" s="16">
        <f t="shared" si="1"/>
        <v>0.12289165093785848</v>
      </c>
      <c r="O21" s="16">
        <f t="shared" si="1"/>
        <v>0.10686476974377089</v>
      </c>
    </row>
    <row r="22" spans="1:15" x14ac:dyDescent="0.25">
      <c r="A22" s="22">
        <v>17</v>
      </c>
      <c r="B22" s="17">
        <f t="shared" si="1"/>
        <v>0.7141625624649357</v>
      </c>
      <c r="C22" s="17">
        <f t="shared" si="1"/>
        <v>0.60501644584477121</v>
      </c>
      <c r="D22" s="17">
        <f t="shared" si="1"/>
        <v>0.51337324585177024</v>
      </c>
      <c r="E22" s="17">
        <f t="shared" si="1"/>
        <v>0.43629668761085727</v>
      </c>
      <c r="F22" s="17">
        <f t="shared" si="1"/>
        <v>0.37136441859695657</v>
      </c>
      <c r="G22" s="17">
        <f t="shared" si="1"/>
        <v>0.31657439046411018</v>
      </c>
      <c r="H22" s="17">
        <f t="shared" si="1"/>
        <v>0.27026895144537894</v>
      </c>
      <c r="I22" s="17">
        <f t="shared" si="1"/>
        <v>0.23107317676383954</v>
      </c>
      <c r="J22" s="17">
        <f t="shared" si="1"/>
        <v>0.19784466890013502</v>
      </c>
      <c r="K22" s="17">
        <f t="shared" ref="C22:O37" si="2">1/(1+K$4%)^$A22</f>
        <v>0.16963261638691554</v>
      </c>
      <c r="L22" s="17">
        <f t="shared" si="2"/>
        <v>0.14564434093128129</v>
      </c>
      <c r="M22" s="17">
        <f t="shared" si="2"/>
        <v>0.12521791289460349</v>
      </c>
      <c r="N22" s="17">
        <f t="shared" si="2"/>
        <v>0.107799693805139</v>
      </c>
      <c r="O22" s="17">
        <f t="shared" si="2"/>
        <v>9.2925886733713825E-2</v>
      </c>
    </row>
    <row r="23" spans="1:15" x14ac:dyDescent="0.25">
      <c r="A23" s="21">
        <v>18</v>
      </c>
      <c r="B23" s="16">
        <f t="shared" si="1"/>
        <v>0.7001593749656233</v>
      </c>
      <c r="C23" s="16">
        <f t="shared" si="2"/>
        <v>0.5873946076162827</v>
      </c>
      <c r="D23" s="16">
        <f t="shared" si="2"/>
        <v>0.49362812101131748</v>
      </c>
      <c r="E23" s="16">
        <f t="shared" si="2"/>
        <v>0.41552065486748313</v>
      </c>
      <c r="F23" s="16">
        <f t="shared" si="2"/>
        <v>0.35034379112920433</v>
      </c>
      <c r="G23" s="16">
        <f t="shared" si="2"/>
        <v>0.29586391632159825</v>
      </c>
      <c r="H23" s="16">
        <f t="shared" si="2"/>
        <v>0.25024902911609154</v>
      </c>
      <c r="I23" s="16">
        <f t="shared" si="2"/>
        <v>0.21199374015031147</v>
      </c>
      <c r="J23" s="16">
        <f t="shared" si="2"/>
        <v>0.17985878990921364</v>
      </c>
      <c r="K23" s="16">
        <f t="shared" si="2"/>
        <v>0.15282217692514913</v>
      </c>
      <c r="L23" s="16">
        <f t="shared" si="2"/>
        <v>0.13003959011721541</v>
      </c>
      <c r="M23" s="16">
        <f t="shared" si="2"/>
        <v>0.1108123122961093</v>
      </c>
      <c r="N23" s="16">
        <f t="shared" si="2"/>
        <v>9.4561134916788581E-2</v>
      </c>
      <c r="O23" s="16">
        <f t="shared" si="2"/>
        <v>8.0805118898881603E-2</v>
      </c>
    </row>
    <row r="24" spans="1:15" x14ac:dyDescent="0.25">
      <c r="A24" s="22">
        <v>19</v>
      </c>
      <c r="B24" s="17">
        <f t="shared" si="1"/>
        <v>0.68643075977021895</v>
      </c>
      <c r="C24" s="17">
        <f t="shared" si="2"/>
        <v>0.57028602681192497</v>
      </c>
      <c r="D24" s="17">
        <f t="shared" si="2"/>
        <v>0.47464242404934376</v>
      </c>
      <c r="E24" s="17">
        <f t="shared" si="2"/>
        <v>0.39573395701665059</v>
      </c>
      <c r="F24" s="17">
        <f t="shared" si="2"/>
        <v>0.3305130104992493</v>
      </c>
      <c r="G24" s="17">
        <f t="shared" si="2"/>
        <v>0.27650833301083949</v>
      </c>
      <c r="H24" s="17">
        <f t="shared" si="2"/>
        <v>0.23171206399638106</v>
      </c>
      <c r="I24" s="17">
        <f t="shared" si="2"/>
        <v>0.19448966986267105</v>
      </c>
      <c r="J24" s="17">
        <f t="shared" si="2"/>
        <v>0.16350799082655781</v>
      </c>
      <c r="K24" s="17">
        <f t="shared" si="2"/>
        <v>0.13767763686950371</v>
      </c>
      <c r="L24" s="17">
        <f t="shared" si="2"/>
        <v>0.1161067768903709</v>
      </c>
      <c r="M24" s="17">
        <f t="shared" si="2"/>
        <v>9.8063993182397627E-2</v>
      </c>
      <c r="N24" s="17">
        <f t="shared" si="2"/>
        <v>8.2948363962095248E-2</v>
      </c>
      <c r="O24" s="17">
        <f t="shared" si="2"/>
        <v>7.0265320781636179E-2</v>
      </c>
    </row>
    <row r="25" spans="1:15" x14ac:dyDescent="0.25">
      <c r="A25" s="21">
        <v>20</v>
      </c>
      <c r="B25" s="16">
        <f t="shared" si="1"/>
        <v>0.67297133310805779</v>
      </c>
      <c r="C25" s="16">
        <f t="shared" si="2"/>
        <v>0.55367575418633497</v>
      </c>
      <c r="D25" s="16">
        <f t="shared" si="2"/>
        <v>0.45638694620129205</v>
      </c>
      <c r="E25" s="16">
        <f t="shared" si="2"/>
        <v>0.37688948287300061</v>
      </c>
      <c r="F25" s="16">
        <f t="shared" si="2"/>
        <v>0.31180472688608429</v>
      </c>
      <c r="G25" s="16">
        <f t="shared" si="2"/>
        <v>0.2584190028138687</v>
      </c>
      <c r="H25" s="16">
        <f t="shared" si="2"/>
        <v>0.21454820740405653</v>
      </c>
      <c r="I25" s="16">
        <f t="shared" si="2"/>
        <v>0.17843088978226704</v>
      </c>
      <c r="J25" s="16">
        <f t="shared" si="2"/>
        <v>0.14864362802414349</v>
      </c>
      <c r="K25" s="16">
        <f t="shared" si="2"/>
        <v>0.12403390708964297</v>
      </c>
      <c r="L25" s="16">
        <f t="shared" si="2"/>
        <v>0.1036667650806883</v>
      </c>
      <c r="M25" s="16">
        <f t="shared" si="2"/>
        <v>8.678229485167932E-2</v>
      </c>
      <c r="N25" s="16">
        <f t="shared" si="2"/>
        <v>7.2761722773767745E-2</v>
      </c>
      <c r="O25" s="16">
        <f t="shared" si="2"/>
        <v>6.1100278940553199E-2</v>
      </c>
    </row>
    <row r="26" spans="1:15" x14ac:dyDescent="0.25">
      <c r="A26" s="22">
        <v>21</v>
      </c>
      <c r="B26" s="17">
        <f t="shared" si="1"/>
        <v>0.65977581677260566</v>
      </c>
      <c r="C26" s="17">
        <f t="shared" si="2"/>
        <v>0.5375492759090631</v>
      </c>
      <c r="D26" s="17">
        <f t="shared" si="2"/>
        <v>0.43883360211662686</v>
      </c>
      <c r="E26" s="17">
        <f t="shared" si="2"/>
        <v>0.35894236464095297</v>
      </c>
      <c r="F26" s="17">
        <f t="shared" si="2"/>
        <v>0.29415540272272095</v>
      </c>
      <c r="G26" s="17">
        <f t="shared" si="2"/>
        <v>0.24151308674193336</v>
      </c>
      <c r="H26" s="17">
        <f t="shared" si="2"/>
        <v>0.19865574759634863</v>
      </c>
      <c r="I26" s="17">
        <f t="shared" si="2"/>
        <v>0.16369806402042844</v>
      </c>
      <c r="J26" s="17">
        <f t="shared" si="2"/>
        <v>0.13513057093103953</v>
      </c>
      <c r="K26" s="17">
        <f t="shared" si="2"/>
        <v>0.11174225863931797</v>
      </c>
      <c r="L26" s="17">
        <f t="shared" si="2"/>
        <v>9.2559611679185971E-2</v>
      </c>
      <c r="M26" s="17">
        <f t="shared" si="2"/>
        <v>7.6798491019185247E-2</v>
      </c>
      <c r="N26" s="17">
        <f t="shared" si="2"/>
        <v>6.3826072608568193E-2</v>
      </c>
      <c r="O26" s="17">
        <f t="shared" si="2"/>
        <v>5.3130677339611479E-2</v>
      </c>
    </row>
    <row r="27" spans="1:15" x14ac:dyDescent="0.25">
      <c r="A27" s="21">
        <v>22</v>
      </c>
      <c r="B27" s="16">
        <f t="shared" si="1"/>
        <v>0.64683903605157411</v>
      </c>
      <c r="C27" s="16">
        <f t="shared" si="2"/>
        <v>0.52189250088258554</v>
      </c>
      <c r="D27" s="16">
        <f t="shared" si="2"/>
        <v>0.42195538665060278</v>
      </c>
      <c r="E27" s="16">
        <f t="shared" si="2"/>
        <v>0.3418498710866219</v>
      </c>
      <c r="F27" s="16">
        <f t="shared" si="2"/>
        <v>0.27750509690822728</v>
      </c>
      <c r="G27" s="16">
        <f t="shared" si="2"/>
        <v>0.22571316517937698</v>
      </c>
      <c r="H27" s="16">
        <f t="shared" si="2"/>
        <v>0.18394050703365611</v>
      </c>
      <c r="I27" s="16">
        <f t="shared" si="2"/>
        <v>0.15018171011048481</v>
      </c>
      <c r="J27" s="16">
        <f t="shared" si="2"/>
        <v>0.12284597357367227</v>
      </c>
      <c r="K27" s="16">
        <f t="shared" si="2"/>
        <v>0.10066870147686303</v>
      </c>
      <c r="L27" s="16">
        <f t="shared" si="2"/>
        <v>8.2642510427844609E-2</v>
      </c>
      <c r="M27" s="16">
        <f t="shared" si="2"/>
        <v>6.796326638865953E-2</v>
      </c>
      <c r="N27" s="16">
        <f t="shared" si="2"/>
        <v>5.5987782989972097E-2</v>
      </c>
      <c r="O27" s="16">
        <f t="shared" si="2"/>
        <v>4.6200588990966504E-2</v>
      </c>
    </row>
    <row r="28" spans="1:15" x14ac:dyDescent="0.25">
      <c r="A28" s="22">
        <v>23</v>
      </c>
      <c r="B28" s="17">
        <f t="shared" si="1"/>
        <v>0.63415591769762181</v>
      </c>
      <c r="C28" s="17">
        <f t="shared" si="2"/>
        <v>0.50669174842969467</v>
      </c>
      <c r="D28" s="17">
        <f t="shared" si="2"/>
        <v>0.40572633331788732</v>
      </c>
      <c r="E28" s="17">
        <f t="shared" si="2"/>
        <v>0.32557130579678267</v>
      </c>
      <c r="F28" s="17">
        <f t="shared" si="2"/>
        <v>0.26179726123417668</v>
      </c>
      <c r="G28" s="17">
        <f t="shared" si="2"/>
        <v>0.21094688334521211</v>
      </c>
      <c r="H28" s="17">
        <f t="shared" si="2"/>
        <v>0.17031528429042234</v>
      </c>
      <c r="I28" s="17">
        <f t="shared" si="2"/>
        <v>0.13778138542246313</v>
      </c>
      <c r="J28" s="17">
        <f t="shared" si="2"/>
        <v>0.11167815779424752</v>
      </c>
      <c r="K28" s="17">
        <f t="shared" si="2"/>
        <v>9.0692523853029769E-2</v>
      </c>
      <c r="L28" s="17">
        <f t="shared" si="2"/>
        <v>7.3787955739146982E-2</v>
      </c>
      <c r="M28" s="17">
        <f t="shared" si="2"/>
        <v>6.0144483529787192E-2</v>
      </c>
      <c r="N28" s="17">
        <f t="shared" si="2"/>
        <v>4.9112090342080778E-2</v>
      </c>
      <c r="O28" s="17">
        <f t="shared" si="2"/>
        <v>4.0174425209536097E-2</v>
      </c>
    </row>
    <row r="29" spans="1:15" x14ac:dyDescent="0.25">
      <c r="A29" s="21">
        <v>24</v>
      </c>
      <c r="B29" s="16">
        <f t="shared" si="1"/>
        <v>0.62172148793884485</v>
      </c>
      <c r="C29" s="16">
        <f t="shared" si="2"/>
        <v>0.49193373633950943</v>
      </c>
      <c r="D29" s="16">
        <f t="shared" si="2"/>
        <v>0.39012147434412242</v>
      </c>
      <c r="E29" s="16">
        <f t="shared" si="2"/>
        <v>0.31006791028265024</v>
      </c>
      <c r="F29" s="16">
        <f t="shared" si="2"/>
        <v>0.24697854833412897</v>
      </c>
      <c r="G29" s="16">
        <f t="shared" si="2"/>
        <v>0.19714661994879637</v>
      </c>
      <c r="H29" s="16">
        <f t="shared" si="2"/>
        <v>0.1576993373059466</v>
      </c>
      <c r="I29" s="16">
        <f t="shared" si="2"/>
        <v>0.12640494075455333</v>
      </c>
      <c r="J29" s="16">
        <f t="shared" si="2"/>
        <v>0.10152559799477048</v>
      </c>
      <c r="K29" s="16">
        <f t="shared" si="2"/>
        <v>8.1704976444170935E-2</v>
      </c>
      <c r="L29" s="16">
        <f t="shared" si="2"/>
        <v>6.5882103338524081E-2</v>
      </c>
      <c r="M29" s="16">
        <f t="shared" si="2"/>
        <v>5.3225206663528493E-2</v>
      </c>
      <c r="N29" s="16">
        <f t="shared" si="2"/>
        <v>4.3080781001825233E-2</v>
      </c>
      <c r="O29" s="16">
        <f t="shared" si="2"/>
        <v>3.493428279090096E-2</v>
      </c>
    </row>
    <row r="30" spans="1:15" x14ac:dyDescent="0.25">
      <c r="A30" s="22">
        <v>25</v>
      </c>
      <c r="B30" s="17">
        <f t="shared" si="1"/>
        <v>0.60953087052827937</v>
      </c>
      <c r="C30" s="17">
        <f t="shared" si="2"/>
        <v>0.47760556926165965</v>
      </c>
      <c r="D30" s="17">
        <f t="shared" si="2"/>
        <v>0.37511680225396377</v>
      </c>
      <c r="E30" s="17">
        <f t="shared" si="2"/>
        <v>0.29530277169776209</v>
      </c>
      <c r="F30" s="17">
        <f t="shared" si="2"/>
        <v>0.23299863050389524</v>
      </c>
      <c r="G30" s="17">
        <f t="shared" si="2"/>
        <v>0.18424917752223957</v>
      </c>
      <c r="H30" s="17">
        <f t="shared" si="2"/>
        <v>0.1460179049129135</v>
      </c>
      <c r="I30" s="17">
        <f t="shared" si="2"/>
        <v>0.11596783555463605</v>
      </c>
      <c r="J30" s="17">
        <f t="shared" si="2"/>
        <v>9.2295998177064048E-2</v>
      </c>
      <c r="K30" s="17">
        <f t="shared" si="2"/>
        <v>7.3608086886640473E-2</v>
      </c>
      <c r="L30" s="17">
        <f t="shared" si="2"/>
        <v>5.8823306552253637E-2</v>
      </c>
      <c r="M30" s="17">
        <f t="shared" si="2"/>
        <v>4.7101952799582736E-2</v>
      </c>
      <c r="N30" s="17">
        <f t="shared" si="2"/>
        <v>3.779015877353091E-2</v>
      </c>
      <c r="O30" s="17">
        <f t="shared" si="2"/>
        <v>3.03776372094791E-2</v>
      </c>
    </row>
    <row r="31" spans="1:15" x14ac:dyDescent="0.25">
      <c r="A31" s="21">
        <v>26</v>
      </c>
      <c r="B31" s="16">
        <f t="shared" si="1"/>
        <v>0.59757928483164635</v>
      </c>
      <c r="C31" s="16">
        <f t="shared" si="2"/>
        <v>0.46369472743850448</v>
      </c>
      <c r="D31" s="16">
        <f t="shared" si="2"/>
        <v>0.36068923293650368</v>
      </c>
      <c r="E31" s="16">
        <f t="shared" si="2"/>
        <v>0.28124073495024959</v>
      </c>
      <c r="F31" s="16">
        <f t="shared" si="2"/>
        <v>0.21981002877725966</v>
      </c>
      <c r="G31" s="16">
        <f t="shared" si="2"/>
        <v>0.17219549301143888</v>
      </c>
      <c r="H31" s="16">
        <f t="shared" si="2"/>
        <v>0.13520176380825324</v>
      </c>
      <c r="I31" s="16">
        <f t="shared" si="2"/>
        <v>0.10639250968315234</v>
      </c>
      <c r="J31" s="16">
        <f t="shared" si="2"/>
        <v>8.3905452888240042E-2</v>
      </c>
      <c r="K31" s="16">
        <f t="shared" si="2"/>
        <v>6.6313591789766188E-2</v>
      </c>
      <c r="L31" s="16">
        <f t="shared" si="2"/>
        <v>5.2520809421655032E-2</v>
      </c>
      <c r="M31" s="16">
        <f t="shared" si="2"/>
        <v>4.1683144070427211E-2</v>
      </c>
      <c r="N31" s="16">
        <f t="shared" si="2"/>
        <v>3.3149262082044648E-2</v>
      </c>
      <c r="O31" s="16">
        <f t="shared" si="2"/>
        <v>2.6415336703894867E-2</v>
      </c>
    </row>
    <row r="32" spans="1:15" x14ac:dyDescent="0.25">
      <c r="A32" s="22">
        <v>27</v>
      </c>
      <c r="B32" s="17">
        <f t="shared" si="1"/>
        <v>0.58586204395259456</v>
      </c>
      <c r="C32" s="17">
        <f t="shared" si="2"/>
        <v>0.45018905576553836</v>
      </c>
      <c r="D32" s="17">
        <f t="shared" si="2"/>
        <v>0.3468165701312535</v>
      </c>
      <c r="E32" s="17">
        <f t="shared" si="2"/>
        <v>0.2678483190002377</v>
      </c>
      <c r="F32" s="17">
        <f t="shared" si="2"/>
        <v>0.20736795167666003</v>
      </c>
      <c r="G32" s="17">
        <f t="shared" si="2"/>
        <v>0.16093036730041013</v>
      </c>
      <c r="H32" s="17">
        <f t="shared" si="2"/>
        <v>0.12518681834097523</v>
      </c>
      <c r="I32" s="17">
        <f t="shared" si="2"/>
        <v>9.7607807048763609E-2</v>
      </c>
      <c r="J32" s="17">
        <f t="shared" si="2"/>
        <v>7.6277684443854576E-2</v>
      </c>
      <c r="K32" s="17">
        <f t="shared" si="2"/>
        <v>5.9741974585374946E-2</v>
      </c>
      <c r="L32" s="17">
        <f t="shared" si="2"/>
        <v>4.6893579840763415E-2</v>
      </c>
      <c r="M32" s="17">
        <f t="shared" si="2"/>
        <v>3.6887738115422314E-2</v>
      </c>
      <c r="N32" s="17">
        <f t="shared" si="2"/>
        <v>2.9078300071968988E-2</v>
      </c>
      <c r="O32" s="17">
        <f t="shared" si="2"/>
        <v>2.2969858003386846E-2</v>
      </c>
    </row>
    <row r="33" spans="1:15" x14ac:dyDescent="0.25">
      <c r="A33" s="21">
        <v>28</v>
      </c>
      <c r="B33" s="16">
        <f t="shared" si="1"/>
        <v>0.57437455289470041</v>
      </c>
      <c r="C33" s="16">
        <f t="shared" si="2"/>
        <v>0.4370767531704256</v>
      </c>
      <c r="D33" s="16">
        <f t="shared" si="2"/>
        <v>0.3334774712800514</v>
      </c>
      <c r="E33" s="16">
        <f t="shared" si="2"/>
        <v>0.25509363714308358</v>
      </c>
      <c r="F33" s="16">
        <f t="shared" si="2"/>
        <v>0.1956301430911887</v>
      </c>
      <c r="G33" s="16">
        <f t="shared" si="2"/>
        <v>0.15040221243028987</v>
      </c>
      <c r="H33" s="16">
        <f t="shared" si="2"/>
        <v>0.11591372068608817</v>
      </c>
      <c r="I33" s="16">
        <f t="shared" si="2"/>
        <v>8.954844683372809E-2</v>
      </c>
      <c r="J33" s="16">
        <f t="shared" si="2"/>
        <v>6.9343349494413245E-2</v>
      </c>
      <c r="K33" s="16">
        <f t="shared" si="2"/>
        <v>5.3821598725563004E-2</v>
      </c>
      <c r="L33" s="16">
        <f t="shared" si="2"/>
        <v>4.1869267714967337E-2</v>
      </c>
      <c r="M33" s="16">
        <f t="shared" si="2"/>
        <v>3.2644016031347187E-2</v>
      </c>
      <c r="N33" s="16">
        <f t="shared" si="2"/>
        <v>2.5507280764885072E-2</v>
      </c>
      <c r="O33" s="16">
        <f t="shared" si="2"/>
        <v>1.9973789568162478E-2</v>
      </c>
    </row>
    <row r="34" spans="1:15" x14ac:dyDescent="0.25">
      <c r="A34" s="22">
        <v>29</v>
      </c>
      <c r="B34" s="17">
        <f t="shared" si="1"/>
        <v>0.56311230675951029</v>
      </c>
      <c r="C34" s="17">
        <f t="shared" si="2"/>
        <v>0.42434636230138412</v>
      </c>
      <c r="D34" s="17">
        <f t="shared" si="2"/>
        <v>0.32065141469235708</v>
      </c>
      <c r="E34" s="17">
        <f t="shared" si="2"/>
        <v>0.24294632108865097</v>
      </c>
      <c r="F34" s="17">
        <f t="shared" si="2"/>
        <v>0.18455673876527234</v>
      </c>
      <c r="G34" s="17">
        <f t="shared" si="2"/>
        <v>0.1405628153554111</v>
      </c>
      <c r="H34" s="17">
        <f t="shared" si="2"/>
        <v>0.10732751915378534</v>
      </c>
      <c r="I34" s="17">
        <f t="shared" si="2"/>
        <v>8.2154538379567044E-2</v>
      </c>
      <c r="J34" s="17">
        <f t="shared" si="2"/>
        <v>6.3039408631284766E-2</v>
      </c>
      <c r="K34" s="17">
        <f t="shared" si="2"/>
        <v>4.8487926779786493E-2</v>
      </c>
      <c r="L34" s="17">
        <f t="shared" si="2"/>
        <v>3.7383274745506546E-2</v>
      </c>
      <c r="M34" s="17">
        <f t="shared" si="2"/>
        <v>2.8888509762254145E-2</v>
      </c>
      <c r="N34" s="17">
        <f t="shared" si="2"/>
        <v>2.2374807688495677E-2</v>
      </c>
      <c r="O34" s="17">
        <f t="shared" si="2"/>
        <v>1.7368512667967372E-2</v>
      </c>
    </row>
    <row r="35" spans="1:15" x14ac:dyDescent="0.25">
      <c r="A35" s="21">
        <v>30</v>
      </c>
      <c r="B35" s="16">
        <f t="shared" si="1"/>
        <v>0.55207088897991197</v>
      </c>
      <c r="C35" s="16">
        <f t="shared" si="2"/>
        <v>0.41198675951590691</v>
      </c>
      <c r="D35" s="16">
        <f t="shared" si="2"/>
        <v>0.30831866797342034</v>
      </c>
      <c r="E35" s="16">
        <f t="shared" si="2"/>
        <v>0.23137744865585813</v>
      </c>
      <c r="F35" s="16">
        <f t="shared" si="2"/>
        <v>0.17411013091063426</v>
      </c>
      <c r="G35" s="16">
        <f t="shared" si="2"/>
        <v>0.13136711715458982</v>
      </c>
      <c r="H35" s="16">
        <f t="shared" si="2"/>
        <v>9.9377332549801231E-2</v>
      </c>
      <c r="I35" s="16">
        <f t="shared" si="2"/>
        <v>7.5371136128043151E-2</v>
      </c>
      <c r="J35" s="16">
        <f t="shared" si="2"/>
        <v>5.7308553301167964E-2</v>
      </c>
      <c r="K35" s="16">
        <f t="shared" si="2"/>
        <v>4.3682816918726573E-2</v>
      </c>
      <c r="L35" s="16">
        <f t="shared" si="2"/>
        <v>3.3377923879916553E-2</v>
      </c>
      <c r="M35" s="16">
        <f t="shared" si="2"/>
        <v>2.556505288695058E-2</v>
      </c>
      <c r="N35" s="16">
        <f t="shared" si="2"/>
        <v>1.9627024288154101E-2</v>
      </c>
      <c r="O35" s="16">
        <f t="shared" si="2"/>
        <v>1.5103054493884669E-2</v>
      </c>
    </row>
    <row r="36" spans="1:15" x14ac:dyDescent="0.25">
      <c r="A36" s="22">
        <v>31</v>
      </c>
      <c r="B36" s="17">
        <f t="shared" si="1"/>
        <v>0.54124596958814919</v>
      </c>
      <c r="C36" s="17">
        <f t="shared" si="2"/>
        <v>0.39998714516107459</v>
      </c>
      <c r="D36" s="17">
        <f t="shared" si="2"/>
        <v>0.29646025766675027</v>
      </c>
      <c r="E36" s="17">
        <f t="shared" si="2"/>
        <v>0.220359474910341</v>
      </c>
      <c r="F36" s="17">
        <f t="shared" si="2"/>
        <v>0.16425484048173042</v>
      </c>
      <c r="G36" s="17">
        <f t="shared" si="2"/>
        <v>0.1227730066865325</v>
      </c>
      <c r="H36" s="17">
        <f t="shared" si="2"/>
        <v>9.2016048657223348E-2</v>
      </c>
      <c r="I36" s="17">
        <f t="shared" si="2"/>
        <v>6.914783131013133E-2</v>
      </c>
      <c r="J36" s="17">
        <f t="shared" si="2"/>
        <v>5.2098684819243603E-2</v>
      </c>
      <c r="K36" s="17">
        <f t="shared" si="2"/>
        <v>3.9353889115969883E-2</v>
      </c>
      <c r="L36" s="17">
        <f t="shared" si="2"/>
        <v>2.9801717749925499E-2</v>
      </c>
      <c r="M36" s="17">
        <f t="shared" si="2"/>
        <v>2.2623940607920865E-2</v>
      </c>
      <c r="N36" s="17">
        <f t="shared" si="2"/>
        <v>1.7216687972064999E-2</v>
      </c>
      <c r="O36" s="17">
        <f t="shared" si="2"/>
        <v>1.3133090864247542E-2</v>
      </c>
    </row>
    <row r="37" spans="1:15" x14ac:dyDescent="0.25">
      <c r="A37" s="21">
        <v>32</v>
      </c>
      <c r="B37" s="16">
        <f t="shared" si="1"/>
        <v>0.53063330351779314</v>
      </c>
      <c r="C37" s="16">
        <f t="shared" si="2"/>
        <v>0.38833703413696569</v>
      </c>
      <c r="D37" s="16">
        <f t="shared" si="2"/>
        <v>0.28505794006418295</v>
      </c>
      <c r="E37" s="16">
        <f t="shared" si="2"/>
        <v>0.20986616658127716</v>
      </c>
      <c r="F37" s="16">
        <f t="shared" si="2"/>
        <v>0.15495739668087777</v>
      </c>
      <c r="G37" s="16">
        <f t="shared" si="2"/>
        <v>0.11474112774442291</v>
      </c>
      <c r="H37" s="16">
        <f t="shared" si="2"/>
        <v>8.5200045052984577E-2</v>
      </c>
      <c r="I37" s="16">
        <f t="shared" si="2"/>
        <v>6.3438377348744343E-2</v>
      </c>
      <c r="J37" s="16">
        <f t="shared" si="2"/>
        <v>4.7362440744766907E-2</v>
      </c>
      <c r="K37" s="16">
        <f t="shared" si="2"/>
        <v>3.545395415853142E-2</v>
      </c>
      <c r="L37" s="16">
        <f t="shared" si="2"/>
        <v>2.6608676562433473E-2</v>
      </c>
      <c r="M37" s="16">
        <f t="shared" si="2"/>
        <v>2.0021186378691033E-2</v>
      </c>
      <c r="N37" s="16">
        <f t="shared" si="2"/>
        <v>1.5102357870232454E-2</v>
      </c>
      <c r="O37" s="16">
        <f t="shared" si="2"/>
        <v>1.1420079012389169E-2</v>
      </c>
    </row>
    <row r="38" spans="1:15" x14ac:dyDescent="0.25">
      <c r="A38" s="22">
        <v>33</v>
      </c>
      <c r="B38" s="17">
        <f t="shared" si="1"/>
        <v>0.52022872893901284</v>
      </c>
      <c r="C38" s="17">
        <f t="shared" ref="C38:O44" si="3">1/(1+C$4%)^$A38</f>
        <v>0.37702624673491814</v>
      </c>
      <c r="D38" s="17">
        <f t="shared" si="3"/>
        <v>0.27409417313863743</v>
      </c>
      <c r="E38" s="17">
        <f t="shared" si="3"/>
        <v>0.19987253960121634</v>
      </c>
      <c r="F38" s="17">
        <f t="shared" si="3"/>
        <v>0.14618622328384695</v>
      </c>
      <c r="G38" s="17">
        <f t="shared" si="3"/>
        <v>0.10723469882656347</v>
      </c>
      <c r="H38" s="17">
        <f t="shared" si="3"/>
        <v>7.8888930604615354E-2</v>
      </c>
      <c r="I38" s="17">
        <f t="shared" si="3"/>
        <v>5.8200346191508566E-2</v>
      </c>
      <c r="J38" s="17">
        <f t="shared" si="3"/>
        <v>4.3056764313424457E-2</v>
      </c>
      <c r="K38" s="17">
        <f t="shared" si="3"/>
        <v>3.1940499241920196E-2</v>
      </c>
      <c r="L38" s="17">
        <f t="shared" si="3"/>
        <v>2.3757746930744169E-2</v>
      </c>
      <c r="M38" s="17">
        <f t="shared" si="3"/>
        <v>1.771786405193897E-2</v>
      </c>
      <c r="N38" s="17">
        <f t="shared" si="3"/>
        <v>1.3247682342309167E-2</v>
      </c>
      <c r="O38" s="17">
        <f t="shared" si="3"/>
        <v>9.9305034890340618E-3</v>
      </c>
    </row>
    <row r="39" spans="1:15" x14ac:dyDescent="0.25">
      <c r="A39" s="21">
        <v>34</v>
      </c>
      <c r="B39" s="16">
        <f t="shared" si="1"/>
        <v>0.51002816562648323</v>
      </c>
      <c r="C39" s="16">
        <f t="shared" si="3"/>
        <v>0.36604489974263904</v>
      </c>
      <c r="D39" s="16">
        <f t="shared" si="3"/>
        <v>0.26355208955638215</v>
      </c>
      <c r="E39" s="16">
        <f t="shared" si="3"/>
        <v>0.19035479962020604</v>
      </c>
      <c r="F39" s="16">
        <f t="shared" si="3"/>
        <v>0.1379115313998556</v>
      </c>
      <c r="G39" s="16">
        <f t="shared" si="3"/>
        <v>0.10021934469772288</v>
      </c>
      <c r="H39" s="16">
        <f t="shared" si="3"/>
        <v>7.3045306115384581E-2</v>
      </c>
      <c r="I39" s="16">
        <f t="shared" si="3"/>
        <v>5.3394813019732625E-2</v>
      </c>
      <c r="J39" s="16">
        <f t="shared" si="3"/>
        <v>3.9142513012204054E-2</v>
      </c>
      <c r="K39" s="16">
        <f t="shared" si="3"/>
        <v>2.8775224542270446E-2</v>
      </c>
      <c r="L39" s="16">
        <f t="shared" si="3"/>
        <v>2.1212274045307292E-2</v>
      </c>
      <c r="M39" s="16">
        <f t="shared" si="3"/>
        <v>1.5679525709680505E-2</v>
      </c>
      <c r="N39" s="16">
        <f t="shared" si="3"/>
        <v>1.1620773984481724E-2</v>
      </c>
      <c r="O39" s="16">
        <f t="shared" si="3"/>
        <v>8.6352204252470102E-3</v>
      </c>
    </row>
    <row r="40" spans="1:15" x14ac:dyDescent="0.25">
      <c r="A40" s="22">
        <v>35</v>
      </c>
      <c r="B40" s="17">
        <f t="shared" si="1"/>
        <v>0.50002761335929735</v>
      </c>
      <c r="C40" s="17">
        <f t="shared" si="3"/>
        <v>0.35538339780838735</v>
      </c>
      <c r="D40" s="17">
        <f t="shared" si="3"/>
        <v>0.25341547072729048</v>
      </c>
      <c r="E40" s="17">
        <f t="shared" si="3"/>
        <v>0.18129028535257716</v>
      </c>
      <c r="F40" s="17">
        <f t="shared" si="3"/>
        <v>0.13010521830175056</v>
      </c>
      <c r="G40" s="17">
        <f t="shared" si="3"/>
        <v>9.366293896983445E-2</v>
      </c>
      <c r="H40" s="17">
        <f t="shared" si="3"/>
        <v>6.7634542699430159E-2</v>
      </c>
      <c r="I40" s="17">
        <f t="shared" si="3"/>
        <v>4.8986066990580383E-2</v>
      </c>
      <c r="J40" s="17">
        <f t="shared" si="3"/>
        <v>3.5584102738367311E-2</v>
      </c>
      <c r="K40" s="17">
        <f t="shared" si="3"/>
        <v>2.5923625713757153E-2</v>
      </c>
      <c r="L40" s="17">
        <f t="shared" si="3"/>
        <v>1.8939530397595796E-2</v>
      </c>
      <c r="M40" s="17">
        <f t="shared" si="3"/>
        <v>1.3875686468743813E-2</v>
      </c>
      <c r="N40" s="17">
        <f t="shared" si="3"/>
        <v>1.019366138989625E-2</v>
      </c>
      <c r="O40" s="17">
        <f t="shared" si="3"/>
        <v>7.5088873263017501E-3</v>
      </c>
    </row>
    <row r="41" spans="1:15" x14ac:dyDescent="0.25">
      <c r="A41" s="21">
        <v>36</v>
      </c>
      <c r="B41" s="16">
        <f t="shared" si="1"/>
        <v>0.49022315035225233</v>
      </c>
      <c r="C41" s="16">
        <f t="shared" si="3"/>
        <v>0.34503242505668674</v>
      </c>
      <c r="D41" s="16">
        <f t="shared" si="3"/>
        <v>0.24366872185316396</v>
      </c>
      <c r="E41" s="16">
        <f t="shared" si="3"/>
        <v>0.17265741462150208</v>
      </c>
      <c r="F41" s="16">
        <f t="shared" si="3"/>
        <v>0.12274077198278353</v>
      </c>
      <c r="G41" s="16">
        <f t="shared" si="3"/>
        <v>8.7535456981153698E-2</v>
      </c>
      <c r="H41" s="16">
        <f t="shared" si="3"/>
        <v>6.2624576573546434E-2</v>
      </c>
      <c r="I41" s="16">
        <f t="shared" si="3"/>
        <v>4.4941345862917786E-2</v>
      </c>
      <c r="J41" s="16">
        <f t="shared" si="3"/>
        <v>3.2349184307606652E-2</v>
      </c>
      <c r="K41" s="16">
        <f t="shared" si="3"/>
        <v>2.3354617760141583E-2</v>
      </c>
      <c r="L41" s="16">
        <f t="shared" si="3"/>
        <v>1.691029499785339E-2</v>
      </c>
      <c r="M41" s="16">
        <f t="shared" si="3"/>
        <v>1.2279368556410455E-2</v>
      </c>
      <c r="N41" s="16">
        <f t="shared" si="3"/>
        <v>8.9418082367510934E-3</v>
      </c>
      <c r="O41" s="16">
        <f t="shared" si="3"/>
        <v>6.5294672402623904E-3</v>
      </c>
    </row>
    <row r="42" spans="1:15" x14ac:dyDescent="0.25">
      <c r="A42" s="22">
        <v>37</v>
      </c>
      <c r="B42" s="17">
        <f t="shared" si="1"/>
        <v>0.48061093171789437</v>
      </c>
      <c r="C42" s="17">
        <f t="shared" si="3"/>
        <v>0.33498293694823961</v>
      </c>
      <c r="D42" s="17">
        <f t="shared" si="3"/>
        <v>0.23429684793573452</v>
      </c>
      <c r="E42" s="17">
        <f t="shared" si="3"/>
        <v>0.1644356329728591</v>
      </c>
      <c r="F42" s="17">
        <f t="shared" si="3"/>
        <v>0.11579318111583352</v>
      </c>
      <c r="G42" s="17">
        <f t="shared" si="3"/>
        <v>8.1808838300143641E-2</v>
      </c>
      <c r="H42" s="17">
        <f t="shared" si="3"/>
        <v>5.7985719049580033E-2</v>
      </c>
      <c r="I42" s="17">
        <f t="shared" si="3"/>
        <v>4.1230592534786961E-2</v>
      </c>
      <c r="J42" s="17">
        <f t="shared" si="3"/>
        <v>2.94083493705515E-2</v>
      </c>
      <c r="K42" s="17">
        <f t="shared" si="3"/>
        <v>2.1040196180307728E-2</v>
      </c>
      <c r="L42" s="17">
        <f t="shared" si="3"/>
        <v>1.5098477676654811E-2</v>
      </c>
      <c r="M42" s="17">
        <f t="shared" si="3"/>
        <v>1.0866697837531377E-2</v>
      </c>
      <c r="N42" s="17">
        <f t="shared" si="3"/>
        <v>7.8436914357465741E-3</v>
      </c>
      <c r="O42" s="17">
        <f t="shared" si="3"/>
        <v>5.6777976002281658E-3</v>
      </c>
    </row>
    <row r="43" spans="1:15" x14ac:dyDescent="0.25">
      <c r="A43" s="21">
        <v>38</v>
      </c>
      <c r="B43" s="16">
        <f t="shared" si="1"/>
        <v>0.47118718795871989</v>
      </c>
      <c r="C43" s="16">
        <f t="shared" si="3"/>
        <v>0.3252261523769317</v>
      </c>
      <c r="D43" s="16">
        <f t="shared" si="3"/>
        <v>0.22528543070743706</v>
      </c>
      <c r="E43" s="16">
        <f t="shared" si="3"/>
        <v>0.15660536473605632</v>
      </c>
      <c r="F43" s="16">
        <f t="shared" si="3"/>
        <v>0.10923885010927689</v>
      </c>
      <c r="G43" s="16">
        <f t="shared" si="3"/>
        <v>7.6456858224433308E-2</v>
      </c>
      <c r="H43" s="16">
        <f t="shared" si="3"/>
        <v>5.3690480601462989E-2</v>
      </c>
      <c r="I43" s="16">
        <f t="shared" si="3"/>
        <v>3.782623168329078E-2</v>
      </c>
      <c r="J43" s="16">
        <f t="shared" si="3"/>
        <v>2.6734863064137721E-2</v>
      </c>
      <c r="K43" s="16">
        <f t="shared" si="3"/>
        <v>1.8955131693970926E-2</v>
      </c>
      <c r="L43" s="16">
        <f t="shared" si="3"/>
        <v>1.3480783639870366E-2</v>
      </c>
      <c r="M43" s="16">
        <f t="shared" si="3"/>
        <v>9.6165467588773274E-3</v>
      </c>
      <c r="N43" s="16">
        <f t="shared" si="3"/>
        <v>6.8804310839882211E-3</v>
      </c>
      <c r="O43" s="16">
        <f t="shared" si="3"/>
        <v>4.937215304546232E-3</v>
      </c>
    </row>
    <row r="44" spans="1:15" x14ac:dyDescent="0.25">
      <c r="A44" s="22">
        <v>39</v>
      </c>
      <c r="B44" s="17">
        <f t="shared" si="1"/>
        <v>0.46194822348894127</v>
      </c>
      <c r="C44" s="17">
        <f t="shared" si="3"/>
        <v>0.31575354599702099</v>
      </c>
      <c r="D44" s="17">
        <f t="shared" si="3"/>
        <v>0.21662060644945874</v>
      </c>
      <c r="E44" s="17">
        <f t="shared" si="3"/>
        <v>0.14914796641529171</v>
      </c>
      <c r="F44" s="17">
        <f t="shared" si="3"/>
        <v>0.10305551897101592</v>
      </c>
      <c r="G44" s="17">
        <f t="shared" si="3"/>
        <v>7.1455007686386268E-2</v>
      </c>
      <c r="H44" s="17">
        <f t="shared" si="3"/>
        <v>4.9713407964317585E-2</v>
      </c>
      <c r="I44" s="17">
        <f t="shared" si="3"/>
        <v>3.4702964847055769E-2</v>
      </c>
      <c r="J44" s="17">
        <f t="shared" si="3"/>
        <v>2.4304420967397926E-2</v>
      </c>
      <c r="K44" s="17">
        <f t="shared" si="3"/>
        <v>1.7076695219793627E-2</v>
      </c>
      <c r="L44" s="17">
        <f t="shared" si="3"/>
        <v>1.2036413964169971E-2</v>
      </c>
      <c r="M44" s="17">
        <f t="shared" si="3"/>
        <v>8.5102183706879005E-3</v>
      </c>
      <c r="N44" s="17">
        <f t="shared" si="3"/>
        <v>6.0354658631475624E-3</v>
      </c>
      <c r="O44" s="17">
        <f t="shared" si="3"/>
        <v>4.2932306996054199E-3</v>
      </c>
    </row>
    <row r="45" spans="1:15" x14ac:dyDescent="0.25">
      <c r="A45" s="21">
        <v>40</v>
      </c>
      <c r="B45" s="16">
        <f t="shared" ref="B45:N45" si="4">1/(1+B$4%)^$A45</f>
        <v>0.45289041518523643</v>
      </c>
      <c r="C45" s="16">
        <f t="shared" si="4"/>
        <v>0.30655684077380685</v>
      </c>
      <c r="D45" s="16">
        <f t="shared" si="4"/>
        <v>0.20828904466294101</v>
      </c>
      <c r="E45" s="16">
        <f t="shared" si="4"/>
        <v>0.14204568230027784</v>
      </c>
      <c r="F45" s="16">
        <f t="shared" si="4"/>
        <v>9.7222187708505589E-2</v>
      </c>
      <c r="G45" s="16">
        <f t="shared" si="4"/>
        <v>6.6780381015314264E-2</v>
      </c>
      <c r="H45" s="16">
        <f t="shared" si="4"/>
        <v>4.6030933300294057E-2</v>
      </c>
      <c r="I45" s="16">
        <f t="shared" si="4"/>
        <v>3.1837582428491523E-2</v>
      </c>
      <c r="J45" s="16">
        <f t="shared" si="4"/>
        <v>2.2094928152179935E-2</v>
      </c>
      <c r="K45" s="16">
        <f t="shared" si="4"/>
        <v>1.5384410107922184E-2</v>
      </c>
      <c r="L45" s="16">
        <f t="shared" si="4"/>
        <v>1.0746798182294614E-2</v>
      </c>
      <c r="M45" s="16">
        <f t="shared" si="4"/>
        <v>7.5311666997238055E-3</v>
      </c>
      <c r="N45" s="16">
        <f t="shared" si="4"/>
        <v>5.2942683010066324E-3</v>
      </c>
      <c r="O45" s="16">
        <f>1/(1+O$4%)^$A45</f>
        <v>3.7332440866134084E-3</v>
      </c>
    </row>
  </sheetData>
  <sheetProtection sheet="1" objects="1" scenarios="1"/>
  <pageMargins left="0.7" right="0.7" top="0.75" bottom="0.7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indowProtection="1" workbookViewId="0">
      <selection activeCell="J4" sqref="J4"/>
    </sheetView>
  </sheetViews>
  <sheetFormatPr defaultRowHeight="15" x14ac:dyDescent="0.25"/>
  <cols>
    <col min="1" max="1" width="4.85546875" customWidth="1"/>
    <col min="2" max="12" width="6.5703125" bestFit="1" customWidth="1"/>
    <col min="13" max="15" width="7.5703125" bestFit="1" customWidth="1"/>
  </cols>
  <sheetData>
    <row r="1" spans="1:15" x14ac:dyDescent="0.25">
      <c r="A1" s="18" t="s">
        <v>36</v>
      </c>
    </row>
    <row r="2" spans="1:15" x14ac:dyDescent="0.25">
      <c r="A2" s="18" t="s">
        <v>37</v>
      </c>
      <c r="J2" t="s">
        <v>40</v>
      </c>
    </row>
    <row r="3" spans="1:15" x14ac:dyDescent="0.25">
      <c r="A3" s="18"/>
      <c r="J3" t="s">
        <v>44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1">
        <v>0</v>
      </c>
      <c r="B5" s="19">
        <f>+((1+B$4%)^$A5-1)/B$4%</f>
        <v>0</v>
      </c>
      <c r="C5" s="19">
        <f t="shared" ref="C5:O20" si="0">+((1+C$4%)^$A5-1)/C$4%</f>
        <v>0</v>
      </c>
      <c r="D5" s="19">
        <f t="shared" si="0"/>
        <v>0</v>
      </c>
      <c r="E5" s="19">
        <f t="shared" si="0"/>
        <v>0</v>
      </c>
      <c r="F5" s="19">
        <f t="shared" si="0"/>
        <v>0</v>
      </c>
      <c r="G5" s="19">
        <f t="shared" si="0"/>
        <v>0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</row>
    <row r="6" spans="1:15" x14ac:dyDescent="0.25">
      <c r="A6" s="22">
        <v>1</v>
      </c>
      <c r="B6" s="20">
        <f t="shared" ref="B6:O38" si="1">+((1+B$4%)^$A6-1)/B$4%</f>
        <v>1.0000000000000009</v>
      </c>
      <c r="C6" s="20">
        <f t="shared" si="0"/>
        <v>1.0000000000000009</v>
      </c>
      <c r="D6" s="20">
        <f t="shared" si="0"/>
        <v>1.0000000000000009</v>
      </c>
      <c r="E6" s="20">
        <f t="shared" si="0"/>
        <v>1.0000000000000009</v>
      </c>
      <c r="F6" s="20">
        <f t="shared" si="0"/>
        <v>1.0000000000000009</v>
      </c>
      <c r="G6" s="20">
        <f t="shared" si="0"/>
        <v>1.0000000000000009</v>
      </c>
      <c r="H6" s="20">
        <f t="shared" si="0"/>
        <v>1.0000000000000009</v>
      </c>
      <c r="I6" s="20">
        <f t="shared" si="0"/>
        <v>1.0000000000000009</v>
      </c>
      <c r="J6" s="20">
        <f t="shared" si="0"/>
        <v>1.0000000000000009</v>
      </c>
      <c r="K6" s="20">
        <f t="shared" si="0"/>
        <v>1.0000000000000009</v>
      </c>
      <c r="L6" s="20">
        <f t="shared" si="0"/>
        <v>1.0000000000000009</v>
      </c>
      <c r="M6" s="20">
        <f t="shared" si="0"/>
        <v>0.99999999999999911</v>
      </c>
      <c r="N6" s="20">
        <f t="shared" si="0"/>
        <v>1.0000000000000009</v>
      </c>
      <c r="O6" s="20">
        <f t="shared" si="0"/>
        <v>0.99999999999999944</v>
      </c>
    </row>
    <row r="7" spans="1:15" x14ac:dyDescent="0.25">
      <c r="A7" s="21">
        <v>2</v>
      </c>
      <c r="B7" s="19">
        <f t="shared" si="1"/>
        <v>2.0199999999999996</v>
      </c>
      <c r="C7" s="19">
        <f t="shared" si="0"/>
        <v>2.0299999999999985</v>
      </c>
      <c r="D7" s="19">
        <f t="shared" si="0"/>
        <v>2.0400000000000027</v>
      </c>
      <c r="E7" s="19">
        <f t="shared" si="0"/>
        <v>2.0500000000000007</v>
      </c>
      <c r="F7" s="19">
        <f t="shared" si="0"/>
        <v>2.0600000000000027</v>
      </c>
      <c r="G7" s="19">
        <f t="shared" si="0"/>
        <v>2.0700000000000003</v>
      </c>
      <c r="H7" s="19">
        <f t="shared" si="0"/>
        <v>2.0800000000000014</v>
      </c>
      <c r="I7" s="19">
        <f t="shared" si="0"/>
        <v>2.0900000000000016</v>
      </c>
      <c r="J7" s="19">
        <f t="shared" si="0"/>
        <v>2.1000000000000019</v>
      </c>
      <c r="K7" s="19">
        <f t="shared" si="0"/>
        <v>2.1100000000000017</v>
      </c>
      <c r="L7" s="19">
        <f t="shared" si="0"/>
        <v>2.1200000000000014</v>
      </c>
      <c r="M7" s="19">
        <f t="shared" si="0"/>
        <v>2.1299999999999977</v>
      </c>
      <c r="N7" s="19">
        <f t="shared" si="0"/>
        <v>2.1400000000000019</v>
      </c>
      <c r="O7" s="19">
        <f t="shared" si="0"/>
        <v>2.1499999999999986</v>
      </c>
    </row>
    <row r="8" spans="1:15" x14ac:dyDescent="0.25">
      <c r="A8" s="22">
        <v>3</v>
      </c>
      <c r="B8" s="20">
        <f t="shared" si="1"/>
        <v>3.0603999999999965</v>
      </c>
      <c r="C8" s="20">
        <f t="shared" si="0"/>
        <v>3.0909000000000004</v>
      </c>
      <c r="D8" s="20">
        <f t="shared" si="0"/>
        <v>3.1216000000000022</v>
      </c>
      <c r="E8" s="20">
        <f t="shared" si="0"/>
        <v>3.1525000000000025</v>
      </c>
      <c r="F8" s="20">
        <f t="shared" si="0"/>
        <v>3.1836000000000051</v>
      </c>
      <c r="G8" s="20">
        <f t="shared" si="0"/>
        <v>3.214900000000001</v>
      </c>
      <c r="H8" s="20">
        <f t="shared" si="0"/>
        <v>3.2464000000000022</v>
      </c>
      <c r="I8" s="20">
        <f t="shared" si="0"/>
        <v>3.2781000000000025</v>
      </c>
      <c r="J8" s="20">
        <f t="shared" si="0"/>
        <v>3.3100000000000041</v>
      </c>
      <c r="K8" s="20">
        <f t="shared" si="0"/>
        <v>3.3421000000000025</v>
      </c>
      <c r="L8" s="20">
        <f t="shared" si="0"/>
        <v>3.3744000000000036</v>
      </c>
      <c r="M8" s="20">
        <f t="shared" si="0"/>
        <v>3.4068999999999954</v>
      </c>
      <c r="N8" s="20">
        <f t="shared" si="0"/>
        <v>3.4396000000000027</v>
      </c>
      <c r="O8" s="20">
        <f t="shared" si="0"/>
        <v>3.472499999999997</v>
      </c>
    </row>
    <row r="9" spans="1:15" x14ac:dyDescent="0.25">
      <c r="A9" s="21">
        <v>4</v>
      </c>
      <c r="B9" s="19">
        <f t="shared" si="1"/>
        <v>4.1216079999999984</v>
      </c>
      <c r="C9" s="19">
        <f t="shared" si="0"/>
        <v>4.1836269999999978</v>
      </c>
      <c r="D9" s="19">
        <f t="shared" si="0"/>
        <v>4.2464640000000049</v>
      </c>
      <c r="E9" s="19">
        <f t="shared" si="0"/>
        <v>4.3101250000000002</v>
      </c>
      <c r="F9" s="19">
        <f t="shared" si="0"/>
        <v>4.3746160000000058</v>
      </c>
      <c r="G9" s="19">
        <f t="shared" si="0"/>
        <v>4.4399429999999995</v>
      </c>
      <c r="H9" s="19">
        <f t="shared" si="0"/>
        <v>4.5061120000000034</v>
      </c>
      <c r="I9" s="19">
        <f t="shared" si="0"/>
        <v>4.5731290000000033</v>
      </c>
      <c r="J9" s="19">
        <f t="shared" si="0"/>
        <v>4.6410000000000036</v>
      </c>
      <c r="K9" s="19">
        <f t="shared" si="0"/>
        <v>4.7097310000000041</v>
      </c>
      <c r="L9" s="19">
        <f t="shared" si="0"/>
        <v>4.7793280000000031</v>
      </c>
      <c r="M9" s="19">
        <f t="shared" si="0"/>
        <v>4.8497969999999944</v>
      </c>
      <c r="N9" s="19">
        <f t="shared" si="0"/>
        <v>4.9211440000000053</v>
      </c>
      <c r="O9" s="19">
        <f t="shared" si="0"/>
        <v>4.9933749999999968</v>
      </c>
    </row>
    <row r="10" spans="1:15" x14ac:dyDescent="0.25">
      <c r="A10" s="22">
        <v>5</v>
      </c>
      <c r="B10" s="20">
        <f t="shared" si="1"/>
        <v>5.2040401600000008</v>
      </c>
      <c r="C10" s="20">
        <f t="shared" si="0"/>
        <v>5.3091358099999955</v>
      </c>
      <c r="D10" s="20">
        <f t="shared" si="0"/>
        <v>5.4163225600000082</v>
      </c>
      <c r="E10" s="20">
        <f t="shared" si="0"/>
        <v>5.5256312500000027</v>
      </c>
      <c r="F10" s="20">
        <f t="shared" si="0"/>
        <v>5.6370929600000084</v>
      </c>
      <c r="G10" s="20">
        <f t="shared" si="0"/>
        <v>5.750739010000002</v>
      </c>
      <c r="H10" s="20">
        <f t="shared" si="0"/>
        <v>5.866600960000004</v>
      </c>
      <c r="I10" s="20">
        <f t="shared" si="0"/>
        <v>5.9847106100000058</v>
      </c>
      <c r="J10" s="20">
        <f t="shared" si="0"/>
        <v>6.1051000000000055</v>
      </c>
      <c r="K10" s="20">
        <f t="shared" si="0"/>
        <v>6.227801410000005</v>
      </c>
      <c r="L10" s="20">
        <f t="shared" si="0"/>
        <v>6.3528473600000046</v>
      </c>
      <c r="M10" s="20">
        <f t="shared" si="0"/>
        <v>6.4802706099999909</v>
      </c>
      <c r="N10" s="20">
        <f t="shared" si="0"/>
        <v>6.6101041600000068</v>
      </c>
      <c r="O10" s="20">
        <f t="shared" si="0"/>
        <v>6.7423812499999958</v>
      </c>
    </row>
    <row r="11" spans="1:15" x14ac:dyDescent="0.25">
      <c r="A11" s="21">
        <v>6</v>
      </c>
      <c r="B11" s="19">
        <f t="shared" si="1"/>
        <v>6.308120963200003</v>
      </c>
      <c r="C11" s="19">
        <f t="shared" si="0"/>
        <v>6.4684098842999971</v>
      </c>
      <c r="D11" s="19">
        <f t="shared" si="0"/>
        <v>6.632975462400009</v>
      </c>
      <c r="E11" s="19">
        <f t="shared" si="0"/>
        <v>6.8019128124999995</v>
      </c>
      <c r="F11" s="19">
        <f t="shared" si="0"/>
        <v>6.9753185376000095</v>
      </c>
      <c r="G11" s="19">
        <f t="shared" si="0"/>
        <v>7.1532907407000001</v>
      </c>
      <c r="H11" s="19">
        <f t="shared" si="0"/>
        <v>7.3359290368000067</v>
      </c>
      <c r="I11" s="19">
        <f t="shared" si="0"/>
        <v>7.523334564900007</v>
      </c>
      <c r="J11" s="19">
        <f t="shared" si="0"/>
        <v>7.7156100000000079</v>
      </c>
      <c r="K11" s="19">
        <f t="shared" si="0"/>
        <v>7.9128595651000069</v>
      </c>
      <c r="L11" s="19">
        <f t="shared" si="0"/>
        <v>8.115189043200008</v>
      </c>
      <c r="M11" s="19">
        <f t="shared" si="0"/>
        <v>8.3227057892999863</v>
      </c>
      <c r="N11" s="19">
        <f t="shared" si="0"/>
        <v>8.5355187424000096</v>
      </c>
      <c r="O11" s="19">
        <f t="shared" si="0"/>
        <v>8.7537384374999938</v>
      </c>
    </row>
    <row r="12" spans="1:15" x14ac:dyDescent="0.25">
      <c r="A12" s="22">
        <v>7</v>
      </c>
      <c r="B12" s="20">
        <f t="shared" si="1"/>
        <v>7.4342833824639909</v>
      </c>
      <c r="C12" s="20">
        <f t="shared" si="0"/>
        <v>7.6624621808289994</v>
      </c>
      <c r="D12" s="20">
        <f t="shared" si="0"/>
        <v>7.8982944808960065</v>
      </c>
      <c r="E12" s="20">
        <f t="shared" si="0"/>
        <v>8.1420084531250048</v>
      </c>
      <c r="F12" s="20">
        <f t="shared" si="0"/>
        <v>8.3938376498560139</v>
      </c>
      <c r="G12" s="20">
        <f t="shared" si="0"/>
        <v>8.6540210925490015</v>
      </c>
      <c r="H12" s="20">
        <f t="shared" si="0"/>
        <v>8.9228033597440088</v>
      </c>
      <c r="I12" s="20">
        <f t="shared" si="0"/>
        <v>9.2004346757410076</v>
      </c>
      <c r="J12" s="20">
        <f t="shared" si="0"/>
        <v>9.4871710000000107</v>
      </c>
      <c r="K12" s="20">
        <f t="shared" si="0"/>
        <v>9.7832741172610067</v>
      </c>
      <c r="L12" s="20">
        <f t="shared" si="0"/>
        <v>10.089011728384008</v>
      </c>
      <c r="M12" s="20">
        <f t="shared" si="0"/>
        <v>10.404657541908984</v>
      </c>
      <c r="N12" s="20">
        <f t="shared" si="0"/>
        <v>10.730491366336013</v>
      </c>
      <c r="O12" s="20">
        <f t="shared" si="0"/>
        <v>11.066799203124988</v>
      </c>
    </row>
    <row r="13" spans="1:15" x14ac:dyDescent="0.25">
      <c r="A13" s="21">
        <v>8</v>
      </c>
      <c r="B13" s="19">
        <f t="shared" si="1"/>
        <v>8.5829690501132756</v>
      </c>
      <c r="C13" s="19">
        <f t="shared" si="0"/>
        <v>8.892336046253865</v>
      </c>
      <c r="D13" s="19">
        <f t="shared" si="0"/>
        <v>9.2142262601318521</v>
      </c>
      <c r="E13" s="19">
        <f t="shared" si="0"/>
        <v>9.5491088757812506</v>
      </c>
      <c r="F13" s="19">
        <f t="shared" si="0"/>
        <v>9.8974679088473732</v>
      </c>
      <c r="G13" s="19">
        <f t="shared" si="0"/>
        <v>10.25980256902743</v>
      </c>
      <c r="H13" s="19">
        <f t="shared" si="0"/>
        <v>10.636627628523529</v>
      </c>
      <c r="I13" s="19">
        <f t="shared" si="0"/>
        <v>11.0284737965577</v>
      </c>
      <c r="J13" s="19">
        <f t="shared" si="0"/>
        <v>11.43588810000001</v>
      </c>
      <c r="K13" s="19">
        <f t="shared" si="0"/>
        <v>11.859434270159722</v>
      </c>
      <c r="L13" s="19">
        <f t="shared" si="0"/>
        <v>12.299693135790092</v>
      </c>
      <c r="M13" s="19">
        <f t="shared" si="0"/>
        <v>12.757263022357151</v>
      </c>
      <c r="N13" s="19">
        <f t="shared" si="0"/>
        <v>13.232760157623058</v>
      </c>
      <c r="O13" s="19">
        <f t="shared" si="0"/>
        <v>13.726819083593735</v>
      </c>
    </row>
    <row r="14" spans="1:15" x14ac:dyDescent="0.25">
      <c r="A14" s="22">
        <v>9</v>
      </c>
      <c r="B14" s="20">
        <f t="shared" si="1"/>
        <v>9.7546284311155418</v>
      </c>
      <c r="C14" s="20">
        <f t="shared" si="0"/>
        <v>10.159106127641483</v>
      </c>
      <c r="D14" s="20">
        <f t="shared" si="0"/>
        <v>10.582795310537129</v>
      </c>
      <c r="E14" s="20">
        <f t="shared" si="0"/>
        <v>11.026564319570316</v>
      </c>
      <c r="F14" s="20">
        <f t="shared" si="0"/>
        <v>11.491315983378215</v>
      </c>
      <c r="G14" s="20">
        <f t="shared" si="0"/>
        <v>11.977988748859355</v>
      </c>
      <c r="H14" s="20">
        <f t="shared" si="0"/>
        <v>12.487557838805413</v>
      </c>
      <c r="I14" s="20">
        <f t="shared" si="0"/>
        <v>13.021036438247895</v>
      </c>
      <c r="J14" s="20">
        <f t="shared" si="0"/>
        <v>13.579476910000015</v>
      </c>
      <c r="K14" s="20">
        <f t="shared" si="0"/>
        <v>14.163972039877295</v>
      </c>
      <c r="L14" s="20">
        <f t="shared" si="0"/>
        <v>14.775656312084903</v>
      </c>
      <c r="M14" s="20">
        <f t="shared" si="0"/>
        <v>15.415707215263579</v>
      </c>
      <c r="N14" s="20">
        <f t="shared" si="0"/>
        <v>16.085346579690288</v>
      </c>
      <c r="O14" s="20">
        <f t="shared" si="0"/>
        <v>16.785841946132795</v>
      </c>
    </row>
    <row r="15" spans="1:15" x14ac:dyDescent="0.25">
      <c r="A15" s="21">
        <v>10</v>
      </c>
      <c r="B15" s="19">
        <f t="shared" si="1"/>
        <v>10.949720999737854</v>
      </c>
      <c r="C15" s="19">
        <f t="shared" si="0"/>
        <v>11.463879311470727</v>
      </c>
      <c r="D15" s="19">
        <f t="shared" si="0"/>
        <v>12.006107122958614</v>
      </c>
      <c r="E15" s="19">
        <f t="shared" si="0"/>
        <v>12.57789253554883</v>
      </c>
      <c r="F15" s="19">
        <f t="shared" si="0"/>
        <v>13.18079494238091</v>
      </c>
      <c r="G15" s="19">
        <f t="shared" si="0"/>
        <v>13.816447961279508</v>
      </c>
      <c r="H15" s="19">
        <f t="shared" si="0"/>
        <v>14.486562465909847</v>
      </c>
      <c r="I15" s="19">
        <f t="shared" si="0"/>
        <v>15.192929717690209</v>
      </c>
      <c r="J15" s="19">
        <f t="shared" si="0"/>
        <v>15.937424601000018</v>
      </c>
      <c r="K15" s="19">
        <f t="shared" si="0"/>
        <v>16.7220089642638</v>
      </c>
      <c r="L15" s="19">
        <f t="shared" si="0"/>
        <v>17.548735069535095</v>
      </c>
      <c r="M15" s="19">
        <f t="shared" si="0"/>
        <v>18.419749153247839</v>
      </c>
      <c r="N15" s="19">
        <f t="shared" si="0"/>
        <v>19.337295100846934</v>
      </c>
      <c r="O15" s="19">
        <f t="shared" si="0"/>
        <v>20.303718238052713</v>
      </c>
    </row>
    <row r="16" spans="1:15" x14ac:dyDescent="0.25">
      <c r="A16" s="22">
        <v>11</v>
      </c>
      <c r="B16" s="20">
        <f t="shared" si="1"/>
        <v>12.168715419732601</v>
      </c>
      <c r="C16" s="20">
        <f t="shared" si="0"/>
        <v>12.807795690814849</v>
      </c>
      <c r="D16" s="20">
        <f t="shared" si="0"/>
        <v>13.486351407876956</v>
      </c>
      <c r="E16" s="20">
        <f t="shared" si="0"/>
        <v>14.206787162326275</v>
      </c>
      <c r="F16" s="20">
        <f t="shared" si="0"/>
        <v>14.97164263892377</v>
      </c>
      <c r="G16" s="20">
        <f t="shared" si="0"/>
        <v>15.783599318569076</v>
      </c>
      <c r="H16" s="20">
        <f t="shared" si="0"/>
        <v>16.645487463182633</v>
      </c>
      <c r="I16" s="20">
        <f t="shared" si="0"/>
        <v>17.560293392282325</v>
      </c>
      <c r="J16" s="20">
        <f t="shared" si="0"/>
        <v>18.531167061100025</v>
      </c>
      <c r="K16" s="20">
        <f t="shared" si="0"/>
        <v>19.561429950332819</v>
      </c>
      <c r="L16" s="20">
        <f t="shared" si="0"/>
        <v>20.654583277879311</v>
      </c>
      <c r="M16" s="20">
        <f t="shared" si="0"/>
        <v>21.814316543170055</v>
      </c>
      <c r="N16" s="20">
        <f t="shared" si="0"/>
        <v>23.044516414965507</v>
      </c>
      <c r="O16" s="20">
        <f t="shared" si="0"/>
        <v>24.349275973760616</v>
      </c>
    </row>
    <row r="17" spans="1:15" x14ac:dyDescent="0.25">
      <c r="A17" s="21">
        <v>12</v>
      </c>
      <c r="B17" s="19">
        <f t="shared" si="1"/>
        <v>13.412089728127263</v>
      </c>
      <c r="C17" s="19">
        <f t="shared" si="0"/>
        <v>14.192029561539288</v>
      </c>
      <c r="D17" s="19">
        <f t="shared" si="0"/>
        <v>15.025805464192043</v>
      </c>
      <c r="E17" s="19">
        <f t="shared" si="0"/>
        <v>15.917126520442583</v>
      </c>
      <c r="F17" s="19">
        <f t="shared" si="0"/>
        <v>16.869941197259198</v>
      </c>
      <c r="G17" s="19">
        <f t="shared" si="0"/>
        <v>17.888451270868906</v>
      </c>
      <c r="H17" s="19">
        <f t="shared" si="0"/>
        <v>18.977126460237248</v>
      </c>
      <c r="I17" s="19">
        <f t="shared" si="0"/>
        <v>20.140719797587735</v>
      </c>
      <c r="J17" s="19">
        <f t="shared" si="0"/>
        <v>21.384283767210025</v>
      </c>
      <c r="K17" s="19">
        <f t="shared" si="0"/>
        <v>22.713187244869431</v>
      </c>
      <c r="L17" s="19">
        <f t="shared" si="0"/>
        <v>24.133133271224825</v>
      </c>
      <c r="M17" s="19">
        <f t="shared" si="0"/>
        <v>25.650177693782158</v>
      </c>
      <c r="N17" s="19">
        <f t="shared" si="0"/>
        <v>27.270748713060684</v>
      </c>
      <c r="O17" s="19">
        <f t="shared" si="0"/>
        <v>29.001667369824702</v>
      </c>
    </row>
    <row r="18" spans="1:15" x14ac:dyDescent="0.25">
      <c r="A18" s="22">
        <v>13</v>
      </c>
      <c r="B18" s="20">
        <f t="shared" si="1"/>
        <v>14.680331522689805</v>
      </c>
      <c r="C18" s="20">
        <f t="shared" si="0"/>
        <v>15.617790448385465</v>
      </c>
      <c r="D18" s="20">
        <f t="shared" si="0"/>
        <v>16.626837682759724</v>
      </c>
      <c r="E18" s="20">
        <f t="shared" si="0"/>
        <v>17.712982846464719</v>
      </c>
      <c r="F18" s="20">
        <f t="shared" si="0"/>
        <v>18.882137669094753</v>
      </c>
      <c r="G18" s="20">
        <f t="shared" si="0"/>
        <v>20.140642859829732</v>
      </c>
      <c r="H18" s="20">
        <f t="shared" si="0"/>
        <v>21.495296577056227</v>
      </c>
      <c r="I18" s="20">
        <f t="shared" si="0"/>
        <v>22.953384579370638</v>
      </c>
      <c r="J18" s="20">
        <f t="shared" si="0"/>
        <v>24.522712143931027</v>
      </c>
      <c r="K18" s="20">
        <f t="shared" si="0"/>
        <v>26.211637841805072</v>
      </c>
      <c r="L18" s="20">
        <f t="shared" si="0"/>
        <v>28.029109263771808</v>
      </c>
      <c r="M18" s="20">
        <f t="shared" si="0"/>
        <v>29.98470079397384</v>
      </c>
      <c r="N18" s="20">
        <f t="shared" si="0"/>
        <v>32.088653532889182</v>
      </c>
      <c r="O18" s="20">
        <f t="shared" si="0"/>
        <v>34.351917475298414</v>
      </c>
    </row>
    <row r="19" spans="1:15" x14ac:dyDescent="0.25">
      <c r="A19" s="21">
        <v>14</v>
      </c>
      <c r="B19" s="19">
        <f t="shared" si="1"/>
        <v>15.973938153143607</v>
      </c>
      <c r="C19" s="19">
        <f t="shared" si="0"/>
        <v>17.086324161837034</v>
      </c>
      <c r="D19" s="19">
        <f t="shared" si="0"/>
        <v>18.291911190070113</v>
      </c>
      <c r="E19" s="19">
        <f t="shared" si="0"/>
        <v>19.598631988787947</v>
      </c>
      <c r="F19" s="19">
        <f t="shared" si="0"/>
        <v>21.015065929240436</v>
      </c>
      <c r="G19" s="19">
        <f t="shared" si="0"/>
        <v>22.55048786001781</v>
      </c>
      <c r="H19" s="19">
        <f t="shared" si="0"/>
        <v>24.214920303220733</v>
      </c>
      <c r="I19" s="19">
        <f t="shared" si="0"/>
        <v>26.019189191513995</v>
      </c>
      <c r="J19" s="19">
        <f t="shared" si="0"/>
        <v>27.974983358324138</v>
      </c>
      <c r="K19" s="19">
        <f t="shared" si="0"/>
        <v>30.094918004403631</v>
      </c>
      <c r="L19" s="19">
        <f t="shared" si="0"/>
        <v>32.392602375424431</v>
      </c>
      <c r="M19" s="19">
        <f t="shared" si="0"/>
        <v>34.882711897190426</v>
      </c>
      <c r="N19" s="19">
        <f t="shared" si="0"/>
        <v>37.581065027493672</v>
      </c>
      <c r="O19" s="19">
        <f t="shared" si="0"/>
        <v>40.50470509659317</v>
      </c>
    </row>
    <row r="20" spans="1:15" x14ac:dyDescent="0.25">
      <c r="A20" s="22">
        <v>15</v>
      </c>
      <c r="B20" s="20">
        <f t="shared" si="1"/>
        <v>17.293416916206461</v>
      </c>
      <c r="C20" s="20">
        <f t="shared" si="0"/>
        <v>18.598913886692149</v>
      </c>
      <c r="D20" s="20">
        <f t="shared" si="0"/>
        <v>20.023587637672918</v>
      </c>
      <c r="E20" s="20">
        <f t="shared" si="0"/>
        <v>21.578563588227357</v>
      </c>
      <c r="F20" s="20">
        <f t="shared" si="0"/>
        <v>23.275969884994876</v>
      </c>
      <c r="G20" s="20">
        <f t="shared" si="0"/>
        <v>25.129022010219064</v>
      </c>
      <c r="H20" s="20">
        <f t="shared" si="0"/>
        <v>27.152113927478393</v>
      </c>
      <c r="I20" s="20">
        <f t="shared" si="0"/>
        <v>29.360916218750255</v>
      </c>
      <c r="J20" s="20">
        <f t="shared" si="0"/>
        <v>31.772481694156554</v>
      </c>
      <c r="K20" s="20">
        <f t="shared" si="0"/>
        <v>34.405358984888025</v>
      </c>
      <c r="L20" s="20">
        <f t="shared" si="0"/>
        <v>37.279714660475356</v>
      </c>
      <c r="M20" s="20">
        <f t="shared" si="0"/>
        <v>40.417464443825182</v>
      </c>
      <c r="N20" s="20">
        <f t="shared" si="0"/>
        <v>43.842414131342792</v>
      </c>
      <c r="O20" s="20">
        <f t="shared" si="0"/>
        <v>47.580410861082136</v>
      </c>
    </row>
    <row r="21" spans="1:15" x14ac:dyDescent="0.25">
      <c r="A21" s="21">
        <v>16</v>
      </c>
      <c r="B21" s="19">
        <f t="shared" si="1"/>
        <v>18.639285254530602</v>
      </c>
      <c r="C21" s="19">
        <f t="shared" si="1"/>
        <v>20.156881303292902</v>
      </c>
      <c r="D21" s="19">
        <f t="shared" si="1"/>
        <v>21.824531143179843</v>
      </c>
      <c r="E21" s="19">
        <f t="shared" si="1"/>
        <v>23.657491767638721</v>
      </c>
      <c r="F21" s="19">
        <f t="shared" si="1"/>
        <v>25.672528078094555</v>
      </c>
      <c r="G21" s="19">
        <f t="shared" si="1"/>
        <v>27.888053550934391</v>
      </c>
      <c r="H21" s="19">
        <f t="shared" si="1"/>
        <v>30.324283041676665</v>
      </c>
      <c r="I21" s="19">
        <f t="shared" si="1"/>
        <v>33.003398678437783</v>
      </c>
      <c r="J21" s="19">
        <f t="shared" si="1"/>
        <v>35.949729863572209</v>
      </c>
      <c r="K21" s="19">
        <f t="shared" si="1"/>
        <v>39.189948473225719</v>
      </c>
      <c r="L21" s="19">
        <f t="shared" si="1"/>
        <v>42.753280419732413</v>
      </c>
      <c r="M21" s="19">
        <f t="shared" si="1"/>
        <v>46.671734821522449</v>
      </c>
      <c r="N21" s="19">
        <f t="shared" si="1"/>
        <v>50.980352109730788</v>
      </c>
      <c r="O21" s="19">
        <f t="shared" si="1"/>
        <v>55.71747249024444</v>
      </c>
    </row>
    <row r="22" spans="1:15" x14ac:dyDescent="0.25">
      <c r="A22" s="22">
        <v>17</v>
      </c>
      <c r="B22" s="20">
        <f t="shared" si="1"/>
        <v>20.012070959621219</v>
      </c>
      <c r="C22" s="20">
        <f t="shared" si="1"/>
        <v>21.76158774239169</v>
      </c>
      <c r="D22" s="20">
        <f t="shared" si="1"/>
        <v>23.697512388907036</v>
      </c>
      <c r="E22" s="20">
        <f t="shared" si="1"/>
        <v>25.840366356020663</v>
      </c>
      <c r="F22" s="20">
        <f t="shared" si="1"/>
        <v>28.212879762780233</v>
      </c>
      <c r="G22" s="20">
        <f t="shared" si="1"/>
        <v>30.840217299499798</v>
      </c>
      <c r="H22" s="20">
        <f t="shared" si="1"/>
        <v>33.750225685010797</v>
      </c>
      <c r="I22" s="20">
        <f t="shared" si="1"/>
        <v>36.973704559497179</v>
      </c>
      <c r="J22" s="20">
        <f t="shared" si="1"/>
        <v>40.544702849929429</v>
      </c>
      <c r="K22" s="20">
        <f t="shared" si="1"/>
        <v>44.500842805280548</v>
      </c>
      <c r="L22" s="20">
        <f t="shared" si="1"/>
        <v>48.883674070100305</v>
      </c>
      <c r="M22" s="20">
        <f t="shared" si="1"/>
        <v>53.739060348320365</v>
      </c>
      <c r="N22" s="20">
        <f t="shared" si="1"/>
        <v>59.117601405093104</v>
      </c>
      <c r="O22" s="20">
        <f t="shared" si="1"/>
        <v>65.075093363781107</v>
      </c>
    </row>
    <row r="23" spans="1:15" x14ac:dyDescent="0.25">
      <c r="A23" s="21">
        <v>18</v>
      </c>
      <c r="B23" s="19">
        <f t="shared" si="1"/>
        <v>21.412312378813635</v>
      </c>
      <c r="C23" s="19">
        <f t="shared" si="1"/>
        <v>23.414435374663441</v>
      </c>
      <c r="D23" s="19">
        <f t="shared" si="1"/>
        <v>25.645412884463326</v>
      </c>
      <c r="E23" s="19">
        <f t="shared" si="1"/>
        <v>28.132384673821694</v>
      </c>
      <c r="F23" s="19">
        <f t="shared" si="1"/>
        <v>30.905652548547049</v>
      </c>
      <c r="G23" s="19">
        <f t="shared" si="1"/>
        <v>33.999032510464787</v>
      </c>
      <c r="H23" s="19">
        <f t="shared" si="1"/>
        <v>37.450243739811668</v>
      </c>
      <c r="I23" s="19">
        <f t="shared" si="1"/>
        <v>41.301337969851936</v>
      </c>
      <c r="J23" s="19">
        <f t="shared" si="1"/>
        <v>45.599173134922374</v>
      </c>
      <c r="K23" s="19">
        <f t="shared" si="1"/>
        <v>50.395935513861417</v>
      </c>
      <c r="L23" s="19">
        <f t="shared" si="1"/>
        <v>55.749714958512349</v>
      </c>
      <c r="M23" s="19">
        <f t="shared" si="1"/>
        <v>61.725138193602</v>
      </c>
      <c r="N23" s="19">
        <f t="shared" si="1"/>
        <v>68.394065601806162</v>
      </c>
      <c r="O23" s="19">
        <f t="shared" si="1"/>
        <v>75.83635736834826</v>
      </c>
    </row>
    <row r="24" spans="1:15" x14ac:dyDescent="0.25">
      <c r="A24" s="22">
        <v>19</v>
      </c>
      <c r="B24" s="20">
        <f t="shared" si="1"/>
        <v>22.840558626389907</v>
      </c>
      <c r="C24" s="20">
        <f t="shared" si="1"/>
        <v>25.116868435903342</v>
      </c>
      <c r="D24" s="20">
        <f t="shared" si="1"/>
        <v>27.671229399841856</v>
      </c>
      <c r="E24" s="20">
        <f t="shared" si="1"/>
        <v>30.539003907512779</v>
      </c>
      <c r="F24" s="20">
        <f t="shared" si="1"/>
        <v>33.759991701459874</v>
      </c>
      <c r="G24" s="20">
        <f t="shared" si="1"/>
        <v>37.378964786197322</v>
      </c>
      <c r="H24" s="20">
        <f t="shared" si="1"/>
        <v>41.446263238996607</v>
      </c>
      <c r="I24" s="20">
        <f t="shared" si="1"/>
        <v>46.018458387138615</v>
      </c>
      <c r="J24" s="20">
        <f t="shared" si="1"/>
        <v>51.159090448414631</v>
      </c>
      <c r="K24" s="20">
        <f t="shared" si="1"/>
        <v>56.939488420386176</v>
      </c>
      <c r="L24" s="20">
        <f t="shared" si="1"/>
        <v>63.439680753533835</v>
      </c>
      <c r="M24" s="20">
        <f t="shared" si="1"/>
        <v>70.749406158770242</v>
      </c>
      <c r="N24" s="20">
        <f t="shared" si="1"/>
        <v>78.969234786059019</v>
      </c>
      <c r="O24" s="20">
        <f t="shared" si="1"/>
        <v>88.211810973600493</v>
      </c>
    </row>
    <row r="25" spans="1:15" x14ac:dyDescent="0.25">
      <c r="A25" s="21">
        <v>20</v>
      </c>
      <c r="B25" s="19">
        <f t="shared" si="1"/>
        <v>24.29736979891771</v>
      </c>
      <c r="C25" s="19">
        <f t="shared" si="1"/>
        <v>26.870374488980442</v>
      </c>
      <c r="D25" s="19">
        <f t="shared" si="1"/>
        <v>29.778078575835529</v>
      </c>
      <c r="E25" s="19">
        <f t="shared" si="1"/>
        <v>33.065954102888412</v>
      </c>
      <c r="F25" s="19">
        <f t="shared" si="1"/>
        <v>36.785591203547469</v>
      </c>
      <c r="G25" s="19">
        <f t="shared" si="1"/>
        <v>40.995492321231133</v>
      </c>
      <c r="H25" s="19">
        <f t="shared" si="1"/>
        <v>45.761964298116332</v>
      </c>
      <c r="I25" s="19">
        <f t="shared" si="1"/>
        <v>51.160119641981083</v>
      </c>
      <c r="J25" s="19">
        <f t="shared" si="1"/>
        <v>57.27499949325609</v>
      </c>
      <c r="K25" s="19">
        <f t="shared" si="1"/>
        <v>64.202832146628666</v>
      </c>
      <c r="L25" s="19">
        <f t="shared" si="1"/>
        <v>72.052442443957887</v>
      </c>
      <c r="M25" s="19">
        <f t="shared" si="1"/>
        <v>80.946828959410368</v>
      </c>
      <c r="N25" s="19">
        <f t="shared" si="1"/>
        <v>91.024927656107295</v>
      </c>
      <c r="O25" s="19">
        <f t="shared" si="1"/>
        <v>102.44358261964055</v>
      </c>
    </row>
    <row r="26" spans="1:15" x14ac:dyDescent="0.25">
      <c r="A26" s="22">
        <v>21</v>
      </c>
      <c r="B26" s="24">
        <f t="shared" si="1"/>
        <v>25.78331719489606</v>
      </c>
      <c r="C26" s="24">
        <f t="shared" si="1"/>
        <v>28.676485723649847</v>
      </c>
      <c r="D26" s="24">
        <f t="shared" si="1"/>
        <v>31.969201718868966</v>
      </c>
      <c r="E26" s="24">
        <f t="shared" si="1"/>
        <v>35.719251808032837</v>
      </c>
      <c r="F26" s="24">
        <f t="shared" si="1"/>
        <v>39.992726675760331</v>
      </c>
      <c r="G26" s="24">
        <f t="shared" si="1"/>
        <v>44.865176783717317</v>
      </c>
      <c r="H26" s="24">
        <f t="shared" si="1"/>
        <v>50.422921441965642</v>
      </c>
      <c r="I26" s="24">
        <f t="shared" si="1"/>
        <v>56.764530409759395</v>
      </c>
      <c r="J26" s="24">
        <f t="shared" si="1"/>
        <v>64.002499442581708</v>
      </c>
      <c r="K26" s="24">
        <f t="shared" si="1"/>
        <v>72.265143682757824</v>
      </c>
      <c r="L26" s="24">
        <f t="shared" si="1"/>
        <v>81.698735537232849</v>
      </c>
      <c r="M26" s="24">
        <f t="shared" si="1"/>
        <v>92.469916724133697</v>
      </c>
      <c r="N26" s="24">
        <f t="shared" si="1"/>
        <v>104.76841752796233</v>
      </c>
      <c r="O26" s="24">
        <f t="shared" si="1"/>
        <v>118.81012001258664</v>
      </c>
    </row>
    <row r="27" spans="1:15" x14ac:dyDescent="0.25">
      <c r="A27" s="21">
        <v>22</v>
      </c>
      <c r="B27" s="23">
        <f t="shared" si="1"/>
        <v>27.298983538793987</v>
      </c>
      <c r="C27" s="23">
        <f t="shared" si="1"/>
        <v>30.53678029535935</v>
      </c>
      <c r="D27" s="23">
        <f t="shared" si="1"/>
        <v>34.247969787623724</v>
      </c>
      <c r="E27" s="23">
        <f t="shared" si="1"/>
        <v>38.505214398434475</v>
      </c>
      <c r="F27" s="23">
        <f t="shared" si="1"/>
        <v>43.39229027630595</v>
      </c>
      <c r="G27" s="23">
        <f t="shared" si="1"/>
        <v>49.005739158577526</v>
      </c>
      <c r="H27" s="23">
        <f t="shared" si="1"/>
        <v>55.456755157322903</v>
      </c>
      <c r="I27" s="23">
        <f t="shared" si="1"/>
        <v>62.873338146637742</v>
      </c>
      <c r="J27" s="23">
        <f t="shared" si="1"/>
        <v>71.402749386839886</v>
      </c>
      <c r="K27" s="23">
        <f t="shared" si="1"/>
        <v>81.214309487861186</v>
      </c>
      <c r="L27" s="23">
        <f t="shared" si="1"/>
        <v>92.502583801700808</v>
      </c>
      <c r="M27" s="23">
        <f t="shared" si="1"/>
        <v>105.49100589827107</v>
      </c>
      <c r="N27" s="23">
        <f t="shared" si="1"/>
        <v>120.43599598187706</v>
      </c>
      <c r="O27" s="23">
        <f t="shared" si="1"/>
        <v>137.63163801447462</v>
      </c>
    </row>
    <row r="28" spans="1:15" x14ac:dyDescent="0.25">
      <c r="A28" s="22">
        <v>23</v>
      </c>
      <c r="B28" s="24">
        <f t="shared" si="1"/>
        <v>28.844963209569851</v>
      </c>
      <c r="C28" s="24">
        <f t="shared" si="1"/>
        <v>32.452883704220135</v>
      </c>
      <c r="D28" s="24">
        <f t="shared" si="1"/>
        <v>36.617888579128667</v>
      </c>
      <c r="E28" s="24">
        <f t="shared" si="1"/>
        <v>41.430475118356206</v>
      </c>
      <c r="F28" s="24">
        <f t="shared" si="1"/>
        <v>46.995827692884319</v>
      </c>
      <c r="G28" s="24">
        <f t="shared" si="1"/>
        <v>53.436140899677952</v>
      </c>
      <c r="H28" s="24">
        <f t="shared" si="1"/>
        <v>60.89329556990873</v>
      </c>
      <c r="I28" s="24">
        <f t="shared" si="1"/>
        <v>69.531938579835142</v>
      </c>
      <c r="J28" s="24">
        <f t="shared" si="1"/>
        <v>79.543024325523888</v>
      </c>
      <c r="K28" s="24">
        <f t="shared" si="1"/>
        <v>91.147883531525906</v>
      </c>
      <c r="L28" s="24">
        <f t="shared" si="1"/>
        <v>104.60289385790489</v>
      </c>
      <c r="M28" s="24">
        <f t="shared" si="1"/>
        <v>120.2048366650463</v>
      </c>
      <c r="N28" s="24">
        <f t="shared" si="1"/>
        <v>138.29703541933989</v>
      </c>
      <c r="O28" s="24">
        <f t="shared" si="1"/>
        <v>159.2763837166458</v>
      </c>
    </row>
    <row r="29" spans="1:15" x14ac:dyDescent="0.25">
      <c r="A29" s="21">
        <v>24</v>
      </c>
      <c r="B29" s="23">
        <f t="shared" si="1"/>
        <v>30.421862473761252</v>
      </c>
      <c r="C29" s="23">
        <f t="shared" si="1"/>
        <v>34.426470215346725</v>
      </c>
      <c r="D29" s="23">
        <f t="shared" si="1"/>
        <v>39.082604122293816</v>
      </c>
      <c r="E29" s="23">
        <f t="shared" si="1"/>
        <v>44.501998874274008</v>
      </c>
      <c r="F29" s="23">
        <f t="shared" si="1"/>
        <v>50.815577354457368</v>
      </c>
      <c r="G29" s="23">
        <f t="shared" si="1"/>
        <v>58.176670762655412</v>
      </c>
      <c r="H29" s="23">
        <f t="shared" si="1"/>
        <v>66.764759215501428</v>
      </c>
      <c r="I29" s="23">
        <f t="shared" si="1"/>
        <v>76.789813052020307</v>
      </c>
      <c r="J29" s="23">
        <f t="shared" si="1"/>
        <v>88.497326758076255</v>
      </c>
      <c r="K29" s="23">
        <f t="shared" si="1"/>
        <v>102.17415071999379</v>
      </c>
      <c r="L29" s="23">
        <f t="shared" si="1"/>
        <v>118.15524112085349</v>
      </c>
      <c r="M29" s="23">
        <f t="shared" si="1"/>
        <v>136.83146543150232</v>
      </c>
      <c r="N29" s="23">
        <f t="shared" si="1"/>
        <v>158.65862037804749</v>
      </c>
      <c r="O29" s="23">
        <f t="shared" si="1"/>
        <v>184.16784127414263</v>
      </c>
    </row>
    <row r="30" spans="1:15" x14ac:dyDescent="0.25">
      <c r="A30" s="22">
        <v>25</v>
      </c>
      <c r="B30" s="24">
        <f t="shared" si="1"/>
        <v>32.030299723236475</v>
      </c>
      <c r="C30" s="24">
        <f t="shared" si="1"/>
        <v>36.459264321807126</v>
      </c>
      <c r="D30" s="24">
        <f t="shared" si="1"/>
        <v>41.645908287185584</v>
      </c>
      <c r="E30" s="24">
        <f t="shared" si="1"/>
        <v>47.727098817987716</v>
      </c>
      <c r="F30" s="24">
        <f t="shared" si="1"/>
        <v>54.864511995724804</v>
      </c>
      <c r="G30" s="24">
        <f t="shared" si="1"/>
        <v>63.249037716041293</v>
      </c>
      <c r="H30" s="24">
        <f t="shared" si="1"/>
        <v>73.105939952741565</v>
      </c>
      <c r="I30" s="24">
        <f t="shared" si="1"/>
        <v>84.700896226702156</v>
      </c>
      <c r="J30" s="24">
        <f t="shared" si="1"/>
        <v>98.347059433883899</v>
      </c>
      <c r="K30" s="24">
        <f t="shared" si="1"/>
        <v>114.41330729919312</v>
      </c>
      <c r="L30" s="24">
        <f t="shared" si="1"/>
        <v>133.33387005535593</v>
      </c>
      <c r="M30" s="24">
        <f t="shared" si="1"/>
        <v>155.6195559375976</v>
      </c>
      <c r="N30" s="24">
        <f t="shared" si="1"/>
        <v>181.87082723097413</v>
      </c>
      <c r="O30" s="24">
        <f t="shared" si="1"/>
        <v>212.793017465264</v>
      </c>
    </row>
    <row r="31" spans="1:15" x14ac:dyDescent="0.25">
      <c r="A31" s="21">
        <v>26</v>
      </c>
      <c r="B31" s="23">
        <f t="shared" si="1"/>
        <v>33.670905717701217</v>
      </c>
      <c r="C31" s="23">
        <f t="shared" si="1"/>
        <v>38.553042251461356</v>
      </c>
      <c r="D31" s="23">
        <f t="shared" si="1"/>
        <v>44.311744618672996</v>
      </c>
      <c r="E31" s="23">
        <f t="shared" si="1"/>
        <v>51.113453758887104</v>
      </c>
      <c r="F31" s="23">
        <f t="shared" si="1"/>
        <v>59.156382715468297</v>
      </c>
      <c r="G31" s="23">
        <f t="shared" si="1"/>
        <v>68.676470356164174</v>
      </c>
      <c r="H31" s="23">
        <f t="shared" si="1"/>
        <v>79.954415148960877</v>
      </c>
      <c r="I31" s="23">
        <f t="shared" si="1"/>
        <v>93.32397688710536</v>
      </c>
      <c r="J31" s="23">
        <f t="shared" si="1"/>
        <v>109.1817653772723</v>
      </c>
      <c r="K31" s="23">
        <f t="shared" si="1"/>
        <v>127.99877110210437</v>
      </c>
      <c r="L31" s="23">
        <f t="shared" si="1"/>
        <v>150.33393446199864</v>
      </c>
      <c r="M31" s="23">
        <f t="shared" si="1"/>
        <v>176.85009820948525</v>
      </c>
      <c r="N31" s="23">
        <f t="shared" si="1"/>
        <v>208.33274304331056</v>
      </c>
      <c r="O31" s="23">
        <f t="shared" si="1"/>
        <v>245.71197008505362</v>
      </c>
    </row>
    <row r="32" spans="1:15" x14ac:dyDescent="0.25">
      <c r="A32" s="22">
        <v>27</v>
      </c>
      <c r="B32" s="24">
        <f t="shared" si="1"/>
        <v>35.344323832055224</v>
      </c>
      <c r="C32" s="24">
        <f t="shared" si="1"/>
        <v>40.709633519005187</v>
      </c>
      <c r="D32" s="24">
        <f t="shared" si="1"/>
        <v>47.084214403419921</v>
      </c>
      <c r="E32" s="24">
        <f t="shared" si="1"/>
        <v>54.669126446831463</v>
      </c>
      <c r="F32" s="24">
        <f t="shared" si="1"/>
        <v>63.705765678396411</v>
      </c>
      <c r="G32" s="24">
        <f t="shared" si="1"/>
        <v>74.483823281095695</v>
      </c>
      <c r="H32" s="24">
        <f t="shared" si="1"/>
        <v>87.350768360877751</v>
      </c>
      <c r="I32" s="24">
        <f t="shared" si="1"/>
        <v>102.72313480694483</v>
      </c>
      <c r="J32" s="24">
        <f t="shared" si="1"/>
        <v>121.09994191499955</v>
      </c>
      <c r="K32" s="24">
        <f t="shared" si="1"/>
        <v>143.07863592333587</v>
      </c>
      <c r="L32" s="24">
        <f t="shared" si="1"/>
        <v>169.37400659743852</v>
      </c>
      <c r="M32" s="24">
        <f t="shared" si="1"/>
        <v>200.8406109767183</v>
      </c>
      <c r="N32" s="24">
        <f t="shared" si="1"/>
        <v>238.49932706937406</v>
      </c>
      <c r="O32" s="24">
        <f t="shared" si="1"/>
        <v>283.56876559781165</v>
      </c>
    </row>
    <row r="33" spans="1:15" x14ac:dyDescent="0.25">
      <c r="A33" s="21">
        <v>28</v>
      </c>
      <c r="B33" s="23">
        <f t="shared" si="1"/>
        <v>37.051210308696348</v>
      </c>
      <c r="C33" s="23">
        <f t="shared" si="1"/>
        <v>42.930922524575344</v>
      </c>
      <c r="D33" s="23">
        <f t="shared" si="1"/>
        <v>49.967582979556731</v>
      </c>
      <c r="E33" s="23">
        <f t="shared" si="1"/>
        <v>58.402582769173023</v>
      </c>
      <c r="F33" s="23">
        <f t="shared" si="1"/>
        <v>68.528111619100201</v>
      </c>
      <c r="G33" s="23">
        <f t="shared" si="1"/>
        <v>80.697690910772366</v>
      </c>
      <c r="H33" s="23">
        <f t="shared" si="1"/>
        <v>95.338829829747965</v>
      </c>
      <c r="I33" s="23">
        <f t="shared" si="1"/>
        <v>112.96821693956987</v>
      </c>
      <c r="J33" s="23">
        <f t="shared" si="1"/>
        <v>134.2099361064995</v>
      </c>
      <c r="K33" s="23">
        <f t="shared" si="1"/>
        <v>159.81728587490284</v>
      </c>
      <c r="L33" s="23">
        <f t="shared" si="1"/>
        <v>190.69888738913113</v>
      </c>
      <c r="M33" s="23">
        <f t="shared" si="1"/>
        <v>227.94989040369165</v>
      </c>
      <c r="N33" s="23">
        <f t="shared" si="1"/>
        <v>272.88923285908646</v>
      </c>
      <c r="O33" s="23">
        <f t="shared" si="1"/>
        <v>327.10408043748333</v>
      </c>
    </row>
    <row r="34" spans="1:15" x14ac:dyDescent="0.25">
      <c r="A34" s="22">
        <v>29</v>
      </c>
      <c r="B34" s="24">
        <f t="shared" si="1"/>
        <v>38.792234514870259</v>
      </c>
      <c r="C34" s="24">
        <f t="shared" si="1"/>
        <v>45.218850200312595</v>
      </c>
      <c r="D34" s="24">
        <f t="shared" si="1"/>
        <v>52.966286298739007</v>
      </c>
      <c r="E34" s="24">
        <f t="shared" si="1"/>
        <v>62.322711907631692</v>
      </c>
      <c r="F34" s="24">
        <f t="shared" si="1"/>
        <v>73.639798316246214</v>
      </c>
      <c r="G34" s="24">
        <f t="shared" si="1"/>
        <v>87.346529274526432</v>
      </c>
      <c r="H34" s="24">
        <f t="shared" si="1"/>
        <v>103.96593621612782</v>
      </c>
      <c r="I34" s="24">
        <f t="shared" si="1"/>
        <v>124.13535646413116</v>
      </c>
      <c r="J34" s="24">
        <f t="shared" si="1"/>
        <v>148.63092971714946</v>
      </c>
      <c r="K34" s="24">
        <f t="shared" si="1"/>
        <v>178.39718732114213</v>
      </c>
      <c r="L34" s="24">
        <f t="shared" si="1"/>
        <v>214.58275387582688</v>
      </c>
      <c r="M34" s="24">
        <f t="shared" si="1"/>
        <v>258.5833761561716</v>
      </c>
      <c r="N34" s="24">
        <f t="shared" si="1"/>
        <v>312.09372545935861</v>
      </c>
      <c r="O34" s="24">
        <f t="shared" si="1"/>
        <v>377.16969250310581</v>
      </c>
    </row>
    <row r="35" spans="1:15" x14ac:dyDescent="0.25">
      <c r="A35" s="21">
        <v>30</v>
      </c>
      <c r="B35" s="23">
        <f t="shared" si="1"/>
        <v>40.56807920516767</v>
      </c>
      <c r="C35" s="23">
        <f t="shared" si="1"/>
        <v>47.575415706321969</v>
      </c>
      <c r="D35" s="23">
        <f t="shared" si="1"/>
        <v>56.084937750688553</v>
      </c>
      <c r="E35" s="23">
        <f t="shared" si="1"/>
        <v>66.43884750301325</v>
      </c>
      <c r="F35" s="23">
        <f t="shared" si="1"/>
        <v>79.058186215220999</v>
      </c>
      <c r="G35" s="23">
        <f t="shared" si="1"/>
        <v>94.460786323743278</v>
      </c>
      <c r="H35" s="23">
        <f t="shared" si="1"/>
        <v>113.28321111341806</v>
      </c>
      <c r="I35" s="23">
        <f t="shared" si="1"/>
        <v>136.30753854590299</v>
      </c>
      <c r="J35" s="23">
        <f t="shared" si="1"/>
        <v>164.49402268886445</v>
      </c>
      <c r="K35" s="23">
        <f t="shared" si="1"/>
        <v>199.02087792646776</v>
      </c>
      <c r="L35" s="23">
        <f t="shared" si="1"/>
        <v>241.33268434092614</v>
      </c>
      <c r="M35" s="23">
        <f t="shared" si="1"/>
        <v>293.1992150564738</v>
      </c>
      <c r="N35" s="23">
        <f t="shared" si="1"/>
        <v>356.78684702366888</v>
      </c>
      <c r="O35" s="23">
        <f t="shared" si="1"/>
        <v>434.74514637857169</v>
      </c>
    </row>
    <row r="36" spans="1:15" x14ac:dyDescent="0.25">
      <c r="A36" s="22">
        <v>31</v>
      </c>
      <c r="B36" s="24">
        <f t="shared" si="1"/>
        <v>42.379440789271008</v>
      </c>
      <c r="C36" s="24">
        <f t="shared" si="1"/>
        <v>50.002678177511648</v>
      </c>
      <c r="D36" s="24">
        <f t="shared" si="1"/>
        <v>59.328335260716102</v>
      </c>
      <c r="E36" s="24">
        <f t="shared" si="1"/>
        <v>70.760789878163948</v>
      </c>
      <c r="F36" s="24">
        <f t="shared" si="1"/>
        <v>84.80167738813428</v>
      </c>
      <c r="G36" s="24">
        <f t="shared" si="1"/>
        <v>102.07304136640533</v>
      </c>
      <c r="H36" s="24">
        <f t="shared" si="1"/>
        <v>123.34586800249151</v>
      </c>
      <c r="I36" s="24">
        <f t="shared" si="1"/>
        <v>149.57521701503427</v>
      </c>
      <c r="J36" s="24">
        <f t="shared" si="1"/>
        <v>181.94342495775089</v>
      </c>
      <c r="K36" s="24">
        <f t="shared" si="1"/>
        <v>221.91317449837925</v>
      </c>
      <c r="L36" s="24">
        <f t="shared" si="1"/>
        <v>271.29260646183724</v>
      </c>
      <c r="M36" s="24">
        <f t="shared" si="1"/>
        <v>332.31511301381539</v>
      </c>
      <c r="N36" s="24">
        <f t="shared" si="1"/>
        <v>407.73700560698251</v>
      </c>
      <c r="O36" s="24">
        <f t="shared" si="1"/>
        <v>500.95691833535733</v>
      </c>
    </row>
    <row r="37" spans="1:15" x14ac:dyDescent="0.25">
      <c r="A37" s="21">
        <v>32</v>
      </c>
      <c r="B37" s="23">
        <f t="shared" si="1"/>
        <v>44.227029605056444</v>
      </c>
      <c r="C37" s="23">
        <f t="shared" si="1"/>
        <v>52.502758522836977</v>
      </c>
      <c r="D37" s="23">
        <f t="shared" si="1"/>
        <v>62.701468671144752</v>
      </c>
      <c r="E37" s="23">
        <f t="shared" si="1"/>
        <v>75.298829372072134</v>
      </c>
      <c r="F37" s="23">
        <f t="shared" si="1"/>
        <v>90.88977803142231</v>
      </c>
      <c r="G37" s="23">
        <f t="shared" si="1"/>
        <v>110.2181542620537</v>
      </c>
      <c r="H37" s="23">
        <f t="shared" si="1"/>
        <v>134.21353744269084</v>
      </c>
      <c r="I37" s="23">
        <f t="shared" si="1"/>
        <v>164.03698654638734</v>
      </c>
      <c r="J37" s="23">
        <f t="shared" si="1"/>
        <v>201.13776745352598</v>
      </c>
      <c r="K37" s="23">
        <f t="shared" si="1"/>
        <v>247.323623693201</v>
      </c>
      <c r="L37" s="23">
        <f t="shared" si="1"/>
        <v>304.84771923725782</v>
      </c>
      <c r="M37" s="23">
        <f t="shared" si="1"/>
        <v>376.51607770561139</v>
      </c>
      <c r="N37" s="23">
        <f t="shared" si="1"/>
        <v>465.82018639196014</v>
      </c>
      <c r="O37" s="23">
        <f t="shared" si="1"/>
        <v>577.10045608566077</v>
      </c>
    </row>
    <row r="38" spans="1:15" x14ac:dyDescent="0.25">
      <c r="A38" s="22">
        <v>33</v>
      </c>
      <c r="B38" s="24">
        <f t="shared" si="1"/>
        <v>46.111570197157583</v>
      </c>
      <c r="C38" s="24">
        <f t="shared" si="1"/>
        <v>55.077841278522094</v>
      </c>
      <c r="D38" s="24">
        <f t="shared" ref="C38:O45" si="2">+((1+D$4%)^$A38-1)/D$4%</f>
        <v>66.209527417990543</v>
      </c>
      <c r="E38" s="24">
        <f t="shared" si="2"/>
        <v>80.063770840675744</v>
      </c>
      <c r="F38" s="24">
        <f t="shared" si="2"/>
        <v>97.343164713307644</v>
      </c>
      <c r="G38" s="24">
        <f t="shared" si="2"/>
        <v>118.93342506039745</v>
      </c>
      <c r="H38" s="24">
        <f t="shared" si="2"/>
        <v>145.95062043810611</v>
      </c>
      <c r="I38" s="24">
        <f t="shared" si="2"/>
        <v>179.8003153355622</v>
      </c>
      <c r="J38" s="24">
        <f t="shared" si="2"/>
        <v>222.25154419887861</v>
      </c>
      <c r="K38" s="24">
        <f t="shared" si="2"/>
        <v>275.52922229945312</v>
      </c>
      <c r="L38" s="24">
        <f t="shared" si="2"/>
        <v>342.42944554572875</v>
      </c>
      <c r="M38" s="24">
        <f t="shared" si="2"/>
        <v>426.46316780734077</v>
      </c>
      <c r="N38" s="24">
        <f t="shared" si="2"/>
        <v>532.0350124868346</v>
      </c>
      <c r="O38" s="24">
        <f t="shared" si="2"/>
        <v>664.66552449850985</v>
      </c>
    </row>
    <row r="39" spans="1:15" x14ac:dyDescent="0.25">
      <c r="A39" s="21">
        <v>34</v>
      </c>
      <c r="B39" s="23">
        <f t="shared" ref="B39:B45" si="3">+((1+B$4%)^$A39-1)/B$4%</f>
        <v>48.03380160110072</v>
      </c>
      <c r="C39" s="23">
        <f t="shared" si="2"/>
        <v>57.730176516877741</v>
      </c>
      <c r="D39" s="23">
        <f t="shared" si="2"/>
        <v>69.857908514710175</v>
      </c>
      <c r="E39" s="23">
        <f t="shared" si="2"/>
        <v>85.066959382709527</v>
      </c>
      <c r="F39" s="23">
        <f t="shared" si="2"/>
        <v>104.18375459610613</v>
      </c>
      <c r="G39" s="23">
        <f t="shared" si="2"/>
        <v>128.25876481462527</v>
      </c>
      <c r="H39" s="23">
        <f t="shared" si="2"/>
        <v>158.6266700731546</v>
      </c>
      <c r="I39" s="23">
        <f t="shared" si="2"/>
        <v>196.98234371576282</v>
      </c>
      <c r="J39" s="23">
        <f t="shared" si="2"/>
        <v>245.47669861876648</v>
      </c>
      <c r="K39" s="23">
        <f t="shared" si="2"/>
        <v>306.83743675239299</v>
      </c>
      <c r="L39" s="23">
        <f t="shared" si="2"/>
        <v>384.52097901121624</v>
      </c>
      <c r="M39" s="23">
        <f t="shared" si="2"/>
        <v>482.90337962229501</v>
      </c>
      <c r="N39" s="23">
        <f t="shared" si="2"/>
        <v>607.51991423499157</v>
      </c>
      <c r="O39" s="23">
        <f t="shared" si="2"/>
        <v>765.36535317328628</v>
      </c>
    </row>
    <row r="40" spans="1:15" x14ac:dyDescent="0.25">
      <c r="A40" s="22">
        <v>35</v>
      </c>
      <c r="B40" s="24">
        <f t="shared" si="3"/>
        <v>49.994477633122735</v>
      </c>
      <c r="C40" s="24">
        <f t="shared" si="2"/>
        <v>60.462081812384085</v>
      </c>
      <c r="D40" s="24">
        <f t="shared" si="2"/>
        <v>73.652224855298584</v>
      </c>
      <c r="E40" s="24">
        <f t="shared" si="2"/>
        <v>90.320307351845017</v>
      </c>
      <c r="F40" s="24">
        <f t="shared" si="2"/>
        <v>111.43477987187251</v>
      </c>
      <c r="G40" s="24">
        <f t="shared" si="2"/>
        <v>138.23687835164904</v>
      </c>
      <c r="H40" s="24">
        <f t="shared" si="2"/>
        <v>172.31680367900699</v>
      </c>
      <c r="I40" s="24">
        <f t="shared" si="2"/>
        <v>215.71075465018151</v>
      </c>
      <c r="J40" s="24">
        <f t="shared" si="2"/>
        <v>271.02436848064315</v>
      </c>
      <c r="K40" s="24">
        <f t="shared" si="2"/>
        <v>341.58955479515629</v>
      </c>
      <c r="L40" s="24">
        <f t="shared" si="2"/>
        <v>431.66349649256222</v>
      </c>
      <c r="M40" s="24">
        <f t="shared" si="2"/>
        <v>546.68081897319325</v>
      </c>
      <c r="N40" s="24">
        <f t="shared" si="2"/>
        <v>693.57270222789032</v>
      </c>
      <c r="O40" s="24">
        <f t="shared" si="2"/>
        <v>881.17015614927902</v>
      </c>
    </row>
    <row r="41" spans="1:15" x14ac:dyDescent="0.25">
      <c r="A41" s="21">
        <v>36</v>
      </c>
      <c r="B41" s="23">
        <f t="shared" si="3"/>
        <v>51.99436718578518</v>
      </c>
      <c r="C41" s="23">
        <f t="shared" si="2"/>
        <v>63.275944266755602</v>
      </c>
      <c r="D41" s="23">
        <f t="shared" si="2"/>
        <v>77.598313849510518</v>
      </c>
      <c r="E41" s="23">
        <f t="shared" si="2"/>
        <v>95.836322719437248</v>
      </c>
      <c r="F41" s="23">
        <f t="shared" si="2"/>
        <v>119.12086666418486</v>
      </c>
      <c r="G41" s="23">
        <f t="shared" si="2"/>
        <v>148.91345983626448</v>
      </c>
      <c r="H41" s="23">
        <f t="shared" si="2"/>
        <v>187.10214797332759</v>
      </c>
      <c r="I41" s="23">
        <f t="shared" si="2"/>
        <v>236.12472256869785</v>
      </c>
      <c r="J41" s="23">
        <f t="shared" si="2"/>
        <v>299.12680532870746</v>
      </c>
      <c r="K41" s="23">
        <f t="shared" si="2"/>
        <v>380.16440582262345</v>
      </c>
      <c r="L41" s="23">
        <f t="shared" si="2"/>
        <v>484.46311607166967</v>
      </c>
      <c r="M41" s="23">
        <f t="shared" si="2"/>
        <v>618.7493254397084</v>
      </c>
      <c r="N41" s="23">
        <f t="shared" si="2"/>
        <v>791.67288053979519</v>
      </c>
      <c r="O41" s="23">
        <f t="shared" si="2"/>
        <v>1014.345679571671</v>
      </c>
    </row>
    <row r="42" spans="1:15" x14ac:dyDescent="0.25">
      <c r="A42" s="22">
        <v>37</v>
      </c>
      <c r="B42" s="24">
        <f t="shared" si="3"/>
        <v>54.034254529500899</v>
      </c>
      <c r="C42" s="24">
        <f t="shared" si="2"/>
        <v>66.174222594758263</v>
      </c>
      <c r="D42" s="24">
        <f t="shared" si="2"/>
        <v>81.702246403490975</v>
      </c>
      <c r="E42" s="24">
        <f t="shared" si="2"/>
        <v>101.62813885540913</v>
      </c>
      <c r="F42" s="24">
        <f t="shared" si="2"/>
        <v>127.26811866403597</v>
      </c>
      <c r="G42" s="24">
        <f t="shared" si="2"/>
        <v>160.33740202480303</v>
      </c>
      <c r="H42" s="24">
        <f t="shared" si="2"/>
        <v>203.0703198111938</v>
      </c>
      <c r="I42" s="24">
        <f t="shared" si="2"/>
        <v>258.37594759988065</v>
      </c>
      <c r="J42" s="24">
        <f t="shared" si="2"/>
        <v>330.03948586157821</v>
      </c>
      <c r="K42" s="24">
        <f t="shared" si="2"/>
        <v>422.98249046311207</v>
      </c>
      <c r="L42" s="24">
        <f t="shared" si="2"/>
        <v>543.59869000027015</v>
      </c>
      <c r="M42" s="24">
        <f t="shared" si="2"/>
        <v>700.18673774687045</v>
      </c>
      <c r="N42" s="24">
        <f t="shared" si="2"/>
        <v>903.50708381536663</v>
      </c>
      <c r="O42" s="24">
        <f t="shared" si="2"/>
        <v>1167.4975315074216</v>
      </c>
    </row>
    <row r="43" spans="1:15" x14ac:dyDescent="0.25">
      <c r="A43" s="21">
        <v>38</v>
      </c>
      <c r="B43" s="23">
        <f t="shared" si="3"/>
        <v>56.114939620090929</v>
      </c>
      <c r="C43" s="23">
        <f t="shared" si="2"/>
        <v>69.159449272601009</v>
      </c>
      <c r="D43" s="23">
        <f t="shared" si="2"/>
        <v>85.970336259630599</v>
      </c>
      <c r="E43" s="23">
        <f t="shared" si="2"/>
        <v>107.70954579817956</v>
      </c>
      <c r="F43" s="23">
        <f t="shared" si="2"/>
        <v>135.90420578387815</v>
      </c>
      <c r="G43" s="23">
        <f t="shared" si="2"/>
        <v>172.56102016653921</v>
      </c>
      <c r="H43" s="23">
        <f t="shared" si="2"/>
        <v>220.31594539608932</v>
      </c>
      <c r="I43" s="23">
        <f t="shared" si="2"/>
        <v>282.62978288386995</v>
      </c>
      <c r="J43" s="23">
        <f t="shared" si="2"/>
        <v>364.04343444773616</v>
      </c>
      <c r="K43" s="23">
        <f t="shared" si="2"/>
        <v>470.51056441405444</v>
      </c>
      <c r="L43" s="23">
        <f t="shared" si="2"/>
        <v>609.83053280030254</v>
      </c>
      <c r="M43" s="23">
        <f t="shared" si="2"/>
        <v>792.21101365396339</v>
      </c>
      <c r="N43" s="23">
        <f t="shared" si="2"/>
        <v>1030.998075549518</v>
      </c>
      <c r="O43" s="23">
        <f t="shared" si="2"/>
        <v>1343.6221612335348</v>
      </c>
    </row>
    <row r="44" spans="1:15" x14ac:dyDescent="0.25">
      <c r="A44" s="22">
        <v>39</v>
      </c>
      <c r="B44" s="24">
        <f t="shared" si="3"/>
        <v>58.237238412492708</v>
      </c>
      <c r="C44" s="24">
        <f t="shared" si="2"/>
        <v>72.234232750779057</v>
      </c>
      <c r="D44" s="24">
        <f t="shared" si="2"/>
        <v>90.409149710015811</v>
      </c>
      <c r="E44" s="24">
        <f t="shared" si="2"/>
        <v>114.09502308808857</v>
      </c>
      <c r="F44" s="24">
        <f t="shared" si="2"/>
        <v>145.05845813091085</v>
      </c>
      <c r="G44" s="24">
        <f t="shared" si="2"/>
        <v>185.64029157819698</v>
      </c>
      <c r="H44" s="24">
        <f t="shared" si="2"/>
        <v>238.94122102777646</v>
      </c>
      <c r="I44" s="24">
        <f t="shared" si="2"/>
        <v>309.06646334341821</v>
      </c>
      <c r="J44" s="24">
        <f t="shared" si="2"/>
        <v>401.44777789250981</v>
      </c>
      <c r="K44" s="24">
        <f t="shared" si="2"/>
        <v>523.2667264996004</v>
      </c>
      <c r="L44" s="24">
        <f t="shared" si="2"/>
        <v>684.0101967363388</v>
      </c>
      <c r="M44" s="24">
        <f t="shared" si="2"/>
        <v>896.19844542897852</v>
      </c>
      <c r="N44" s="24">
        <f t="shared" si="2"/>
        <v>1176.3378061264507</v>
      </c>
      <c r="O44" s="24">
        <f t="shared" si="2"/>
        <v>1546.1654854185645</v>
      </c>
    </row>
    <row r="45" spans="1:15" x14ac:dyDescent="0.25">
      <c r="A45" s="21">
        <v>40</v>
      </c>
      <c r="B45" s="23">
        <f t="shared" si="3"/>
        <v>60.40198318074259</v>
      </c>
      <c r="C45" s="23">
        <f t="shared" si="2"/>
        <v>75.401259733302396</v>
      </c>
      <c r="D45" s="23">
        <f t="shared" si="2"/>
        <v>95.025515698416484</v>
      </c>
      <c r="E45" s="23">
        <f t="shared" si="2"/>
        <v>120.79977424249297</v>
      </c>
      <c r="F45" s="23">
        <f t="shared" si="2"/>
        <v>154.76196561876549</v>
      </c>
      <c r="G45" s="23">
        <f t="shared" si="2"/>
        <v>199.63511198867076</v>
      </c>
      <c r="H45" s="23">
        <f t="shared" si="2"/>
        <v>259.05651870999861</v>
      </c>
      <c r="I45" s="23">
        <f t="shared" si="2"/>
        <v>337.88244504432589</v>
      </c>
      <c r="J45" s="23">
        <f t="shared" si="2"/>
        <v>442.5925556817607</v>
      </c>
      <c r="K45" s="23">
        <f t="shared" si="2"/>
        <v>581.82606641455652</v>
      </c>
      <c r="L45" s="23">
        <f t="shared" si="2"/>
        <v>767.09142034469971</v>
      </c>
      <c r="M45" s="23">
        <f t="shared" si="2"/>
        <v>1013.7042433347458</v>
      </c>
      <c r="N45" s="23">
        <f t="shared" si="2"/>
        <v>1342.0250989841541</v>
      </c>
      <c r="O45" s="23">
        <f t="shared" si="2"/>
        <v>1779.0903082313491</v>
      </c>
    </row>
  </sheetData>
  <sheetProtection sheet="1" objects="1" scenarios="1"/>
  <pageMargins left="0.7" right="0.7" top="0.75" bottom="0.75" header="0.3" footer="0.3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indowProtection="1" topLeftCell="A10" workbookViewId="0">
      <selection activeCell="H25" sqref="H25"/>
    </sheetView>
  </sheetViews>
  <sheetFormatPr defaultRowHeight="15" x14ac:dyDescent="0.25"/>
  <cols>
    <col min="1" max="1" width="4.85546875" customWidth="1"/>
    <col min="2" max="12" width="6.5703125" bestFit="1" customWidth="1"/>
    <col min="13" max="15" width="7.5703125" bestFit="1" customWidth="1"/>
  </cols>
  <sheetData>
    <row r="1" spans="1:15" x14ac:dyDescent="0.25">
      <c r="A1" s="18" t="s">
        <v>36</v>
      </c>
    </row>
    <row r="2" spans="1:15" x14ac:dyDescent="0.25">
      <c r="A2" s="18" t="s">
        <v>41</v>
      </c>
      <c r="J2" t="s">
        <v>40</v>
      </c>
    </row>
    <row r="3" spans="1:15" x14ac:dyDescent="0.25">
      <c r="A3" s="18"/>
      <c r="J3" t="s">
        <v>45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1">
        <v>0</v>
      </c>
      <c r="B5" s="19">
        <f>+((1+B$4%)^$A5-1)/(B$4%*(1+B$4%)^$A5)</f>
        <v>0</v>
      </c>
      <c r="C5" s="19">
        <f t="shared" ref="C5:O20" si="0">+((1+C$4%)^$A5-1)/(C$4%*(1+C$4%)^$A5)</f>
        <v>0</v>
      </c>
      <c r="D5" s="19">
        <f t="shared" si="0"/>
        <v>0</v>
      </c>
      <c r="E5" s="19">
        <f t="shared" si="0"/>
        <v>0</v>
      </c>
      <c r="F5" s="19">
        <f t="shared" si="0"/>
        <v>0</v>
      </c>
      <c r="G5" s="19">
        <f t="shared" si="0"/>
        <v>0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</row>
    <row r="6" spans="1:15" x14ac:dyDescent="0.25">
      <c r="A6" s="22">
        <v>1</v>
      </c>
      <c r="B6" s="20">
        <f t="shared" ref="B6:O38" si="1">+((1+B$4%)^$A6-1)/(B$4%*(1+B$4%)^$A6)</f>
        <v>0.98039215686274594</v>
      </c>
      <c r="C6" s="20">
        <f t="shared" si="0"/>
        <v>0.97087378640776789</v>
      </c>
      <c r="D6" s="20">
        <f t="shared" si="0"/>
        <v>0.96153846153846223</v>
      </c>
      <c r="E6" s="20">
        <f t="shared" si="0"/>
        <v>0.95238095238095311</v>
      </c>
      <c r="F6" s="20">
        <f t="shared" si="0"/>
        <v>0.94339622641509513</v>
      </c>
      <c r="G6" s="20">
        <f t="shared" si="0"/>
        <v>0.93457943925233722</v>
      </c>
      <c r="H6" s="20">
        <f t="shared" si="0"/>
        <v>0.92592592592592671</v>
      </c>
      <c r="I6" s="20">
        <f t="shared" si="0"/>
        <v>0.91743119266055118</v>
      </c>
      <c r="J6" s="20">
        <f t="shared" si="0"/>
        <v>0.90909090909090973</v>
      </c>
      <c r="K6" s="20">
        <f t="shared" si="0"/>
        <v>0.90090090090090158</v>
      </c>
      <c r="L6" s="20">
        <f t="shared" si="0"/>
        <v>0.89285714285714357</v>
      </c>
      <c r="M6" s="20">
        <f t="shared" si="0"/>
        <v>0.88495575221238865</v>
      </c>
      <c r="N6" s="20">
        <f t="shared" si="0"/>
        <v>0.87719298245614097</v>
      </c>
      <c r="O6" s="20">
        <f t="shared" si="0"/>
        <v>0.86956521739130388</v>
      </c>
    </row>
    <row r="7" spans="1:15" x14ac:dyDescent="0.25">
      <c r="A7" s="21">
        <v>2</v>
      </c>
      <c r="B7" s="19">
        <f t="shared" si="1"/>
        <v>1.9415609381007302</v>
      </c>
      <c r="C7" s="19">
        <f t="shared" si="0"/>
        <v>1.9134696955415202</v>
      </c>
      <c r="D7" s="19">
        <f t="shared" si="0"/>
        <v>1.8860946745562155</v>
      </c>
      <c r="E7" s="19">
        <f t="shared" si="0"/>
        <v>1.8594104308390027</v>
      </c>
      <c r="F7" s="19">
        <f t="shared" si="0"/>
        <v>1.8333926664293365</v>
      </c>
      <c r="G7" s="19">
        <f t="shared" si="0"/>
        <v>1.8080181675255482</v>
      </c>
      <c r="H7" s="19">
        <f t="shared" si="0"/>
        <v>1.7832647462277103</v>
      </c>
      <c r="I7" s="19">
        <f t="shared" si="0"/>
        <v>1.7591111859271118</v>
      </c>
      <c r="J7" s="19">
        <f t="shared" si="0"/>
        <v>1.7355371900826457</v>
      </c>
      <c r="K7" s="19">
        <f t="shared" si="0"/>
        <v>1.7125233341449571</v>
      </c>
      <c r="L7" s="19">
        <f t="shared" si="0"/>
        <v>1.6900510204081642</v>
      </c>
      <c r="M7" s="19">
        <f t="shared" si="0"/>
        <v>1.6681024355861838</v>
      </c>
      <c r="N7" s="19">
        <f t="shared" si="0"/>
        <v>1.6466605109264401</v>
      </c>
      <c r="O7" s="19">
        <f t="shared" si="0"/>
        <v>1.6257088846880898</v>
      </c>
    </row>
    <row r="8" spans="1:15" x14ac:dyDescent="0.25">
      <c r="A8" s="22">
        <v>3</v>
      </c>
      <c r="B8" s="20">
        <f t="shared" si="1"/>
        <v>2.8838832726477719</v>
      </c>
      <c r="C8" s="20">
        <f t="shared" si="0"/>
        <v>2.8286113548946807</v>
      </c>
      <c r="D8" s="20">
        <f t="shared" si="0"/>
        <v>2.7750910332271297</v>
      </c>
      <c r="E8" s="20">
        <f t="shared" si="0"/>
        <v>2.7232480293704802</v>
      </c>
      <c r="F8" s="20">
        <f t="shared" si="0"/>
        <v>2.6730119494616398</v>
      </c>
      <c r="G8" s="20">
        <f t="shared" si="0"/>
        <v>2.6243160444164007</v>
      </c>
      <c r="H8" s="20">
        <f t="shared" si="0"/>
        <v>2.5770969872478804</v>
      </c>
      <c r="I8" s="20">
        <f t="shared" si="0"/>
        <v>2.5312946659881761</v>
      </c>
      <c r="J8" s="20">
        <f t="shared" si="0"/>
        <v>2.4868519909842246</v>
      </c>
      <c r="K8" s="20">
        <f t="shared" si="0"/>
        <v>2.4437147154459073</v>
      </c>
      <c r="L8" s="20">
        <f t="shared" si="0"/>
        <v>2.4018312682215761</v>
      </c>
      <c r="M8" s="20">
        <f t="shared" si="0"/>
        <v>2.3611525978638785</v>
      </c>
      <c r="N8" s="20">
        <f t="shared" si="0"/>
        <v>2.3216320271284565</v>
      </c>
      <c r="O8" s="20">
        <f t="shared" si="0"/>
        <v>2.2832251171200775</v>
      </c>
    </row>
    <row r="9" spans="1:15" x14ac:dyDescent="0.25">
      <c r="A9" s="21">
        <v>4</v>
      </c>
      <c r="B9" s="19">
        <f t="shared" si="1"/>
        <v>3.8077286986742878</v>
      </c>
      <c r="C9" s="19">
        <f t="shared" si="0"/>
        <v>3.7170984028103682</v>
      </c>
      <c r="D9" s="19">
        <f t="shared" si="0"/>
        <v>3.6298952242568578</v>
      </c>
      <c r="E9" s="19">
        <f t="shared" si="0"/>
        <v>3.5459505041623602</v>
      </c>
      <c r="F9" s="19">
        <f t="shared" si="0"/>
        <v>3.4651056126996602</v>
      </c>
      <c r="G9" s="19">
        <f t="shared" si="0"/>
        <v>3.387211256463925</v>
      </c>
      <c r="H9" s="19">
        <f t="shared" si="0"/>
        <v>3.3121268400443342</v>
      </c>
      <c r="I9" s="19">
        <f t="shared" si="0"/>
        <v>3.2397198770533731</v>
      </c>
      <c r="J9" s="19">
        <f t="shared" si="0"/>
        <v>3.169865446349295</v>
      </c>
      <c r="K9" s="19">
        <f t="shared" si="0"/>
        <v>3.1024456895909078</v>
      </c>
      <c r="L9" s="19">
        <f t="shared" si="0"/>
        <v>3.037349346626407</v>
      </c>
      <c r="M9" s="19">
        <f t="shared" si="0"/>
        <v>2.9744713255432553</v>
      </c>
      <c r="N9" s="19">
        <f t="shared" si="0"/>
        <v>2.9137123044986466</v>
      </c>
      <c r="O9" s="19">
        <f t="shared" si="0"/>
        <v>2.8549783627131111</v>
      </c>
    </row>
    <row r="10" spans="1:15" x14ac:dyDescent="0.25">
      <c r="A10" s="22">
        <v>5</v>
      </c>
      <c r="B10" s="20">
        <f t="shared" si="1"/>
        <v>4.7134595085042053</v>
      </c>
      <c r="C10" s="20">
        <f t="shared" si="0"/>
        <v>4.5797071871945301</v>
      </c>
      <c r="D10" s="20">
        <f t="shared" si="0"/>
        <v>4.4518223310162108</v>
      </c>
      <c r="E10" s="20">
        <f t="shared" si="0"/>
        <v>4.3294766706308208</v>
      </c>
      <c r="F10" s="20">
        <f t="shared" si="0"/>
        <v>4.2123637855657181</v>
      </c>
      <c r="G10" s="20">
        <f t="shared" si="0"/>
        <v>4.100197435947595</v>
      </c>
      <c r="H10" s="20">
        <f t="shared" si="0"/>
        <v>3.9927100370780875</v>
      </c>
      <c r="I10" s="20">
        <f t="shared" si="0"/>
        <v>3.8896512633517188</v>
      </c>
      <c r="J10" s="20">
        <f t="shared" si="0"/>
        <v>3.7907867694084505</v>
      </c>
      <c r="K10" s="20">
        <f t="shared" si="0"/>
        <v>3.6958970176494668</v>
      </c>
      <c r="L10" s="20">
        <f t="shared" si="0"/>
        <v>3.6047762023450067</v>
      </c>
      <c r="M10" s="20">
        <f t="shared" si="0"/>
        <v>3.5172312615427028</v>
      </c>
      <c r="N10" s="20">
        <f t="shared" si="0"/>
        <v>3.4330809688584623</v>
      </c>
      <c r="O10" s="20">
        <f t="shared" si="0"/>
        <v>3.352155098011401</v>
      </c>
    </row>
    <row r="11" spans="1:15" x14ac:dyDescent="0.25">
      <c r="A11" s="21">
        <v>6</v>
      </c>
      <c r="B11" s="19">
        <f t="shared" si="1"/>
        <v>5.6014308906904002</v>
      </c>
      <c r="C11" s="19">
        <f t="shared" si="0"/>
        <v>5.4171914438781865</v>
      </c>
      <c r="D11" s="19">
        <f t="shared" si="0"/>
        <v>5.2421368567463569</v>
      </c>
      <c r="E11" s="19">
        <f t="shared" si="0"/>
        <v>5.0756920672674468</v>
      </c>
      <c r="F11" s="19">
        <f t="shared" si="0"/>
        <v>4.9173243260053949</v>
      </c>
      <c r="G11" s="19">
        <f t="shared" si="0"/>
        <v>4.7665396597641063</v>
      </c>
      <c r="H11" s="19">
        <f t="shared" si="0"/>
        <v>4.6228796639611929</v>
      </c>
      <c r="I11" s="19">
        <f t="shared" si="0"/>
        <v>4.485918590230936</v>
      </c>
      <c r="J11" s="19">
        <f t="shared" si="0"/>
        <v>4.355260699462228</v>
      </c>
      <c r="K11" s="19">
        <f t="shared" si="0"/>
        <v>4.2305378537382587</v>
      </c>
      <c r="L11" s="19">
        <f t="shared" si="0"/>
        <v>4.1114073235223279</v>
      </c>
      <c r="M11" s="19">
        <f t="shared" si="0"/>
        <v>3.9975497889758427</v>
      </c>
      <c r="N11" s="19">
        <f t="shared" si="0"/>
        <v>3.8886675165425113</v>
      </c>
      <c r="O11" s="19">
        <f t="shared" si="0"/>
        <v>3.784482693922957</v>
      </c>
    </row>
    <row r="12" spans="1:15" x14ac:dyDescent="0.25">
      <c r="A12" s="22">
        <v>7</v>
      </c>
      <c r="B12" s="20">
        <f t="shared" si="1"/>
        <v>6.4719910693043046</v>
      </c>
      <c r="C12" s="20">
        <f t="shared" si="0"/>
        <v>6.2302829552215409</v>
      </c>
      <c r="D12" s="20">
        <f t="shared" si="0"/>
        <v>6.0020546699484187</v>
      </c>
      <c r="E12" s="20">
        <f t="shared" si="0"/>
        <v>5.7863733973975711</v>
      </c>
      <c r="F12" s="20">
        <f t="shared" si="0"/>
        <v>5.5823814396277331</v>
      </c>
      <c r="G12" s="20">
        <f t="shared" si="0"/>
        <v>5.3892894016486981</v>
      </c>
      <c r="H12" s="20">
        <f t="shared" si="0"/>
        <v>5.2063700592233264</v>
      </c>
      <c r="I12" s="20">
        <f t="shared" si="0"/>
        <v>5.0329528350742532</v>
      </c>
      <c r="J12" s="20">
        <f t="shared" si="0"/>
        <v>4.8684188176929348</v>
      </c>
      <c r="K12" s="20">
        <f t="shared" si="0"/>
        <v>4.7121962646290623</v>
      </c>
      <c r="L12" s="20">
        <f t="shared" si="0"/>
        <v>4.5637565388592209</v>
      </c>
      <c r="M12" s="20">
        <f t="shared" si="0"/>
        <v>4.4226104327219842</v>
      </c>
      <c r="N12" s="20">
        <f t="shared" si="0"/>
        <v>4.2883048390723788</v>
      </c>
      <c r="O12" s="20">
        <f t="shared" si="0"/>
        <v>4.1604197338460489</v>
      </c>
    </row>
    <row r="13" spans="1:15" x14ac:dyDescent="0.25">
      <c r="A13" s="21">
        <v>8</v>
      </c>
      <c r="B13" s="19">
        <f t="shared" si="1"/>
        <v>7.3254814404944195</v>
      </c>
      <c r="C13" s="19">
        <f t="shared" si="0"/>
        <v>7.0196921895354745</v>
      </c>
      <c r="D13" s="19">
        <f t="shared" si="0"/>
        <v>6.7327448749504057</v>
      </c>
      <c r="E13" s="19">
        <f t="shared" si="0"/>
        <v>6.4632127594262556</v>
      </c>
      <c r="F13" s="19">
        <f t="shared" si="0"/>
        <v>6.2097938109695585</v>
      </c>
      <c r="G13" s="19">
        <f t="shared" si="0"/>
        <v>5.9712985062137367</v>
      </c>
      <c r="H13" s="19">
        <f t="shared" si="0"/>
        <v>5.7466389437253023</v>
      </c>
      <c r="I13" s="19">
        <f t="shared" si="0"/>
        <v>5.5348191147470214</v>
      </c>
      <c r="J13" s="19">
        <f t="shared" si="0"/>
        <v>5.3349261979026679</v>
      </c>
      <c r="K13" s="19">
        <f t="shared" si="0"/>
        <v>5.1461227609270841</v>
      </c>
      <c r="L13" s="19">
        <f t="shared" si="0"/>
        <v>4.967639766838591</v>
      </c>
      <c r="M13" s="19">
        <f t="shared" si="0"/>
        <v>4.7987702944442345</v>
      </c>
      <c r="N13" s="19">
        <f t="shared" si="0"/>
        <v>4.6388638939231388</v>
      </c>
      <c r="O13" s="19">
        <f t="shared" si="0"/>
        <v>4.4873215076922159</v>
      </c>
    </row>
    <row r="14" spans="1:15" x14ac:dyDescent="0.25">
      <c r="A14" s="22">
        <v>9</v>
      </c>
      <c r="B14" s="20">
        <f t="shared" si="1"/>
        <v>8.1622367063670787</v>
      </c>
      <c r="C14" s="20">
        <f t="shared" si="0"/>
        <v>7.7861089218791015</v>
      </c>
      <c r="D14" s="20">
        <f t="shared" si="0"/>
        <v>7.4353316105292375</v>
      </c>
      <c r="E14" s="20">
        <f t="shared" si="0"/>
        <v>7.107821675644054</v>
      </c>
      <c r="F14" s="20">
        <f t="shared" si="0"/>
        <v>6.8016922744995831</v>
      </c>
      <c r="G14" s="20">
        <f t="shared" si="0"/>
        <v>6.5152322487978847</v>
      </c>
      <c r="H14" s="20">
        <f t="shared" si="0"/>
        <v>6.2468879108567625</v>
      </c>
      <c r="I14" s="20">
        <f t="shared" si="0"/>
        <v>5.9952468942633228</v>
      </c>
      <c r="J14" s="20">
        <f t="shared" si="0"/>
        <v>5.7590238162751533</v>
      </c>
      <c r="K14" s="20">
        <f t="shared" si="0"/>
        <v>5.5370475323667421</v>
      </c>
      <c r="L14" s="20">
        <f t="shared" si="0"/>
        <v>5.3282497918201699</v>
      </c>
      <c r="M14" s="20">
        <f t="shared" si="0"/>
        <v>5.1316551278267548</v>
      </c>
      <c r="N14" s="20">
        <f t="shared" si="0"/>
        <v>4.9463718367746834</v>
      </c>
      <c r="O14" s="20">
        <f t="shared" si="0"/>
        <v>4.771583919732362</v>
      </c>
    </row>
    <row r="15" spans="1:15" x14ac:dyDescent="0.25">
      <c r="A15" s="21">
        <v>10</v>
      </c>
      <c r="B15" s="19">
        <f t="shared" si="1"/>
        <v>8.9825850062422354</v>
      </c>
      <c r="C15" s="19">
        <f t="shared" si="0"/>
        <v>8.5302028367758282</v>
      </c>
      <c r="D15" s="19">
        <f t="shared" si="0"/>
        <v>8.1108957793550349</v>
      </c>
      <c r="E15" s="19">
        <f t="shared" si="0"/>
        <v>7.7217349291848123</v>
      </c>
      <c r="F15" s="19">
        <f t="shared" si="0"/>
        <v>7.3600870514147028</v>
      </c>
      <c r="G15" s="19">
        <f t="shared" si="0"/>
        <v>7.0235815409326028</v>
      </c>
      <c r="H15" s="19">
        <f t="shared" si="0"/>
        <v>6.7100813989414467</v>
      </c>
      <c r="I15" s="19">
        <f t="shared" si="0"/>
        <v>6.4176577011590119</v>
      </c>
      <c r="J15" s="19">
        <f t="shared" si="0"/>
        <v>6.1445671057046853</v>
      </c>
      <c r="K15" s="19">
        <f t="shared" si="0"/>
        <v>5.8892320111412104</v>
      </c>
      <c r="L15" s="19">
        <f t="shared" si="0"/>
        <v>5.6502230284108661</v>
      </c>
      <c r="M15" s="19">
        <f t="shared" si="0"/>
        <v>5.4262434759528801</v>
      </c>
      <c r="N15" s="19">
        <f t="shared" si="0"/>
        <v>5.2161156462935825</v>
      </c>
      <c r="O15" s="19">
        <f t="shared" si="0"/>
        <v>5.0187686258542277</v>
      </c>
    </row>
    <row r="16" spans="1:15" x14ac:dyDescent="0.25">
      <c r="A16" s="22">
        <v>11</v>
      </c>
      <c r="B16" s="20">
        <f t="shared" si="1"/>
        <v>9.7868480453355176</v>
      </c>
      <c r="C16" s="20">
        <f t="shared" si="0"/>
        <v>9.2526241133745906</v>
      </c>
      <c r="D16" s="20">
        <f t="shared" si="0"/>
        <v>8.7604767109183026</v>
      </c>
      <c r="E16" s="20">
        <f t="shared" si="0"/>
        <v>8.3064142182712501</v>
      </c>
      <c r="F16" s="20">
        <f t="shared" si="0"/>
        <v>7.8868745768063242</v>
      </c>
      <c r="G16" s="20">
        <f t="shared" si="0"/>
        <v>7.498674337320189</v>
      </c>
      <c r="H16" s="20">
        <f t="shared" si="0"/>
        <v>7.1389642582791168</v>
      </c>
      <c r="I16" s="20">
        <f t="shared" si="0"/>
        <v>6.8051905515220295</v>
      </c>
      <c r="J16" s="20">
        <f t="shared" si="0"/>
        <v>6.4950610051860771</v>
      </c>
      <c r="K16" s="20">
        <f t="shared" si="0"/>
        <v>6.2065153253524414</v>
      </c>
      <c r="L16" s="20">
        <f t="shared" si="0"/>
        <v>5.937699132509703</v>
      </c>
      <c r="M16" s="20">
        <f t="shared" si="0"/>
        <v>5.6869411291618412</v>
      </c>
      <c r="N16" s="20">
        <f t="shared" si="0"/>
        <v>5.4527330230645452</v>
      </c>
      <c r="O16" s="20">
        <f t="shared" si="0"/>
        <v>5.2337118485688938</v>
      </c>
    </row>
    <row r="17" spans="1:15" x14ac:dyDescent="0.25">
      <c r="A17" s="21">
        <v>12</v>
      </c>
      <c r="B17" s="19">
        <f t="shared" si="1"/>
        <v>10.575341220917181</v>
      </c>
      <c r="C17" s="19">
        <f t="shared" si="0"/>
        <v>9.954003993567559</v>
      </c>
      <c r="D17" s="19">
        <f t="shared" si="0"/>
        <v>9.3850737604983703</v>
      </c>
      <c r="E17" s="19">
        <f t="shared" si="0"/>
        <v>8.8632516364488083</v>
      </c>
      <c r="F17" s="19">
        <f t="shared" si="0"/>
        <v>8.3838439403833256</v>
      </c>
      <c r="G17" s="19">
        <f t="shared" si="0"/>
        <v>7.9426862965609244</v>
      </c>
      <c r="H17" s="19">
        <f t="shared" si="0"/>
        <v>7.5360780169251091</v>
      </c>
      <c r="I17" s="19">
        <f t="shared" si="0"/>
        <v>7.1607252766257155</v>
      </c>
      <c r="J17" s="19">
        <f t="shared" si="0"/>
        <v>6.8136918228964332</v>
      </c>
      <c r="K17" s="19">
        <f t="shared" si="0"/>
        <v>6.4923561489661639</v>
      </c>
      <c r="L17" s="19">
        <f t="shared" si="0"/>
        <v>6.1943742254550918</v>
      </c>
      <c r="M17" s="19">
        <f t="shared" si="0"/>
        <v>5.9176470169573809</v>
      </c>
      <c r="N17" s="19">
        <f t="shared" si="0"/>
        <v>5.6602921254952152</v>
      </c>
      <c r="O17" s="19">
        <f t="shared" si="0"/>
        <v>5.4206189987555593</v>
      </c>
    </row>
    <row r="18" spans="1:15" x14ac:dyDescent="0.25">
      <c r="A18" s="22">
        <v>13</v>
      </c>
      <c r="B18" s="20">
        <f t="shared" si="1"/>
        <v>11.348373745997234</v>
      </c>
      <c r="C18" s="20">
        <f t="shared" si="0"/>
        <v>10.634955333560736</v>
      </c>
      <c r="D18" s="20">
        <f t="shared" si="0"/>
        <v>9.9856478466330501</v>
      </c>
      <c r="E18" s="20">
        <f t="shared" si="0"/>
        <v>9.3935729870941067</v>
      </c>
      <c r="F18" s="20">
        <f t="shared" si="0"/>
        <v>8.8526829626257779</v>
      </c>
      <c r="G18" s="20">
        <f t="shared" si="0"/>
        <v>8.3576507444494617</v>
      </c>
      <c r="H18" s="20">
        <f t="shared" si="0"/>
        <v>7.9037759415973232</v>
      </c>
      <c r="I18" s="20">
        <f t="shared" si="0"/>
        <v>7.4869039235098302</v>
      </c>
      <c r="J18" s="20">
        <f t="shared" si="0"/>
        <v>7.1033562026331216</v>
      </c>
      <c r="K18" s="20">
        <f t="shared" si="0"/>
        <v>6.749870404474021</v>
      </c>
      <c r="L18" s="20">
        <f t="shared" si="0"/>
        <v>6.4235484155849045</v>
      </c>
      <c r="M18" s="20">
        <f t="shared" si="0"/>
        <v>6.1218115194313114</v>
      </c>
      <c r="N18" s="20">
        <f t="shared" si="0"/>
        <v>5.8423615135922953</v>
      </c>
      <c r="O18" s="20">
        <f t="shared" si="0"/>
        <v>5.5831469554396174</v>
      </c>
    </row>
    <row r="19" spans="1:15" x14ac:dyDescent="0.25">
      <c r="A19" s="21">
        <v>14</v>
      </c>
      <c r="B19" s="19">
        <f t="shared" si="1"/>
        <v>12.106248770585527</v>
      </c>
      <c r="C19" s="19">
        <f t="shared" si="0"/>
        <v>11.296073139379359</v>
      </c>
      <c r="D19" s="19">
        <f t="shared" si="0"/>
        <v>10.563122929454856</v>
      </c>
      <c r="E19" s="19">
        <f t="shared" si="0"/>
        <v>9.8986409400896225</v>
      </c>
      <c r="F19" s="19">
        <f t="shared" si="0"/>
        <v>9.2949839270054504</v>
      </c>
      <c r="G19" s="19">
        <f t="shared" si="0"/>
        <v>8.7454679854667852</v>
      </c>
      <c r="H19" s="19">
        <f t="shared" si="0"/>
        <v>8.2442369829604853</v>
      </c>
      <c r="I19" s="19">
        <f t="shared" si="0"/>
        <v>7.7861503885411292</v>
      </c>
      <c r="J19" s="19">
        <f t="shared" si="0"/>
        <v>7.3666874569392018</v>
      </c>
      <c r="K19" s="19">
        <f t="shared" si="0"/>
        <v>6.9818652292558747</v>
      </c>
      <c r="L19" s="19">
        <f t="shared" si="0"/>
        <v>6.6281682282008072</v>
      </c>
      <c r="M19" s="19">
        <f t="shared" si="0"/>
        <v>6.3024880702931947</v>
      </c>
      <c r="N19" s="19">
        <f t="shared" si="0"/>
        <v>6.0020715031511358</v>
      </c>
      <c r="O19" s="19">
        <f t="shared" si="0"/>
        <v>5.7244756134257537</v>
      </c>
    </row>
    <row r="20" spans="1:15" x14ac:dyDescent="0.25">
      <c r="A20" s="22">
        <v>15</v>
      </c>
      <c r="B20" s="20">
        <f t="shared" si="1"/>
        <v>12.849263500574036</v>
      </c>
      <c r="C20" s="20">
        <f t="shared" si="0"/>
        <v>11.937935086776077</v>
      </c>
      <c r="D20" s="20">
        <f t="shared" si="0"/>
        <v>11.118387432168129</v>
      </c>
      <c r="E20" s="20">
        <f t="shared" si="0"/>
        <v>10.379658038180596</v>
      </c>
      <c r="F20" s="20">
        <f t="shared" si="0"/>
        <v>9.7122489877409954</v>
      </c>
      <c r="G20" s="20">
        <f t="shared" si="0"/>
        <v>9.1079140051091478</v>
      </c>
      <c r="H20" s="20">
        <f t="shared" si="0"/>
        <v>8.5594786879263758</v>
      </c>
      <c r="I20" s="20">
        <f t="shared" si="0"/>
        <v>8.0606884298542472</v>
      </c>
      <c r="J20" s="20">
        <f t="shared" si="0"/>
        <v>7.6060795063083662</v>
      </c>
      <c r="K20" s="20">
        <f t="shared" si="0"/>
        <v>7.1908695759061931</v>
      </c>
      <c r="L20" s="20">
        <f t="shared" si="0"/>
        <v>6.8108644894650059</v>
      </c>
      <c r="M20" s="20">
        <f t="shared" si="0"/>
        <v>6.4623788232683141</v>
      </c>
      <c r="N20" s="20">
        <f t="shared" si="0"/>
        <v>6.1421679852202944</v>
      </c>
      <c r="O20" s="20">
        <f t="shared" si="0"/>
        <v>5.8473700986310906</v>
      </c>
    </row>
    <row r="21" spans="1:15" x14ac:dyDescent="0.25">
      <c r="A21" s="21">
        <v>16</v>
      </c>
      <c r="B21" s="19">
        <f t="shared" si="1"/>
        <v>13.577709314288276</v>
      </c>
      <c r="C21" s="19">
        <f t="shared" si="1"/>
        <v>12.561102025996188</v>
      </c>
      <c r="D21" s="19">
        <f t="shared" si="1"/>
        <v>11.652295607853974</v>
      </c>
      <c r="E21" s="19">
        <f t="shared" si="1"/>
        <v>10.837769560171996</v>
      </c>
      <c r="F21" s="19">
        <f t="shared" si="1"/>
        <v>10.105895271453766</v>
      </c>
      <c r="G21" s="19">
        <f t="shared" si="1"/>
        <v>9.4466486029057446</v>
      </c>
      <c r="H21" s="19">
        <f t="shared" si="1"/>
        <v>8.8513691554873848</v>
      </c>
      <c r="I21" s="19">
        <f t="shared" si="1"/>
        <v>8.3125581925268328</v>
      </c>
      <c r="J21" s="19">
        <f t="shared" si="1"/>
        <v>7.8237086420985138</v>
      </c>
      <c r="K21" s="19">
        <f t="shared" si="1"/>
        <v>7.3791617800956697</v>
      </c>
      <c r="L21" s="19">
        <f t="shared" si="1"/>
        <v>6.9739861513080417</v>
      </c>
      <c r="M21" s="19">
        <f t="shared" si="1"/>
        <v>6.6038750648392162</v>
      </c>
      <c r="N21" s="19">
        <f t="shared" si="1"/>
        <v>6.2650596361581528</v>
      </c>
      <c r="O21" s="19">
        <f t="shared" si="1"/>
        <v>5.9542348683748614</v>
      </c>
    </row>
    <row r="22" spans="1:15" x14ac:dyDescent="0.25">
      <c r="A22" s="22">
        <v>17</v>
      </c>
      <c r="B22" s="20">
        <f t="shared" si="1"/>
        <v>14.291871876753214</v>
      </c>
      <c r="C22" s="20">
        <f t="shared" si="1"/>
        <v>13.16611847184096</v>
      </c>
      <c r="D22" s="20">
        <f t="shared" si="1"/>
        <v>12.165668853705744</v>
      </c>
      <c r="E22" s="20">
        <f t="shared" si="1"/>
        <v>11.274066247782853</v>
      </c>
      <c r="F22" s="20">
        <f t="shared" si="1"/>
        <v>10.477259690050724</v>
      </c>
      <c r="G22" s="20">
        <f t="shared" si="1"/>
        <v>9.7632229933698529</v>
      </c>
      <c r="H22" s="20">
        <f t="shared" si="1"/>
        <v>9.1216381069327639</v>
      </c>
      <c r="I22" s="20">
        <f t="shared" si="1"/>
        <v>8.5436313692906722</v>
      </c>
      <c r="J22" s="20">
        <f t="shared" si="1"/>
        <v>8.0215533109986499</v>
      </c>
      <c r="K22" s="20">
        <f t="shared" si="1"/>
        <v>7.5487943964825863</v>
      </c>
      <c r="L22" s="20">
        <f t="shared" si="1"/>
        <v>7.119630492239323</v>
      </c>
      <c r="M22" s="20">
        <f t="shared" si="1"/>
        <v>6.7290929777338198</v>
      </c>
      <c r="N22" s="20">
        <f t="shared" si="1"/>
        <v>6.3728593299632923</v>
      </c>
      <c r="O22" s="20">
        <f t="shared" si="1"/>
        <v>6.0471607551085746</v>
      </c>
    </row>
    <row r="23" spans="1:15" x14ac:dyDescent="0.25">
      <c r="A23" s="21">
        <v>18</v>
      </c>
      <c r="B23" s="19">
        <f t="shared" si="1"/>
        <v>14.992031251718835</v>
      </c>
      <c r="C23" s="19">
        <f t="shared" si="1"/>
        <v>13.753513079457242</v>
      </c>
      <c r="D23" s="19">
        <f t="shared" si="1"/>
        <v>12.659296974717064</v>
      </c>
      <c r="E23" s="19">
        <f t="shared" si="1"/>
        <v>11.689586902650337</v>
      </c>
      <c r="F23" s="19">
        <f t="shared" si="1"/>
        <v>10.827603481179928</v>
      </c>
      <c r="G23" s="19">
        <f t="shared" si="1"/>
        <v>10.059086909691453</v>
      </c>
      <c r="H23" s="19">
        <f t="shared" si="1"/>
        <v>9.3718871360488549</v>
      </c>
      <c r="I23" s="19">
        <f t="shared" si="1"/>
        <v>8.7556251094409845</v>
      </c>
      <c r="J23" s="19">
        <f t="shared" si="1"/>
        <v>8.2014121009078629</v>
      </c>
      <c r="K23" s="19">
        <f t="shared" si="1"/>
        <v>7.7016165734077351</v>
      </c>
      <c r="L23" s="19">
        <f t="shared" si="1"/>
        <v>7.2496700823565385</v>
      </c>
      <c r="M23" s="19">
        <f t="shared" si="1"/>
        <v>6.839905290029928</v>
      </c>
      <c r="N23" s="19">
        <f t="shared" si="1"/>
        <v>6.4674204648800808</v>
      </c>
      <c r="O23" s="19">
        <f t="shared" si="1"/>
        <v>6.1279658740074563</v>
      </c>
    </row>
    <row r="24" spans="1:15" x14ac:dyDescent="0.25">
      <c r="A24" s="22">
        <v>19</v>
      </c>
      <c r="B24" s="20">
        <f t="shared" si="1"/>
        <v>15.678462011489051</v>
      </c>
      <c r="C24" s="20">
        <f t="shared" si="1"/>
        <v>14.323799106269167</v>
      </c>
      <c r="D24" s="20">
        <f t="shared" si="1"/>
        <v>13.133939398766406</v>
      </c>
      <c r="E24" s="20">
        <f t="shared" si="1"/>
        <v>12.085320859666988</v>
      </c>
      <c r="F24" s="20">
        <f t="shared" si="1"/>
        <v>11.158116491679179</v>
      </c>
      <c r="G24" s="20">
        <f t="shared" si="1"/>
        <v>10.335595242702293</v>
      </c>
      <c r="H24" s="20">
        <f t="shared" si="1"/>
        <v>9.6035992000452364</v>
      </c>
      <c r="I24" s="20">
        <f t="shared" si="1"/>
        <v>8.9501147793036555</v>
      </c>
      <c r="J24" s="20">
        <f t="shared" si="1"/>
        <v>8.3649200917344224</v>
      </c>
      <c r="K24" s="20">
        <f t="shared" si="1"/>
        <v>7.8392942102772389</v>
      </c>
      <c r="L24" s="20">
        <f t="shared" si="1"/>
        <v>7.3657768592469104</v>
      </c>
      <c r="M24" s="20">
        <f t="shared" si="1"/>
        <v>6.9379692832123254</v>
      </c>
      <c r="N24" s="20">
        <f t="shared" si="1"/>
        <v>6.550368828842176</v>
      </c>
      <c r="O24" s="20">
        <f t="shared" si="1"/>
        <v>6.1982311947890922</v>
      </c>
    </row>
    <row r="25" spans="1:15" x14ac:dyDescent="0.25">
      <c r="A25" s="21">
        <v>20</v>
      </c>
      <c r="B25" s="19">
        <f t="shared" si="1"/>
        <v>16.351433344597112</v>
      </c>
      <c r="C25" s="19">
        <f t="shared" si="1"/>
        <v>14.877474860455502</v>
      </c>
      <c r="D25" s="19">
        <f t="shared" si="1"/>
        <v>13.590326344967698</v>
      </c>
      <c r="E25" s="19">
        <f t="shared" si="1"/>
        <v>12.462210342539986</v>
      </c>
      <c r="F25" s="19">
        <f t="shared" si="1"/>
        <v>11.469921218565263</v>
      </c>
      <c r="G25" s="19">
        <f t="shared" si="1"/>
        <v>10.59401424551616</v>
      </c>
      <c r="H25" s="19">
        <f t="shared" si="1"/>
        <v>9.8181474074492936</v>
      </c>
      <c r="I25" s="19">
        <f t="shared" si="1"/>
        <v>9.1285456690859235</v>
      </c>
      <c r="J25" s="19">
        <f t="shared" si="1"/>
        <v>8.5135637197585652</v>
      </c>
      <c r="K25" s="19">
        <f t="shared" si="1"/>
        <v>7.9633281173668822</v>
      </c>
      <c r="L25" s="19">
        <f t="shared" si="1"/>
        <v>7.4694436243275968</v>
      </c>
      <c r="M25" s="19">
        <f t="shared" si="1"/>
        <v>7.0247515780640049</v>
      </c>
      <c r="N25" s="19">
        <f t="shared" si="1"/>
        <v>6.6231305516159438</v>
      </c>
      <c r="O25" s="19">
        <f t="shared" si="1"/>
        <v>6.2593314737296453</v>
      </c>
    </row>
    <row r="26" spans="1:15" x14ac:dyDescent="0.25">
      <c r="A26" s="22">
        <v>21</v>
      </c>
      <c r="B26" s="20">
        <f t="shared" si="1"/>
        <v>17.011209161369717</v>
      </c>
      <c r="C26" s="20">
        <f t="shared" si="1"/>
        <v>15.415024136364563</v>
      </c>
      <c r="D26" s="20">
        <f t="shared" si="1"/>
        <v>14.029159947084329</v>
      </c>
      <c r="E26" s="20">
        <f t="shared" si="1"/>
        <v>12.821152707180939</v>
      </c>
      <c r="F26" s="20">
        <f t="shared" si="1"/>
        <v>11.764076621287984</v>
      </c>
      <c r="G26" s="20">
        <f t="shared" si="1"/>
        <v>10.835527332258094</v>
      </c>
      <c r="H26" s="20">
        <f t="shared" si="1"/>
        <v>10.016803155045642</v>
      </c>
      <c r="I26" s="20">
        <f t="shared" si="1"/>
        <v>9.2922437331063517</v>
      </c>
      <c r="J26" s="20">
        <f t="shared" si="1"/>
        <v>8.6486942906896047</v>
      </c>
      <c r="K26" s="20">
        <f t="shared" si="1"/>
        <v>8.0750703760062006</v>
      </c>
      <c r="L26" s="20">
        <f t="shared" si="1"/>
        <v>7.5620032360067837</v>
      </c>
      <c r="M26" s="20">
        <f t="shared" si="1"/>
        <v>7.1015500690831903</v>
      </c>
      <c r="N26" s="20">
        <f t="shared" si="1"/>
        <v>6.6869566242245115</v>
      </c>
      <c r="O26" s="20">
        <f t="shared" si="1"/>
        <v>6.3124621510692567</v>
      </c>
    </row>
    <row r="27" spans="1:15" x14ac:dyDescent="0.25">
      <c r="A27" s="21">
        <v>22</v>
      </c>
      <c r="B27" s="19">
        <f t="shared" si="1"/>
        <v>17.658048197421291</v>
      </c>
      <c r="C27" s="19">
        <f t="shared" si="1"/>
        <v>15.936916637247149</v>
      </c>
      <c r="D27" s="19">
        <f t="shared" si="1"/>
        <v>14.451115333734929</v>
      </c>
      <c r="E27" s="19">
        <f t="shared" si="1"/>
        <v>13.163002578267561</v>
      </c>
      <c r="F27" s="19">
        <f t="shared" si="1"/>
        <v>12.041581718196213</v>
      </c>
      <c r="G27" s="19">
        <f t="shared" si="1"/>
        <v>11.061240497437471</v>
      </c>
      <c r="H27" s="19">
        <f t="shared" si="1"/>
        <v>10.200743662079297</v>
      </c>
      <c r="I27" s="19">
        <f t="shared" si="1"/>
        <v>9.4424254432168357</v>
      </c>
      <c r="J27" s="19">
        <f t="shared" si="1"/>
        <v>8.7715402642632778</v>
      </c>
      <c r="K27" s="19">
        <f t="shared" si="1"/>
        <v>8.1757390774830636</v>
      </c>
      <c r="L27" s="19">
        <f t="shared" si="1"/>
        <v>7.6446457464346285</v>
      </c>
      <c r="M27" s="19">
        <f t="shared" si="1"/>
        <v>7.1695133354718497</v>
      </c>
      <c r="N27" s="19">
        <f t="shared" si="1"/>
        <v>6.7429444072144848</v>
      </c>
      <c r="O27" s="19">
        <f t="shared" si="1"/>
        <v>6.3586627400602236</v>
      </c>
    </row>
    <row r="28" spans="1:15" x14ac:dyDescent="0.25">
      <c r="A28" s="22">
        <v>23</v>
      </c>
      <c r="B28" s="20">
        <f t="shared" si="1"/>
        <v>18.29220411511891</v>
      </c>
      <c r="C28" s="20">
        <f t="shared" si="1"/>
        <v>16.443608385676846</v>
      </c>
      <c r="D28" s="20">
        <f t="shared" si="1"/>
        <v>14.856841667052816</v>
      </c>
      <c r="E28" s="20">
        <f t="shared" si="1"/>
        <v>13.488573884064344</v>
      </c>
      <c r="F28" s="20">
        <f t="shared" si="1"/>
        <v>12.303378979430388</v>
      </c>
      <c r="G28" s="20">
        <f t="shared" si="1"/>
        <v>11.272187380782682</v>
      </c>
      <c r="H28" s="20">
        <f t="shared" si="1"/>
        <v>10.37105894636972</v>
      </c>
      <c r="I28" s="20">
        <f t="shared" si="1"/>
        <v>9.5802068286392981</v>
      </c>
      <c r="J28" s="20">
        <f t="shared" si="1"/>
        <v>8.8832184220575243</v>
      </c>
      <c r="K28" s="20">
        <f t="shared" si="1"/>
        <v>8.2664316013360928</v>
      </c>
      <c r="L28" s="20">
        <f t="shared" si="1"/>
        <v>7.7184337021737752</v>
      </c>
      <c r="M28" s="20">
        <f t="shared" si="1"/>
        <v>7.2296578190016376</v>
      </c>
      <c r="N28" s="20">
        <f t="shared" si="1"/>
        <v>6.7920564975565654</v>
      </c>
      <c r="O28" s="20">
        <f t="shared" si="1"/>
        <v>6.39883716526976</v>
      </c>
    </row>
    <row r="29" spans="1:15" x14ac:dyDescent="0.25">
      <c r="A29" s="21">
        <v>24</v>
      </c>
      <c r="B29" s="19">
        <f t="shared" si="1"/>
        <v>18.913925603057756</v>
      </c>
      <c r="C29" s="19">
        <f t="shared" si="1"/>
        <v>16.935542122016354</v>
      </c>
      <c r="D29" s="19">
        <f t="shared" si="1"/>
        <v>15.246963141396941</v>
      </c>
      <c r="E29" s="19">
        <f t="shared" si="1"/>
        <v>13.798641794346995</v>
      </c>
      <c r="F29" s="19">
        <f t="shared" si="1"/>
        <v>12.550357527764518</v>
      </c>
      <c r="G29" s="19">
        <f t="shared" si="1"/>
        <v>11.469334000731479</v>
      </c>
      <c r="H29" s="19">
        <f t="shared" si="1"/>
        <v>10.528758283675666</v>
      </c>
      <c r="I29" s="19">
        <f t="shared" si="1"/>
        <v>9.7066117693938523</v>
      </c>
      <c r="J29" s="19">
        <f t="shared" si="1"/>
        <v>8.984744020052295</v>
      </c>
      <c r="K29" s="19">
        <f t="shared" si="1"/>
        <v>8.3481365777802647</v>
      </c>
      <c r="L29" s="19">
        <f t="shared" si="1"/>
        <v>7.7843158055122998</v>
      </c>
      <c r="M29" s="19">
        <f t="shared" si="1"/>
        <v>7.2828830256651651</v>
      </c>
      <c r="N29" s="19">
        <f t="shared" si="1"/>
        <v>6.8351372785583902</v>
      </c>
      <c r="O29" s="19">
        <f t="shared" si="1"/>
        <v>6.4337714480606607</v>
      </c>
    </row>
    <row r="30" spans="1:15" x14ac:dyDescent="0.25">
      <c r="A30" s="22">
        <v>25</v>
      </c>
      <c r="B30" s="20">
        <f t="shared" si="1"/>
        <v>19.523456473586034</v>
      </c>
      <c r="C30" s="20">
        <f t="shared" si="1"/>
        <v>17.413147691278013</v>
      </c>
      <c r="D30" s="20">
        <f t="shared" si="1"/>
        <v>15.622079943650904</v>
      </c>
      <c r="E30" s="20">
        <f t="shared" si="1"/>
        <v>14.093944566044758</v>
      </c>
      <c r="F30" s="20">
        <f t="shared" si="1"/>
        <v>12.783356158268411</v>
      </c>
      <c r="G30" s="20">
        <f t="shared" si="1"/>
        <v>11.65358317825372</v>
      </c>
      <c r="H30" s="20">
        <f t="shared" si="1"/>
        <v>10.674776188588581</v>
      </c>
      <c r="I30" s="20">
        <f t="shared" si="1"/>
        <v>9.8225796049484888</v>
      </c>
      <c r="J30" s="20">
        <f t="shared" si="1"/>
        <v>9.0770400182293596</v>
      </c>
      <c r="K30" s="20">
        <f t="shared" si="1"/>
        <v>8.421744664666905</v>
      </c>
      <c r="L30" s="20">
        <f t="shared" si="1"/>
        <v>7.8431391120645539</v>
      </c>
      <c r="M30" s="20">
        <f t="shared" si="1"/>
        <v>7.3299849784647471</v>
      </c>
      <c r="N30" s="20">
        <f t="shared" si="1"/>
        <v>6.8729274373319207</v>
      </c>
      <c r="O30" s="20">
        <f t="shared" si="1"/>
        <v>6.4641490852701402</v>
      </c>
    </row>
    <row r="31" spans="1:15" x14ac:dyDescent="0.25">
      <c r="A31" s="21">
        <v>26</v>
      </c>
      <c r="B31" s="19">
        <f t="shared" si="1"/>
        <v>20.121035758417683</v>
      </c>
      <c r="C31" s="19">
        <f t="shared" si="1"/>
        <v>17.876842418716517</v>
      </c>
      <c r="D31" s="19">
        <f t="shared" si="1"/>
        <v>15.982769176587409</v>
      </c>
      <c r="E31" s="19">
        <f t="shared" si="1"/>
        <v>14.375185300995007</v>
      </c>
      <c r="F31" s="19">
        <f t="shared" si="1"/>
        <v>13.003166187045673</v>
      </c>
      <c r="G31" s="19">
        <f t="shared" si="1"/>
        <v>11.825778671265157</v>
      </c>
      <c r="H31" s="19">
        <f t="shared" si="1"/>
        <v>10.809977952396835</v>
      </c>
      <c r="I31" s="19">
        <f t="shared" si="1"/>
        <v>9.928972114631641</v>
      </c>
      <c r="J31" s="19">
        <f t="shared" si="1"/>
        <v>9.1609454711175982</v>
      </c>
      <c r="K31" s="19">
        <f t="shared" si="1"/>
        <v>8.4880582564566698</v>
      </c>
      <c r="L31" s="19">
        <f t="shared" si="1"/>
        <v>7.8956599214862084</v>
      </c>
      <c r="M31" s="19">
        <f t="shared" si="1"/>
        <v>7.3716681225351754</v>
      </c>
      <c r="N31" s="19">
        <f t="shared" si="1"/>
        <v>6.9060766994139664</v>
      </c>
      <c r="O31" s="19">
        <f t="shared" si="1"/>
        <v>6.4905644219740344</v>
      </c>
    </row>
    <row r="32" spans="1:15" x14ac:dyDescent="0.25">
      <c r="A32" s="22">
        <v>27</v>
      </c>
      <c r="B32" s="20">
        <f t="shared" si="1"/>
        <v>20.706897802370271</v>
      </c>
      <c r="C32" s="20">
        <f t="shared" si="1"/>
        <v>18.327031474482055</v>
      </c>
      <c r="D32" s="20">
        <f t="shared" si="1"/>
        <v>16.32958574671866</v>
      </c>
      <c r="E32" s="20">
        <f t="shared" si="1"/>
        <v>14.643033619995245</v>
      </c>
      <c r="F32" s="20">
        <f t="shared" si="1"/>
        <v>13.210534138722334</v>
      </c>
      <c r="G32" s="20">
        <f t="shared" si="1"/>
        <v>11.986709038565568</v>
      </c>
      <c r="H32" s="20">
        <f t="shared" si="1"/>
        <v>10.935164770737808</v>
      </c>
      <c r="I32" s="20">
        <f t="shared" si="1"/>
        <v>10.026579921680405</v>
      </c>
      <c r="J32" s="20">
        <f t="shared" si="1"/>
        <v>9.2372231555614537</v>
      </c>
      <c r="K32" s="20">
        <f t="shared" si="1"/>
        <v>8.5478002310420464</v>
      </c>
      <c r="L32" s="20">
        <f t="shared" si="1"/>
        <v>7.9425535013269721</v>
      </c>
      <c r="M32" s="20">
        <f t="shared" si="1"/>
        <v>7.4085558606505977</v>
      </c>
      <c r="N32" s="20">
        <f t="shared" si="1"/>
        <v>6.9351549994859356</v>
      </c>
      <c r="O32" s="20">
        <f t="shared" si="1"/>
        <v>6.5135342799774207</v>
      </c>
    </row>
    <row r="33" spans="1:15" x14ac:dyDescent="0.25">
      <c r="A33" s="21">
        <v>28</v>
      </c>
      <c r="B33" s="19">
        <f t="shared" si="1"/>
        <v>21.281272355264978</v>
      </c>
      <c r="C33" s="19">
        <f t="shared" si="1"/>
        <v>18.764108227652482</v>
      </c>
      <c r="D33" s="19">
        <f t="shared" si="1"/>
        <v>16.663063217998715</v>
      </c>
      <c r="E33" s="19">
        <f t="shared" si="1"/>
        <v>14.898127257138327</v>
      </c>
      <c r="F33" s="19">
        <f t="shared" si="1"/>
        <v>13.406164281813522</v>
      </c>
      <c r="G33" s="19">
        <f t="shared" si="1"/>
        <v>12.137111250995858</v>
      </c>
      <c r="H33" s="19">
        <f t="shared" si="1"/>
        <v>11.051078491423898</v>
      </c>
      <c r="I33" s="19">
        <f t="shared" si="1"/>
        <v>10.116128368514131</v>
      </c>
      <c r="J33" s="19">
        <f t="shared" si="1"/>
        <v>9.3065665050558675</v>
      </c>
      <c r="K33" s="19">
        <f t="shared" si="1"/>
        <v>8.601621829767609</v>
      </c>
      <c r="L33" s="19">
        <f t="shared" si="1"/>
        <v>7.9844227690419389</v>
      </c>
      <c r="M33" s="19">
        <f t="shared" si="1"/>
        <v>7.4411998766819449</v>
      </c>
      <c r="N33" s="19">
        <f t="shared" si="1"/>
        <v>6.9606622802508209</v>
      </c>
      <c r="O33" s="19">
        <f t="shared" si="1"/>
        <v>6.5335080695455838</v>
      </c>
    </row>
    <row r="34" spans="1:15" x14ac:dyDescent="0.25">
      <c r="A34" s="22">
        <v>29</v>
      </c>
      <c r="B34" s="20">
        <f t="shared" si="1"/>
        <v>21.844384662024485</v>
      </c>
      <c r="C34" s="20">
        <f t="shared" si="1"/>
        <v>19.188454589953864</v>
      </c>
      <c r="D34" s="20">
        <f t="shared" si="1"/>
        <v>16.983714632691072</v>
      </c>
      <c r="E34" s="20">
        <f t="shared" si="1"/>
        <v>15.141073578226981</v>
      </c>
      <c r="F34" s="20">
        <f t="shared" si="1"/>
        <v>13.590721020578794</v>
      </c>
      <c r="G34" s="20">
        <f t="shared" si="1"/>
        <v>12.277674066351269</v>
      </c>
      <c r="H34" s="20">
        <f t="shared" si="1"/>
        <v>11.158406010577682</v>
      </c>
      <c r="I34" s="20">
        <f t="shared" si="1"/>
        <v>10.1982829068937</v>
      </c>
      <c r="J34" s="20">
        <f t="shared" si="1"/>
        <v>9.3696059136871526</v>
      </c>
      <c r="K34" s="20">
        <f t="shared" si="1"/>
        <v>8.6501097565473959</v>
      </c>
      <c r="L34" s="20">
        <f t="shared" si="1"/>
        <v>8.0218060437874463</v>
      </c>
      <c r="M34" s="20">
        <f t="shared" si="1"/>
        <v>7.4700883864441989</v>
      </c>
      <c r="N34" s="20">
        <f t="shared" si="1"/>
        <v>6.9830370879393158</v>
      </c>
      <c r="O34" s="20">
        <f t="shared" si="1"/>
        <v>6.5508765822135508</v>
      </c>
    </row>
    <row r="35" spans="1:15" x14ac:dyDescent="0.25">
      <c r="A35" s="21">
        <v>30</v>
      </c>
      <c r="B35" s="19">
        <f t="shared" si="1"/>
        <v>22.396455551004401</v>
      </c>
      <c r="C35" s="19">
        <f t="shared" si="1"/>
        <v>19.600441349469772</v>
      </c>
      <c r="D35" s="19">
        <f t="shared" si="1"/>
        <v>17.292033300664492</v>
      </c>
      <c r="E35" s="19">
        <f t="shared" si="1"/>
        <v>15.372451026882837</v>
      </c>
      <c r="F35" s="19">
        <f t="shared" si="1"/>
        <v>13.764831151489428</v>
      </c>
      <c r="G35" s="19">
        <f t="shared" si="1"/>
        <v>12.40904118350586</v>
      </c>
      <c r="H35" s="19">
        <f t="shared" si="1"/>
        <v>11.257783343127485</v>
      </c>
      <c r="I35" s="19">
        <f t="shared" si="1"/>
        <v>10.273654043021743</v>
      </c>
      <c r="J35" s="19">
        <f t="shared" si="1"/>
        <v>9.42691446698832</v>
      </c>
      <c r="K35" s="19">
        <f t="shared" si="1"/>
        <v>8.6937925734661228</v>
      </c>
      <c r="L35" s="19">
        <f t="shared" si="1"/>
        <v>8.0551839676673627</v>
      </c>
      <c r="M35" s="19">
        <f t="shared" si="1"/>
        <v>7.4956534393311482</v>
      </c>
      <c r="N35" s="19">
        <f t="shared" si="1"/>
        <v>7.0026641122274702</v>
      </c>
      <c r="O35" s="19">
        <f t="shared" si="1"/>
        <v>6.5659796367074357</v>
      </c>
    </row>
    <row r="36" spans="1:15" x14ac:dyDescent="0.25">
      <c r="A36" s="22">
        <v>31</v>
      </c>
      <c r="B36" s="20">
        <f t="shared" si="1"/>
        <v>22.937701520592544</v>
      </c>
      <c r="C36" s="20">
        <f t="shared" si="1"/>
        <v>20.000428494630846</v>
      </c>
      <c r="D36" s="20">
        <f t="shared" si="1"/>
        <v>17.588493558331241</v>
      </c>
      <c r="E36" s="20">
        <f t="shared" si="1"/>
        <v>15.59281050179318</v>
      </c>
      <c r="F36" s="20">
        <f t="shared" si="1"/>
        <v>13.92908599197116</v>
      </c>
      <c r="G36" s="20">
        <f t="shared" si="1"/>
        <v>12.531814190192392</v>
      </c>
      <c r="H36" s="20">
        <f t="shared" si="1"/>
        <v>11.349799391784707</v>
      </c>
      <c r="I36" s="20">
        <f t="shared" si="1"/>
        <v>10.342801874331874</v>
      </c>
      <c r="J36" s="20">
        <f t="shared" si="1"/>
        <v>9.479013151807564</v>
      </c>
      <c r="K36" s="20">
        <f t="shared" si="1"/>
        <v>8.7331464625820914</v>
      </c>
      <c r="L36" s="20">
        <f t="shared" si="1"/>
        <v>8.084985685417287</v>
      </c>
      <c r="M36" s="20">
        <f t="shared" si="1"/>
        <v>7.5182773799390707</v>
      </c>
      <c r="N36" s="20">
        <f t="shared" si="1"/>
        <v>7.0198808001995348</v>
      </c>
      <c r="O36" s="20">
        <f t="shared" si="1"/>
        <v>6.5791127275716832</v>
      </c>
    </row>
    <row r="37" spans="1:15" x14ac:dyDescent="0.25">
      <c r="A37" s="21">
        <v>32</v>
      </c>
      <c r="B37" s="19">
        <f t="shared" si="1"/>
        <v>23.46833482411034</v>
      </c>
      <c r="C37" s="19">
        <f t="shared" si="1"/>
        <v>20.388765528767809</v>
      </c>
      <c r="D37" s="19">
        <f t="shared" si="1"/>
        <v>17.873551498395425</v>
      </c>
      <c r="E37" s="19">
        <f t="shared" si="1"/>
        <v>15.802676668374456</v>
      </c>
      <c r="F37" s="19">
        <f t="shared" si="1"/>
        <v>14.084043388652038</v>
      </c>
      <c r="G37" s="19">
        <f t="shared" si="1"/>
        <v>12.646555317936816</v>
      </c>
      <c r="H37" s="19">
        <f t="shared" si="1"/>
        <v>11.434999436837693</v>
      </c>
      <c r="I37" s="19">
        <f t="shared" si="1"/>
        <v>10.406240251680618</v>
      </c>
      <c r="J37" s="19">
        <f t="shared" si="1"/>
        <v>9.5263755925523306</v>
      </c>
      <c r="K37" s="19">
        <f t="shared" si="1"/>
        <v>8.7686004167406235</v>
      </c>
      <c r="L37" s="19">
        <f t="shared" si="1"/>
        <v>8.1115943619797211</v>
      </c>
      <c r="M37" s="19">
        <f t="shared" si="1"/>
        <v>7.5382985663177609</v>
      </c>
      <c r="N37" s="19">
        <f t="shared" si="1"/>
        <v>7.0349831580697675</v>
      </c>
      <c r="O37" s="19">
        <f t="shared" si="1"/>
        <v>6.590532806584072</v>
      </c>
    </row>
    <row r="38" spans="1:15" x14ac:dyDescent="0.25">
      <c r="A38" s="22">
        <v>33</v>
      </c>
      <c r="B38" s="20">
        <f t="shared" si="1"/>
        <v>23.988563553049353</v>
      </c>
      <c r="C38" s="20">
        <f t="shared" si="1"/>
        <v>20.765791775502727</v>
      </c>
      <c r="D38" s="20">
        <f t="shared" ref="C38:O45" si="2">+((1+D$4%)^$A38-1)/(D$4%*(1+D$4%)^$A38)</f>
        <v>18.147645671534065</v>
      </c>
      <c r="E38" s="20">
        <f t="shared" si="2"/>
        <v>16.002549207975672</v>
      </c>
      <c r="F38" s="20">
        <f t="shared" si="2"/>
        <v>14.230229611935885</v>
      </c>
      <c r="G38" s="20">
        <f t="shared" si="2"/>
        <v>12.753790016763379</v>
      </c>
      <c r="H38" s="20">
        <f t="shared" si="2"/>
        <v>11.513888367442307</v>
      </c>
      <c r="I38" s="20">
        <f t="shared" si="2"/>
        <v>10.464440597872128</v>
      </c>
      <c r="J38" s="20">
        <f t="shared" si="2"/>
        <v>9.5694323568657556</v>
      </c>
      <c r="K38" s="20">
        <f t="shared" si="2"/>
        <v>8.800540915982543</v>
      </c>
      <c r="L38" s="20">
        <f t="shared" si="2"/>
        <v>8.1353521089104657</v>
      </c>
      <c r="M38" s="20">
        <f t="shared" si="2"/>
        <v>7.5560164303697004</v>
      </c>
      <c r="N38" s="20">
        <f t="shared" si="2"/>
        <v>7.0482308404120761</v>
      </c>
      <c r="O38" s="20">
        <f t="shared" si="2"/>
        <v>6.6004633100731072</v>
      </c>
    </row>
    <row r="39" spans="1:15" x14ac:dyDescent="0.25">
      <c r="A39" s="21">
        <v>34</v>
      </c>
      <c r="B39" s="19">
        <f t="shared" ref="B39:B45" si="3">+((1+B$4%)^$A39-1)/(B$4%*(1+B$4%)^$A39)</f>
        <v>24.498591718675833</v>
      </c>
      <c r="C39" s="19">
        <f t="shared" si="2"/>
        <v>21.131836675245367</v>
      </c>
      <c r="D39" s="19">
        <f t="shared" si="2"/>
        <v>18.411197761090445</v>
      </c>
      <c r="E39" s="19">
        <f t="shared" si="2"/>
        <v>16.192904007595878</v>
      </c>
      <c r="F39" s="19">
        <f t="shared" si="2"/>
        <v>14.368141143335741</v>
      </c>
      <c r="G39" s="19">
        <f t="shared" si="2"/>
        <v>12.854009361461101</v>
      </c>
      <c r="H39" s="19">
        <f t="shared" si="2"/>
        <v>11.586933673557692</v>
      </c>
      <c r="I39" s="19">
        <f t="shared" si="2"/>
        <v>10.517835410891859</v>
      </c>
      <c r="J39" s="19">
        <f t="shared" si="2"/>
        <v>9.6085748698779589</v>
      </c>
      <c r="K39" s="19">
        <f t="shared" si="2"/>
        <v>8.8293161405248135</v>
      </c>
      <c r="L39" s="19">
        <f t="shared" si="2"/>
        <v>8.1565643829557732</v>
      </c>
      <c r="M39" s="19">
        <f t="shared" si="2"/>
        <v>7.5716959560793802</v>
      </c>
      <c r="N39" s="19">
        <f t="shared" si="2"/>
        <v>7.0598516143965586</v>
      </c>
      <c r="O39" s="19">
        <f t="shared" si="2"/>
        <v>6.6090985304983532</v>
      </c>
    </row>
    <row r="40" spans="1:15" x14ac:dyDescent="0.25">
      <c r="A40" s="22">
        <v>35</v>
      </c>
      <c r="B40" s="20">
        <f t="shared" si="3"/>
        <v>24.998619332035133</v>
      </c>
      <c r="C40" s="20">
        <f t="shared" si="2"/>
        <v>21.487220073053756</v>
      </c>
      <c r="D40" s="20">
        <f t="shared" si="2"/>
        <v>18.664613231817736</v>
      </c>
      <c r="E40" s="20">
        <f t="shared" si="2"/>
        <v>16.374194292948456</v>
      </c>
      <c r="F40" s="20">
        <f t="shared" si="2"/>
        <v>14.498246361637491</v>
      </c>
      <c r="G40" s="20">
        <f t="shared" si="2"/>
        <v>12.947672300430934</v>
      </c>
      <c r="H40" s="20">
        <f t="shared" si="2"/>
        <v>11.654568216257122</v>
      </c>
      <c r="I40" s="20">
        <f t="shared" si="2"/>
        <v>10.56682147788244</v>
      </c>
      <c r="J40" s="20">
        <f t="shared" si="2"/>
        <v>9.6441589726163262</v>
      </c>
      <c r="K40" s="20">
        <f t="shared" si="2"/>
        <v>8.8552397662385705</v>
      </c>
      <c r="L40" s="20">
        <f t="shared" si="2"/>
        <v>8.1755039133533689</v>
      </c>
      <c r="M40" s="20">
        <f t="shared" si="2"/>
        <v>7.5855716425481248</v>
      </c>
      <c r="N40" s="20">
        <f t="shared" si="2"/>
        <v>7.0700452757864545</v>
      </c>
      <c r="O40" s="20">
        <f t="shared" si="2"/>
        <v>6.616607417824655</v>
      </c>
    </row>
    <row r="41" spans="1:15" x14ac:dyDescent="0.25">
      <c r="A41" s="21">
        <v>36</v>
      </c>
      <c r="B41" s="19">
        <f t="shared" si="3"/>
        <v>25.488842482387383</v>
      </c>
      <c r="C41" s="19">
        <f t="shared" si="2"/>
        <v>21.832252498110442</v>
      </c>
      <c r="D41" s="19">
        <f t="shared" si="2"/>
        <v>18.908281953670901</v>
      </c>
      <c r="E41" s="19">
        <f t="shared" si="2"/>
        <v>16.546851707569957</v>
      </c>
      <c r="F41" s="19">
        <f t="shared" si="2"/>
        <v>14.620987133620273</v>
      </c>
      <c r="G41" s="19">
        <f t="shared" si="2"/>
        <v>13.035207757412088</v>
      </c>
      <c r="H41" s="19">
        <f t="shared" si="2"/>
        <v>11.717192792830669</v>
      </c>
      <c r="I41" s="19">
        <f t="shared" si="2"/>
        <v>10.611762823745359</v>
      </c>
      <c r="J41" s="19">
        <f t="shared" si="2"/>
        <v>9.6765081569239335</v>
      </c>
      <c r="K41" s="19">
        <f t="shared" si="2"/>
        <v>8.8785943839987134</v>
      </c>
      <c r="L41" s="19">
        <f t="shared" si="2"/>
        <v>8.1924142083512219</v>
      </c>
      <c r="M41" s="19">
        <f t="shared" si="2"/>
        <v>7.5978510111045345</v>
      </c>
      <c r="N41" s="19">
        <f t="shared" si="2"/>
        <v>7.0789870840232059</v>
      </c>
      <c r="O41" s="19">
        <f t="shared" si="2"/>
        <v>6.6231368850649179</v>
      </c>
    </row>
    <row r="42" spans="1:15" x14ac:dyDescent="0.25">
      <c r="A42" s="22">
        <v>37</v>
      </c>
      <c r="B42" s="20">
        <f t="shared" si="3"/>
        <v>25.969453414105285</v>
      </c>
      <c r="C42" s="20">
        <f t="shared" si="2"/>
        <v>22.167235435058679</v>
      </c>
      <c r="D42" s="20">
        <f t="shared" si="2"/>
        <v>19.142578801606636</v>
      </c>
      <c r="E42" s="20">
        <f t="shared" si="2"/>
        <v>16.711287340542814</v>
      </c>
      <c r="F42" s="20">
        <f t="shared" si="2"/>
        <v>14.73678031473611</v>
      </c>
      <c r="G42" s="20">
        <f t="shared" si="2"/>
        <v>13.117016595712233</v>
      </c>
      <c r="H42" s="20">
        <f t="shared" si="2"/>
        <v>11.775178511880249</v>
      </c>
      <c r="I42" s="20">
        <f t="shared" si="2"/>
        <v>10.652993416280145</v>
      </c>
      <c r="J42" s="20">
        <f t="shared" si="2"/>
        <v>9.7059165062944839</v>
      </c>
      <c r="K42" s="20">
        <f t="shared" si="2"/>
        <v>8.899634580179022</v>
      </c>
      <c r="L42" s="20">
        <f t="shared" si="2"/>
        <v>8.2075126860278758</v>
      </c>
      <c r="M42" s="20">
        <f t="shared" si="2"/>
        <v>7.6087177089420654</v>
      </c>
      <c r="N42" s="20">
        <f t="shared" si="2"/>
        <v>7.086830775458953</v>
      </c>
      <c r="O42" s="20">
        <f t="shared" si="2"/>
        <v>6.6288146826651451</v>
      </c>
    </row>
    <row r="43" spans="1:15" x14ac:dyDescent="0.25">
      <c r="A43" s="21">
        <v>38</v>
      </c>
      <c r="B43" s="19">
        <f t="shared" si="3"/>
        <v>26.440640602064004</v>
      </c>
      <c r="C43" s="19">
        <f t="shared" si="2"/>
        <v>22.492461587435614</v>
      </c>
      <c r="D43" s="19">
        <f t="shared" si="2"/>
        <v>19.367864232314073</v>
      </c>
      <c r="E43" s="19">
        <f t="shared" si="2"/>
        <v>16.867892705278873</v>
      </c>
      <c r="F43" s="19">
        <f t="shared" si="2"/>
        <v>14.846019164845387</v>
      </c>
      <c r="G43" s="19">
        <f t="shared" si="2"/>
        <v>13.193473453936665</v>
      </c>
      <c r="H43" s="19">
        <f t="shared" si="2"/>
        <v>11.828868992481713</v>
      </c>
      <c r="I43" s="19">
        <f t="shared" si="2"/>
        <v>10.690819647963435</v>
      </c>
      <c r="J43" s="19">
        <f t="shared" si="2"/>
        <v>9.7326513693586225</v>
      </c>
      <c r="K43" s="19">
        <f t="shared" si="2"/>
        <v>8.9185897118729915</v>
      </c>
      <c r="L43" s="19">
        <f t="shared" si="2"/>
        <v>8.2209934696677465</v>
      </c>
      <c r="M43" s="19">
        <f t="shared" si="2"/>
        <v>7.618334255700943</v>
      </c>
      <c r="N43" s="19">
        <f t="shared" si="2"/>
        <v>7.0937112065429409</v>
      </c>
      <c r="O43" s="19">
        <f t="shared" si="2"/>
        <v>6.6337518979696926</v>
      </c>
    </row>
    <row r="44" spans="1:15" x14ac:dyDescent="0.25">
      <c r="A44" s="22">
        <v>39</v>
      </c>
      <c r="B44" s="20">
        <f t="shared" si="3"/>
        <v>26.90258882555294</v>
      </c>
      <c r="C44" s="20">
        <f t="shared" si="2"/>
        <v>22.808215133432633</v>
      </c>
      <c r="D44" s="20">
        <f t="shared" si="2"/>
        <v>19.58448483876353</v>
      </c>
      <c r="E44" s="20">
        <f t="shared" si="2"/>
        <v>17.017040671694165</v>
      </c>
      <c r="F44" s="20">
        <f t="shared" si="2"/>
        <v>14.9490746838164</v>
      </c>
      <c r="G44" s="20">
        <f t="shared" si="2"/>
        <v>13.264928461623052</v>
      </c>
      <c r="H44" s="20">
        <f t="shared" si="2"/>
        <v>11.87858240044603</v>
      </c>
      <c r="I44" s="20">
        <f t="shared" si="2"/>
        <v>10.725522612810492</v>
      </c>
      <c r="J44" s="20">
        <f t="shared" si="2"/>
        <v>9.7569557903260193</v>
      </c>
      <c r="K44" s="20">
        <f t="shared" si="2"/>
        <v>8.9356664070927838</v>
      </c>
      <c r="L44" s="20">
        <f t="shared" si="2"/>
        <v>8.2330298836319162</v>
      </c>
      <c r="M44" s="20">
        <f t="shared" si="2"/>
        <v>7.626844474071631</v>
      </c>
      <c r="N44" s="20">
        <f t="shared" si="2"/>
        <v>7.0997466724060878</v>
      </c>
      <c r="O44" s="20">
        <f t="shared" si="2"/>
        <v>6.6380451286692974</v>
      </c>
    </row>
    <row r="45" spans="1:15" x14ac:dyDescent="0.25">
      <c r="A45" s="21">
        <v>40</v>
      </c>
      <c r="B45" s="19">
        <f t="shared" si="3"/>
        <v>27.35547924073818</v>
      </c>
      <c r="C45" s="19">
        <f t="shared" si="2"/>
        <v>23.114771974206437</v>
      </c>
      <c r="D45" s="19">
        <f t="shared" si="2"/>
        <v>19.792773883426474</v>
      </c>
      <c r="E45" s="19">
        <f t="shared" si="2"/>
        <v>17.159086353994443</v>
      </c>
      <c r="F45" s="19">
        <f t="shared" si="2"/>
        <v>15.046296871524907</v>
      </c>
      <c r="G45" s="19">
        <f t="shared" si="2"/>
        <v>13.331708842638367</v>
      </c>
      <c r="H45" s="19">
        <f t="shared" si="2"/>
        <v>11.924613333746326</v>
      </c>
      <c r="I45" s="19">
        <f t="shared" si="2"/>
        <v>10.757360195238983</v>
      </c>
      <c r="J45" s="19">
        <f t="shared" si="2"/>
        <v>9.7790507184782012</v>
      </c>
      <c r="K45" s="19">
        <f t="shared" si="2"/>
        <v>8.9510508172007075</v>
      </c>
      <c r="L45" s="19">
        <f t="shared" si="2"/>
        <v>8.2437766818142126</v>
      </c>
      <c r="M45" s="19">
        <f t="shared" si="2"/>
        <v>7.6343756407713546</v>
      </c>
      <c r="N45" s="19">
        <f t="shared" si="2"/>
        <v>7.1050409407070942</v>
      </c>
      <c r="O45" s="19">
        <f t="shared" si="2"/>
        <v>6.641778372755911</v>
      </c>
    </row>
  </sheetData>
  <sheetProtection sheet="1" objects="1" scenarios="1"/>
  <pageMargins left="0.7" right="0.7" top="0.75" bottom="0.75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windowProtection="1" workbookViewId="0">
      <selection activeCell="C6" sqref="C6"/>
    </sheetView>
  </sheetViews>
  <sheetFormatPr defaultRowHeight="15" x14ac:dyDescent="0.25"/>
  <cols>
    <col min="1" max="1" width="4.85546875" customWidth="1"/>
    <col min="2" max="2" width="7.7109375" bestFit="1" customWidth="1"/>
    <col min="3" max="12" width="6.5703125" bestFit="1" customWidth="1"/>
    <col min="13" max="15" width="7.5703125" bestFit="1" customWidth="1"/>
  </cols>
  <sheetData>
    <row r="1" spans="1:15" x14ac:dyDescent="0.25">
      <c r="A1" s="18" t="s">
        <v>36</v>
      </c>
    </row>
    <row r="2" spans="1:15" x14ac:dyDescent="0.25">
      <c r="A2" s="18" t="s">
        <v>42</v>
      </c>
      <c r="J2" t="s">
        <v>40</v>
      </c>
    </row>
    <row r="3" spans="1:15" x14ac:dyDescent="0.25">
      <c r="A3" s="18"/>
      <c r="J3" t="s">
        <v>46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2">
        <v>1</v>
      </c>
      <c r="B5" s="17">
        <f>+B$4%/((1+B$4%)^$A5-1)</f>
        <v>0.99999999999999911</v>
      </c>
      <c r="C5" s="17">
        <f t="shared" ref="C5:O20" si="0">+C$4%/((1+C$4%)^$A5-1)</f>
        <v>0.99999999999999911</v>
      </c>
      <c r="D5" s="17">
        <f t="shared" si="0"/>
        <v>0.99999999999999911</v>
      </c>
      <c r="E5" s="17">
        <f t="shared" si="0"/>
        <v>0.99999999999999911</v>
      </c>
      <c r="F5" s="17">
        <f t="shared" si="0"/>
        <v>0.99999999999999911</v>
      </c>
      <c r="G5" s="17">
        <f t="shared" si="0"/>
        <v>0.99999999999999922</v>
      </c>
      <c r="H5" s="17">
        <f t="shared" si="0"/>
        <v>0.99999999999999911</v>
      </c>
      <c r="I5" s="17">
        <f t="shared" si="0"/>
        <v>0.99999999999999911</v>
      </c>
      <c r="J5" s="17">
        <f t="shared" si="0"/>
        <v>0.99999999999999911</v>
      </c>
      <c r="K5" s="17">
        <f t="shared" si="0"/>
        <v>0.99999999999999911</v>
      </c>
      <c r="L5" s="17">
        <f t="shared" si="0"/>
        <v>0.99999999999999911</v>
      </c>
      <c r="M5" s="17">
        <f t="shared" si="0"/>
        <v>1.0000000000000009</v>
      </c>
      <c r="N5" s="17">
        <f t="shared" si="0"/>
        <v>0.99999999999999922</v>
      </c>
      <c r="O5" s="17">
        <f t="shared" si="0"/>
        <v>1.0000000000000004</v>
      </c>
    </row>
    <row r="6" spans="1:15" x14ac:dyDescent="0.25">
      <c r="A6" s="21">
        <v>2</v>
      </c>
      <c r="B6" s="16">
        <f t="shared" ref="B6:O38" si="1">+B$4%/((1+B$4%)^$A6-1)</f>
        <v>0.49504950495049516</v>
      </c>
      <c r="C6" s="16">
        <f t="shared" si="0"/>
        <v>0.49261083743842399</v>
      </c>
      <c r="D6" s="16">
        <f t="shared" si="0"/>
        <v>0.49019607843137186</v>
      </c>
      <c r="E6" s="16">
        <f t="shared" si="0"/>
        <v>0.48780487804878037</v>
      </c>
      <c r="F6" s="16">
        <f t="shared" si="0"/>
        <v>0.48543689320388289</v>
      </c>
      <c r="G6" s="16">
        <f t="shared" si="0"/>
        <v>0.48309178743961345</v>
      </c>
      <c r="H6" s="16">
        <f t="shared" si="0"/>
        <v>0.4807692307692305</v>
      </c>
      <c r="I6" s="16">
        <f t="shared" si="0"/>
        <v>0.47846889952153071</v>
      </c>
      <c r="J6" s="16">
        <f t="shared" si="0"/>
        <v>0.47619047619047578</v>
      </c>
      <c r="K6" s="16">
        <f t="shared" si="0"/>
        <v>0.47393364928909915</v>
      </c>
      <c r="L6" s="16">
        <f t="shared" si="0"/>
        <v>0.47169811320754684</v>
      </c>
      <c r="M6" s="16">
        <f t="shared" si="0"/>
        <v>0.46948356807511787</v>
      </c>
      <c r="N6" s="16">
        <f t="shared" si="0"/>
        <v>0.46728971962616778</v>
      </c>
      <c r="O6" s="16">
        <f t="shared" si="0"/>
        <v>0.46511627906976771</v>
      </c>
    </row>
    <row r="7" spans="1:15" x14ac:dyDescent="0.25">
      <c r="A7" s="22">
        <v>3</v>
      </c>
      <c r="B7" s="17">
        <f t="shared" si="1"/>
        <v>0.32675467259181845</v>
      </c>
      <c r="C7" s="17">
        <f t="shared" si="0"/>
        <v>0.323530363324598</v>
      </c>
      <c r="D7" s="17">
        <f t="shared" si="0"/>
        <v>0.32034853921066098</v>
      </c>
      <c r="E7" s="17">
        <f t="shared" si="0"/>
        <v>0.3172085646312448</v>
      </c>
      <c r="F7" s="17">
        <f t="shared" si="0"/>
        <v>0.31410981279055106</v>
      </c>
      <c r="G7" s="17">
        <f t="shared" si="0"/>
        <v>0.31105166568166959</v>
      </c>
      <c r="H7" s="17">
        <f t="shared" si="0"/>
        <v>0.30803351404632806</v>
      </c>
      <c r="I7" s="17">
        <f t="shared" si="0"/>
        <v>0.30505475732894033</v>
      </c>
      <c r="J7" s="17">
        <f t="shared" si="0"/>
        <v>0.30211480362537729</v>
      </c>
      <c r="K7" s="17">
        <f t="shared" si="0"/>
        <v>0.2992130696268811</v>
      </c>
      <c r="L7" s="17">
        <f t="shared" si="0"/>
        <v>0.29634898055950659</v>
      </c>
      <c r="M7" s="17">
        <f t="shared" si="0"/>
        <v>0.29352197011946385</v>
      </c>
      <c r="N7" s="17">
        <f t="shared" si="0"/>
        <v>0.29073148040469798</v>
      </c>
      <c r="O7" s="17">
        <f t="shared" si="0"/>
        <v>0.28797696184305283</v>
      </c>
    </row>
    <row r="8" spans="1:15" x14ac:dyDescent="0.25">
      <c r="A8" s="21">
        <v>4</v>
      </c>
      <c r="B8" s="16">
        <f t="shared" si="1"/>
        <v>0.24262375267128758</v>
      </c>
      <c r="C8" s="16">
        <f t="shared" si="0"/>
        <v>0.23902704519308263</v>
      </c>
      <c r="D8" s="16">
        <f t="shared" si="0"/>
        <v>0.23549004536480206</v>
      </c>
      <c r="E8" s="16">
        <f t="shared" si="0"/>
        <v>0.23201183260346278</v>
      </c>
      <c r="F8" s="16">
        <f t="shared" si="0"/>
        <v>0.22859149237327317</v>
      </c>
      <c r="G8" s="16">
        <f t="shared" si="0"/>
        <v>0.22522811666726353</v>
      </c>
      <c r="H8" s="16">
        <f t="shared" si="0"/>
        <v>0.22192080445403914</v>
      </c>
      <c r="I8" s="16">
        <f t="shared" si="0"/>
        <v>0.21866866209109764</v>
      </c>
      <c r="J8" s="16">
        <f t="shared" si="0"/>
        <v>0.21547080370609764</v>
      </c>
      <c r="K8" s="16">
        <f t="shared" si="0"/>
        <v>0.21232635154746612</v>
      </c>
      <c r="L8" s="16">
        <f t="shared" si="0"/>
        <v>0.20923443630568969</v>
      </c>
      <c r="M8" s="16">
        <f t="shared" si="0"/>
        <v>0.20619419740661335</v>
      </c>
      <c r="N8" s="16">
        <f t="shared" si="0"/>
        <v>0.20320478327803432</v>
      </c>
      <c r="O8" s="16">
        <f t="shared" si="0"/>
        <v>0.20026535159085804</v>
      </c>
    </row>
    <row r="9" spans="1:15" x14ac:dyDescent="0.25">
      <c r="A9" s="22">
        <v>5</v>
      </c>
      <c r="B9" s="17">
        <f t="shared" si="1"/>
        <v>0.19215839410432217</v>
      </c>
      <c r="C9" s="17">
        <f t="shared" si="0"/>
        <v>0.18835457140057618</v>
      </c>
      <c r="D9" s="17">
        <f t="shared" si="0"/>
        <v>0.18462711349303362</v>
      </c>
      <c r="E9" s="17">
        <f t="shared" si="0"/>
        <v>0.18097479812826808</v>
      </c>
      <c r="F9" s="17">
        <f t="shared" si="0"/>
        <v>0.17739640043118937</v>
      </c>
      <c r="G9" s="17">
        <f t="shared" si="0"/>
        <v>0.17389069444137401</v>
      </c>
      <c r="H9" s="17">
        <f t="shared" si="0"/>
        <v>0.1704564545668365</v>
      </c>
      <c r="I9" s="17">
        <f t="shared" si="0"/>
        <v>0.16709245695674482</v>
      </c>
      <c r="J9" s="17">
        <f t="shared" si="0"/>
        <v>0.16379748079474524</v>
      </c>
      <c r="K9" s="17">
        <f t="shared" si="0"/>
        <v>0.16057030951473439</v>
      </c>
      <c r="L9" s="17">
        <f t="shared" si="0"/>
        <v>0.15740973194104876</v>
      </c>
      <c r="M9" s="17">
        <f t="shared" si="0"/>
        <v>0.15431454335515801</v>
      </c>
      <c r="N9" s="17">
        <f t="shared" si="0"/>
        <v>0.15128354649104334</v>
      </c>
      <c r="O9" s="17">
        <f t="shared" si="0"/>
        <v>0.14831555246152842</v>
      </c>
    </row>
    <row r="10" spans="1:15" x14ac:dyDescent="0.25">
      <c r="A10" s="21">
        <v>6</v>
      </c>
      <c r="B10" s="16">
        <f t="shared" si="1"/>
        <v>0.15852581233520241</v>
      </c>
      <c r="C10" s="16">
        <f t="shared" si="0"/>
        <v>0.15459750045017728</v>
      </c>
      <c r="D10" s="16">
        <f t="shared" si="0"/>
        <v>0.15076190250795382</v>
      </c>
      <c r="E10" s="16">
        <f t="shared" si="0"/>
        <v>0.14701746811018832</v>
      </c>
      <c r="F10" s="16">
        <f t="shared" si="0"/>
        <v>0.14336262847489525</v>
      </c>
      <c r="G10" s="16">
        <f t="shared" si="0"/>
        <v>0.13979579975832815</v>
      </c>
      <c r="H10" s="16">
        <f t="shared" si="0"/>
        <v>0.13631538622900968</v>
      </c>
      <c r="I10" s="16">
        <f t="shared" si="0"/>
        <v>0.13291978329203694</v>
      </c>
      <c r="J10" s="16">
        <f t="shared" si="0"/>
        <v>0.12960738036266725</v>
      </c>
      <c r="K10" s="16">
        <f t="shared" si="0"/>
        <v>0.12637656358903945</v>
      </c>
      <c r="L10" s="16">
        <f t="shared" si="0"/>
        <v>0.12322571842462918</v>
      </c>
      <c r="M10" s="16">
        <f t="shared" si="0"/>
        <v>0.12015323205172543</v>
      </c>
      <c r="N10" s="16">
        <f t="shared" si="0"/>
        <v>0.11715749565782348</v>
      </c>
      <c r="O10" s="16">
        <f t="shared" si="0"/>
        <v>0.11423690656738344</v>
      </c>
    </row>
    <row r="11" spans="1:15" x14ac:dyDescent="0.25">
      <c r="A11" s="22">
        <v>7</v>
      </c>
      <c r="B11" s="17">
        <f t="shared" si="1"/>
        <v>0.13451195610309971</v>
      </c>
      <c r="C11" s="17">
        <f t="shared" si="0"/>
        <v>0.130506353754272</v>
      </c>
      <c r="D11" s="17">
        <f t="shared" si="0"/>
        <v>0.12660961203950413</v>
      </c>
      <c r="E11" s="17">
        <f t="shared" si="0"/>
        <v>0.12281981844617068</v>
      </c>
      <c r="F11" s="17">
        <f t="shared" si="0"/>
        <v>0.11913501805901068</v>
      </c>
      <c r="G11" s="17">
        <f t="shared" si="0"/>
        <v>0.1155532196311593</v>
      </c>
      <c r="H11" s="17">
        <f t="shared" si="0"/>
        <v>0.11207240142841046</v>
      </c>
      <c r="I11" s="17">
        <f t="shared" si="0"/>
        <v>0.10869051683359292</v>
      </c>
      <c r="J11" s="17">
        <f t="shared" si="0"/>
        <v>0.10540549970059555</v>
      </c>
      <c r="K11" s="17">
        <f t="shared" si="0"/>
        <v>0.10221526945009764</v>
      </c>
      <c r="L11" s="17">
        <f t="shared" si="0"/>
        <v>9.9117735901390752E-2</v>
      </c>
      <c r="M11" s="17">
        <f t="shared" si="0"/>
        <v>9.6110803836848432E-2</v>
      </c>
      <c r="N11" s="17">
        <f t="shared" si="0"/>
        <v>9.3192377297579024E-2</v>
      </c>
      <c r="O11" s="17">
        <f t="shared" si="0"/>
        <v>9.0360363610611533E-2</v>
      </c>
    </row>
    <row r="12" spans="1:15" x14ac:dyDescent="0.25">
      <c r="A12" s="21">
        <v>8</v>
      </c>
      <c r="B12" s="16">
        <f t="shared" si="1"/>
        <v>0.11650979913376272</v>
      </c>
      <c r="C12" s="16">
        <f t="shared" si="0"/>
        <v>0.11245638882723925</v>
      </c>
      <c r="D12" s="16">
        <f t="shared" si="0"/>
        <v>0.10852783204671276</v>
      </c>
      <c r="E12" s="16">
        <f t="shared" si="0"/>
        <v>0.10472181362768115</v>
      </c>
      <c r="F12" s="16">
        <f t="shared" si="0"/>
        <v>0.10103594264812896</v>
      </c>
      <c r="G12" s="16">
        <f t="shared" si="0"/>
        <v>9.7467762490754645E-2</v>
      </c>
      <c r="H12" s="16">
        <f t="shared" si="0"/>
        <v>9.4014760591822094E-2</v>
      </c>
      <c r="I12" s="16">
        <f t="shared" si="0"/>
        <v>9.0674377837496281E-2</v>
      </c>
      <c r="J12" s="16">
        <f t="shared" si="0"/>
        <v>8.7444017574813376E-2</v>
      </c>
      <c r="K12" s="16">
        <f t="shared" si="0"/>
        <v>8.432105421050004E-2</v>
      </c>
      <c r="L12" s="16">
        <f t="shared" si="0"/>
        <v>8.1302841376600196E-2</v>
      </c>
      <c r="M12" s="16">
        <f t="shared" si="0"/>
        <v>7.8386719647270439E-2</v>
      </c>
      <c r="N12" s="16">
        <f t="shared" si="0"/>
        <v>7.5570023796125804E-2</v>
      </c>
      <c r="O12" s="16">
        <f t="shared" si="0"/>
        <v>7.2850089588140474E-2</v>
      </c>
    </row>
    <row r="13" spans="1:15" x14ac:dyDescent="0.25">
      <c r="A13" s="22">
        <v>9</v>
      </c>
      <c r="B13" s="17">
        <f t="shared" si="1"/>
        <v>0.10251543737024126</v>
      </c>
      <c r="C13" s="17">
        <f t="shared" si="0"/>
        <v>9.8433857018103421E-2</v>
      </c>
      <c r="D13" s="17">
        <f t="shared" si="0"/>
        <v>9.4492992697715231E-2</v>
      </c>
      <c r="E13" s="17">
        <f t="shared" si="0"/>
        <v>9.0690079975787791E-2</v>
      </c>
      <c r="F13" s="17">
        <f t="shared" si="0"/>
        <v>8.7022235003063608E-2</v>
      </c>
      <c r="G13" s="17">
        <f t="shared" si="0"/>
        <v>8.3486470138421906E-2</v>
      </c>
      <c r="H13" s="17">
        <f t="shared" si="0"/>
        <v>8.0079709171994695E-2</v>
      </c>
      <c r="I13" s="17">
        <f t="shared" si="0"/>
        <v>7.6798802057154794E-2</v>
      </c>
      <c r="J13" s="17">
        <f t="shared" si="0"/>
        <v>7.3640539074343397E-2</v>
      </c>
      <c r="K13" s="17">
        <f t="shared" si="0"/>
        <v>7.0601664362552871E-2</v>
      </c>
      <c r="L13" s="17">
        <f t="shared" si="0"/>
        <v>6.7678888766660547E-2</v>
      </c>
      <c r="M13" s="17">
        <f t="shared" si="0"/>
        <v>6.4868901960583966E-2</v>
      </c>
      <c r="N13" s="17">
        <f t="shared" si="0"/>
        <v>6.2168383817270183E-2</v>
      </c>
      <c r="O13" s="17">
        <f t="shared" si="0"/>
        <v>5.9574015006759011E-2</v>
      </c>
    </row>
    <row r="14" spans="1:15" x14ac:dyDescent="0.25">
      <c r="A14" s="21">
        <v>10</v>
      </c>
      <c r="B14" s="16">
        <f t="shared" si="1"/>
        <v>9.1326527865316462E-2</v>
      </c>
      <c r="C14" s="16">
        <f t="shared" si="0"/>
        <v>8.723050660515963E-2</v>
      </c>
      <c r="D14" s="16">
        <f t="shared" si="0"/>
        <v>8.3290944330136396E-2</v>
      </c>
      <c r="E14" s="16">
        <f t="shared" si="0"/>
        <v>7.9504574965456681E-2</v>
      </c>
      <c r="F14" s="16">
        <f t="shared" si="0"/>
        <v>7.5867958220383724E-2</v>
      </c>
      <c r="G14" s="16">
        <f t="shared" si="0"/>
        <v>7.2377502727364706E-2</v>
      </c>
      <c r="H14" s="16">
        <f t="shared" si="0"/>
        <v>6.902948869707537E-2</v>
      </c>
      <c r="I14" s="16">
        <f t="shared" si="0"/>
        <v>6.5820089909033735E-2</v>
      </c>
      <c r="J14" s="16">
        <f t="shared" si="0"/>
        <v>6.2745394882511532E-2</v>
      </c>
      <c r="K14" s="16">
        <f t="shared" si="0"/>
        <v>5.9801427097490242E-2</v>
      </c>
      <c r="L14" s="16">
        <f t="shared" si="0"/>
        <v>5.6984164159844045E-2</v>
      </c>
      <c r="M14" s="16">
        <f t="shared" si="0"/>
        <v>5.4289555828379792E-2</v>
      </c>
      <c r="N14" s="16">
        <f t="shared" si="0"/>
        <v>5.1713540843476194E-2</v>
      </c>
      <c r="O14" s="16">
        <f t="shared" si="0"/>
        <v>4.9252062517584856E-2</v>
      </c>
    </row>
    <row r="15" spans="1:15" x14ac:dyDescent="0.25">
      <c r="A15" s="22">
        <v>11</v>
      </c>
      <c r="B15" s="17">
        <f t="shared" si="1"/>
        <v>8.2177942823645586E-2</v>
      </c>
      <c r="C15" s="17">
        <f t="shared" si="0"/>
        <v>7.8077447840392486E-2</v>
      </c>
      <c r="D15" s="17">
        <f t="shared" si="0"/>
        <v>7.4149039258752464E-2</v>
      </c>
      <c r="E15" s="17">
        <f t="shared" si="0"/>
        <v>7.0388891490668057E-2</v>
      </c>
      <c r="F15" s="17">
        <f t="shared" si="0"/>
        <v>6.6792938097531604E-2</v>
      </c>
      <c r="G15" s="17">
        <f t="shared" si="0"/>
        <v>6.3356904836244843E-2</v>
      </c>
      <c r="H15" s="17">
        <f t="shared" si="0"/>
        <v>6.0076342144491271E-2</v>
      </c>
      <c r="I15" s="17">
        <f t="shared" si="0"/>
        <v>5.6946656736355877E-2</v>
      </c>
      <c r="J15" s="17">
        <f t="shared" si="0"/>
        <v>5.3963142024614573E-2</v>
      </c>
      <c r="K15" s="17">
        <f t="shared" si="0"/>
        <v>5.1121007131842422E-2</v>
      </c>
      <c r="L15" s="17">
        <f t="shared" si="0"/>
        <v>4.8415404297746455E-2</v>
      </c>
      <c r="M15" s="17">
        <f t="shared" si="0"/>
        <v>4.5841454533815988E-2</v>
      </c>
      <c r="N15" s="17">
        <f t="shared" si="0"/>
        <v>4.3394271417671527E-2</v>
      </c>
      <c r="O15" s="17">
        <f t="shared" si="0"/>
        <v>4.1068982957753027E-2</v>
      </c>
    </row>
    <row r="16" spans="1:15" x14ac:dyDescent="0.25">
      <c r="A16" s="21">
        <v>12</v>
      </c>
      <c r="B16" s="16">
        <f t="shared" si="1"/>
        <v>7.4559596622951502E-2</v>
      </c>
      <c r="C16" s="16">
        <f t="shared" si="0"/>
        <v>7.0462085472963079E-2</v>
      </c>
      <c r="D16" s="16">
        <f t="shared" si="0"/>
        <v>6.6552172686056482E-2</v>
      </c>
      <c r="E16" s="16">
        <f t="shared" si="0"/>
        <v>6.2825410020815403E-2</v>
      </c>
      <c r="F16" s="16">
        <f t="shared" si="0"/>
        <v>5.9277029380663558E-2</v>
      </c>
      <c r="G16" s="16">
        <f t="shared" si="0"/>
        <v>5.5901988655020468E-2</v>
      </c>
      <c r="H16" s="16">
        <f t="shared" si="0"/>
        <v>5.2695016924469512E-2</v>
      </c>
      <c r="I16" s="16">
        <f t="shared" si="0"/>
        <v>4.9650658469503686E-2</v>
      </c>
      <c r="J16" s="16">
        <f t="shared" si="0"/>
        <v>4.6763315100287244E-2</v>
      </c>
      <c r="K16" s="16">
        <f t="shared" si="0"/>
        <v>4.4027286404988583E-2</v>
      </c>
      <c r="L16" s="16">
        <f t="shared" si="0"/>
        <v>4.1436807593995741E-2</v>
      </c>
      <c r="M16" s="16">
        <f t="shared" si="0"/>
        <v>3.8986084694548111E-2</v>
      </c>
      <c r="N16" s="16">
        <f t="shared" si="0"/>
        <v>3.6669326923212543E-2</v>
      </c>
      <c r="O16" s="16">
        <f t="shared" si="0"/>
        <v>3.4480776130839552E-2</v>
      </c>
    </row>
    <row r="17" spans="1:15" x14ac:dyDescent="0.25">
      <c r="A17" s="22">
        <v>13</v>
      </c>
      <c r="B17" s="17">
        <f t="shared" si="1"/>
        <v>6.8118352671695998E-2</v>
      </c>
      <c r="C17" s="17">
        <f t="shared" si="0"/>
        <v>6.4029543955328075E-2</v>
      </c>
      <c r="D17" s="17">
        <f t="shared" si="0"/>
        <v>6.0143727814032509E-2</v>
      </c>
      <c r="E17" s="17">
        <f t="shared" si="0"/>
        <v>5.6455765167727635E-2</v>
      </c>
      <c r="F17" s="17">
        <f t="shared" si="0"/>
        <v>5.2960105340019055E-2</v>
      </c>
      <c r="G17" s="17">
        <f t="shared" si="0"/>
        <v>4.9650848136257253E-2</v>
      </c>
      <c r="H17" s="17">
        <f t="shared" si="0"/>
        <v>4.6521805196555681E-2</v>
      </c>
      <c r="I17" s="17">
        <f t="shared" si="0"/>
        <v>4.3566559717678865E-2</v>
      </c>
      <c r="J17" s="17">
        <f t="shared" si="0"/>
        <v>4.0778523767302129E-2</v>
      </c>
      <c r="K17" s="17">
        <f t="shared" si="0"/>
        <v>3.8150992549007945E-2</v>
      </c>
      <c r="L17" s="17">
        <f t="shared" si="0"/>
        <v>3.5677195111316659E-2</v>
      </c>
      <c r="M17" s="17">
        <f t="shared" si="0"/>
        <v>3.3350341124663632E-2</v>
      </c>
      <c r="N17" s="17">
        <f t="shared" si="0"/>
        <v>3.1163663472979712E-2</v>
      </c>
      <c r="O17" s="17">
        <f t="shared" si="0"/>
        <v>2.9110456518739444E-2</v>
      </c>
    </row>
    <row r="18" spans="1:15" x14ac:dyDescent="0.25">
      <c r="A18" s="21">
        <v>14</v>
      </c>
      <c r="B18" s="16">
        <f t="shared" si="1"/>
        <v>6.2601970184991862E-2</v>
      </c>
      <c r="C18" s="16">
        <f t="shared" si="0"/>
        <v>5.8526338990661238E-2</v>
      </c>
      <c r="D18" s="16">
        <f t="shared" si="0"/>
        <v>5.4668973056399742E-2</v>
      </c>
      <c r="E18" s="16">
        <f t="shared" si="0"/>
        <v>5.102396945726026E-2</v>
      </c>
      <c r="F18" s="16">
        <f t="shared" si="0"/>
        <v>4.7584909006095313E-2</v>
      </c>
      <c r="G18" s="16">
        <f t="shared" si="0"/>
        <v>4.4344938619842802E-2</v>
      </c>
      <c r="H18" s="16">
        <f t="shared" si="0"/>
        <v>4.129685282784077E-2</v>
      </c>
      <c r="I18" s="16">
        <f t="shared" si="0"/>
        <v>3.8433173018556012E-2</v>
      </c>
      <c r="J18" s="16">
        <f t="shared" si="0"/>
        <v>3.5746223230636649E-2</v>
      </c>
      <c r="K18" s="16">
        <f t="shared" si="0"/>
        <v>3.322820151407873E-2</v>
      </c>
      <c r="L18" s="16">
        <f t="shared" si="0"/>
        <v>3.0871246107681626E-2</v>
      </c>
      <c r="M18" s="16">
        <f t="shared" si="0"/>
        <v>2.8667495891583576E-2</v>
      </c>
      <c r="N18" s="16">
        <f t="shared" si="0"/>
        <v>2.6609144771932807E-2</v>
      </c>
      <c r="O18" s="16">
        <f t="shared" si="0"/>
        <v>2.4688489833841785E-2</v>
      </c>
    </row>
    <row r="19" spans="1:15" x14ac:dyDescent="0.25">
      <c r="A19" s="22">
        <v>15</v>
      </c>
      <c r="B19" s="17">
        <f t="shared" si="1"/>
        <v>5.7825472250244182E-2</v>
      </c>
      <c r="C19" s="17">
        <f t="shared" si="0"/>
        <v>5.3766580462288049E-2</v>
      </c>
      <c r="D19" s="17">
        <f t="shared" si="0"/>
        <v>4.9941100370973136E-2</v>
      </c>
      <c r="E19" s="17">
        <f t="shared" si="0"/>
        <v>4.6342287609244352E-2</v>
      </c>
      <c r="F19" s="17">
        <f t="shared" si="0"/>
        <v>4.2962763955312629E-2</v>
      </c>
      <c r="G19" s="17">
        <f t="shared" si="0"/>
        <v>3.9794624701006517E-2</v>
      </c>
      <c r="H19" s="17">
        <f t="shared" si="0"/>
        <v>3.6829544936020003E-2</v>
      </c>
      <c r="I19" s="17">
        <f t="shared" si="0"/>
        <v>3.4058882650310048E-2</v>
      </c>
      <c r="J19" s="17">
        <f t="shared" si="0"/>
        <v>3.1473776887372178E-2</v>
      </c>
      <c r="K19" s="17">
        <f t="shared" si="0"/>
        <v>2.906523952966842E-2</v>
      </c>
      <c r="L19" s="17">
        <f t="shared" si="0"/>
        <v>2.6824239646346285E-2</v>
      </c>
      <c r="M19" s="17">
        <f t="shared" si="0"/>
        <v>2.4741779667793486E-2</v>
      </c>
      <c r="N19" s="17">
        <f t="shared" si="0"/>
        <v>2.2808962960027868E-2</v>
      </c>
      <c r="O19" s="17">
        <f t="shared" si="0"/>
        <v>2.1017052646301104E-2</v>
      </c>
    </row>
    <row r="20" spans="1:15" x14ac:dyDescent="0.25">
      <c r="A20" s="21">
        <v>16</v>
      </c>
      <c r="B20" s="16">
        <f t="shared" si="1"/>
        <v>5.3650125868261643E-2</v>
      </c>
      <c r="C20" s="16">
        <f t="shared" si="0"/>
        <v>4.9610849265488123E-2</v>
      </c>
      <c r="D20" s="16">
        <f t="shared" si="0"/>
        <v>4.5819999221953484E-2</v>
      </c>
      <c r="E20" s="16">
        <f t="shared" si="0"/>
        <v>4.2269907977645724E-2</v>
      </c>
      <c r="F20" s="16">
        <f t="shared" si="0"/>
        <v>3.8952143589367189E-2</v>
      </c>
      <c r="G20" s="16">
        <f t="shared" si="0"/>
        <v>3.5857647726242801E-2</v>
      </c>
      <c r="H20" s="16">
        <f t="shared" si="0"/>
        <v>3.2976871988222571E-2</v>
      </c>
      <c r="I20" s="16">
        <f t="shared" si="0"/>
        <v>3.0299909707582125E-2</v>
      </c>
      <c r="J20" s="16">
        <f t="shared" si="0"/>
        <v>2.7816620703269821E-2</v>
      </c>
      <c r="K20" s="16">
        <f t="shared" si="0"/>
        <v>2.5516746996572158E-2</v>
      </c>
      <c r="L20" s="16">
        <f t="shared" si="0"/>
        <v>2.3390018033293616E-2</v>
      </c>
      <c r="M20" s="16">
        <f t="shared" si="0"/>
        <v>2.1426244467322754E-2</v>
      </c>
      <c r="N20" s="16">
        <f t="shared" si="0"/>
        <v>1.9615400024063912E-2</v>
      </c>
      <c r="O20" s="16">
        <f t="shared" si="0"/>
        <v>1.7947691366924257E-2</v>
      </c>
    </row>
    <row r="21" spans="1:15" x14ac:dyDescent="0.25">
      <c r="A21" s="22">
        <v>17</v>
      </c>
      <c r="B21" s="17">
        <f t="shared" si="1"/>
        <v>4.9969840803469126E-2</v>
      </c>
      <c r="C21" s="17">
        <f t="shared" si="1"/>
        <v>4.5952529375969872E-2</v>
      </c>
      <c r="D21" s="17">
        <f t="shared" si="1"/>
        <v>4.2198522089099383E-2</v>
      </c>
      <c r="E21" s="17">
        <f t="shared" si="1"/>
        <v>3.869914173128608E-2</v>
      </c>
      <c r="F21" s="17">
        <f t="shared" si="1"/>
        <v>3.5444804231549852E-2</v>
      </c>
      <c r="G21" s="17">
        <f t="shared" si="1"/>
        <v>3.2425193061665594E-2</v>
      </c>
      <c r="H21" s="17">
        <f t="shared" si="1"/>
        <v>2.9629431498709103E-2</v>
      </c>
      <c r="I21" s="17">
        <f t="shared" si="1"/>
        <v>2.7046248459924389E-2</v>
      </c>
      <c r="J21" s="17">
        <f t="shared" si="1"/>
        <v>2.4664134392632268E-2</v>
      </c>
      <c r="K21" s="17">
        <f t="shared" si="1"/>
        <v>2.2471484514925595E-2</v>
      </c>
      <c r="L21" s="17">
        <f t="shared" si="1"/>
        <v>2.0456727507142305E-2</v>
      </c>
      <c r="M21" s="17">
        <f t="shared" si="1"/>
        <v>1.8608438508569036E-2</v>
      </c>
      <c r="N21" s="17">
        <f t="shared" si="1"/>
        <v>1.6915435948554026E-2</v>
      </c>
      <c r="O21" s="17">
        <f t="shared" si="1"/>
        <v>1.5366862317197548E-2</v>
      </c>
    </row>
    <row r="22" spans="1:15" x14ac:dyDescent="0.25">
      <c r="A22" s="21">
        <v>18</v>
      </c>
      <c r="B22" s="16">
        <f t="shared" si="1"/>
        <v>4.6702102150790951E-2</v>
      </c>
      <c r="C22" s="16">
        <f t="shared" si="1"/>
        <v>4.2708695896297007E-2</v>
      </c>
      <c r="D22" s="16">
        <f t="shared" si="1"/>
        <v>3.8993328144302432E-2</v>
      </c>
      <c r="E22" s="16">
        <f t="shared" si="1"/>
        <v>3.5546222319736011E-2</v>
      </c>
      <c r="F22" s="16">
        <f t="shared" si="1"/>
        <v>3.2356540552870884E-2</v>
      </c>
      <c r="G22" s="16">
        <f t="shared" si="1"/>
        <v>2.9412601658361997E-2</v>
      </c>
      <c r="H22" s="16">
        <f t="shared" si="1"/>
        <v>2.6702095904837731E-2</v>
      </c>
      <c r="I22" s="16">
        <f t="shared" si="1"/>
        <v>2.4212290670339875E-2</v>
      </c>
      <c r="J22" s="16">
        <f t="shared" si="1"/>
        <v>2.193022222225658E-2</v>
      </c>
      <c r="K22" s="16">
        <f t="shared" si="1"/>
        <v>1.9842870060918897E-2</v>
      </c>
      <c r="L22" s="16">
        <f t="shared" si="1"/>
        <v>1.7937311441756733E-2</v>
      </c>
      <c r="M22" s="16">
        <f t="shared" si="1"/>
        <v>1.6200854777570238E-2</v>
      </c>
      <c r="N22" s="16">
        <f t="shared" si="1"/>
        <v>1.4621151575080395E-2</v>
      </c>
      <c r="O22" s="16">
        <f t="shared" si="1"/>
        <v>1.3186287352158202E-2</v>
      </c>
    </row>
    <row r="23" spans="1:15" x14ac:dyDescent="0.25">
      <c r="A23" s="22">
        <v>19</v>
      </c>
      <c r="B23" s="17">
        <f t="shared" si="1"/>
        <v>4.3781766302537072E-2</v>
      </c>
      <c r="C23" s="17">
        <f t="shared" si="1"/>
        <v>3.9813880562058784E-2</v>
      </c>
      <c r="D23" s="17">
        <f t="shared" si="1"/>
        <v>3.6138618402177504E-2</v>
      </c>
      <c r="E23" s="17">
        <f t="shared" si="1"/>
        <v>3.2745010381756229E-2</v>
      </c>
      <c r="F23" s="17">
        <f t="shared" si="1"/>
        <v>2.9620860361667601E-2</v>
      </c>
      <c r="G23" s="17">
        <f t="shared" si="1"/>
        <v>2.6753014849926052E-2</v>
      </c>
      <c r="H23" s="17">
        <f t="shared" si="1"/>
        <v>2.4127627483172102E-2</v>
      </c>
      <c r="I23" s="17">
        <f t="shared" si="1"/>
        <v>2.1730410688409398E-2</v>
      </c>
      <c r="J23" s="17">
        <f t="shared" si="1"/>
        <v>1.9546868234655821E-2</v>
      </c>
      <c r="K23" s="17">
        <f t="shared" si="1"/>
        <v>1.7562504120461463E-2</v>
      </c>
      <c r="L23" s="17">
        <f t="shared" si="1"/>
        <v>1.5763004922503432E-2</v>
      </c>
      <c r="M23" s="17">
        <f t="shared" si="1"/>
        <v>1.4134394255633452E-2</v>
      </c>
      <c r="N23" s="17">
        <f t="shared" si="1"/>
        <v>1.2663159301330053E-2</v>
      </c>
      <c r="O23" s="17">
        <f t="shared" si="1"/>
        <v>1.133635041569744E-2</v>
      </c>
    </row>
    <row r="24" spans="1:15" x14ac:dyDescent="0.25">
      <c r="A24" s="21">
        <v>20</v>
      </c>
      <c r="B24" s="16">
        <f t="shared" si="1"/>
        <v>4.1156718125290398E-2</v>
      </c>
      <c r="C24" s="16">
        <f t="shared" si="1"/>
        <v>3.721570759685916E-2</v>
      </c>
      <c r="D24" s="16">
        <f t="shared" si="1"/>
        <v>3.3581750328628833E-2</v>
      </c>
      <c r="E24" s="16">
        <f t="shared" si="1"/>
        <v>3.0242587190691311E-2</v>
      </c>
      <c r="F24" s="16">
        <f t="shared" si="1"/>
        <v>2.7184556976851404E-2</v>
      </c>
      <c r="G24" s="16">
        <f t="shared" si="1"/>
        <v>2.4392925743255692E-2</v>
      </c>
      <c r="H24" s="16">
        <f t="shared" si="1"/>
        <v>2.1852208823150591E-2</v>
      </c>
      <c r="I24" s="16">
        <f t="shared" si="1"/>
        <v>1.9546475008229217E-2</v>
      </c>
      <c r="J24" s="16">
        <f t="shared" si="1"/>
        <v>1.7459624772545763E-2</v>
      </c>
      <c r="K24" s="16">
        <f t="shared" si="1"/>
        <v>1.5575636877142198E-2</v>
      </c>
      <c r="L24" s="16">
        <f t="shared" si="1"/>
        <v>1.3878780039660641E-2</v>
      </c>
      <c r="M24" s="16">
        <f t="shared" si="1"/>
        <v>1.2353788441810806E-2</v>
      </c>
      <c r="N24" s="16">
        <f t="shared" si="1"/>
        <v>1.0986001590443509E-2</v>
      </c>
      <c r="O24" s="16">
        <f t="shared" si="1"/>
        <v>9.7614704057438859E-3</v>
      </c>
    </row>
    <row r="25" spans="1:15" x14ac:dyDescent="0.25">
      <c r="A25" s="22">
        <v>21</v>
      </c>
      <c r="B25" s="17">
        <f t="shared" si="1"/>
        <v>3.8784768943460661E-2</v>
      </c>
      <c r="C25" s="17">
        <f t="shared" si="1"/>
        <v>3.4871776466503628E-2</v>
      </c>
      <c r="D25" s="17">
        <f t="shared" si="1"/>
        <v>3.1280105421267891E-2</v>
      </c>
      <c r="E25" s="17">
        <f t="shared" si="1"/>
        <v>2.7996107123809125E-2</v>
      </c>
      <c r="F25" s="17">
        <f t="shared" si="1"/>
        <v>2.5004546654382082E-2</v>
      </c>
      <c r="G25" s="17">
        <f t="shared" si="1"/>
        <v>2.2289001664269042E-2</v>
      </c>
      <c r="H25" s="17">
        <f t="shared" si="1"/>
        <v>1.9832250321928528E-2</v>
      </c>
      <c r="I25" s="17">
        <f t="shared" si="1"/>
        <v>1.7616634767898515E-2</v>
      </c>
      <c r="J25" s="17">
        <f t="shared" si="1"/>
        <v>1.5624389808356247E-2</v>
      </c>
      <c r="K25" s="17">
        <f t="shared" si="1"/>
        <v>1.3837930003847705E-2</v>
      </c>
      <c r="L25" s="17">
        <f t="shared" si="1"/>
        <v>1.2240091519461357E-2</v>
      </c>
      <c r="M25" s="17">
        <f t="shared" si="1"/>
        <v>1.0814327896317984E-2</v>
      </c>
      <c r="N25" s="17">
        <f t="shared" si="1"/>
        <v>9.5448611670888653E-3</v>
      </c>
      <c r="O25" s="17">
        <f t="shared" si="1"/>
        <v>8.4167914306799863E-3</v>
      </c>
    </row>
    <row r="26" spans="1:15" x14ac:dyDescent="0.25">
      <c r="A26" s="21">
        <v>22</v>
      </c>
      <c r="B26" s="16">
        <f t="shared" si="1"/>
        <v>3.6631400527383076E-2</v>
      </c>
      <c r="C26" s="16">
        <f t="shared" si="1"/>
        <v>3.274739479171513E-2</v>
      </c>
      <c r="D26" s="16">
        <f t="shared" si="1"/>
        <v>2.9198811088690362E-2</v>
      </c>
      <c r="E26" s="16">
        <f t="shared" si="1"/>
        <v>2.5970508556385483E-2</v>
      </c>
      <c r="F26" s="16">
        <f t="shared" si="1"/>
        <v>2.304556854760079E-2</v>
      </c>
      <c r="G26" s="16">
        <f t="shared" si="1"/>
        <v>2.0405773225133959E-2</v>
      </c>
      <c r="H26" s="16">
        <f t="shared" si="1"/>
        <v>1.8032068359628013E-2</v>
      </c>
      <c r="I26" s="16">
        <f t="shared" si="1"/>
        <v>1.5904992950552865E-2</v>
      </c>
      <c r="J26" s="16">
        <f t="shared" si="1"/>
        <v>1.4005062950479442E-2</v>
      </c>
      <c r="K26" s="16">
        <f t="shared" si="1"/>
        <v>1.2313101057018362E-2</v>
      </c>
      <c r="L26" s="16">
        <f t="shared" si="1"/>
        <v>1.0810508840960759E-2</v>
      </c>
      <c r="M26" s="16">
        <f t="shared" si="1"/>
        <v>9.4794811319207396E-3</v>
      </c>
      <c r="N26" s="16">
        <f t="shared" si="1"/>
        <v>8.3031654435811522E-3</v>
      </c>
      <c r="O26" s="16">
        <f t="shared" si="1"/>
        <v>7.2657712603466269E-3</v>
      </c>
    </row>
    <row r="27" spans="1:15" x14ac:dyDescent="0.25">
      <c r="A27" s="22">
        <v>23</v>
      </c>
      <c r="B27" s="17">
        <f t="shared" si="1"/>
        <v>3.4668097606317332E-2</v>
      </c>
      <c r="C27" s="17">
        <f t="shared" si="1"/>
        <v>3.0813902675464282E-2</v>
      </c>
      <c r="D27" s="17">
        <f t="shared" si="1"/>
        <v>2.7309056824482678E-2</v>
      </c>
      <c r="E27" s="17">
        <f t="shared" si="1"/>
        <v>2.4136821920174877E-2</v>
      </c>
      <c r="F27" s="17">
        <f t="shared" si="1"/>
        <v>2.1278484688788894E-2</v>
      </c>
      <c r="G27" s="17">
        <f t="shared" si="1"/>
        <v>1.8713926252223553E-2</v>
      </c>
      <c r="H27" s="17">
        <f t="shared" si="1"/>
        <v>1.6422169150821325E-2</v>
      </c>
      <c r="I27" s="17">
        <f t="shared" si="1"/>
        <v>1.438188004569757E-2</v>
      </c>
      <c r="J27" s="17">
        <f t="shared" si="1"/>
        <v>1.2571812657104596E-2</v>
      </c>
      <c r="K27" s="17">
        <f t="shared" si="1"/>
        <v>1.0971181790020648E-2</v>
      </c>
      <c r="L27" s="17">
        <f t="shared" si="1"/>
        <v>9.5599649600366151E-3</v>
      </c>
      <c r="M27" s="17">
        <f t="shared" si="1"/>
        <v>8.3191328048348358E-3</v>
      </c>
      <c r="N27" s="17">
        <f t="shared" si="1"/>
        <v>7.2308129886358864E-3</v>
      </c>
      <c r="O27" s="17">
        <f t="shared" si="1"/>
        <v>6.2783946788935738E-3</v>
      </c>
    </row>
    <row r="28" spans="1:15" x14ac:dyDescent="0.25">
      <c r="A28" s="21">
        <v>24</v>
      </c>
      <c r="B28" s="16">
        <f t="shared" si="1"/>
        <v>3.2871097253249909E-2</v>
      </c>
      <c r="C28" s="16">
        <f t="shared" si="1"/>
        <v>2.9047415948969906E-2</v>
      </c>
      <c r="D28" s="16">
        <f t="shared" si="1"/>
        <v>2.5586831339868978E-2</v>
      </c>
      <c r="E28" s="16">
        <f t="shared" si="1"/>
        <v>2.2470900752687002E-2</v>
      </c>
      <c r="F28" s="16">
        <f t="shared" si="1"/>
        <v>1.9679004983543368E-2</v>
      </c>
      <c r="G28" s="16">
        <f t="shared" si="1"/>
        <v>1.7189020734440459E-2</v>
      </c>
      <c r="H28" s="16">
        <f t="shared" si="1"/>
        <v>1.4977961603549379E-2</v>
      </c>
      <c r="I28" s="16">
        <f t="shared" si="1"/>
        <v>1.3022560679013013E-2</v>
      </c>
      <c r="J28" s="16">
        <f t="shared" si="1"/>
        <v>1.1299776350687792E-2</v>
      </c>
      <c r="K28" s="16">
        <f t="shared" si="1"/>
        <v>9.7872112755845644E-3</v>
      </c>
      <c r="L28" s="16">
        <f t="shared" si="1"/>
        <v>8.463441744214829E-3</v>
      </c>
      <c r="M28" s="16">
        <f t="shared" si="1"/>
        <v>7.3082605440676143E-3</v>
      </c>
      <c r="N28" s="16">
        <f t="shared" si="1"/>
        <v>6.3028406374467825E-3</v>
      </c>
      <c r="O28" s="16">
        <f t="shared" si="1"/>
        <v>5.4298296221621679E-3</v>
      </c>
    </row>
    <row r="29" spans="1:15" x14ac:dyDescent="0.25">
      <c r="A29" s="22">
        <v>25</v>
      </c>
      <c r="B29" s="17">
        <f t="shared" si="1"/>
        <v>3.1220438417394733E-2</v>
      </c>
      <c r="C29" s="17">
        <f t="shared" si="1"/>
        <v>2.7427871039127822E-2</v>
      </c>
      <c r="D29" s="17">
        <f t="shared" si="1"/>
        <v>2.4011962786454566E-2</v>
      </c>
      <c r="E29" s="17">
        <f t="shared" si="1"/>
        <v>2.0952457299229617E-2</v>
      </c>
      <c r="F29" s="17">
        <f t="shared" si="1"/>
        <v>1.8226718212273951E-2</v>
      </c>
      <c r="G29" s="17">
        <f t="shared" si="1"/>
        <v>1.5810517220665617E-2</v>
      </c>
      <c r="H29" s="17">
        <f t="shared" si="1"/>
        <v>1.3678779051968112E-2</v>
      </c>
      <c r="I29" s="17">
        <f t="shared" si="1"/>
        <v>1.1806250518571818E-2</v>
      </c>
      <c r="J29" s="17">
        <f t="shared" si="1"/>
        <v>1.0168072190020824E-2</v>
      </c>
      <c r="K29" s="17">
        <f t="shared" si="1"/>
        <v>8.7402420540556493E-3</v>
      </c>
      <c r="L29" s="17">
        <f t="shared" si="1"/>
        <v>7.4999698095077581E-3</v>
      </c>
      <c r="M29" s="17">
        <f t="shared" si="1"/>
        <v>6.4259276025758179E-3</v>
      </c>
      <c r="N29" s="17">
        <f t="shared" si="1"/>
        <v>5.4984079372444377E-3</v>
      </c>
      <c r="O29" s="17">
        <f t="shared" si="1"/>
        <v>4.6994023202064812E-3</v>
      </c>
    </row>
    <row r="30" spans="1:15" x14ac:dyDescent="0.25">
      <c r="A30" s="21">
        <v>26</v>
      </c>
      <c r="B30" s="16">
        <f t="shared" si="1"/>
        <v>2.9699230795395191E-2</v>
      </c>
      <c r="C30" s="16">
        <f t="shared" si="1"/>
        <v>2.593829025158436E-2</v>
      </c>
      <c r="D30" s="16">
        <f t="shared" si="1"/>
        <v>2.256738046776428E-2</v>
      </c>
      <c r="E30" s="16">
        <f t="shared" si="1"/>
        <v>1.9564320672150429E-2</v>
      </c>
      <c r="F30" s="16">
        <f t="shared" si="1"/>
        <v>1.6904346650298455E-2</v>
      </c>
      <c r="G30" s="16">
        <f t="shared" si="1"/>
        <v>1.4561027886463638E-2</v>
      </c>
      <c r="H30" s="16">
        <f t="shared" si="1"/>
        <v>1.2507126693840827E-2</v>
      </c>
      <c r="I30" s="16">
        <f t="shared" si="1"/>
        <v>1.0715359903808072E-2</v>
      </c>
      <c r="J30" s="16">
        <f t="shared" si="1"/>
        <v>9.1590385678830943E-3</v>
      </c>
      <c r="K30" s="16">
        <f t="shared" si="1"/>
        <v>7.8125750066951969E-3</v>
      </c>
      <c r="L30" s="16">
        <f t="shared" si="1"/>
        <v>6.651858102288806E-3</v>
      </c>
      <c r="M30" s="16">
        <f t="shared" si="1"/>
        <v>5.6545063312063541E-3</v>
      </c>
      <c r="N30" s="16">
        <f t="shared" si="1"/>
        <v>4.8000136003206592E-3</v>
      </c>
      <c r="O30" s="16">
        <f t="shared" si="1"/>
        <v>4.069805796005169E-3</v>
      </c>
    </row>
    <row r="31" spans="1:15" x14ac:dyDescent="0.25">
      <c r="A31" s="22">
        <v>27</v>
      </c>
      <c r="B31" s="17">
        <f t="shared" si="1"/>
        <v>2.8293086175638159E-2</v>
      </c>
      <c r="C31" s="17">
        <f t="shared" si="1"/>
        <v>2.4564210324643492E-2</v>
      </c>
      <c r="D31" s="17">
        <f t="shared" si="1"/>
        <v>2.1238540616435684E-2</v>
      </c>
      <c r="E31" s="17">
        <f t="shared" si="1"/>
        <v>1.8291859866693707E-2</v>
      </c>
      <c r="F31" s="17">
        <f t="shared" si="1"/>
        <v>1.5697166329469533E-2</v>
      </c>
      <c r="G31" s="17">
        <f t="shared" si="1"/>
        <v>1.3425734017789124E-2</v>
      </c>
      <c r="H31" s="17">
        <f t="shared" si="1"/>
        <v>1.1448096207564389E-2</v>
      </c>
      <c r="I31" s="17">
        <f t="shared" si="1"/>
        <v>9.7349054025597428E-3</v>
      </c>
      <c r="J31" s="17">
        <f t="shared" si="1"/>
        <v>8.2576422761779962E-3</v>
      </c>
      <c r="K31" s="17">
        <f t="shared" si="1"/>
        <v>6.9891636410052034E-3</v>
      </c>
      <c r="L31" s="17">
        <f t="shared" si="1"/>
        <v>5.9040936687337195E-3</v>
      </c>
      <c r="M31" s="17">
        <f t="shared" si="1"/>
        <v>4.9790726842387535E-3</v>
      </c>
      <c r="N31" s="17">
        <f t="shared" si="1"/>
        <v>4.1928839476730369E-3</v>
      </c>
      <c r="O31" s="17">
        <f t="shared" si="1"/>
        <v>3.5264814793400409E-3</v>
      </c>
    </row>
    <row r="32" spans="1:15" x14ac:dyDescent="0.25">
      <c r="A32" s="21">
        <v>28</v>
      </c>
      <c r="B32" s="16">
        <f t="shared" si="1"/>
        <v>2.6989671637400965E-2</v>
      </c>
      <c r="C32" s="16">
        <f t="shared" si="1"/>
        <v>2.3293233436285019E-2</v>
      </c>
      <c r="D32" s="16">
        <f t="shared" si="1"/>
        <v>2.0012975220537094E-2</v>
      </c>
      <c r="E32" s="16">
        <f t="shared" si="1"/>
        <v>1.712253041877175E-2</v>
      </c>
      <c r="F32" s="16">
        <f t="shared" si="1"/>
        <v>1.4592551529192865E-2</v>
      </c>
      <c r="G32" s="16">
        <f t="shared" si="1"/>
        <v>1.239192830319894E-2</v>
      </c>
      <c r="H32" s="16">
        <f t="shared" si="1"/>
        <v>1.0488905745809525E-2</v>
      </c>
      <c r="I32" s="16">
        <f t="shared" si="1"/>
        <v>8.8520473022507783E-3</v>
      </c>
      <c r="J32" s="16">
        <f t="shared" si="1"/>
        <v>7.451013159014328E-3</v>
      </c>
      <c r="K32" s="16">
        <f t="shared" si="1"/>
        <v>6.2571454303306786E-3</v>
      </c>
      <c r="L32" s="16">
        <f t="shared" si="1"/>
        <v>5.2438690843510131E-3</v>
      </c>
      <c r="M32" s="16">
        <f t="shared" si="1"/>
        <v>4.3869290668621655E-3</v>
      </c>
      <c r="N32" s="16">
        <f t="shared" si="1"/>
        <v>3.6644904950001314E-3</v>
      </c>
      <c r="O32" s="16">
        <f t="shared" si="1"/>
        <v>3.0571309250026972E-3</v>
      </c>
    </row>
    <row r="33" spans="1:15" x14ac:dyDescent="0.25">
      <c r="A33" s="22">
        <v>29</v>
      </c>
      <c r="B33" s="17">
        <f t="shared" si="1"/>
        <v>2.5778355191595607E-2</v>
      </c>
      <c r="C33" s="17">
        <f t="shared" si="1"/>
        <v>2.2114671106632584E-2</v>
      </c>
      <c r="D33" s="17">
        <f t="shared" si="1"/>
        <v>1.887993419738411E-2</v>
      </c>
      <c r="E33" s="17">
        <f t="shared" si="1"/>
        <v>1.6045514859528209E-2</v>
      </c>
      <c r="F33" s="17">
        <f t="shared" si="1"/>
        <v>1.3579613508791789E-2</v>
      </c>
      <c r="G33" s="17">
        <f t="shared" si="1"/>
        <v>1.1448651804550155E-2</v>
      </c>
      <c r="H33" s="17">
        <f t="shared" si="1"/>
        <v>9.6185350355636398E-3</v>
      </c>
      <c r="I33" s="17">
        <f t="shared" si="1"/>
        <v>8.0557226279762556E-3</v>
      </c>
      <c r="J33" s="17">
        <f t="shared" si="1"/>
        <v>6.7280747143480804E-3</v>
      </c>
      <c r="K33" s="17">
        <f t="shared" si="1"/>
        <v>5.6054695425205754E-3</v>
      </c>
      <c r="L33" s="17">
        <f t="shared" si="1"/>
        <v>4.6602067591073621E-3</v>
      </c>
      <c r="M33" s="17">
        <f t="shared" si="1"/>
        <v>3.8672246254378294E-3</v>
      </c>
      <c r="N33" s="17">
        <f t="shared" si="1"/>
        <v>3.2041656669903854E-3</v>
      </c>
      <c r="O33" s="17">
        <f t="shared" si="1"/>
        <v>2.6513264980636414E-3</v>
      </c>
    </row>
    <row r="34" spans="1:15" x14ac:dyDescent="0.25">
      <c r="A34" s="21">
        <v>30</v>
      </c>
      <c r="B34" s="16">
        <f t="shared" si="1"/>
        <v>2.464992229340297E-2</v>
      </c>
      <c r="C34" s="16">
        <f t="shared" si="1"/>
        <v>2.1019259320252601E-2</v>
      </c>
      <c r="D34" s="16">
        <f t="shared" si="1"/>
        <v>1.7830099133661299E-2</v>
      </c>
      <c r="E34" s="16">
        <f t="shared" si="1"/>
        <v>1.5051435080276586E-2</v>
      </c>
      <c r="F34" s="16">
        <f t="shared" si="1"/>
        <v>1.26489114900472E-2</v>
      </c>
      <c r="G34" s="16">
        <f t="shared" si="1"/>
        <v>1.0586403511111193E-2</v>
      </c>
      <c r="H34" s="16">
        <f t="shared" si="1"/>
        <v>8.8274333872722741E-3</v>
      </c>
      <c r="I34" s="16">
        <f t="shared" si="1"/>
        <v>7.3363513908897967E-3</v>
      </c>
      <c r="J34" s="16">
        <f t="shared" si="1"/>
        <v>6.0792482526338988E-3</v>
      </c>
      <c r="K34" s="16">
        <f t="shared" si="1"/>
        <v>5.0245984763943709E-3</v>
      </c>
      <c r="L34" s="16">
        <f t="shared" si="1"/>
        <v>4.1436575519431876E-3</v>
      </c>
      <c r="M34" s="16">
        <f t="shared" si="1"/>
        <v>3.4106503314048357E-3</v>
      </c>
      <c r="N34" s="16">
        <f t="shared" si="1"/>
        <v>2.8027939043774814E-3</v>
      </c>
      <c r="O34" s="16">
        <f t="shared" si="1"/>
        <v>2.3001981927343014E-3</v>
      </c>
    </row>
    <row r="35" spans="1:15" x14ac:dyDescent="0.25">
      <c r="A35" s="22">
        <v>31</v>
      </c>
      <c r="B35" s="17">
        <f t="shared" si="1"/>
        <v>2.3596347223467023E-2</v>
      </c>
      <c r="C35" s="17">
        <f t="shared" si="1"/>
        <v>1.9998928786373348E-2</v>
      </c>
      <c r="D35" s="17">
        <f t="shared" si="1"/>
        <v>1.6855352431608576E-2</v>
      </c>
      <c r="E35" s="17">
        <f t="shared" si="1"/>
        <v>1.4132120369512577E-2</v>
      </c>
      <c r="F35" s="17">
        <f t="shared" si="1"/>
        <v>1.1792219573948229E-2</v>
      </c>
      <c r="G35" s="17">
        <f t="shared" si="1"/>
        <v>9.7969060842457052E-3</v>
      </c>
      <c r="H35" s="17">
        <f t="shared" si="1"/>
        <v>8.1072841449362585E-3</v>
      </c>
      <c r="I35" s="17">
        <f t="shared" si="1"/>
        <v>6.6855995261533669E-3</v>
      </c>
      <c r="J35" s="17">
        <f t="shared" si="1"/>
        <v>5.4962140029638897E-3</v>
      </c>
      <c r="K35" s="17">
        <f t="shared" si="1"/>
        <v>4.506266931922528E-3</v>
      </c>
      <c r="L35" s="17">
        <f t="shared" si="1"/>
        <v>3.6860569590961931E-3</v>
      </c>
      <c r="M35" s="17">
        <f t="shared" si="1"/>
        <v>3.0091920615070759E-3</v>
      </c>
      <c r="N35" s="17">
        <f t="shared" si="1"/>
        <v>2.4525612987012012E-3</v>
      </c>
      <c r="O35" s="17">
        <f t="shared" si="1"/>
        <v>1.9961796382070656E-3</v>
      </c>
    </row>
    <row r="36" spans="1:15" x14ac:dyDescent="0.25">
      <c r="A36" s="21">
        <v>32</v>
      </c>
      <c r="B36" s="16">
        <f t="shared" si="1"/>
        <v>2.2610607335150329E-2</v>
      </c>
      <c r="C36" s="16">
        <f t="shared" si="1"/>
        <v>1.904661827559085E-2</v>
      </c>
      <c r="D36" s="16">
        <f t="shared" si="1"/>
        <v>1.594858974109167E-2</v>
      </c>
      <c r="E36" s="16">
        <f t="shared" si="1"/>
        <v>1.3280418943284312E-2</v>
      </c>
      <c r="F36" s="16">
        <f t="shared" si="1"/>
        <v>1.100233735474941E-2</v>
      </c>
      <c r="G36" s="16">
        <f t="shared" si="1"/>
        <v>9.0729154983162658E-3</v>
      </c>
      <c r="H36" s="16">
        <f t="shared" si="1"/>
        <v>7.4508132268475517E-3</v>
      </c>
      <c r="I36" s="16">
        <f t="shared" si="1"/>
        <v>6.0961861166427492E-3</v>
      </c>
      <c r="J36" s="16">
        <f t="shared" si="1"/>
        <v>4.9717167126808034E-3</v>
      </c>
      <c r="K36" s="16">
        <f t="shared" si="1"/>
        <v>4.0432854131252577E-3</v>
      </c>
      <c r="L36" s="16">
        <f t="shared" si="1"/>
        <v>3.2803263298214706E-3</v>
      </c>
      <c r="M36" s="16">
        <f t="shared" si="1"/>
        <v>2.6559290803562321E-3</v>
      </c>
      <c r="N36" s="16">
        <f t="shared" si="1"/>
        <v>2.146751105282842E-3</v>
      </c>
      <c r="O36" s="16">
        <f t="shared" si="1"/>
        <v>1.7328005712952807E-3</v>
      </c>
    </row>
    <row r="37" spans="1:15" x14ac:dyDescent="0.25">
      <c r="A37" s="22">
        <v>33</v>
      </c>
      <c r="B37" s="17">
        <f t="shared" si="1"/>
        <v>2.168653107504984E-2</v>
      </c>
      <c r="C37" s="17">
        <f t="shared" si="1"/>
        <v>1.8156121895611686E-2</v>
      </c>
      <c r="D37" s="17">
        <f t="shared" si="1"/>
        <v>1.510356649560194E-2</v>
      </c>
      <c r="E37" s="17">
        <f t="shared" si="1"/>
        <v>1.2490043742630696E-2</v>
      </c>
      <c r="F37" s="17">
        <f t="shared" si="1"/>
        <v>1.0272934961023425E-2</v>
      </c>
      <c r="G37" s="17">
        <f t="shared" si="1"/>
        <v>8.40806526417762E-3</v>
      </c>
      <c r="H37" s="17">
        <f t="shared" si="1"/>
        <v>6.8516324014126009E-3</v>
      </c>
      <c r="I37" s="17">
        <f t="shared" si="1"/>
        <v>5.5617255071755299E-3</v>
      </c>
      <c r="J37" s="17">
        <f t="shared" si="1"/>
        <v>4.4994063083096713E-3</v>
      </c>
      <c r="K37" s="17">
        <f t="shared" si="1"/>
        <v>3.629379096904542E-3</v>
      </c>
      <c r="L37" s="17">
        <f t="shared" si="1"/>
        <v>2.9203096083232649E-3</v>
      </c>
      <c r="M37" s="17">
        <f t="shared" si="1"/>
        <v>2.3448683860355334E-3</v>
      </c>
      <c r="N37" s="17">
        <f t="shared" si="1"/>
        <v>1.8795755477178211E-3</v>
      </c>
      <c r="O37" s="17">
        <f t="shared" si="1"/>
        <v>1.5045161259935966E-3</v>
      </c>
    </row>
    <row r="38" spans="1:15" x14ac:dyDescent="0.25">
      <c r="A38" s="21">
        <v>34</v>
      </c>
      <c r="B38" s="16">
        <f t="shared" si="1"/>
        <v>2.0818672823453649E-2</v>
      </c>
      <c r="C38" s="16">
        <f t="shared" si="1"/>
        <v>1.7321963318571259E-2</v>
      </c>
      <c r="D38" s="16">
        <f t="shared" ref="C38:O44" si="2">+D$4%/((1+D$4%)^$A38-1)</f>
        <v>1.4314771530691149E-2</v>
      </c>
      <c r="E38" s="16">
        <f t="shared" si="2"/>
        <v>1.1755445442702132E-2</v>
      </c>
      <c r="F38" s="16">
        <f t="shared" si="2"/>
        <v>9.5984254347210394E-3</v>
      </c>
      <c r="G38" s="16">
        <f t="shared" si="2"/>
        <v>7.7967381133392183E-3</v>
      </c>
      <c r="H38" s="16">
        <f t="shared" si="2"/>
        <v>6.3041101445225154E-3</v>
      </c>
      <c r="I38" s="16">
        <f t="shared" si="2"/>
        <v>5.0765971261005887E-3</v>
      </c>
      <c r="J38" s="16">
        <f t="shared" si="2"/>
        <v>4.0737064072750686E-3</v>
      </c>
      <c r="K38" s="16">
        <f t="shared" si="2"/>
        <v>3.2590547313395947E-3</v>
      </c>
      <c r="L38" s="16">
        <f t="shared" si="2"/>
        <v>2.6006383385672972E-3</v>
      </c>
      <c r="M38" s="16">
        <f t="shared" si="2"/>
        <v>2.0708076236330224E-3</v>
      </c>
      <c r="N38" s="16">
        <f t="shared" si="2"/>
        <v>1.64603657685729E-3</v>
      </c>
      <c r="O38" s="16">
        <f t="shared" si="2"/>
        <v>1.3065655452704952E-3</v>
      </c>
    </row>
    <row r="39" spans="1:15" x14ac:dyDescent="0.25">
      <c r="A39" s="22">
        <v>35</v>
      </c>
      <c r="B39" s="17">
        <f t="shared" ref="B39:B44" si="3">+B$4%/((1+B$4%)^$A39-1)</f>
        <v>2.0002209190750141E-2</v>
      </c>
      <c r="C39" s="17">
        <f t="shared" si="2"/>
        <v>1.6539291569599511E-2</v>
      </c>
      <c r="D39" s="17">
        <f t="shared" si="2"/>
        <v>1.3577322368260534E-2</v>
      </c>
      <c r="E39" s="17">
        <f t="shared" si="2"/>
        <v>1.1071707230849813E-2</v>
      </c>
      <c r="F39" s="17">
        <f t="shared" si="2"/>
        <v>8.9738589796632441E-3</v>
      </c>
      <c r="G39" s="17">
        <f t="shared" si="2"/>
        <v>7.2339596490032486E-3</v>
      </c>
      <c r="H39" s="17">
        <f t="shared" si="2"/>
        <v>5.803264560679801E-3</v>
      </c>
      <c r="I39" s="17">
        <f t="shared" si="2"/>
        <v>4.635837474221912E-3</v>
      </c>
      <c r="J39" s="17">
        <f t="shared" si="2"/>
        <v>3.689705119897442E-3</v>
      </c>
      <c r="K39" s="17">
        <f t="shared" si="2"/>
        <v>2.9274899831163688E-3</v>
      </c>
      <c r="L39" s="17">
        <f t="shared" si="2"/>
        <v>2.3166193299303697E-3</v>
      </c>
      <c r="M39" s="17">
        <f t="shared" si="2"/>
        <v>1.8292209371425475E-3</v>
      </c>
      <c r="N39" s="17">
        <f t="shared" si="2"/>
        <v>1.4418099166645481E-3</v>
      </c>
      <c r="O39" s="17">
        <f t="shared" si="2"/>
        <v>1.1348545942250342E-3</v>
      </c>
    </row>
    <row r="40" spans="1:15" x14ac:dyDescent="0.25">
      <c r="A40" s="21">
        <v>36</v>
      </c>
      <c r="B40" s="16">
        <f t="shared" si="3"/>
        <v>1.923285259779816E-2</v>
      </c>
      <c r="C40" s="16">
        <f t="shared" si="2"/>
        <v>1.5803794184157085E-2</v>
      </c>
      <c r="D40" s="16">
        <f t="shared" si="2"/>
        <v>1.2886877953808887E-2</v>
      </c>
      <c r="E40" s="16">
        <f t="shared" si="2"/>
        <v>1.0434457120475291E-2</v>
      </c>
      <c r="F40" s="16">
        <f t="shared" si="2"/>
        <v>8.3948348262031427E-3</v>
      </c>
      <c r="G40" s="16">
        <f t="shared" si="2"/>
        <v>6.7153096912766297E-3</v>
      </c>
      <c r="H40" s="16">
        <f t="shared" si="2"/>
        <v>5.3446740768713962E-3</v>
      </c>
      <c r="I40" s="16">
        <f t="shared" si="2"/>
        <v>4.235049973257507E-3</v>
      </c>
      <c r="J40" s="16">
        <f t="shared" si="2"/>
        <v>3.3430638183733147E-3</v>
      </c>
      <c r="K40" s="16">
        <f t="shared" si="2"/>
        <v>2.6304408952651358E-3</v>
      </c>
      <c r="L40" s="16">
        <f t="shared" si="2"/>
        <v>2.0641406266562173E-3</v>
      </c>
      <c r="M40" s="16">
        <f t="shared" si="2"/>
        <v>1.6161633781004278E-3</v>
      </c>
      <c r="N40" s="16">
        <f t="shared" si="2"/>
        <v>1.2631479801583688E-3</v>
      </c>
      <c r="O40" s="16">
        <f t="shared" si="2"/>
        <v>9.8585720838508559E-4</v>
      </c>
    </row>
    <row r="41" spans="1:15" x14ac:dyDescent="0.25">
      <c r="A41" s="22">
        <v>37</v>
      </c>
      <c r="B41" s="17">
        <f t="shared" si="3"/>
        <v>1.8506778870318888E-2</v>
      </c>
      <c r="C41" s="17">
        <f t="shared" si="2"/>
        <v>1.5111624448145934E-2</v>
      </c>
      <c r="D41" s="17">
        <f t="shared" si="2"/>
        <v>1.2239565544641768E-2</v>
      </c>
      <c r="E41" s="17">
        <f t="shared" si="2"/>
        <v>9.8397944827342005E-3</v>
      </c>
      <c r="F41" s="17">
        <f t="shared" si="2"/>
        <v>7.8574273784922759E-3</v>
      </c>
      <c r="G41" s="17">
        <f t="shared" si="2"/>
        <v>6.2368479679202199E-3</v>
      </c>
      <c r="H41" s="17">
        <f t="shared" si="2"/>
        <v>4.9244025465156986E-3</v>
      </c>
      <c r="I41" s="17">
        <f t="shared" si="2"/>
        <v>3.8703292984089742E-3</v>
      </c>
      <c r="J41" s="17">
        <f t="shared" si="2"/>
        <v>3.029940485422431E-3</v>
      </c>
      <c r="K41" s="17">
        <f t="shared" si="2"/>
        <v>2.3641640553610792E-3</v>
      </c>
      <c r="L41" s="17">
        <f t="shared" si="2"/>
        <v>1.8395923654626598E-3</v>
      </c>
      <c r="M41" s="17">
        <f t="shared" si="2"/>
        <v>1.4281904327664047E-3</v>
      </c>
      <c r="N41" s="17">
        <f t="shared" si="2"/>
        <v>1.106798184444951E-3</v>
      </c>
      <c r="O41" s="17">
        <f t="shared" si="2"/>
        <v>8.565328602526841E-4</v>
      </c>
    </row>
    <row r="42" spans="1:15" x14ac:dyDescent="0.25">
      <c r="A42" s="21">
        <v>38</v>
      </c>
      <c r="B42" s="16">
        <f t="shared" si="3"/>
        <v>1.782056626577868E-2</v>
      </c>
      <c r="C42" s="16">
        <f t="shared" si="2"/>
        <v>1.445934012658732E-2</v>
      </c>
      <c r="D42" s="16">
        <f t="shared" si="2"/>
        <v>1.16319191422027E-2</v>
      </c>
      <c r="E42" s="16">
        <f t="shared" si="2"/>
        <v>9.2842281767091198E-3</v>
      </c>
      <c r="F42" s="16">
        <f t="shared" si="2"/>
        <v>7.3581240126611783E-3</v>
      </c>
      <c r="G42" s="16">
        <f t="shared" si="2"/>
        <v>5.7950515071995791E-3</v>
      </c>
      <c r="H42" s="16">
        <f t="shared" si="2"/>
        <v>4.5389361092415528E-3</v>
      </c>
      <c r="I42" s="16">
        <f t="shared" si="2"/>
        <v>3.5381975310467936E-3</v>
      </c>
      <c r="J42" s="16">
        <f t="shared" si="2"/>
        <v>2.7469249693158932E-3</v>
      </c>
      <c r="K42" s="16">
        <f t="shared" si="2"/>
        <v>2.1253507904659694E-3</v>
      </c>
      <c r="L42" s="16">
        <f t="shared" si="2"/>
        <v>1.6397998234166209E-3</v>
      </c>
      <c r="M42" s="16">
        <f t="shared" si="2"/>
        <v>1.2622899489715988E-3</v>
      </c>
      <c r="N42" s="16">
        <f t="shared" si="2"/>
        <v>9.6993391521803165E-4</v>
      </c>
      <c r="O42" s="16">
        <f t="shared" si="2"/>
        <v>7.4425685200215318E-4</v>
      </c>
    </row>
    <row r="43" spans="1:15" x14ac:dyDescent="0.25">
      <c r="A43" s="22">
        <v>39</v>
      </c>
      <c r="B43" s="17">
        <f t="shared" si="3"/>
        <v>1.7171143880776563E-2</v>
      </c>
      <c r="C43" s="17">
        <f t="shared" si="2"/>
        <v>1.3843851618804866E-2</v>
      </c>
      <c r="D43" s="17">
        <f t="shared" si="2"/>
        <v>1.1060827396424644E-2</v>
      </c>
      <c r="E43" s="17">
        <f t="shared" si="2"/>
        <v>8.7646241959908871E-3</v>
      </c>
      <c r="F43" s="17">
        <f t="shared" si="2"/>
        <v>6.8937724341281113E-3</v>
      </c>
      <c r="G43" s="17">
        <f t="shared" si="2"/>
        <v>5.3867616318560435E-3</v>
      </c>
      <c r="H43" s="17">
        <f t="shared" si="2"/>
        <v>4.1851296971641069E-3</v>
      </c>
      <c r="I43" s="17">
        <f t="shared" si="2"/>
        <v>3.2355500146544636E-3</v>
      </c>
      <c r="J43" s="17">
        <f t="shared" si="2"/>
        <v>2.4909840210094684E-3</v>
      </c>
      <c r="K43" s="17">
        <f t="shared" si="2"/>
        <v>1.9110712555516628E-3</v>
      </c>
      <c r="L43" s="17">
        <f t="shared" si="2"/>
        <v>1.4619665098142736E-3</v>
      </c>
      <c r="M43" s="17">
        <f t="shared" si="2"/>
        <v>1.1158242966169568E-3</v>
      </c>
      <c r="N43" s="17">
        <f t="shared" si="2"/>
        <v>8.5009594590255381E-4</v>
      </c>
      <c r="O43" s="17">
        <f t="shared" si="2"/>
        <v>6.4676130041105447E-4</v>
      </c>
    </row>
    <row r="44" spans="1:15" x14ac:dyDescent="0.25">
      <c r="A44" s="21">
        <v>40</v>
      </c>
      <c r="B44" s="16">
        <f t="shared" si="3"/>
        <v>1.6555747797347503E-2</v>
      </c>
      <c r="C44" s="16">
        <f t="shared" si="2"/>
        <v>1.3262377890462897E-2</v>
      </c>
      <c r="D44" s="16">
        <f t="shared" si="2"/>
        <v>1.05234893244222E-2</v>
      </c>
      <c r="E44" s="16">
        <f t="shared" si="2"/>
        <v>8.2781611660349974E-3</v>
      </c>
      <c r="F44" s="16">
        <f t="shared" si="2"/>
        <v>6.4615359206755003E-3</v>
      </c>
      <c r="G44" s="16">
        <f t="shared" si="2"/>
        <v>5.0091388736103184E-3</v>
      </c>
      <c r="H44" s="16">
        <f t="shared" si="2"/>
        <v>3.860161500585331E-3</v>
      </c>
      <c r="I44" s="16">
        <f t="shared" si="2"/>
        <v>2.9596092210970376E-3</v>
      </c>
      <c r="J44" s="16">
        <f t="shared" si="2"/>
        <v>2.259414414369487E-3</v>
      </c>
      <c r="K44" s="16">
        <f t="shared" si="2"/>
        <v>1.7187267084171692E-3</v>
      </c>
      <c r="L44" s="16">
        <f t="shared" si="2"/>
        <v>1.303625582920274E-3</v>
      </c>
      <c r="M44" s="16">
        <f t="shared" si="2"/>
        <v>9.8648102400196794E-4</v>
      </c>
      <c r="N44" s="16">
        <f t="shared" si="2"/>
        <v>7.4514254670568383E-4</v>
      </c>
      <c r="O44" s="16">
        <f t="shared" si="2"/>
        <v>5.6208501354500218E-4</v>
      </c>
    </row>
  </sheetData>
  <sheetProtection sheet="1" objects="1" scenarios="1"/>
  <pageMargins left="0.7" right="0.7" top="0.75" bottom="0.75" header="0.3" footer="0.3"/>
  <pageSetup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windowProtection="1" workbookViewId="0">
      <selection activeCell="Q7" sqref="Q7"/>
    </sheetView>
  </sheetViews>
  <sheetFormatPr defaultRowHeight="15" x14ac:dyDescent="0.25"/>
  <cols>
    <col min="1" max="1" width="4.85546875" customWidth="1"/>
    <col min="2" max="2" width="8.5703125" bestFit="1" customWidth="1"/>
    <col min="3" max="12" width="6.5703125" bestFit="1" customWidth="1"/>
    <col min="13" max="15" width="7.5703125" bestFit="1" customWidth="1"/>
  </cols>
  <sheetData>
    <row r="1" spans="1:15" x14ac:dyDescent="0.25">
      <c r="A1" s="18" t="s">
        <v>36</v>
      </c>
    </row>
    <row r="2" spans="1:15" x14ac:dyDescent="0.25">
      <c r="A2" s="18" t="s">
        <v>43</v>
      </c>
      <c r="J2" t="s">
        <v>40</v>
      </c>
    </row>
    <row r="3" spans="1:15" x14ac:dyDescent="0.25">
      <c r="A3" s="18"/>
      <c r="J3" t="s">
        <v>47</v>
      </c>
    </row>
    <row r="4" spans="1:15" x14ac:dyDescent="0.25">
      <c r="A4" s="21"/>
      <c r="B4" s="21">
        <v>2</v>
      </c>
      <c r="C4" s="21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21">
        <v>12</v>
      </c>
      <c r="M4" s="21">
        <v>13</v>
      </c>
      <c r="N4" s="21">
        <v>14</v>
      </c>
      <c r="O4" s="21">
        <v>15</v>
      </c>
    </row>
    <row r="5" spans="1:15" x14ac:dyDescent="0.25">
      <c r="A5" s="22">
        <v>1</v>
      </c>
      <c r="B5" s="17">
        <f>+(B$4%*(1+B$4%)^$A5)/((1+B$4%)^$A5-1)</f>
        <v>1.0199999999999991</v>
      </c>
      <c r="C5" s="17">
        <f t="shared" ref="C5:O20" si="0">+(C$4%*(1+C$4%)^$A5)/((1+C$4%)^$A5-1)</f>
        <v>1.0299999999999991</v>
      </c>
      <c r="D5" s="17">
        <f t="shared" si="0"/>
        <v>1.0399999999999991</v>
      </c>
      <c r="E5" s="17">
        <f t="shared" si="0"/>
        <v>1.0499999999999992</v>
      </c>
      <c r="F5" s="17">
        <f t="shared" si="0"/>
        <v>1.0599999999999992</v>
      </c>
      <c r="G5" s="17">
        <f t="shared" si="0"/>
        <v>1.0699999999999992</v>
      </c>
      <c r="H5" s="17">
        <f t="shared" si="0"/>
        <v>1.0799999999999992</v>
      </c>
      <c r="I5" s="17">
        <f t="shared" si="0"/>
        <v>1.0899999999999992</v>
      </c>
      <c r="J5" s="17">
        <f t="shared" si="0"/>
        <v>1.0999999999999992</v>
      </c>
      <c r="K5" s="17">
        <f t="shared" si="0"/>
        <v>1.1099999999999992</v>
      </c>
      <c r="L5" s="17">
        <f t="shared" si="0"/>
        <v>1.1199999999999992</v>
      </c>
      <c r="M5" s="17">
        <f t="shared" si="0"/>
        <v>1.130000000000001</v>
      </c>
      <c r="N5" s="17">
        <f t="shared" si="0"/>
        <v>1.1399999999999992</v>
      </c>
      <c r="O5" s="17">
        <f t="shared" si="0"/>
        <v>1.1500000000000006</v>
      </c>
    </row>
    <row r="6" spans="1:15" x14ac:dyDescent="0.25">
      <c r="A6" s="21">
        <v>2</v>
      </c>
      <c r="B6" s="25">
        <f t="shared" ref="B6:O38" si="1">+(B$4%*(1+B$4%)^$A6)/((1+B$4%)^$A6-1)</f>
        <v>0.51504950495049517</v>
      </c>
      <c r="C6" s="25">
        <f t="shared" si="0"/>
        <v>0.52261083743842396</v>
      </c>
      <c r="D6" s="25">
        <f t="shared" si="0"/>
        <v>0.53019607843137184</v>
      </c>
      <c r="E6" s="25">
        <f t="shared" si="0"/>
        <v>0.53780487804878041</v>
      </c>
      <c r="F6" s="25">
        <f t="shared" si="0"/>
        <v>0.54543689320388289</v>
      </c>
      <c r="G6" s="25">
        <f t="shared" si="0"/>
        <v>0.5530917874396134</v>
      </c>
      <c r="H6" s="25">
        <f t="shared" si="0"/>
        <v>0.56076923076923046</v>
      </c>
      <c r="I6" s="25">
        <f t="shared" si="0"/>
        <v>0.56846889952153068</v>
      </c>
      <c r="J6" s="25">
        <f t="shared" si="0"/>
        <v>0.57619047619047581</v>
      </c>
      <c r="K6" s="25">
        <f t="shared" si="0"/>
        <v>0.58393364928909908</v>
      </c>
      <c r="L6" s="25">
        <f t="shared" si="0"/>
        <v>0.59169811320754684</v>
      </c>
      <c r="M6" s="25">
        <f t="shared" si="0"/>
        <v>0.59948356807511793</v>
      </c>
      <c r="N6" s="25">
        <f t="shared" si="0"/>
        <v>0.60728971962616773</v>
      </c>
      <c r="O6" s="25">
        <f t="shared" si="0"/>
        <v>0.61511627906976774</v>
      </c>
    </row>
    <row r="7" spans="1:15" x14ac:dyDescent="0.25">
      <c r="A7" s="22">
        <v>3</v>
      </c>
      <c r="B7" s="17">
        <f t="shared" si="1"/>
        <v>0.34675467259181847</v>
      </c>
      <c r="C7" s="17">
        <f t="shared" si="0"/>
        <v>0.35353036332459803</v>
      </c>
      <c r="D7" s="17">
        <f t="shared" si="0"/>
        <v>0.36034853921066096</v>
      </c>
      <c r="E7" s="17">
        <f t="shared" si="0"/>
        <v>0.36720856463124479</v>
      </c>
      <c r="F7" s="17">
        <f t="shared" si="0"/>
        <v>0.37410981279055111</v>
      </c>
      <c r="G7" s="17">
        <f t="shared" si="0"/>
        <v>0.38105166568166965</v>
      </c>
      <c r="H7" s="17">
        <f t="shared" si="0"/>
        <v>0.38803351404632802</v>
      </c>
      <c r="I7" s="17">
        <f t="shared" si="0"/>
        <v>0.3950547573289403</v>
      </c>
      <c r="J7" s="17">
        <f t="shared" si="0"/>
        <v>0.40211480362537733</v>
      </c>
      <c r="K7" s="17">
        <f t="shared" si="0"/>
        <v>0.40921306962688109</v>
      </c>
      <c r="L7" s="17">
        <f t="shared" si="0"/>
        <v>0.41634898055950659</v>
      </c>
      <c r="M7" s="17">
        <f t="shared" si="0"/>
        <v>0.4235219701194638</v>
      </c>
      <c r="N7" s="17">
        <f t="shared" si="0"/>
        <v>0.430731480404698</v>
      </c>
      <c r="O7" s="17">
        <f t="shared" si="0"/>
        <v>0.43797696184305279</v>
      </c>
    </row>
    <row r="8" spans="1:15" x14ac:dyDescent="0.25">
      <c r="A8" s="21">
        <v>4</v>
      </c>
      <c r="B8" s="25">
        <f t="shared" si="1"/>
        <v>0.26262375267128762</v>
      </c>
      <c r="C8" s="25">
        <f t="shared" si="0"/>
        <v>0.26902704519308257</v>
      </c>
      <c r="D8" s="25">
        <f t="shared" si="0"/>
        <v>0.27549004536480204</v>
      </c>
      <c r="E8" s="25">
        <f t="shared" si="0"/>
        <v>0.2820118326034628</v>
      </c>
      <c r="F8" s="25">
        <f t="shared" si="0"/>
        <v>0.28859149237327314</v>
      </c>
      <c r="G8" s="25">
        <f t="shared" si="0"/>
        <v>0.29522811666726356</v>
      </c>
      <c r="H8" s="25">
        <f t="shared" si="0"/>
        <v>0.30192080445403913</v>
      </c>
      <c r="I8" s="25">
        <f t="shared" si="0"/>
        <v>0.30866866209109767</v>
      </c>
      <c r="J8" s="25">
        <f t="shared" si="0"/>
        <v>0.31547080370609765</v>
      </c>
      <c r="K8" s="25">
        <f t="shared" si="0"/>
        <v>0.32232635154746614</v>
      </c>
      <c r="L8" s="25">
        <f t="shared" si="0"/>
        <v>0.32923443630568966</v>
      </c>
      <c r="M8" s="25">
        <f t="shared" si="0"/>
        <v>0.33619419740661333</v>
      </c>
      <c r="N8" s="25">
        <f t="shared" si="0"/>
        <v>0.34320478327803433</v>
      </c>
      <c r="O8" s="25">
        <f t="shared" si="0"/>
        <v>0.35026535159085798</v>
      </c>
    </row>
    <row r="9" spans="1:15" x14ac:dyDescent="0.25">
      <c r="A9" s="22">
        <v>5</v>
      </c>
      <c r="B9" s="17">
        <f t="shared" si="1"/>
        <v>0.21215839410432219</v>
      </c>
      <c r="C9" s="17">
        <f t="shared" si="0"/>
        <v>0.21835457140057621</v>
      </c>
      <c r="D9" s="17">
        <f t="shared" si="0"/>
        <v>0.22462711349303363</v>
      </c>
      <c r="E9" s="17">
        <f t="shared" si="0"/>
        <v>0.23097479812826807</v>
      </c>
      <c r="F9" s="17">
        <f t="shared" si="0"/>
        <v>0.23739640043118937</v>
      </c>
      <c r="G9" s="17">
        <f t="shared" si="0"/>
        <v>0.24389069444137401</v>
      </c>
      <c r="H9" s="17">
        <f t="shared" si="0"/>
        <v>0.25045645456683646</v>
      </c>
      <c r="I9" s="17">
        <f t="shared" si="0"/>
        <v>0.25709245695674482</v>
      </c>
      <c r="J9" s="17">
        <f t="shared" si="0"/>
        <v>0.26379748079474524</v>
      </c>
      <c r="K9" s="17">
        <f t="shared" si="0"/>
        <v>0.27057030951473438</v>
      </c>
      <c r="L9" s="17">
        <f t="shared" si="0"/>
        <v>0.27740973194104873</v>
      </c>
      <c r="M9" s="17">
        <f t="shared" si="0"/>
        <v>0.28431454335515804</v>
      </c>
      <c r="N9" s="17">
        <f t="shared" si="0"/>
        <v>0.29128354649104332</v>
      </c>
      <c r="O9" s="17">
        <f t="shared" si="0"/>
        <v>0.29831555246152841</v>
      </c>
    </row>
    <row r="10" spans="1:15" x14ac:dyDescent="0.25">
      <c r="A10" s="21">
        <v>6</v>
      </c>
      <c r="B10" s="25">
        <f t="shared" si="1"/>
        <v>0.1785258123352024</v>
      </c>
      <c r="C10" s="25">
        <f t="shared" si="0"/>
        <v>0.18459750045017728</v>
      </c>
      <c r="D10" s="25">
        <f t="shared" si="0"/>
        <v>0.1907619025079538</v>
      </c>
      <c r="E10" s="25">
        <f t="shared" si="0"/>
        <v>0.19701746811018833</v>
      </c>
      <c r="F10" s="25">
        <f t="shared" si="0"/>
        <v>0.20336262847489528</v>
      </c>
      <c r="G10" s="25">
        <f t="shared" si="0"/>
        <v>0.20979579975832816</v>
      </c>
      <c r="H10" s="25">
        <f t="shared" si="0"/>
        <v>0.2163153862290097</v>
      </c>
      <c r="I10" s="25">
        <f t="shared" si="0"/>
        <v>0.22291978329203693</v>
      </c>
      <c r="J10" s="25">
        <f t="shared" si="0"/>
        <v>0.22960738036266726</v>
      </c>
      <c r="K10" s="25">
        <f t="shared" si="0"/>
        <v>0.23637656358903947</v>
      </c>
      <c r="L10" s="25">
        <f t="shared" si="0"/>
        <v>0.24322571842462917</v>
      </c>
      <c r="M10" s="25">
        <f t="shared" si="0"/>
        <v>0.25015323205172546</v>
      </c>
      <c r="N10" s="25">
        <f t="shared" si="0"/>
        <v>0.25715749565782348</v>
      </c>
      <c r="O10" s="25">
        <f t="shared" si="0"/>
        <v>0.26423690656738347</v>
      </c>
    </row>
    <row r="11" spans="1:15" x14ac:dyDescent="0.25">
      <c r="A11" s="22">
        <v>7</v>
      </c>
      <c r="B11" s="17">
        <f t="shared" si="1"/>
        <v>0.1545119561030997</v>
      </c>
      <c r="C11" s="17">
        <f t="shared" si="0"/>
        <v>0.16050635375427202</v>
      </c>
      <c r="D11" s="17">
        <f t="shared" si="0"/>
        <v>0.16660961203950414</v>
      </c>
      <c r="E11" s="17">
        <f t="shared" si="0"/>
        <v>0.17281981844617067</v>
      </c>
      <c r="F11" s="17">
        <f t="shared" si="0"/>
        <v>0.17913501805901069</v>
      </c>
      <c r="G11" s="17">
        <f t="shared" si="0"/>
        <v>0.18555321963115931</v>
      </c>
      <c r="H11" s="17">
        <f t="shared" si="0"/>
        <v>0.19207240142841048</v>
      </c>
      <c r="I11" s="17">
        <f t="shared" si="0"/>
        <v>0.1986905168335929</v>
      </c>
      <c r="J11" s="17">
        <f t="shared" si="0"/>
        <v>0.20540549970059557</v>
      </c>
      <c r="K11" s="17">
        <f t="shared" si="0"/>
        <v>0.21221526945009764</v>
      </c>
      <c r="L11" s="17">
        <f t="shared" si="0"/>
        <v>0.21911773590139078</v>
      </c>
      <c r="M11" s="17">
        <f t="shared" si="0"/>
        <v>0.22611080383684842</v>
      </c>
      <c r="N11" s="17">
        <f t="shared" si="0"/>
        <v>0.23319237729757902</v>
      </c>
      <c r="O11" s="17">
        <f t="shared" si="0"/>
        <v>0.24036036361061153</v>
      </c>
    </row>
    <row r="12" spans="1:15" x14ac:dyDescent="0.25">
      <c r="A12" s="21">
        <v>8</v>
      </c>
      <c r="B12" s="25">
        <f t="shared" si="1"/>
        <v>0.13650979913376274</v>
      </c>
      <c r="C12" s="25">
        <f t="shared" si="0"/>
        <v>0.14245638882723924</v>
      </c>
      <c r="D12" s="25">
        <f t="shared" si="0"/>
        <v>0.14852783204671277</v>
      </c>
      <c r="E12" s="25">
        <f t="shared" si="0"/>
        <v>0.15472181362768117</v>
      </c>
      <c r="F12" s="25">
        <f t="shared" si="0"/>
        <v>0.16103594264812895</v>
      </c>
      <c r="G12" s="25">
        <f t="shared" si="0"/>
        <v>0.16746776249075465</v>
      </c>
      <c r="H12" s="25">
        <f t="shared" si="0"/>
        <v>0.17401476059182211</v>
      </c>
      <c r="I12" s="25">
        <f t="shared" si="0"/>
        <v>0.18067437783749629</v>
      </c>
      <c r="J12" s="25">
        <f t="shared" si="0"/>
        <v>0.18744401757481335</v>
      </c>
      <c r="K12" s="25">
        <f t="shared" si="0"/>
        <v>0.19432105421050003</v>
      </c>
      <c r="L12" s="25">
        <f t="shared" si="0"/>
        <v>0.20130284137660018</v>
      </c>
      <c r="M12" s="25">
        <f t="shared" si="0"/>
        <v>0.20838671964727043</v>
      </c>
      <c r="N12" s="25">
        <f t="shared" si="0"/>
        <v>0.21557002379612583</v>
      </c>
      <c r="O12" s="25">
        <f t="shared" si="0"/>
        <v>0.22285008958814048</v>
      </c>
    </row>
    <row r="13" spans="1:15" x14ac:dyDescent="0.25">
      <c r="A13" s="22">
        <v>9</v>
      </c>
      <c r="B13" s="17">
        <f t="shared" si="1"/>
        <v>0.12251543737024126</v>
      </c>
      <c r="C13" s="17">
        <f t="shared" si="0"/>
        <v>0.12843385701810342</v>
      </c>
      <c r="D13" s="17">
        <f t="shared" si="0"/>
        <v>0.13449299269771522</v>
      </c>
      <c r="E13" s="17">
        <f t="shared" si="0"/>
        <v>0.14069007997578778</v>
      </c>
      <c r="F13" s="17">
        <f t="shared" si="0"/>
        <v>0.14702223500306361</v>
      </c>
      <c r="G13" s="17">
        <f t="shared" si="0"/>
        <v>0.15348647013842193</v>
      </c>
      <c r="H13" s="17">
        <f t="shared" si="0"/>
        <v>0.16007970917199468</v>
      </c>
      <c r="I13" s="17">
        <f t="shared" si="0"/>
        <v>0.1667988020571548</v>
      </c>
      <c r="J13" s="17">
        <f t="shared" si="0"/>
        <v>0.1736405390743434</v>
      </c>
      <c r="K13" s="17">
        <f t="shared" si="0"/>
        <v>0.18060166436255287</v>
      </c>
      <c r="L13" s="17">
        <f t="shared" si="0"/>
        <v>0.18767888876666056</v>
      </c>
      <c r="M13" s="17">
        <f t="shared" si="0"/>
        <v>0.19486890196058398</v>
      </c>
      <c r="N13" s="17">
        <f t="shared" si="0"/>
        <v>0.2021683838172702</v>
      </c>
      <c r="O13" s="17">
        <f t="shared" si="0"/>
        <v>0.20957401500675901</v>
      </c>
    </row>
    <row r="14" spans="1:15" x14ac:dyDescent="0.25">
      <c r="A14" s="21">
        <v>10</v>
      </c>
      <c r="B14" s="25">
        <f t="shared" si="1"/>
        <v>0.11132652786531647</v>
      </c>
      <c r="C14" s="25">
        <f t="shared" si="0"/>
        <v>0.11723050660515963</v>
      </c>
      <c r="D14" s="25">
        <f t="shared" si="0"/>
        <v>0.1232909443301364</v>
      </c>
      <c r="E14" s="25">
        <f t="shared" si="0"/>
        <v>0.1295045749654567</v>
      </c>
      <c r="F14" s="25">
        <f t="shared" si="0"/>
        <v>0.13586795822038372</v>
      </c>
      <c r="G14" s="25">
        <f t="shared" si="0"/>
        <v>0.14237750272736471</v>
      </c>
      <c r="H14" s="25">
        <f t="shared" si="0"/>
        <v>0.14902948869707539</v>
      </c>
      <c r="I14" s="25">
        <f t="shared" si="0"/>
        <v>0.15582008990903373</v>
      </c>
      <c r="J14" s="25">
        <f t="shared" si="0"/>
        <v>0.16274539488251155</v>
      </c>
      <c r="K14" s="25">
        <f t="shared" si="0"/>
        <v>0.16980142709749024</v>
      </c>
      <c r="L14" s="25">
        <f t="shared" si="0"/>
        <v>0.17698416415984405</v>
      </c>
      <c r="M14" s="25">
        <f t="shared" si="0"/>
        <v>0.1842895558283798</v>
      </c>
      <c r="N14" s="25">
        <f t="shared" si="0"/>
        <v>0.19171354084347619</v>
      </c>
      <c r="O14" s="25">
        <f t="shared" si="0"/>
        <v>0.19925206251758487</v>
      </c>
    </row>
    <row r="15" spans="1:15" x14ac:dyDescent="0.25">
      <c r="A15" s="22">
        <v>11</v>
      </c>
      <c r="B15" s="17">
        <f t="shared" si="1"/>
        <v>0.10217794282364558</v>
      </c>
      <c r="C15" s="17">
        <f t="shared" si="0"/>
        <v>0.10807744784039247</v>
      </c>
      <c r="D15" s="17">
        <f t="shared" si="0"/>
        <v>0.11414903925875247</v>
      </c>
      <c r="E15" s="17">
        <f t="shared" si="0"/>
        <v>0.12038889149066806</v>
      </c>
      <c r="F15" s="17">
        <f t="shared" si="0"/>
        <v>0.12679293809753162</v>
      </c>
      <c r="G15" s="17">
        <f t="shared" si="0"/>
        <v>0.13335690483624488</v>
      </c>
      <c r="H15" s="17">
        <f t="shared" si="0"/>
        <v>0.14007634214449127</v>
      </c>
      <c r="I15" s="17">
        <f t="shared" si="0"/>
        <v>0.14694665673635587</v>
      </c>
      <c r="J15" s="17">
        <f t="shared" si="0"/>
        <v>0.15396314202461459</v>
      </c>
      <c r="K15" s="17">
        <f t="shared" si="0"/>
        <v>0.16112100713184244</v>
      </c>
      <c r="L15" s="17">
        <f t="shared" si="0"/>
        <v>0.16841540429774643</v>
      </c>
      <c r="M15" s="17">
        <f t="shared" si="0"/>
        <v>0.175841454533816</v>
      </c>
      <c r="N15" s="17">
        <f t="shared" si="0"/>
        <v>0.18339427141767156</v>
      </c>
      <c r="O15" s="17">
        <f t="shared" si="0"/>
        <v>0.19106898295775301</v>
      </c>
    </row>
    <row r="16" spans="1:15" x14ac:dyDescent="0.25">
      <c r="A16" s="21">
        <v>12</v>
      </c>
      <c r="B16" s="25">
        <f t="shared" si="1"/>
        <v>9.4559596622951506E-2</v>
      </c>
      <c r="C16" s="25">
        <f t="shared" si="0"/>
        <v>0.10046208547296308</v>
      </c>
      <c r="D16" s="25">
        <f t="shared" si="0"/>
        <v>0.10655217268605649</v>
      </c>
      <c r="E16" s="25">
        <f t="shared" si="0"/>
        <v>0.11282541002081541</v>
      </c>
      <c r="F16" s="25">
        <f t="shared" si="0"/>
        <v>0.11927702938066355</v>
      </c>
      <c r="G16" s="25">
        <f t="shared" si="0"/>
        <v>0.12590198865502047</v>
      </c>
      <c r="H16" s="25">
        <f t="shared" si="0"/>
        <v>0.13269501692446953</v>
      </c>
      <c r="I16" s="25">
        <f t="shared" si="0"/>
        <v>0.13965065846950367</v>
      </c>
      <c r="J16" s="25">
        <f t="shared" si="0"/>
        <v>0.14676331510028726</v>
      </c>
      <c r="K16" s="25">
        <f t="shared" si="0"/>
        <v>0.15402728640498858</v>
      </c>
      <c r="L16" s="25">
        <f t="shared" si="0"/>
        <v>0.16143680759399573</v>
      </c>
      <c r="M16" s="25">
        <f t="shared" si="0"/>
        <v>0.16898608469454812</v>
      </c>
      <c r="N16" s="25">
        <f t="shared" si="0"/>
        <v>0.17666932692321258</v>
      </c>
      <c r="O16" s="25">
        <f t="shared" si="0"/>
        <v>0.18448077613083957</v>
      </c>
    </row>
    <row r="17" spans="1:15" x14ac:dyDescent="0.25">
      <c r="A17" s="22">
        <v>13</v>
      </c>
      <c r="B17" s="17">
        <f t="shared" si="1"/>
        <v>8.8118352671695988E-2</v>
      </c>
      <c r="C17" s="17">
        <f t="shared" si="0"/>
        <v>9.4029543955328074E-2</v>
      </c>
      <c r="D17" s="17">
        <f t="shared" si="0"/>
        <v>0.10014372781403251</v>
      </c>
      <c r="E17" s="17">
        <f t="shared" si="0"/>
        <v>0.10645576516772763</v>
      </c>
      <c r="F17" s="17">
        <f t="shared" si="0"/>
        <v>0.11296010534001906</v>
      </c>
      <c r="G17" s="17">
        <f t="shared" si="0"/>
        <v>0.11965084813625726</v>
      </c>
      <c r="H17" s="17">
        <f t="shared" si="0"/>
        <v>0.12652180519655568</v>
      </c>
      <c r="I17" s="17">
        <f t="shared" si="0"/>
        <v>0.13356655971767886</v>
      </c>
      <c r="J17" s="17">
        <f t="shared" si="0"/>
        <v>0.14077852376730216</v>
      </c>
      <c r="K17" s="17">
        <f t="shared" si="0"/>
        <v>0.14815099254900796</v>
      </c>
      <c r="L17" s="17">
        <f t="shared" si="0"/>
        <v>0.15567719511131664</v>
      </c>
      <c r="M17" s="17">
        <f t="shared" si="0"/>
        <v>0.16335034112466362</v>
      </c>
      <c r="N17" s="17">
        <f t="shared" si="0"/>
        <v>0.1711636634729797</v>
      </c>
      <c r="O17" s="17">
        <f t="shared" si="0"/>
        <v>0.17911045651873944</v>
      </c>
    </row>
    <row r="18" spans="1:15" x14ac:dyDescent="0.25">
      <c r="A18" s="21">
        <v>14</v>
      </c>
      <c r="B18" s="25">
        <f t="shared" si="1"/>
        <v>8.2601970184991866E-2</v>
      </c>
      <c r="C18" s="25">
        <f t="shared" si="0"/>
        <v>8.852633899066123E-2</v>
      </c>
      <c r="D18" s="25">
        <f t="shared" si="0"/>
        <v>9.4668973056399736E-2</v>
      </c>
      <c r="E18" s="25">
        <f t="shared" si="0"/>
        <v>0.10102396945726025</v>
      </c>
      <c r="F18" s="25">
        <f t="shared" si="0"/>
        <v>0.10758490900609533</v>
      </c>
      <c r="G18" s="25">
        <f t="shared" si="0"/>
        <v>0.11434493861984281</v>
      </c>
      <c r="H18" s="25">
        <f t="shared" si="0"/>
        <v>0.12129685282784076</v>
      </c>
      <c r="I18" s="25">
        <f t="shared" si="0"/>
        <v>0.128433173018556</v>
      </c>
      <c r="J18" s="25">
        <f t="shared" si="0"/>
        <v>0.13574622323063668</v>
      </c>
      <c r="K18" s="25">
        <f t="shared" si="0"/>
        <v>0.14322820151407875</v>
      </c>
      <c r="L18" s="25">
        <f t="shared" si="0"/>
        <v>0.1508712461076816</v>
      </c>
      <c r="M18" s="25">
        <f t="shared" si="0"/>
        <v>0.15866749589158358</v>
      </c>
      <c r="N18" s="25">
        <f t="shared" si="0"/>
        <v>0.16660914477193284</v>
      </c>
      <c r="O18" s="25">
        <f t="shared" si="0"/>
        <v>0.17468848983384178</v>
      </c>
    </row>
    <row r="19" spans="1:15" x14ac:dyDescent="0.25">
      <c r="A19" s="22">
        <v>15</v>
      </c>
      <c r="B19" s="17">
        <f t="shared" si="1"/>
        <v>7.7825472250244179E-2</v>
      </c>
      <c r="C19" s="17">
        <f t="shared" si="0"/>
        <v>8.3766580462288048E-2</v>
      </c>
      <c r="D19" s="17">
        <f t="shared" si="0"/>
        <v>8.9941100370973137E-2</v>
      </c>
      <c r="E19" s="17">
        <f t="shared" si="0"/>
        <v>9.6342287609244348E-2</v>
      </c>
      <c r="F19" s="17">
        <f t="shared" si="0"/>
        <v>0.10296276395531262</v>
      </c>
      <c r="G19" s="17">
        <f t="shared" si="0"/>
        <v>0.10979462470100652</v>
      </c>
      <c r="H19" s="17">
        <f t="shared" si="0"/>
        <v>0.11682954493601999</v>
      </c>
      <c r="I19" s="17">
        <f t="shared" si="0"/>
        <v>0.12405888265031004</v>
      </c>
      <c r="J19" s="17">
        <f t="shared" si="0"/>
        <v>0.13147377688737219</v>
      </c>
      <c r="K19" s="17">
        <f t="shared" si="0"/>
        <v>0.13906523952966843</v>
      </c>
      <c r="L19" s="17">
        <f t="shared" si="0"/>
        <v>0.14682423964634631</v>
      </c>
      <c r="M19" s="17">
        <f t="shared" si="0"/>
        <v>0.15474177966779348</v>
      </c>
      <c r="N19" s="17">
        <f t="shared" si="0"/>
        <v>0.16280896296002789</v>
      </c>
      <c r="O19" s="17">
        <f t="shared" si="0"/>
        <v>0.1710170526463011</v>
      </c>
    </row>
    <row r="20" spans="1:15" x14ac:dyDescent="0.25">
      <c r="A20" s="21">
        <v>16</v>
      </c>
      <c r="B20" s="25">
        <f t="shared" si="1"/>
        <v>7.365012586826164E-2</v>
      </c>
      <c r="C20" s="25">
        <f t="shared" si="0"/>
        <v>7.9610849265488115E-2</v>
      </c>
      <c r="D20" s="25">
        <f t="shared" si="0"/>
        <v>8.5819999221953491E-2</v>
      </c>
      <c r="E20" s="25">
        <f t="shared" si="0"/>
        <v>9.2269907977645726E-2</v>
      </c>
      <c r="F20" s="25">
        <f t="shared" si="0"/>
        <v>9.89521435893672E-2</v>
      </c>
      <c r="G20" s="25">
        <f t="shared" si="0"/>
        <v>0.1058576477262428</v>
      </c>
      <c r="H20" s="25">
        <f t="shared" si="0"/>
        <v>0.11297687198822257</v>
      </c>
      <c r="I20" s="25">
        <f t="shared" si="0"/>
        <v>0.12029990970758211</v>
      </c>
      <c r="J20" s="25">
        <f t="shared" si="0"/>
        <v>0.12781662070326982</v>
      </c>
      <c r="K20" s="25">
        <f t="shared" si="0"/>
        <v>0.13551674699657215</v>
      </c>
      <c r="L20" s="25">
        <f t="shared" si="0"/>
        <v>0.14339001803329363</v>
      </c>
      <c r="M20" s="25">
        <f t="shared" si="0"/>
        <v>0.15142624446732275</v>
      </c>
      <c r="N20" s="25">
        <f t="shared" si="0"/>
        <v>0.15961540002406394</v>
      </c>
      <c r="O20" s="25">
        <f t="shared" si="0"/>
        <v>0.16794769136692425</v>
      </c>
    </row>
    <row r="21" spans="1:15" x14ac:dyDescent="0.25">
      <c r="A21" s="22">
        <v>17</v>
      </c>
      <c r="B21" s="17">
        <f t="shared" si="1"/>
        <v>6.996984080346913E-2</v>
      </c>
      <c r="C21" s="17">
        <f t="shared" si="1"/>
        <v>7.5952529375969871E-2</v>
      </c>
      <c r="D21" s="17">
        <f t="shared" si="1"/>
        <v>8.2198522089099377E-2</v>
      </c>
      <c r="E21" s="17">
        <f t="shared" si="1"/>
        <v>8.8699141731286082E-2</v>
      </c>
      <c r="F21" s="17">
        <f t="shared" si="1"/>
        <v>9.5444804231549843E-2</v>
      </c>
      <c r="G21" s="17">
        <f t="shared" si="1"/>
        <v>0.1024251930616656</v>
      </c>
      <c r="H21" s="17">
        <f t="shared" si="1"/>
        <v>0.1096294314987091</v>
      </c>
      <c r="I21" s="17">
        <f t="shared" si="1"/>
        <v>0.1170462484599244</v>
      </c>
      <c r="J21" s="17">
        <f t="shared" si="1"/>
        <v>0.12466413439263227</v>
      </c>
      <c r="K21" s="17">
        <f t="shared" si="1"/>
        <v>0.1324714845149256</v>
      </c>
      <c r="L21" s="17">
        <f t="shared" si="1"/>
        <v>0.1404567275071423</v>
      </c>
      <c r="M21" s="17">
        <f t="shared" si="1"/>
        <v>0.14860843850856903</v>
      </c>
      <c r="N21" s="17">
        <f t="shared" si="1"/>
        <v>0.15691543594855403</v>
      </c>
      <c r="O21" s="17">
        <f t="shared" si="1"/>
        <v>0.16536686231719755</v>
      </c>
    </row>
    <row r="22" spans="1:15" x14ac:dyDescent="0.25">
      <c r="A22" s="21">
        <v>18</v>
      </c>
      <c r="B22" s="25">
        <f t="shared" si="1"/>
        <v>6.6702102150790948E-2</v>
      </c>
      <c r="C22" s="25">
        <f t="shared" si="1"/>
        <v>7.2708695896296999E-2</v>
      </c>
      <c r="D22" s="25">
        <f t="shared" si="1"/>
        <v>7.8993328144302433E-2</v>
      </c>
      <c r="E22" s="25">
        <f t="shared" si="1"/>
        <v>8.5546222319736021E-2</v>
      </c>
      <c r="F22" s="25">
        <f t="shared" si="1"/>
        <v>9.2356540552870889E-2</v>
      </c>
      <c r="G22" s="25">
        <f t="shared" si="1"/>
        <v>9.9412601658362007E-2</v>
      </c>
      <c r="H22" s="25">
        <f t="shared" si="1"/>
        <v>0.10670209590483774</v>
      </c>
      <c r="I22" s="25">
        <f t="shared" si="1"/>
        <v>0.11421229067033986</v>
      </c>
      <c r="J22" s="25">
        <f t="shared" si="1"/>
        <v>0.12193022222225659</v>
      </c>
      <c r="K22" s="25">
        <f t="shared" si="1"/>
        <v>0.12984287006091891</v>
      </c>
      <c r="L22" s="25">
        <f t="shared" si="1"/>
        <v>0.13793731144175672</v>
      </c>
      <c r="M22" s="25">
        <f t="shared" si="1"/>
        <v>0.14620085477757025</v>
      </c>
      <c r="N22" s="25">
        <f t="shared" si="1"/>
        <v>0.15462115157508041</v>
      </c>
      <c r="O22" s="25">
        <f t="shared" si="1"/>
        <v>0.1631862873521582</v>
      </c>
    </row>
    <row r="23" spans="1:15" x14ac:dyDescent="0.25">
      <c r="A23" s="22">
        <v>19</v>
      </c>
      <c r="B23" s="17">
        <f t="shared" si="1"/>
        <v>6.3781766302537068E-2</v>
      </c>
      <c r="C23" s="17">
        <f t="shared" si="1"/>
        <v>6.9813880562058783E-2</v>
      </c>
      <c r="D23" s="17">
        <f t="shared" si="1"/>
        <v>7.6138618402177505E-2</v>
      </c>
      <c r="E23" s="17">
        <f t="shared" si="1"/>
        <v>8.2745010381756232E-2</v>
      </c>
      <c r="F23" s="17">
        <f t="shared" si="1"/>
        <v>8.9620860361667595E-2</v>
      </c>
      <c r="G23" s="17">
        <f t="shared" si="1"/>
        <v>9.6753014849926045E-2</v>
      </c>
      <c r="H23" s="17">
        <f t="shared" si="1"/>
        <v>0.10412762748317211</v>
      </c>
      <c r="I23" s="17">
        <f t="shared" si="1"/>
        <v>0.11173041068840939</v>
      </c>
      <c r="J23" s="17">
        <f t="shared" si="1"/>
        <v>0.11954686823465582</v>
      </c>
      <c r="K23" s="17">
        <f t="shared" si="1"/>
        <v>0.12756250412046147</v>
      </c>
      <c r="L23" s="17">
        <f t="shared" si="1"/>
        <v>0.13576300492250343</v>
      </c>
      <c r="M23" s="17">
        <f t="shared" si="1"/>
        <v>0.14413439425563346</v>
      </c>
      <c r="N23" s="17">
        <f t="shared" si="1"/>
        <v>0.15266315930133006</v>
      </c>
      <c r="O23" s="17">
        <f t="shared" si="1"/>
        <v>0.16133635041569744</v>
      </c>
    </row>
    <row r="24" spans="1:15" x14ac:dyDescent="0.25">
      <c r="A24" s="21">
        <v>20</v>
      </c>
      <c r="B24" s="25">
        <f t="shared" si="1"/>
        <v>6.1156718125290395E-2</v>
      </c>
      <c r="C24" s="25">
        <f t="shared" si="1"/>
        <v>6.7215707596859159E-2</v>
      </c>
      <c r="D24" s="25">
        <f t="shared" si="1"/>
        <v>7.3581750328628834E-2</v>
      </c>
      <c r="E24" s="25">
        <f t="shared" si="1"/>
        <v>8.0242587190691314E-2</v>
      </c>
      <c r="F24" s="25">
        <f t="shared" si="1"/>
        <v>8.7184556976851402E-2</v>
      </c>
      <c r="G24" s="25">
        <f t="shared" si="1"/>
        <v>9.4392925743255696E-2</v>
      </c>
      <c r="H24" s="25">
        <f t="shared" si="1"/>
        <v>0.10185220882315059</v>
      </c>
      <c r="I24" s="25">
        <f t="shared" si="1"/>
        <v>0.10954647500822921</v>
      </c>
      <c r="J24" s="25">
        <f t="shared" si="1"/>
        <v>0.11745962477254576</v>
      </c>
      <c r="K24" s="25">
        <f t="shared" si="1"/>
        <v>0.12557563687714221</v>
      </c>
      <c r="L24" s="25">
        <f t="shared" si="1"/>
        <v>0.13387878003966064</v>
      </c>
      <c r="M24" s="25">
        <f t="shared" si="1"/>
        <v>0.14235378844181082</v>
      </c>
      <c r="N24" s="25">
        <f t="shared" si="1"/>
        <v>0.15098600159044354</v>
      </c>
      <c r="O24" s="25">
        <f t="shared" si="1"/>
        <v>0.1597614704057439</v>
      </c>
    </row>
    <row r="25" spans="1:15" x14ac:dyDescent="0.25">
      <c r="A25" s="22">
        <v>21</v>
      </c>
      <c r="B25" s="17">
        <f t="shared" si="1"/>
        <v>5.8784768943460665E-2</v>
      </c>
      <c r="C25" s="17">
        <f t="shared" si="1"/>
        <v>6.487177646650362E-2</v>
      </c>
      <c r="D25" s="17">
        <f t="shared" si="1"/>
        <v>7.1280105421267892E-2</v>
      </c>
      <c r="E25" s="17">
        <f t="shared" si="1"/>
        <v>7.7996107123809139E-2</v>
      </c>
      <c r="F25" s="17">
        <f t="shared" si="1"/>
        <v>8.500454665438209E-2</v>
      </c>
      <c r="G25" s="17">
        <f t="shared" si="1"/>
        <v>9.2289001664269052E-2</v>
      </c>
      <c r="H25" s="17">
        <f t="shared" si="1"/>
        <v>9.9832250321928537E-2</v>
      </c>
      <c r="I25" s="17">
        <f t="shared" si="1"/>
        <v>0.1076166347678985</v>
      </c>
      <c r="J25" s="17">
        <f t="shared" si="1"/>
        <v>0.11562438980835625</v>
      </c>
      <c r="K25" s="17">
        <f t="shared" si="1"/>
        <v>0.12383793000384771</v>
      </c>
      <c r="L25" s="17">
        <f t="shared" si="1"/>
        <v>0.13224009151946137</v>
      </c>
      <c r="M25" s="17">
        <f t="shared" si="1"/>
        <v>0.14081432789631798</v>
      </c>
      <c r="N25" s="17">
        <f t="shared" si="1"/>
        <v>0.14954486116708887</v>
      </c>
      <c r="O25" s="17">
        <f t="shared" si="1"/>
        <v>0.15841679143067999</v>
      </c>
    </row>
    <row r="26" spans="1:15" x14ac:dyDescent="0.25">
      <c r="A26" s="21">
        <v>22</v>
      </c>
      <c r="B26" s="25">
        <f t="shared" si="1"/>
        <v>5.663140052738308E-2</v>
      </c>
      <c r="C26" s="25">
        <f t="shared" si="1"/>
        <v>6.2747394791715136E-2</v>
      </c>
      <c r="D26" s="25">
        <f t="shared" si="1"/>
        <v>6.9198811088690373E-2</v>
      </c>
      <c r="E26" s="25">
        <f t="shared" si="1"/>
        <v>7.5970508556385485E-2</v>
      </c>
      <c r="F26" s="25">
        <f t="shared" si="1"/>
        <v>8.3045568547600784E-2</v>
      </c>
      <c r="G26" s="25">
        <f t="shared" si="1"/>
        <v>9.0405773225133962E-2</v>
      </c>
      <c r="H26" s="25">
        <f t="shared" si="1"/>
        <v>9.8032068359628022E-2</v>
      </c>
      <c r="I26" s="25">
        <f t="shared" si="1"/>
        <v>0.10590499295055286</v>
      </c>
      <c r="J26" s="25">
        <f t="shared" si="1"/>
        <v>0.11400506295047944</v>
      </c>
      <c r="K26" s="25">
        <f t="shared" si="1"/>
        <v>0.12231310105701836</v>
      </c>
      <c r="L26" s="25">
        <f t="shared" si="1"/>
        <v>0.13081050884096077</v>
      </c>
      <c r="M26" s="25">
        <f t="shared" si="1"/>
        <v>0.13947948113192074</v>
      </c>
      <c r="N26" s="25">
        <f t="shared" si="1"/>
        <v>0.14830316544358116</v>
      </c>
      <c r="O26" s="25">
        <f t="shared" si="1"/>
        <v>0.1572657712603466</v>
      </c>
    </row>
    <row r="27" spans="1:15" x14ac:dyDescent="0.25">
      <c r="A27" s="22">
        <v>23</v>
      </c>
      <c r="B27" s="17">
        <f t="shared" si="1"/>
        <v>5.4668097606317322E-2</v>
      </c>
      <c r="C27" s="17">
        <f t="shared" si="1"/>
        <v>6.0813902675464278E-2</v>
      </c>
      <c r="D27" s="17">
        <f t="shared" si="1"/>
        <v>6.7309056824482683E-2</v>
      </c>
      <c r="E27" s="17">
        <f t="shared" si="1"/>
        <v>7.4136821920174886E-2</v>
      </c>
      <c r="F27" s="17">
        <f t="shared" si="1"/>
        <v>8.1278484688788899E-2</v>
      </c>
      <c r="G27" s="17">
        <f t="shared" si="1"/>
        <v>8.871392625222356E-2</v>
      </c>
      <c r="H27" s="17">
        <f t="shared" si="1"/>
        <v>9.642216915082133E-2</v>
      </c>
      <c r="I27" s="17">
        <f t="shared" si="1"/>
        <v>0.10438188004569758</v>
      </c>
      <c r="J27" s="17">
        <f t="shared" si="1"/>
        <v>0.1125718126571046</v>
      </c>
      <c r="K27" s="17">
        <f t="shared" si="1"/>
        <v>0.12097118179002064</v>
      </c>
      <c r="L27" s="17">
        <f t="shared" si="1"/>
        <v>0.12955996496003661</v>
      </c>
      <c r="M27" s="17">
        <f t="shared" si="1"/>
        <v>0.13831913280483482</v>
      </c>
      <c r="N27" s="17">
        <f t="shared" si="1"/>
        <v>0.14723081298863591</v>
      </c>
      <c r="O27" s="17">
        <f t="shared" si="1"/>
        <v>0.15627839467889357</v>
      </c>
    </row>
    <row r="28" spans="1:15" x14ac:dyDescent="0.25">
      <c r="A28" s="21">
        <v>24</v>
      </c>
      <c r="B28" s="25">
        <f t="shared" si="1"/>
        <v>5.2871097253249906E-2</v>
      </c>
      <c r="C28" s="25">
        <f t="shared" si="1"/>
        <v>5.9047415948969902E-2</v>
      </c>
      <c r="D28" s="25">
        <f t="shared" si="1"/>
        <v>6.5586831339868978E-2</v>
      </c>
      <c r="E28" s="25">
        <f t="shared" si="1"/>
        <v>7.2470900752687001E-2</v>
      </c>
      <c r="F28" s="25">
        <f t="shared" si="1"/>
        <v>7.9679004983543369E-2</v>
      </c>
      <c r="G28" s="25">
        <f t="shared" si="1"/>
        <v>8.7189020734440473E-2</v>
      </c>
      <c r="H28" s="25">
        <f t="shared" si="1"/>
        <v>9.4977961603549391E-2</v>
      </c>
      <c r="I28" s="25">
        <f t="shared" si="1"/>
        <v>0.10302256067901301</v>
      </c>
      <c r="J28" s="25">
        <f t="shared" si="1"/>
        <v>0.11129977635068779</v>
      </c>
      <c r="K28" s="25">
        <f t="shared" si="1"/>
        <v>0.11978721127558456</v>
      </c>
      <c r="L28" s="25">
        <f t="shared" si="1"/>
        <v>0.12846344174421481</v>
      </c>
      <c r="M28" s="25">
        <f t="shared" si="1"/>
        <v>0.13730826054406761</v>
      </c>
      <c r="N28" s="25">
        <f t="shared" si="1"/>
        <v>0.14630284063744681</v>
      </c>
      <c r="O28" s="25">
        <f t="shared" si="1"/>
        <v>0.15542982962216215</v>
      </c>
    </row>
    <row r="29" spans="1:15" x14ac:dyDescent="0.25">
      <c r="A29" s="22">
        <v>25</v>
      </c>
      <c r="B29" s="17">
        <f t="shared" si="1"/>
        <v>5.122043841739473E-2</v>
      </c>
      <c r="C29" s="17">
        <f t="shared" si="1"/>
        <v>5.7427871039127817E-2</v>
      </c>
      <c r="D29" s="17">
        <f t="shared" si="1"/>
        <v>6.4011962786454574E-2</v>
      </c>
      <c r="E29" s="17">
        <f t="shared" si="1"/>
        <v>7.0952457299229624E-2</v>
      </c>
      <c r="F29" s="17">
        <f t="shared" si="1"/>
        <v>7.8226718212273949E-2</v>
      </c>
      <c r="G29" s="17">
        <f t="shared" si="1"/>
        <v>8.5810517220665614E-2</v>
      </c>
      <c r="H29" s="17">
        <f t="shared" si="1"/>
        <v>9.3678779051968114E-2</v>
      </c>
      <c r="I29" s="17">
        <f t="shared" si="1"/>
        <v>0.10180625051857181</v>
      </c>
      <c r="J29" s="17">
        <f t="shared" si="1"/>
        <v>0.11016807219002084</v>
      </c>
      <c r="K29" s="17">
        <f t="shared" si="1"/>
        <v>0.11874024205405564</v>
      </c>
      <c r="L29" s="17">
        <f t="shared" si="1"/>
        <v>0.12749996980950773</v>
      </c>
      <c r="M29" s="17">
        <f t="shared" si="1"/>
        <v>0.13642592760257582</v>
      </c>
      <c r="N29" s="17">
        <f t="shared" si="1"/>
        <v>0.14549840793724444</v>
      </c>
      <c r="O29" s="17">
        <f t="shared" si="1"/>
        <v>0.15469940232020646</v>
      </c>
    </row>
    <row r="30" spans="1:15" x14ac:dyDescent="0.25">
      <c r="A30" s="21">
        <v>26</v>
      </c>
      <c r="B30" s="25">
        <f t="shared" si="1"/>
        <v>4.9699230795395191E-2</v>
      </c>
      <c r="C30" s="25">
        <f t="shared" si="1"/>
        <v>5.5938290251584366E-2</v>
      </c>
      <c r="D30" s="25">
        <f t="shared" si="1"/>
        <v>6.2567380467764278E-2</v>
      </c>
      <c r="E30" s="25">
        <f t="shared" si="1"/>
        <v>6.9564320672150431E-2</v>
      </c>
      <c r="F30" s="25">
        <f t="shared" si="1"/>
        <v>7.6904346650298452E-2</v>
      </c>
      <c r="G30" s="25">
        <f t="shared" si="1"/>
        <v>8.4561027886463649E-2</v>
      </c>
      <c r="H30" s="25">
        <f t="shared" si="1"/>
        <v>9.2507126693840827E-2</v>
      </c>
      <c r="I30" s="25">
        <f t="shared" si="1"/>
        <v>0.10071535990380806</v>
      </c>
      <c r="J30" s="25">
        <f t="shared" si="1"/>
        <v>0.1091590385678831</v>
      </c>
      <c r="K30" s="25">
        <f t="shared" si="1"/>
        <v>0.1178125750066952</v>
      </c>
      <c r="L30" s="25">
        <f t="shared" si="1"/>
        <v>0.12665185810228879</v>
      </c>
      <c r="M30" s="25">
        <f t="shared" si="1"/>
        <v>0.13565450633120635</v>
      </c>
      <c r="N30" s="25">
        <f t="shared" si="1"/>
        <v>0.14480001360032066</v>
      </c>
      <c r="O30" s="25">
        <f t="shared" si="1"/>
        <v>0.15406980579600515</v>
      </c>
    </row>
    <row r="31" spans="1:15" x14ac:dyDescent="0.25">
      <c r="A31" s="22">
        <v>27</v>
      </c>
      <c r="B31" s="17">
        <f t="shared" si="1"/>
        <v>4.8293086175638163E-2</v>
      </c>
      <c r="C31" s="17">
        <f t="shared" si="1"/>
        <v>5.4564210324643488E-2</v>
      </c>
      <c r="D31" s="17">
        <f t="shared" si="1"/>
        <v>6.1238540616435688E-2</v>
      </c>
      <c r="E31" s="17">
        <f t="shared" si="1"/>
        <v>6.8291859866693713E-2</v>
      </c>
      <c r="F31" s="17">
        <f t="shared" si="1"/>
        <v>7.5697166329469531E-2</v>
      </c>
      <c r="G31" s="17">
        <f t="shared" si="1"/>
        <v>8.3425734017789133E-2</v>
      </c>
      <c r="H31" s="17">
        <f t="shared" si="1"/>
        <v>9.1448096207564403E-2</v>
      </c>
      <c r="I31" s="17">
        <f t="shared" si="1"/>
        <v>9.9734905402559734E-2</v>
      </c>
      <c r="J31" s="17">
        <f t="shared" si="1"/>
        <v>0.108257642276178</v>
      </c>
      <c r="K31" s="17">
        <f t="shared" si="1"/>
        <v>0.1169891636410052</v>
      </c>
      <c r="L31" s="17">
        <f t="shared" si="1"/>
        <v>0.12590409366873373</v>
      </c>
      <c r="M31" s="17">
        <f t="shared" si="1"/>
        <v>0.13497907268423875</v>
      </c>
      <c r="N31" s="17">
        <f t="shared" si="1"/>
        <v>0.14419288394767305</v>
      </c>
      <c r="O31" s="17">
        <f t="shared" si="1"/>
        <v>0.15352648147934003</v>
      </c>
    </row>
    <row r="32" spans="1:15" x14ac:dyDescent="0.25">
      <c r="A32" s="21">
        <v>28</v>
      </c>
      <c r="B32" s="25">
        <f t="shared" si="1"/>
        <v>4.6989671637400962E-2</v>
      </c>
      <c r="C32" s="25">
        <f t="shared" si="1"/>
        <v>5.329323343628501E-2</v>
      </c>
      <c r="D32" s="25">
        <f t="shared" si="1"/>
        <v>6.0012975220537092E-2</v>
      </c>
      <c r="E32" s="25">
        <f t="shared" si="1"/>
        <v>6.7122530418771753E-2</v>
      </c>
      <c r="F32" s="25">
        <f t="shared" si="1"/>
        <v>7.4592551529192863E-2</v>
      </c>
      <c r="G32" s="25">
        <f t="shared" si="1"/>
        <v>8.2391928303198941E-2</v>
      </c>
      <c r="H32" s="25">
        <f t="shared" si="1"/>
        <v>9.048890574580952E-2</v>
      </c>
      <c r="I32" s="25">
        <f t="shared" si="1"/>
        <v>9.8852047302250778E-2</v>
      </c>
      <c r="J32" s="25">
        <f t="shared" si="1"/>
        <v>0.10745101315901434</v>
      </c>
      <c r="K32" s="25">
        <f t="shared" si="1"/>
        <v>0.11625714543033068</v>
      </c>
      <c r="L32" s="25">
        <f t="shared" si="1"/>
        <v>0.12524386908435101</v>
      </c>
      <c r="M32" s="25">
        <f t="shared" si="1"/>
        <v>0.13438692906686217</v>
      </c>
      <c r="N32" s="25">
        <f t="shared" si="1"/>
        <v>0.14366449049500013</v>
      </c>
      <c r="O32" s="25">
        <f t="shared" si="1"/>
        <v>0.1530571309250027</v>
      </c>
    </row>
    <row r="33" spans="1:15" x14ac:dyDescent="0.25">
      <c r="A33" s="22">
        <v>29</v>
      </c>
      <c r="B33" s="17">
        <f t="shared" si="1"/>
        <v>4.5778355191595607E-2</v>
      </c>
      <c r="C33" s="17">
        <f t="shared" si="1"/>
        <v>5.2114671106632586E-2</v>
      </c>
      <c r="D33" s="17">
        <f t="shared" si="1"/>
        <v>5.8879934197384111E-2</v>
      </c>
      <c r="E33" s="17">
        <f t="shared" si="1"/>
        <v>6.6045514859528212E-2</v>
      </c>
      <c r="F33" s="17">
        <f t="shared" si="1"/>
        <v>7.3579613508791789E-2</v>
      </c>
      <c r="G33" s="17">
        <f t="shared" si="1"/>
        <v>8.144865180455016E-2</v>
      </c>
      <c r="H33" s="17">
        <f t="shared" si="1"/>
        <v>8.9618535035563648E-2</v>
      </c>
      <c r="I33" s="17">
        <f t="shared" si="1"/>
        <v>9.8055722627976252E-2</v>
      </c>
      <c r="J33" s="17">
        <f t="shared" si="1"/>
        <v>0.10672807471434809</v>
      </c>
      <c r="K33" s="17">
        <f t="shared" si="1"/>
        <v>0.11560546954252057</v>
      </c>
      <c r="L33" s="17">
        <f t="shared" si="1"/>
        <v>0.12466020675910736</v>
      </c>
      <c r="M33" s="17">
        <f t="shared" si="1"/>
        <v>0.13386722462543782</v>
      </c>
      <c r="N33" s="17">
        <f t="shared" si="1"/>
        <v>0.1432041656669904</v>
      </c>
      <c r="O33" s="17">
        <f t="shared" si="1"/>
        <v>0.15265132649806362</v>
      </c>
    </row>
    <row r="34" spans="1:15" x14ac:dyDescent="0.25">
      <c r="A34" s="21">
        <v>30</v>
      </c>
      <c r="B34" s="25">
        <f t="shared" si="1"/>
        <v>4.464992229340297E-2</v>
      </c>
      <c r="C34" s="25">
        <f t="shared" si="1"/>
        <v>5.10192593202526E-2</v>
      </c>
      <c r="D34" s="25">
        <f t="shared" si="1"/>
        <v>5.78300991336613E-2</v>
      </c>
      <c r="E34" s="25">
        <f t="shared" si="1"/>
        <v>6.5051435080276582E-2</v>
      </c>
      <c r="F34" s="25">
        <f t="shared" si="1"/>
        <v>7.2648911490047194E-2</v>
      </c>
      <c r="G34" s="25">
        <f t="shared" si="1"/>
        <v>8.0586403511111196E-2</v>
      </c>
      <c r="H34" s="25">
        <f t="shared" si="1"/>
        <v>8.8827433387272267E-2</v>
      </c>
      <c r="I34" s="25">
        <f t="shared" si="1"/>
        <v>9.7336351390889794E-2</v>
      </c>
      <c r="J34" s="25">
        <f t="shared" si="1"/>
        <v>0.1060792482526339</v>
      </c>
      <c r="K34" s="25">
        <f t="shared" si="1"/>
        <v>0.11502459847639437</v>
      </c>
      <c r="L34" s="25">
        <f t="shared" si="1"/>
        <v>0.12414365755194319</v>
      </c>
      <c r="M34" s="25">
        <f t="shared" si="1"/>
        <v>0.13341065033140484</v>
      </c>
      <c r="N34" s="25">
        <f t="shared" si="1"/>
        <v>0.1428027939043775</v>
      </c>
      <c r="O34" s="25">
        <f t="shared" si="1"/>
        <v>0.1523001981927343</v>
      </c>
    </row>
    <row r="35" spans="1:15" x14ac:dyDescent="0.25">
      <c r="A35" s="22">
        <v>31</v>
      </c>
      <c r="B35" s="17">
        <f t="shared" si="1"/>
        <v>4.3596347223467023E-2</v>
      </c>
      <c r="C35" s="17">
        <f t="shared" si="1"/>
        <v>4.9998928786373346E-2</v>
      </c>
      <c r="D35" s="17">
        <f t="shared" si="1"/>
        <v>5.685535243160858E-2</v>
      </c>
      <c r="E35" s="17">
        <f t="shared" si="1"/>
        <v>6.4132120369512574E-2</v>
      </c>
      <c r="F35" s="17">
        <f t="shared" si="1"/>
        <v>7.1792219573948227E-2</v>
      </c>
      <c r="G35" s="17">
        <f t="shared" si="1"/>
        <v>7.9796906084245708E-2</v>
      </c>
      <c r="H35" s="17">
        <f t="shared" si="1"/>
        <v>8.8107284144936265E-2</v>
      </c>
      <c r="I35" s="17">
        <f t="shared" si="1"/>
        <v>9.6685599526153368E-2</v>
      </c>
      <c r="J35" s="17">
        <f t="shared" si="1"/>
        <v>0.1054962140029639</v>
      </c>
      <c r="K35" s="17">
        <f t="shared" si="1"/>
        <v>0.11450626693192253</v>
      </c>
      <c r="L35" s="17">
        <f t="shared" si="1"/>
        <v>0.12368605695909619</v>
      </c>
      <c r="M35" s="17">
        <f t="shared" si="1"/>
        <v>0.13300919206150708</v>
      </c>
      <c r="N35" s="17">
        <f t="shared" si="1"/>
        <v>0.14245256129870121</v>
      </c>
      <c r="O35" s="17">
        <f t="shared" si="1"/>
        <v>0.15199617963820705</v>
      </c>
    </row>
    <row r="36" spans="1:15" x14ac:dyDescent="0.25">
      <c r="A36" s="21">
        <v>32</v>
      </c>
      <c r="B36" s="25">
        <f t="shared" si="1"/>
        <v>4.2610607335150333E-2</v>
      </c>
      <c r="C36" s="25">
        <f t="shared" si="1"/>
        <v>4.9046618275590849E-2</v>
      </c>
      <c r="D36" s="25">
        <f t="shared" si="1"/>
        <v>5.5948589741091667E-2</v>
      </c>
      <c r="E36" s="25">
        <f t="shared" si="1"/>
        <v>6.3280418943284317E-2</v>
      </c>
      <c r="F36" s="25">
        <f t="shared" si="1"/>
        <v>7.1002337354749409E-2</v>
      </c>
      <c r="G36" s="25">
        <f t="shared" si="1"/>
        <v>7.9072915498316271E-2</v>
      </c>
      <c r="H36" s="25">
        <f t="shared" si="1"/>
        <v>8.7450813226847557E-2</v>
      </c>
      <c r="I36" s="25">
        <f t="shared" si="1"/>
        <v>9.6096186116642751E-2</v>
      </c>
      <c r="J36" s="25">
        <f t="shared" si="1"/>
        <v>0.10497171671268081</v>
      </c>
      <c r="K36" s="25">
        <f t="shared" si="1"/>
        <v>0.11404328541312525</v>
      </c>
      <c r="L36" s="25">
        <f t="shared" si="1"/>
        <v>0.12328032632982147</v>
      </c>
      <c r="M36" s="25">
        <f t="shared" si="1"/>
        <v>0.13265592908035623</v>
      </c>
      <c r="N36" s="25">
        <f t="shared" si="1"/>
        <v>0.14214675110528285</v>
      </c>
      <c r="O36" s="25">
        <f t="shared" si="1"/>
        <v>0.15173280057129529</v>
      </c>
    </row>
    <row r="37" spans="1:15" x14ac:dyDescent="0.25">
      <c r="A37" s="22">
        <v>33</v>
      </c>
      <c r="B37" s="17">
        <f t="shared" si="1"/>
        <v>4.1686531075049847E-2</v>
      </c>
      <c r="C37" s="17">
        <f t="shared" si="1"/>
        <v>4.8156121895611685E-2</v>
      </c>
      <c r="D37" s="17">
        <f t="shared" si="1"/>
        <v>5.5103566495601941E-2</v>
      </c>
      <c r="E37" s="17">
        <f t="shared" si="1"/>
        <v>6.2490043742630695E-2</v>
      </c>
      <c r="F37" s="17">
        <f t="shared" si="1"/>
        <v>7.0272934961023423E-2</v>
      </c>
      <c r="G37" s="17">
        <f t="shared" si="1"/>
        <v>7.8408065264177623E-2</v>
      </c>
      <c r="H37" s="17">
        <f t="shared" si="1"/>
        <v>8.6851632401412596E-2</v>
      </c>
      <c r="I37" s="17">
        <f t="shared" si="1"/>
        <v>9.5561725507175524E-2</v>
      </c>
      <c r="J37" s="17">
        <f t="shared" si="1"/>
        <v>0.10449940630830967</v>
      </c>
      <c r="K37" s="17">
        <f t="shared" si="1"/>
        <v>0.11362937909690454</v>
      </c>
      <c r="L37" s="17">
        <f t="shared" si="1"/>
        <v>0.12292030960832326</v>
      </c>
      <c r="M37" s="17">
        <f t="shared" si="1"/>
        <v>0.13234486838603554</v>
      </c>
      <c r="N37" s="17">
        <f t="shared" si="1"/>
        <v>0.14187957554771785</v>
      </c>
      <c r="O37" s="17">
        <f t="shared" si="1"/>
        <v>0.15150451612599358</v>
      </c>
    </row>
    <row r="38" spans="1:15" x14ac:dyDescent="0.25">
      <c r="A38" s="21">
        <v>34</v>
      </c>
      <c r="B38" s="25">
        <f t="shared" si="1"/>
        <v>4.0818672823453653E-2</v>
      </c>
      <c r="C38" s="25">
        <f t="shared" si="1"/>
        <v>4.7321963318571261E-2</v>
      </c>
      <c r="D38" s="25">
        <f t="shared" ref="C38:O44" si="2">+(D$4%*(1+D$4%)^$A38)/((1+D$4%)^$A38-1)</f>
        <v>5.4314771530691149E-2</v>
      </c>
      <c r="E38" s="25">
        <f t="shared" si="2"/>
        <v>6.1755445442702131E-2</v>
      </c>
      <c r="F38" s="25">
        <f t="shared" si="2"/>
        <v>6.9598425434721042E-2</v>
      </c>
      <c r="G38" s="25">
        <f t="shared" si="2"/>
        <v>7.7796738113339231E-2</v>
      </c>
      <c r="H38" s="25">
        <f t="shared" si="2"/>
        <v>8.6304110144522522E-2</v>
      </c>
      <c r="I38" s="25">
        <f t="shared" si="2"/>
        <v>9.5076597126100587E-2</v>
      </c>
      <c r="J38" s="25">
        <f t="shared" si="2"/>
        <v>0.10407370640727508</v>
      </c>
      <c r="K38" s="25">
        <f t="shared" si="2"/>
        <v>0.1132590547313396</v>
      </c>
      <c r="L38" s="25">
        <f t="shared" si="2"/>
        <v>0.1226006383385673</v>
      </c>
      <c r="M38" s="25">
        <f t="shared" si="2"/>
        <v>0.13207080762363305</v>
      </c>
      <c r="N38" s="25">
        <f t="shared" si="2"/>
        <v>0.14164603657685729</v>
      </c>
      <c r="O38" s="25">
        <f t="shared" si="2"/>
        <v>0.1513065655452705</v>
      </c>
    </row>
    <row r="39" spans="1:15" x14ac:dyDescent="0.25">
      <c r="A39" s="22">
        <v>35</v>
      </c>
      <c r="B39" s="17">
        <f t="shared" ref="B39:B44" si="3">+(B$4%*(1+B$4%)^$A39)/((1+B$4%)^$A39-1)</f>
        <v>4.0002209190750142E-2</v>
      </c>
      <c r="C39" s="17">
        <f t="shared" si="2"/>
        <v>4.6539291569599503E-2</v>
      </c>
      <c r="D39" s="17">
        <f t="shared" si="2"/>
        <v>5.3577322368260537E-2</v>
      </c>
      <c r="E39" s="17">
        <f t="shared" si="2"/>
        <v>6.1071707230849821E-2</v>
      </c>
      <c r="F39" s="17">
        <f t="shared" si="2"/>
        <v>6.8973858979663238E-2</v>
      </c>
      <c r="G39" s="17">
        <f t="shared" si="2"/>
        <v>7.7233959649003259E-2</v>
      </c>
      <c r="H39" s="17">
        <f t="shared" si="2"/>
        <v>8.5803264560679798E-2</v>
      </c>
      <c r="I39" s="17">
        <f t="shared" si="2"/>
        <v>9.4635837474221912E-2</v>
      </c>
      <c r="J39" s="17">
        <f t="shared" si="2"/>
        <v>0.10368970511989745</v>
      </c>
      <c r="K39" s="17">
        <f t="shared" si="2"/>
        <v>0.11292748998311637</v>
      </c>
      <c r="L39" s="17">
        <f t="shared" si="2"/>
        <v>0.12231661932993036</v>
      </c>
      <c r="M39" s="17">
        <f t="shared" si="2"/>
        <v>0.13182922093714255</v>
      </c>
      <c r="N39" s="17">
        <f t="shared" si="2"/>
        <v>0.14144180991666458</v>
      </c>
      <c r="O39" s="17">
        <f t="shared" si="2"/>
        <v>0.15113485459422502</v>
      </c>
    </row>
    <row r="40" spans="1:15" x14ac:dyDescent="0.25">
      <c r="A40" s="21">
        <v>36</v>
      </c>
      <c r="B40" s="25">
        <f t="shared" si="3"/>
        <v>3.9232852597798164E-2</v>
      </c>
      <c r="C40" s="25">
        <f t="shared" si="2"/>
        <v>4.5803794184157087E-2</v>
      </c>
      <c r="D40" s="25">
        <f t="shared" si="2"/>
        <v>5.2886877953808885E-2</v>
      </c>
      <c r="E40" s="25">
        <f t="shared" si="2"/>
        <v>6.0434457120475293E-2</v>
      </c>
      <c r="F40" s="25">
        <f t="shared" si="2"/>
        <v>6.8394834826203149E-2</v>
      </c>
      <c r="G40" s="25">
        <f t="shared" si="2"/>
        <v>7.6715309691276642E-2</v>
      </c>
      <c r="H40" s="25">
        <f t="shared" si="2"/>
        <v>8.5344674076871407E-2</v>
      </c>
      <c r="I40" s="25">
        <f t="shared" si="2"/>
        <v>9.4235049973257504E-2</v>
      </c>
      <c r="J40" s="25">
        <f t="shared" si="2"/>
        <v>0.10334306381837333</v>
      </c>
      <c r="K40" s="25">
        <f t="shared" si="2"/>
        <v>0.11263044089526514</v>
      </c>
      <c r="L40" s="25">
        <f t="shared" si="2"/>
        <v>0.1220641406266562</v>
      </c>
      <c r="M40" s="25">
        <f t="shared" si="2"/>
        <v>0.13161616337810045</v>
      </c>
      <c r="N40" s="25">
        <f t="shared" si="2"/>
        <v>0.14126314798015838</v>
      </c>
      <c r="O40" s="25">
        <f t="shared" si="2"/>
        <v>0.15098585720838509</v>
      </c>
    </row>
    <row r="41" spans="1:15" x14ac:dyDescent="0.25">
      <c r="A41" s="22">
        <v>37</v>
      </c>
      <c r="B41" s="17">
        <f t="shared" si="3"/>
        <v>3.8506778870318885E-2</v>
      </c>
      <c r="C41" s="17">
        <f t="shared" si="2"/>
        <v>4.511162444814594E-2</v>
      </c>
      <c r="D41" s="17">
        <f t="shared" si="2"/>
        <v>5.2239565544641771E-2</v>
      </c>
      <c r="E41" s="17">
        <f t="shared" si="2"/>
        <v>5.9839794482734208E-2</v>
      </c>
      <c r="F41" s="17">
        <f t="shared" si="2"/>
        <v>6.7857427378492263E-2</v>
      </c>
      <c r="G41" s="17">
        <f t="shared" si="2"/>
        <v>7.6236847967920227E-2</v>
      </c>
      <c r="H41" s="17">
        <f t="shared" si="2"/>
        <v>8.4924402546515704E-2</v>
      </c>
      <c r="I41" s="17">
        <f t="shared" si="2"/>
        <v>9.3870329298408967E-2</v>
      </c>
      <c r="J41" s="17">
        <f t="shared" si="2"/>
        <v>0.10302994048542244</v>
      </c>
      <c r="K41" s="17">
        <f t="shared" si="2"/>
        <v>0.11236416405536108</v>
      </c>
      <c r="L41" s="17">
        <f t="shared" si="2"/>
        <v>0.12183959236546266</v>
      </c>
      <c r="M41" s="17">
        <f t="shared" si="2"/>
        <v>0.13142819043276641</v>
      </c>
      <c r="N41" s="17">
        <f t="shared" si="2"/>
        <v>0.14110679818444496</v>
      </c>
      <c r="O41" s="17">
        <f t="shared" si="2"/>
        <v>0.15085653286025269</v>
      </c>
    </row>
    <row r="42" spans="1:15" x14ac:dyDescent="0.25">
      <c r="A42" s="21">
        <v>38</v>
      </c>
      <c r="B42" s="25">
        <f t="shared" si="3"/>
        <v>3.7820566265778684E-2</v>
      </c>
      <c r="C42" s="25">
        <f t="shared" si="2"/>
        <v>4.4459340126587317E-2</v>
      </c>
      <c r="D42" s="25">
        <f t="shared" si="2"/>
        <v>5.1631919142202699E-2</v>
      </c>
      <c r="E42" s="25">
        <f t="shared" si="2"/>
        <v>5.9284228176709121E-2</v>
      </c>
      <c r="F42" s="25">
        <f t="shared" si="2"/>
        <v>6.7358124012661169E-2</v>
      </c>
      <c r="G42" s="25">
        <f t="shared" si="2"/>
        <v>7.579505150719959E-2</v>
      </c>
      <c r="H42" s="25">
        <f t="shared" si="2"/>
        <v>8.4538936109241555E-2</v>
      </c>
      <c r="I42" s="25">
        <f t="shared" si="2"/>
        <v>9.3538197531046793E-2</v>
      </c>
      <c r="J42" s="25">
        <f t="shared" si="2"/>
        <v>0.10274692496931589</v>
      </c>
      <c r="K42" s="25">
        <f t="shared" si="2"/>
        <v>0.11212535079046597</v>
      </c>
      <c r="L42" s="25">
        <f t="shared" si="2"/>
        <v>0.12163979982341662</v>
      </c>
      <c r="M42" s="25">
        <f t="shared" si="2"/>
        <v>0.1312622899489716</v>
      </c>
      <c r="N42" s="25">
        <f t="shared" si="2"/>
        <v>0.14096993391521803</v>
      </c>
      <c r="O42" s="25">
        <f t="shared" si="2"/>
        <v>0.15074425685200216</v>
      </c>
    </row>
    <row r="43" spans="1:15" x14ac:dyDescent="0.25">
      <c r="A43" s="22">
        <v>39</v>
      </c>
      <c r="B43" s="17">
        <f t="shared" si="3"/>
        <v>3.717114388077656E-2</v>
      </c>
      <c r="C43" s="17">
        <f t="shared" si="2"/>
        <v>4.3843851618804865E-2</v>
      </c>
      <c r="D43" s="17">
        <f t="shared" si="2"/>
        <v>5.1060827396424646E-2</v>
      </c>
      <c r="E43" s="17">
        <f t="shared" si="2"/>
        <v>5.8764624195990892E-2</v>
      </c>
      <c r="F43" s="17">
        <f t="shared" si="2"/>
        <v>6.6893772434128113E-2</v>
      </c>
      <c r="G43" s="17">
        <f t="shared" si="2"/>
        <v>7.538676163185605E-2</v>
      </c>
      <c r="H43" s="17">
        <f t="shared" si="2"/>
        <v>8.4185129697164102E-2</v>
      </c>
      <c r="I43" s="17">
        <f t="shared" si="2"/>
        <v>9.3235550014654459E-2</v>
      </c>
      <c r="J43" s="17">
        <f t="shared" si="2"/>
        <v>0.10249098402100948</v>
      </c>
      <c r="K43" s="17">
        <f t="shared" si="2"/>
        <v>0.11191107125555166</v>
      </c>
      <c r="L43" s="17">
        <f t="shared" si="2"/>
        <v>0.12146196650981428</v>
      </c>
      <c r="M43" s="17">
        <f t="shared" si="2"/>
        <v>0.13111582429661697</v>
      </c>
      <c r="N43" s="17">
        <f t="shared" si="2"/>
        <v>0.14085009594590256</v>
      </c>
      <c r="O43" s="17">
        <f t="shared" si="2"/>
        <v>0.15064676130041105</v>
      </c>
    </row>
    <row r="44" spans="1:15" x14ac:dyDescent="0.25">
      <c r="A44" s="21">
        <v>40</v>
      </c>
      <c r="B44" s="25">
        <f t="shared" si="3"/>
        <v>3.65557477973475E-2</v>
      </c>
      <c r="C44" s="25">
        <f t="shared" si="2"/>
        <v>4.3262377890462896E-2</v>
      </c>
      <c r="D44" s="25">
        <f t="shared" si="2"/>
        <v>5.0523489324422195E-2</v>
      </c>
      <c r="E44" s="25">
        <f t="shared" si="2"/>
        <v>5.8278161166035E-2</v>
      </c>
      <c r="F44" s="25">
        <f t="shared" si="2"/>
        <v>6.6461535920675496E-2</v>
      </c>
      <c r="G44" s="25">
        <f t="shared" si="2"/>
        <v>7.5009138873610326E-2</v>
      </c>
      <c r="H44" s="25">
        <f t="shared" si="2"/>
        <v>8.3860161500585326E-2</v>
      </c>
      <c r="I44" s="25">
        <f t="shared" si="2"/>
        <v>9.2959609221097042E-2</v>
      </c>
      <c r="J44" s="25">
        <f t="shared" si="2"/>
        <v>0.10225941441436948</v>
      </c>
      <c r="K44" s="25">
        <f t="shared" si="2"/>
        <v>0.11171872670841716</v>
      </c>
      <c r="L44" s="25">
        <f t="shared" si="2"/>
        <v>0.12130362558292027</v>
      </c>
      <c r="M44" s="25">
        <f t="shared" si="2"/>
        <v>0.13098648102400198</v>
      </c>
      <c r="N44" s="25">
        <f t="shared" si="2"/>
        <v>0.1407451425467057</v>
      </c>
      <c r="O44" s="25">
        <f t="shared" si="2"/>
        <v>0.15056208501354501</v>
      </c>
    </row>
  </sheetData>
  <sheetProtection sheet="1" objects="1" scenarios="1"/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Calculator</vt:lpstr>
      <vt:lpstr>One-time, PV-FV </vt:lpstr>
      <vt:lpstr>One-time, FV-PV</vt:lpstr>
      <vt:lpstr>Annuity, A-FV</vt:lpstr>
      <vt:lpstr>Annuity, A-PV</vt:lpstr>
      <vt:lpstr>Annuity, FV-A</vt:lpstr>
      <vt:lpstr>Annuity, PV-A</vt:lpstr>
      <vt:lpstr>'Annuity, A-FV'!Print_Area</vt:lpstr>
      <vt:lpstr>'Annuity, A-PV'!Print_Area</vt:lpstr>
      <vt:lpstr>'Annuity, FV-A'!Print_Area</vt:lpstr>
      <vt:lpstr>'Annuity, PV-A'!Print_Area</vt:lpstr>
      <vt:lpstr>'One-time, FV-PV'!Print_Area</vt:lpstr>
      <vt:lpstr>'One-time, PV-FV '!Print_Area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mark.xu</dc:creator>
  <cp:lastModifiedBy>Xu, Mark - NRCS, Beltsville, MD</cp:lastModifiedBy>
  <cp:lastPrinted>2011-02-14T18:49:50Z</cp:lastPrinted>
  <dcterms:created xsi:type="dcterms:W3CDTF">2011-01-06T20:29:11Z</dcterms:created>
  <dcterms:modified xsi:type="dcterms:W3CDTF">2012-10-16T13:58:50Z</dcterms:modified>
</cp:coreProperties>
</file>