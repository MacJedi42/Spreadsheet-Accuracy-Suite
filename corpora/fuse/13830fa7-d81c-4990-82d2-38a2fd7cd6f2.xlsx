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3955" windowHeight="90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Sheet1!$1:$5</definedName>
  </definedNames>
  <calcPr calcId="145621"/>
</workbook>
</file>

<file path=xl/calcChain.xml><?xml version="1.0" encoding="utf-8"?>
<calcChain xmlns="http://schemas.openxmlformats.org/spreadsheetml/2006/main">
  <c r="D293" i="1" l="1"/>
  <c r="F6" i="1"/>
  <c r="I293" i="1" l="1"/>
  <c r="F293" i="1"/>
  <c r="G293" i="1"/>
  <c r="E293" i="1"/>
  <c r="H293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</calcChain>
</file>

<file path=xl/sharedStrings.xml><?xml version="1.0" encoding="utf-8"?>
<sst xmlns="http://schemas.openxmlformats.org/spreadsheetml/2006/main" count="876" uniqueCount="689">
  <si>
    <t>USD#</t>
  </si>
  <si>
    <t>USD Name</t>
  </si>
  <si>
    <t>County Name</t>
  </si>
  <si>
    <t>LOB/BI Valuation</t>
  </si>
  <si>
    <t>D0101</t>
  </si>
  <si>
    <t xml:space="preserve">Erie-Galesburg </t>
  </si>
  <si>
    <t>Neosho</t>
  </si>
  <si>
    <t>D0102</t>
  </si>
  <si>
    <t xml:space="preserve">Cimarron-Ensign </t>
  </si>
  <si>
    <t>Gray</t>
  </si>
  <si>
    <t>D0103</t>
  </si>
  <si>
    <t xml:space="preserve">Cheylin </t>
  </si>
  <si>
    <t>Cheyenne</t>
  </si>
  <si>
    <t>D0105</t>
  </si>
  <si>
    <t xml:space="preserve">Rawlins County </t>
  </si>
  <si>
    <t>Rawlins</t>
  </si>
  <si>
    <t>D0106</t>
  </si>
  <si>
    <t xml:space="preserve">Western Plains </t>
  </si>
  <si>
    <t>Ness</t>
  </si>
  <si>
    <t>D0107</t>
  </si>
  <si>
    <t xml:space="preserve">Rock Hills </t>
  </si>
  <si>
    <t>Jewell</t>
  </si>
  <si>
    <t>D0108</t>
  </si>
  <si>
    <t xml:space="preserve">Washington Co. Schools </t>
  </si>
  <si>
    <t>Washington</t>
  </si>
  <si>
    <t>D0109</t>
  </si>
  <si>
    <t xml:space="preserve">Republic County </t>
  </si>
  <si>
    <t>Republic</t>
  </si>
  <si>
    <t>D0110</t>
  </si>
  <si>
    <t xml:space="preserve">Thunder Ridge Schools </t>
  </si>
  <si>
    <t>Phillips</t>
  </si>
  <si>
    <t>D0111</t>
  </si>
  <si>
    <t xml:space="preserve">Doniphan West Schools </t>
  </si>
  <si>
    <t>Doniphan</t>
  </si>
  <si>
    <t>D0112</t>
  </si>
  <si>
    <t xml:space="preserve">Central Plains </t>
  </si>
  <si>
    <t>Ellsworth</t>
  </si>
  <si>
    <t>D0113</t>
  </si>
  <si>
    <t xml:space="preserve">Prairie Hills </t>
  </si>
  <si>
    <t>Nemaha</t>
  </si>
  <si>
    <t>D0114</t>
  </si>
  <si>
    <t xml:space="preserve">Riverside </t>
  </si>
  <si>
    <t>D0115</t>
  </si>
  <si>
    <t xml:space="preserve">Nemaha Central </t>
  </si>
  <si>
    <t>D0200</t>
  </si>
  <si>
    <t xml:space="preserve">Greeley County Schools </t>
  </si>
  <si>
    <t>Greeley</t>
  </si>
  <si>
    <t>D0202</t>
  </si>
  <si>
    <t xml:space="preserve">Turner-Kansas City </t>
  </si>
  <si>
    <t>Wyandotte</t>
  </si>
  <si>
    <t>D0203</t>
  </si>
  <si>
    <t xml:space="preserve">Piper-Kansas City </t>
  </si>
  <si>
    <t>D0204</t>
  </si>
  <si>
    <t xml:space="preserve">Bonner Springs </t>
  </si>
  <si>
    <t>D0205</t>
  </si>
  <si>
    <t xml:space="preserve">Bluestem </t>
  </si>
  <si>
    <t>Butler</t>
  </si>
  <si>
    <t>D0206</t>
  </si>
  <si>
    <t xml:space="preserve">Remington-Whitewater </t>
  </si>
  <si>
    <t>D0207</t>
  </si>
  <si>
    <t xml:space="preserve">Ft Leavenworth </t>
  </si>
  <si>
    <t>Leavenworth</t>
  </si>
  <si>
    <t>D0208</t>
  </si>
  <si>
    <t xml:space="preserve">Wakeeney </t>
  </si>
  <si>
    <t>Trego</t>
  </si>
  <si>
    <t>D0209</t>
  </si>
  <si>
    <t xml:space="preserve">Moscow Public Schools </t>
  </si>
  <si>
    <t>Stevens</t>
  </si>
  <si>
    <t>D0210</t>
  </si>
  <si>
    <t xml:space="preserve">Hugoton Public Schools </t>
  </si>
  <si>
    <t>D0211</t>
  </si>
  <si>
    <t xml:space="preserve">Norton Community Schools </t>
  </si>
  <si>
    <t>Norton</t>
  </si>
  <si>
    <t>D0212</t>
  </si>
  <si>
    <t xml:space="preserve">Northern Valley </t>
  </si>
  <si>
    <t>D0214</t>
  </si>
  <si>
    <t xml:space="preserve">Ulysses </t>
  </si>
  <si>
    <t>Grant</t>
  </si>
  <si>
    <t>D0215</t>
  </si>
  <si>
    <t xml:space="preserve">Lakin </t>
  </si>
  <si>
    <t>Kearny</t>
  </si>
  <si>
    <t>D0216</t>
  </si>
  <si>
    <t xml:space="preserve">Deerfield </t>
  </si>
  <si>
    <t>D0217</t>
  </si>
  <si>
    <t xml:space="preserve">Rolla </t>
  </si>
  <si>
    <t>Morton</t>
  </si>
  <si>
    <t>D0218</t>
  </si>
  <si>
    <t xml:space="preserve">Elkhart </t>
  </si>
  <si>
    <t>D0219</t>
  </si>
  <si>
    <t xml:space="preserve">Minneola </t>
  </si>
  <si>
    <t>Clark</t>
  </si>
  <si>
    <t>D0220</t>
  </si>
  <si>
    <t xml:space="preserve">Ashland </t>
  </si>
  <si>
    <t>D0223</t>
  </si>
  <si>
    <t xml:space="preserve">Barnes </t>
  </si>
  <si>
    <t>D0224</t>
  </si>
  <si>
    <t xml:space="preserve">Clifton-Clyde </t>
  </si>
  <si>
    <t>D0225</t>
  </si>
  <si>
    <t xml:space="preserve">Fowler </t>
  </si>
  <si>
    <t>Meade</t>
  </si>
  <si>
    <t>D0226</t>
  </si>
  <si>
    <t xml:space="preserve">Meade </t>
  </si>
  <si>
    <t>D0227</t>
  </si>
  <si>
    <t xml:space="preserve">Hodgeman County Schools </t>
  </si>
  <si>
    <t>Hodgeman</t>
  </si>
  <si>
    <t>D0229</t>
  </si>
  <si>
    <t xml:space="preserve">Blue Valley </t>
  </si>
  <si>
    <t>Johnson</t>
  </si>
  <si>
    <t>D0230</t>
  </si>
  <si>
    <t xml:space="preserve">Spring Hill </t>
  </si>
  <si>
    <t>D0231</t>
  </si>
  <si>
    <t xml:space="preserve">Gardner Edgerton </t>
  </si>
  <si>
    <t>D0232</t>
  </si>
  <si>
    <t xml:space="preserve">De Soto </t>
  </si>
  <si>
    <t>D0233</t>
  </si>
  <si>
    <t xml:space="preserve">Olathe </t>
  </si>
  <si>
    <t>D0234</t>
  </si>
  <si>
    <t xml:space="preserve">Fort Scott </t>
  </si>
  <si>
    <t>Bourbon</t>
  </si>
  <si>
    <t>D0235</t>
  </si>
  <si>
    <t xml:space="preserve">Uniontown </t>
  </si>
  <si>
    <t>D0237</t>
  </si>
  <si>
    <t xml:space="preserve">Smith Center </t>
  </si>
  <si>
    <t>Smith</t>
  </si>
  <si>
    <t>D0239</t>
  </si>
  <si>
    <t xml:space="preserve">North Ottawa County </t>
  </si>
  <si>
    <t>Ottawa</t>
  </si>
  <si>
    <t>D0240</t>
  </si>
  <si>
    <t xml:space="preserve">Twin Valley </t>
  </si>
  <si>
    <t>D0241</t>
  </si>
  <si>
    <t xml:space="preserve">Wallace County Schools </t>
  </si>
  <si>
    <t>Wallace</t>
  </si>
  <si>
    <t>D0242</t>
  </si>
  <si>
    <t xml:space="preserve">Weskan </t>
  </si>
  <si>
    <t>D0243</t>
  </si>
  <si>
    <t xml:space="preserve">Lebo-Waverly </t>
  </si>
  <si>
    <t>Coffey</t>
  </si>
  <si>
    <t>D0244</t>
  </si>
  <si>
    <t xml:space="preserve">Burlington </t>
  </si>
  <si>
    <t>D0245</t>
  </si>
  <si>
    <t xml:space="preserve">LeRoy-Gridley </t>
  </si>
  <si>
    <t>D0246</t>
  </si>
  <si>
    <t xml:space="preserve">Northeast </t>
  </si>
  <si>
    <t>Crawford</t>
  </si>
  <si>
    <t>D0247</t>
  </si>
  <si>
    <t xml:space="preserve">Cherokee </t>
  </si>
  <si>
    <t>D0248</t>
  </si>
  <si>
    <t xml:space="preserve">Girard </t>
  </si>
  <si>
    <t>D0249</t>
  </si>
  <si>
    <t xml:space="preserve">Frontenac Public Schools </t>
  </si>
  <si>
    <t>D0250</t>
  </si>
  <si>
    <t xml:space="preserve">Pittsburg </t>
  </si>
  <si>
    <t>D0251</t>
  </si>
  <si>
    <t xml:space="preserve">North Lyon County </t>
  </si>
  <si>
    <t>Lyon</t>
  </si>
  <si>
    <t>D0252</t>
  </si>
  <si>
    <t xml:space="preserve">Southern Lyon County </t>
  </si>
  <si>
    <t>D0253</t>
  </si>
  <si>
    <t xml:space="preserve">Emporia </t>
  </si>
  <si>
    <t>D0254</t>
  </si>
  <si>
    <t xml:space="preserve">Barber County North </t>
  </si>
  <si>
    <t>Barber</t>
  </si>
  <si>
    <t>D0255</t>
  </si>
  <si>
    <t xml:space="preserve">South Barber </t>
  </si>
  <si>
    <t>D0256</t>
  </si>
  <si>
    <t xml:space="preserve">Marmaton Valley </t>
  </si>
  <si>
    <t>Allen</t>
  </si>
  <si>
    <t>D0257</t>
  </si>
  <si>
    <t xml:space="preserve">Iola </t>
  </si>
  <si>
    <t>D0258</t>
  </si>
  <si>
    <t xml:space="preserve">Humboldt </t>
  </si>
  <si>
    <t>D0259</t>
  </si>
  <si>
    <t xml:space="preserve">Wichita </t>
  </si>
  <si>
    <t>Sedgwick</t>
  </si>
  <si>
    <t>D0260</t>
  </si>
  <si>
    <t xml:space="preserve">Derby </t>
  </si>
  <si>
    <t>D0261</t>
  </si>
  <si>
    <t xml:space="preserve">Haysville </t>
  </si>
  <si>
    <t>D0262</t>
  </si>
  <si>
    <t xml:space="preserve">Valley Center Pub Sch </t>
  </si>
  <si>
    <t>D0263</t>
  </si>
  <si>
    <t xml:space="preserve">Mulvane </t>
  </si>
  <si>
    <t>D0264</t>
  </si>
  <si>
    <t xml:space="preserve">Clearwater </t>
  </si>
  <si>
    <t>D0265</t>
  </si>
  <si>
    <t xml:space="preserve">Goddard </t>
  </si>
  <si>
    <t>D0266</t>
  </si>
  <si>
    <t xml:space="preserve">Maize </t>
  </si>
  <si>
    <t>D0267</t>
  </si>
  <si>
    <t xml:space="preserve">Renwick </t>
  </si>
  <si>
    <t>D0268</t>
  </si>
  <si>
    <t xml:space="preserve">Cheney </t>
  </si>
  <si>
    <t>D0269</t>
  </si>
  <si>
    <t xml:space="preserve">Palco </t>
  </si>
  <si>
    <t>Rooks</t>
  </si>
  <si>
    <t>D0270</t>
  </si>
  <si>
    <t xml:space="preserve">Plainville </t>
  </si>
  <si>
    <t>D0271</t>
  </si>
  <si>
    <t xml:space="preserve">Stockton </t>
  </si>
  <si>
    <t>D0272</t>
  </si>
  <si>
    <t xml:space="preserve">Waconda </t>
  </si>
  <si>
    <t>Mitchell</t>
  </si>
  <si>
    <t>D0273</t>
  </si>
  <si>
    <t xml:space="preserve">Beloit </t>
  </si>
  <si>
    <t>D0274</t>
  </si>
  <si>
    <t xml:space="preserve">Oakley </t>
  </si>
  <si>
    <t>Logan</t>
  </si>
  <si>
    <t>D0275</t>
  </si>
  <si>
    <t xml:space="preserve">Triplains </t>
  </si>
  <si>
    <t>D0281</t>
  </si>
  <si>
    <t xml:space="preserve">Graham County </t>
  </si>
  <si>
    <t>Graham</t>
  </si>
  <si>
    <t>D0282</t>
  </si>
  <si>
    <t xml:space="preserve">West Elk </t>
  </si>
  <si>
    <t>Elk</t>
  </si>
  <si>
    <t>D0283</t>
  </si>
  <si>
    <t xml:space="preserve">Elk Valley </t>
  </si>
  <si>
    <t>D0284</t>
  </si>
  <si>
    <t xml:space="preserve">Chase County </t>
  </si>
  <si>
    <t>Chase</t>
  </si>
  <si>
    <t>D0285</t>
  </si>
  <si>
    <t xml:space="preserve">Cedar Vale </t>
  </si>
  <si>
    <t>Chautauqua</t>
  </si>
  <si>
    <t>D0286</t>
  </si>
  <si>
    <t xml:space="preserve">Chautauqua Co Community </t>
  </si>
  <si>
    <t>D0287</t>
  </si>
  <si>
    <t xml:space="preserve">West Franklin </t>
  </si>
  <si>
    <t>Franklin</t>
  </si>
  <si>
    <t>D0288</t>
  </si>
  <si>
    <t xml:space="preserve">Central Heights </t>
  </si>
  <si>
    <t>D0289</t>
  </si>
  <si>
    <t xml:space="preserve">Wellsville </t>
  </si>
  <si>
    <t>D0290</t>
  </si>
  <si>
    <t xml:space="preserve">Ottawa </t>
  </si>
  <si>
    <t>D0291</t>
  </si>
  <si>
    <t xml:space="preserve">Grinnell Public Schools </t>
  </si>
  <si>
    <t>Gove</t>
  </si>
  <si>
    <t>D0292</t>
  </si>
  <si>
    <t xml:space="preserve">Wheatland </t>
  </si>
  <si>
    <t>D0293</t>
  </si>
  <si>
    <t xml:space="preserve">Quinter Public Schools </t>
  </si>
  <si>
    <t>D0294</t>
  </si>
  <si>
    <t xml:space="preserve">Oberlin </t>
  </si>
  <si>
    <t>Decatur</t>
  </si>
  <si>
    <t>D0297</t>
  </si>
  <si>
    <t xml:space="preserve">St Francis Comm Sch </t>
  </si>
  <si>
    <t>D0298</t>
  </si>
  <si>
    <t xml:space="preserve">Lincoln </t>
  </si>
  <si>
    <t>Lincoln</t>
  </si>
  <si>
    <t>D0299</t>
  </si>
  <si>
    <t xml:space="preserve">Sylvan Grove </t>
  </si>
  <si>
    <t>D0300</t>
  </si>
  <si>
    <t xml:space="preserve">Comanche County </t>
  </si>
  <si>
    <t>Comanche</t>
  </si>
  <si>
    <t>D0303</t>
  </si>
  <si>
    <t xml:space="preserve">Ness City </t>
  </si>
  <si>
    <t>D0305</t>
  </si>
  <si>
    <t xml:space="preserve">Salina </t>
  </si>
  <si>
    <t>Saline</t>
  </si>
  <si>
    <t>D0306</t>
  </si>
  <si>
    <t xml:space="preserve">Southeast Of Saline </t>
  </si>
  <si>
    <t>D0307</t>
  </si>
  <si>
    <t xml:space="preserve">Ell-Saline </t>
  </si>
  <si>
    <t>D0308</t>
  </si>
  <si>
    <t xml:space="preserve">Hutchinson Public Schools </t>
  </si>
  <si>
    <t>Reno</t>
  </si>
  <si>
    <t>D0309</t>
  </si>
  <si>
    <t xml:space="preserve">Nickerson </t>
  </si>
  <si>
    <t>D0310</t>
  </si>
  <si>
    <t xml:space="preserve">Fairfield </t>
  </si>
  <si>
    <t>D0311</t>
  </si>
  <si>
    <t xml:space="preserve">Pretty Prairie </t>
  </si>
  <si>
    <t>D0312</t>
  </si>
  <si>
    <t xml:space="preserve">Haven Public Schools </t>
  </si>
  <si>
    <t>D0313</t>
  </si>
  <si>
    <t xml:space="preserve">Buhler </t>
  </si>
  <si>
    <t>D0314</t>
  </si>
  <si>
    <t xml:space="preserve">Brewster </t>
  </si>
  <si>
    <t>Thomas</t>
  </si>
  <si>
    <t>D0315</t>
  </si>
  <si>
    <t xml:space="preserve">Colby Public Schools </t>
  </si>
  <si>
    <t>D0316</t>
  </si>
  <si>
    <t xml:space="preserve">Golden Plains </t>
  </si>
  <si>
    <t>D0320</t>
  </si>
  <si>
    <t xml:space="preserve">Wamego </t>
  </si>
  <si>
    <t>Pottawatomie</t>
  </si>
  <si>
    <t>D0321</t>
  </si>
  <si>
    <t xml:space="preserve">Kaw Valley </t>
  </si>
  <si>
    <t>D0322</t>
  </si>
  <si>
    <t xml:space="preserve">Onaga-Havensville-Wheaton </t>
  </si>
  <si>
    <t>D0323</t>
  </si>
  <si>
    <t xml:space="preserve">Rock Creek </t>
  </si>
  <si>
    <t>D0325</t>
  </si>
  <si>
    <t xml:space="preserve">Phillipsburg </t>
  </si>
  <si>
    <t>D0326</t>
  </si>
  <si>
    <t xml:space="preserve">Logan </t>
  </si>
  <si>
    <t>D0327</t>
  </si>
  <si>
    <t xml:space="preserve">Ellsworth </t>
  </si>
  <si>
    <t>D0329</t>
  </si>
  <si>
    <t xml:space="preserve">Mill Creek Valley </t>
  </si>
  <si>
    <t>Wabaunsee</t>
  </si>
  <si>
    <t>D0330</t>
  </si>
  <si>
    <t xml:space="preserve">Mission Valley </t>
  </si>
  <si>
    <t>D0331</t>
  </si>
  <si>
    <t xml:space="preserve">Kingman - Norwich </t>
  </si>
  <si>
    <t>Kingman</t>
  </si>
  <si>
    <t>D0332</t>
  </si>
  <si>
    <t xml:space="preserve">Cunningham </t>
  </si>
  <si>
    <t>D0333</t>
  </si>
  <si>
    <t xml:space="preserve">Concordia </t>
  </si>
  <si>
    <t>Cloud</t>
  </si>
  <si>
    <t>D0334</t>
  </si>
  <si>
    <t xml:space="preserve">Southern Cloud </t>
  </si>
  <si>
    <t>D0335</t>
  </si>
  <si>
    <t xml:space="preserve">North Jackson </t>
  </si>
  <si>
    <t>Jackson</t>
  </si>
  <si>
    <t>D0336</t>
  </si>
  <si>
    <t xml:space="preserve">Holton </t>
  </si>
  <si>
    <t>D0337</t>
  </si>
  <si>
    <t xml:space="preserve">Royal Valley </t>
  </si>
  <si>
    <t>D0338</t>
  </si>
  <si>
    <t xml:space="preserve">Valley Falls </t>
  </si>
  <si>
    <t>Jefferson</t>
  </si>
  <si>
    <t>D0339</t>
  </si>
  <si>
    <t xml:space="preserve">Jefferson County North </t>
  </si>
  <si>
    <t>D0340</t>
  </si>
  <si>
    <t xml:space="preserve">Jefferson West </t>
  </si>
  <si>
    <t>D0341</t>
  </si>
  <si>
    <t xml:space="preserve">Oskaloosa Public Schools </t>
  </si>
  <si>
    <t>D0342</t>
  </si>
  <si>
    <t xml:space="preserve">McLouth </t>
  </si>
  <si>
    <t>D0343</t>
  </si>
  <si>
    <t xml:space="preserve">Perry Public Schools </t>
  </si>
  <si>
    <t>D0344</t>
  </si>
  <si>
    <t xml:space="preserve">Pleasanton </t>
  </si>
  <si>
    <t>Linn</t>
  </si>
  <si>
    <t>D0345</t>
  </si>
  <si>
    <t xml:space="preserve">Seaman </t>
  </si>
  <si>
    <t>Shawnee</t>
  </si>
  <si>
    <t>D0346</t>
  </si>
  <si>
    <t xml:space="preserve">Jayhawk </t>
  </si>
  <si>
    <t>D0347</t>
  </si>
  <si>
    <t xml:space="preserve">Kinsley-Offerle </t>
  </si>
  <si>
    <t>Edwards</t>
  </si>
  <si>
    <t>D0348</t>
  </si>
  <si>
    <t xml:space="preserve">Baldwin City </t>
  </si>
  <si>
    <t>Douglas</t>
  </si>
  <si>
    <t>D0349</t>
  </si>
  <si>
    <t xml:space="preserve">Stafford </t>
  </si>
  <si>
    <t>Stafford</t>
  </si>
  <si>
    <t>D0350</t>
  </si>
  <si>
    <t xml:space="preserve">St John-Hudson </t>
  </si>
  <si>
    <t>D0351</t>
  </si>
  <si>
    <t xml:space="preserve">Macksville </t>
  </si>
  <si>
    <t>D0352</t>
  </si>
  <si>
    <t xml:space="preserve">Goodland </t>
  </si>
  <si>
    <t>Sherman</t>
  </si>
  <si>
    <t>D0353</t>
  </si>
  <si>
    <t xml:space="preserve">Wellington </t>
  </si>
  <si>
    <t>Sumner</t>
  </si>
  <si>
    <t>D0355</t>
  </si>
  <si>
    <t xml:space="preserve">Ellinwood Public Schools </t>
  </si>
  <si>
    <t>Barton</t>
  </si>
  <si>
    <t>D0356</t>
  </si>
  <si>
    <t xml:space="preserve">Conway Springs </t>
  </si>
  <si>
    <t>D0357</t>
  </si>
  <si>
    <t xml:space="preserve">Belle Plaine </t>
  </si>
  <si>
    <t>D0358</t>
  </si>
  <si>
    <t xml:space="preserve">Oxford </t>
  </si>
  <si>
    <t>D0359</t>
  </si>
  <si>
    <t xml:space="preserve">Argonia Public Schools </t>
  </si>
  <si>
    <t>D0360</t>
  </si>
  <si>
    <t xml:space="preserve">Caldwell </t>
  </si>
  <si>
    <t>D0361</t>
  </si>
  <si>
    <t xml:space="preserve">Anthony-Harper </t>
  </si>
  <si>
    <t>Harper</t>
  </si>
  <si>
    <t>D0362</t>
  </si>
  <si>
    <t xml:space="preserve">Prairie View </t>
  </si>
  <si>
    <t>D0363</t>
  </si>
  <si>
    <t xml:space="preserve">Holcomb </t>
  </si>
  <si>
    <t>Finney</t>
  </si>
  <si>
    <t>D0364</t>
  </si>
  <si>
    <t xml:space="preserve">Marysville </t>
  </si>
  <si>
    <t>Marshall</t>
  </si>
  <si>
    <t>D0365</t>
  </si>
  <si>
    <t xml:space="preserve">Garnett </t>
  </si>
  <si>
    <t>Anderson</t>
  </si>
  <si>
    <t>D0366</t>
  </si>
  <si>
    <t xml:space="preserve">Woodson </t>
  </si>
  <si>
    <t>Woodson</t>
  </si>
  <si>
    <t>D0367</t>
  </si>
  <si>
    <t xml:space="preserve">Osawatomie </t>
  </si>
  <si>
    <t>Miami</t>
  </si>
  <si>
    <t>D0368</t>
  </si>
  <si>
    <t xml:space="preserve">Paola </t>
  </si>
  <si>
    <t>D0369</t>
  </si>
  <si>
    <t xml:space="preserve">Burrton </t>
  </si>
  <si>
    <t>Harvey</t>
  </si>
  <si>
    <t>D0371</t>
  </si>
  <si>
    <t xml:space="preserve">Montezuma </t>
  </si>
  <si>
    <t>D0372</t>
  </si>
  <si>
    <t xml:space="preserve">Silver Lake </t>
  </si>
  <si>
    <t>D0373</t>
  </si>
  <si>
    <t xml:space="preserve">Newton </t>
  </si>
  <si>
    <t>D0374</t>
  </si>
  <si>
    <t xml:space="preserve">Sublette </t>
  </si>
  <si>
    <t>Haskell</t>
  </si>
  <si>
    <t>D0375</t>
  </si>
  <si>
    <t xml:space="preserve">Circle </t>
  </si>
  <si>
    <t>D0376</t>
  </si>
  <si>
    <t xml:space="preserve">Sterling </t>
  </si>
  <si>
    <t>Rice</t>
  </si>
  <si>
    <t>D0377</t>
  </si>
  <si>
    <t xml:space="preserve">Atchison Co Comm Schools </t>
  </si>
  <si>
    <t>Atchison</t>
  </si>
  <si>
    <t>D0378</t>
  </si>
  <si>
    <t xml:space="preserve">Riley County </t>
  </si>
  <si>
    <t>Riley</t>
  </si>
  <si>
    <t>D0379</t>
  </si>
  <si>
    <t xml:space="preserve">Clay Center </t>
  </si>
  <si>
    <t>Clay</t>
  </si>
  <si>
    <t>D0380</t>
  </si>
  <si>
    <t xml:space="preserve">Vermillion </t>
  </si>
  <si>
    <t>D0381</t>
  </si>
  <si>
    <t xml:space="preserve">Spearville </t>
  </si>
  <si>
    <t>Ford</t>
  </si>
  <si>
    <t>D0382</t>
  </si>
  <si>
    <t xml:space="preserve">Pratt </t>
  </si>
  <si>
    <t>Pratt</t>
  </si>
  <si>
    <t>D0383</t>
  </si>
  <si>
    <t xml:space="preserve">Manhattan-Ogden </t>
  </si>
  <si>
    <t>D0384</t>
  </si>
  <si>
    <t>D0385</t>
  </si>
  <si>
    <t xml:space="preserve">Andover </t>
  </si>
  <si>
    <t>D0386</t>
  </si>
  <si>
    <t xml:space="preserve">Madison-Virgil </t>
  </si>
  <si>
    <t>Greenwood</t>
  </si>
  <si>
    <t>D0387</t>
  </si>
  <si>
    <t xml:space="preserve">Altoona-Midway </t>
  </si>
  <si>
    <t>Wilson</t>
  </si>
  <si>
    <t>D0388</t>
  </si>
  <si>
    <t xml:space="preserve">Ellis </t>
  </si>
  <si>
    <t>Ellis</t>
  </si>
  <si>
    <t>D0389</t>
  </si>
  <si>
    <t xml:space="preserve">Eureka </t>
  </si>
  <si>
    <t>D0390</t>
  </si>
  <si>
    <t xml:space="preserve">Hamilton </t>
  </si>
  <si>
    <t>D0392</t>
  </si>
  <si>
    <t xml:space="preserve">Osborne County </t>
  </si>
  <si>
    <t>Osborne</t>
  </si>
  <si>
    <t>D0393</t>
  </si>
  <si>
    <t xml:space="preserve">Solomon </t>
  </si>
  <si>
    <t>Dickinson</t>
  </si>
  <si>
    <t>D0394</t>
  </si>
  <si>
    <t xml:space="preserve">Rose Hill Public Schools </t>
  </si>
  <si>
    <t>D0395</t>
  </si>
  <si>
    <t xml:space="preserve">LaCrosse </t>
  </si>
  <si>
    <t>Rush</t>
  </si>
  <si>
    <t>D0396</t>
  </si>
  <si>
    <t xml:space="preserve">Douglass Public Schools </t>
  </si>
  <si>
    <t>D0397</t>
  </si>
  <si>
    <t xml:space="preserve">Centre </t>
  </si>
  <si>
    <t>Marion</t>
  </si>
  <si>
    <t>D0398</t>
  </si>
  <si>
    <t xml:space="preserve">Peabody-Burns </t>
  </si>
  <si>
    <t>D0399</t>
  </si>
  <si>
    <t xml:space="preserve">Paradise </t>
  </si>
  <si>
    <t>Russell</t>
  </si>
  <si>
    <t>D0400</t>
  </si>
  <si>
    <t xml:space="preserve">Smoky Valley </t>
  </si>
  <si>
    <t>McPherson</t>
  </si>
  <si>
    <t>D0401</t>
  </si>
  <si>
    <t xml:space="preserve">Chase-Raymond </t>
  </si>
  <si>
    <t>D0402</t>
  </si>
  <si>
    <t xml:space="preserve">Augusta </t>
  </si>
  <si>
    <t>D0403</t>
  </si>
  <si>
    <t xml:space="preserve">Otis-Bison </t>
  </si>
  <si>
    <t>D0404</t>
  </si>
  <si>
    <t xml:space="preserve">Riverton </t>
  </si>
  <si>
    <t>Cherokee</t>
  </si>
  <si>
    <t>D0405</t>
  </si>
  <si>
    <t xml:space="preserve">Lyons </t>
  </si>
  <si>
    <t>D0407</t>
  </si>
  <si>
    <t xml:space="preserve">Russell County </t>
  </si>
  <si>
    <t>D0408</t>
  </si>
  <si>
    <t xml:space="preserve">Marion-Florence </t>
  </si>
  <si>
    <t>D0409</t>
  </si>
  <si>
    <t xml:space="preserve">Atchison Public Schools </t>
  </si>
  <si>
    <t>D0410</t>
  </si>
  <si>
    <t xml:space="preserve">Durham-Hillsboro-Lehigh </t>
  </si>
  <si>
    <t>D0411</t>
  </si>
  <si>
    <t xml:space="preserve">Goessel </t>
  </si>
  <si>
    <t>D0412</t>
  </si>
  <si>
    <t xml:space="preserve">Hoxie Community Schools </t>
  </si>
  <si>
    <t>Sheridan</t>
  </si>
  <si>
    <t>D0413</t>
  </si>
  <si>
    <t xml:space="preserve">Chanute Public Schools </t>
  </si>
  <si>
    <t>D0415</t>
  </si>
  <si>
    <t xml:space="preserve">Hiawatha </t>
  </si>
  <si>
    <t>Brown</t>
  </si>
  <si>
    <t>D0416</t>
  </si>
  <si>
    <t xml:space="preserve">Louisburg </t>
  </si>
  <si>
    <t>D0417</t>
  </si>
  <si>
    <t xml:space="preserve">Morris County </t>
  </si>
  <si>
    <t>Morris</t>
  </si>
  <si>
    <t>D0418</t>
  </si>
  <si>
    <t xml:space="preserve">McPherson </t>
  </si>
  <si>
    <t>D0419</t>
  </si>
  <si>
    <t xml:space="preserve">Canton-Galva </t>
  </si>
  <si>
    <t>D0420</t>
  </si>
  <si>
    <t xml:space="preserve">Osage City </t>
  </si>
  <si>
    <t>Osage</t>
  </si>
  <si>
    <t>D0421</t>
  </si>
  <si>
    <t xml:space="preserve">Lyndon </t>
  </si>
  <si>
    <t>D0422</t>
  </si>
  <si>
    <t xml:space="preserve">Kiowa County </t>
  </si>
  <si>
    <t>Kiowa</t>
  </si>
  <si>
    <t>D0423</t>
  </si>
  <si>
    <t xml:space="preserve">Moundridge </t>
  </si>
  <si>
    <t>D0426</t>
  </si>
  <si>
    <t xml:space="preserve">Pike Valley </t>
  </si>
  <si>
    <t>D0428</t>
  </si>
  <si>
    <t xml:space="preserve">Great Bend </t>
  </si>
  <si>
    <t>D0429</t>
  </si>
  <si>
    <t xml:space="preserve">Troy Public Schools </t>
  </si>
  <si>
    <t>D0430</t>
  </si>
  <si>
    <t xml:space="preserve">South Brown County </t>
  </si>
  <si>
    <t>D0431</t>
  </si>
  <si>
    <t xml:space="preserve">Hoisington </t>
  </si>
  <si>
    <t>D0432</t>
  </si>
  <si>
    <t xml:space="preserve">Victoria </t>
  </si>
  <si>
    <t>D0434</t>
  </si>
  <si>
    <t xml:space="preserve">Santa Fe Trail </t>
  </si>
  <si>
    <t>D0435</t>
  </si>
  <si>
    <t xml:space="preserve">Abilene </t>
  </si>
  <si>
    <t>D0436</t>
  </si>
  <si>
    <t xml:space="preserve">Caney Valley </t>
  </si>
  <si>
    <t>Montgomery</t>
  </si>
  <si>
    <t>D0437</t>
  </si>
  <si>
    <t xml:space="preserve">Auburn Washburn </t>
  </si>
  <si>
    <t>D0438</t>
  </si>
  <si>
    <t xml:space="preserve">Skyline Schools </t>
  </si>
  <si>
    <t>D0439</t>
  </si>
  <si>
    <t xml:space="preserve">Sedgwick Public Schools </t>
  </si>
  <si>
    <t>D0440</t>
  </si>
  <si>
    <t xml:space="preserve">Halstead </t>
  </si>
  <si>
    <t>D0443</t>
  </si>
  <si>
    <t xml:space="preserve">Dodge City </t>
  </si>
  <si>
    <t>D0444</t>
  </si>
  <si>
    <t xml:space="preserve">Little River </t>
  </si>
  <si>
    <t>D0445</t>
  </si>
  <si>
    <t xml:space="preserve">Coffeyville </t>
  </si>
  <si>
    <t>D0446</t>
  </si>
  <si>
    <t xml:space="preserve">Independence </t>
  </si>
  <si>
    <t>D0447</t>
  </si>
  <si>
    <t xml:space="preserve">Cherryvale </t>
  </si>
  <si>
    <t>D0448</t>
  </si>
  <si>
    <t xml:space="preserve">Inman </t>
  </si>
  <si>
    <t>D0449</t>
  </si>
  <si>
    <t xml:space="preserve">Easton </t>
  </si>
  <si>
    <t>D0450</t>
  </si>
  <si>
    <t xml:space="preserve">Shawnee Heights </t>
  </si>
  <si>
    <t>D0452</t>
  </si>
  <si>
    <t xml:space="preserve">Stanton County </t>
  </si>
  <si>
    <t>Stanton</t>
  </si>
  <si>
    <t>D0453</t>
  </si>
  <si>
    <t xml:space="preserve">Leavenworth </t>
  </si>
  <si>
    <t>D0454</t>
  </si>
  <si>
    <t xml:space="preserve">Burlingame Public School </t>
  </si>
  <si>
    <t>D0456</t>
  </si>
  <si>
    <t xml:space="preserve">Marais Des Cygnes Valley </t>
  </si>
  <si>
    <t>D0457</t>
  </si>
  <si>
    <t xml:space="preserve">Garden City </t>
  </si>
  <si>
    <t>D0458</t>
  </si>
  <si>
    <t xml:space="preserve">Basehor-Linwood </t>
  </si>
  <si>
    <t>D0459</t>
  </si>
  <si>
    <t xml:space="preserve">Bucklin </t>
  </si>
  <si>
    <t>D0460</t>
  </si>
  <si>
    <t xml:space="preserve">Hesston </t>
  </si>
  <si>
    <t>D0461</t>
  </si>
  <si>
    <t xml:space="preserve">Neodesha </t>
  </si>
  <si>
    <t>D0462</t>
  </si>
  <si>
    <t xml:space="preserve">Central </t>
  </si>
  <si>
    <t>Cowley</t>
  </si>
  <si>
    <t>D0463</t>
  </si>
  <si>
    <t xml:space="preserve">Udall </t>
  </si>
  <si>
    <t>D0464</t>
  </si>
  <si>
    <t xml:space="preserve">Tonganoxie </t>
  </si>
  <si>
    <t>D0465</t>
  </si>
  <si>
    <t xml:space="preserve">Winfield </t>
  </si>
  <si>
    <t>D0466</t>
  </si>
  <si>
    <t xml:space="preserve">Scott County </t>
  </si>
  <si>
    <t>Scott</t>
  </si>
  <si>
    <t>D0467</t>
  </si>
  <si>
    <t xml:space="preserve">Leoti </t>
  </si>
  <si>
    <t>Wichita</t>
  </si>
  <si>
    <t>D0468</t>
  </si>
  <si>
    <t xml:space="preserve">Healy Public Schools </t>
  </si>
  <si>
    <t>Lane</t>
  </si>
  <si>
    <t>D0469</t>
  </si>
  <si>
    <t xml:space="preserve">Lansing </t>
  </si>
  <si>
    <t>D0470</t>
  </si>
  <si>
    <t xml:space="preserve">Arkansas City </t>
  </si>
  <si>
    <t>D0471</t>
  </si>
  <si>
    <t xml:space="preserve">Dexter </t>
  </si>
  <si>
    <t>D0473</t>
  </si>
  <si>
    <t xml:space="preserve">Chapman </t>
  </si>
  <si>
    <t>D0474</t>
  </si>
  <si>
    <t xml:space="preserve">Haviland </t>
  </si>
  <si>
    <t>D0475</t>
  </si>
  <si>
    <t xml:space="preserve">Geary County Schools </t>
  </si>
  <si>
    <t>Geary</t>
  </si>
  <si>
    <t>D0476</t>
  </si>
  <si>
    <t xml:space="preserve">Copeland </t>
  </si>
  <si>
    <t>D0477</t>
  </si>
  <si>
    <t xml:space="preserve">Ingalls </t>
  </si>
  <si>
    <t>D0479</t>
  </si>
  <si>
    <t xml:space="preserve">Crest </t>
  </si>
  <si>
    <t>D0480</t>
  </si>
  <si>
    <t xml:space="preserve">Liberal </t>
  </si>
  <si>
    <t>Seward</t>
  </si>
  <si>
    <t>D0481</t>
  </si>
  <si>
    <t xml:space="preserve">Rural Vista </t>
  </si>
  <si>
    <t>D0482</t>
  </si>
  <si>
    <t xml:space="preserve">Dighton </t>
  </si>
  <si>
    <t>D0483</t>
  </si>
  <si>
    <t xml:space="preserve">Kismet-Plains </t>
  </si>
  <si>
    <t>D0484</t>
  </si>
  <si>
    <t xml:space="preserve">Fredonia </t>
  </si>
  <si>
    <t>D0487</t>
  </si>
  <si>
    <t xml:space="preserve">Herington </t>
  </si>
  <si>
    <t>D0489</t>
  </si>
  <si>
    <t xml:space="preserve">Hays </t>
  </si>
  <si>
    <t>D0490</t>
  </si>
  <si>
    <t xml:space="preserve">El Dorado </t>
  </si>
  <si>
    <t>D0491</t>
  </si>
  <si>
    <t xml:space="preserve">Eudora </t>
  </si>
  <si>
    <t>D0492</t>
  </si>
  <si>
    <t xml:space="preserve">Flinthills </t>
  </si>
  <si>
    <t>D0493</t>
  </si>
  <si>
    <t xml:space="preserve">Columbus </t>
  </si>
  <si>
    <t>D0494</t>
  </si>
  <si>
    <t xml:space="preserve">Syracuse </t>
  </si>
  <si>
    <t>Hamilton</t>
  </si>
  <si>
    <t>D0495</t>
  </si>
  <si>
    <t xml:space="preserve">Ft Larned </t>
  </si>
  <si>
    <t>Pawnee</t>
  </si>
  <si>
    <t>D0496</t>
  </si>
  <si>
    <t xml:space="preserve">Pawnee Heights </t>
  </si>
  <si>
    <t>D0497</t>
  </si>
  <si>
    <t xml:space="preserve">Lawrence </t>
  </si>
  <si>
    <t>D0498</t>
  </si>
  <si>
    <t xml:space="preserve">Valley Heights </t>
  </si>
  <si>
    <t>D0499</t>
  </si>
  <si>
    <t xml:space="preserve">Galena </t>
  </si>
  <si>
    <t>D0500</t>
  </si>
  <si>
    <t xml:space="preserve">Kansas City </t>
  </si>
  <si>
    <t>D0501</t>
  </si>
  <si>
    <t xml:space="preserve">Topeka Public Schools </t>
  </si>
  <si>
    <t>D0502</t>
  </si>
  <si>
    <t xml:space="preserve">Lewis </t>
  </si>
  <si>
    <t>D0503</t>
  </si>
  <si>
    <t xml:space="preserve">Parsons </t>
  </si>
  <si>
    <t>Labette</t>
  </si>
  <si>
    <t>D0504</t>
  </si>
  <si>
    <t xml:space="preserve">Oswego </t>
  </si>
  <si>
    <t>D0505</t>
  </si>
  <si>
    <t xml:space="preserve">Chetopa-St. Paul </t>
  </si>
  <si>
    <t>D0506</t>
  </si>
  <si>
    <t xml:space="preserve">Labette County </t>
  </si>
  <si>
    <t>D0507</t>
  </si>
  <si>
    <t xml:space="preserve">Satanta </t>
  </si>
  <si>
    <t>D0508</t>
  </si>
  <si>
    <t xml:space="preserve">Baxter Springs </t>
  </si>
  <si>
    <t>D0509</t>
  </si>
  <si>
    <t xml:space="preserve">South Haven </t>
  </si>
  <si>
    <t>D0511</t>
  </si>
  <si>
    <t xml:space="preserve">Attica </t>
  </si>
  <si>
    <t>D0512</t>
  </si>
  <si>
    <t>Shawnee Mission Pub Sch</t>
  </si>
  <si>
    <t>Total</t>
  </si>
  <si>
    <t>FTE Enrollment (incl MILT &amp; VIRT)</t>
  </si>
  <si>
    <t>Total Valuation</t>
  </si>
  <si>
    <t>Total Valuation Per Pupil</t>
  </si>
  <si>
    <t>General Fund Valuation</t>
  </si>
  <si>
    <t>LOB/BI Valuation Per Pupil</t>
  </si>
  <si>
    <t>KANSAS STATE DEPARTMENT OF EDUCATION</t>
  </si>
  <si>
    <t>ASSESSED VALUATION REPORT FOR 2013-2014</t>
  </si>
  <si>
    <t>2013-14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</si>
</sst>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3" formatCode="_(* #,##0.00_);_(* \(#,##0.00\);_(* &quot;-&quot;??_);_(@_)"/>
    <numFmt numFmtId="164" formatCode="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2"/>
    </font>
    <font>
      <sz val="10"/>
      <name val="Geneva"/>
    </font>
    <font>
      <sz val="10"/>
      <name val="Arial"/>
      <family val="2"/>
    </font>
    <font>
      <sz val="10"/>
      <name val="MS Sans Serif"/>
      <family val="2"/>
    </font>
    <font>
      <sz val="10"/>
      <name val="Arial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2"/>
    </font>
    <font>
      <u/>
      <sz val="10"/>
      <color indexed="12"/>
      <name val="Geneva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9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8" fillId="0" borderId="0" applyFont="0" applyFill="0" applyBorder="0" applyAlignment="0" applyProtection="0"/>
    <xf numFmtId="40" fontId="19" fillId="0" borderId="0" applyFont="0" applyFill="0" applyBorder="0" applyAlignment="0" applyProtection="0"/>
    <xf numFmtId="8" fontId="19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9" fillId="0" borderId="0"/>
    <xf numFmtId="0" fontId="20" fillId="0" borderId="0" applyBorder="0"/>
    <xf numFmtId="0" fontId="1" fillId="0" borderId="0"/>
    <xf numFmtId="0" fontId="19" fillId="0" borderId="0"/>
    <xf numFmtId="0" fontId="20" fillId="0" borderId="0" applyBorder="0"/>
    <xf numFmtId="0" fontId="22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9" fillId="0" borderId="0" applyFont="0" applyFill="0" applyBorder="0" applyAlignment="0" applyProtection="0"/>
    <xf numFmtId="0" fontId="20" fillId="0" borderId="0"/>
    <xf numFmtId="43" fontId="1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0" fontId="25" fillId="0" borderId="0"/>
    <xf numFmtId="0" fontId="18" fillId="0" borderId="0"/>
    <xf numFmtId="0" fontId="1" fillId="0" borderId="0"/>
    <xf numFmtId="0" fontId="21" fillId="0" borderId="0"/>
    <xf numFmtId="0" fontId="20" fillId="0" borderId="0"/>
    <xf numFmtId="0" fontId="1" fillId="0" borderId="0"/>
    <xf numFmtId="0" fontId="20" fillId="0" borderId="0"/>
    <xf numFmtId="0" fontId="21" fillId="0" borderId="0"/>
    <xf numFmtId="43" fontId="27" fillId="0" borderId="0" applyFont="0" applyFill="0" applyBorder="0" applyAlignment="0" applyProtection="0"/>
    <xf numFmtId="43" fontId="21" fillId="0" borderId="0" applyFont="0" applyFill="0" applyBorder="0" applyAlignment="0" applyProtection="0"/>
    <xf numFmtId="40" fontId="19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9" fillId="0" borderId="0"/>
    <xf numFmtId="0" fontId="20" fillId="0" borderId="0" applyBorder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26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0" fillId="0" borderId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25" fillId="0" borderId="0"/>
    <xf numFmtId="0" fontId="26" fillId="8" borderId="8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0" fillId="0" borderId="0"/>
    <xf numFmtId="8" fontId="19" fillId="0" borderId="0" applyFont="0" applyFill="0" applyBorder="0" applyAlignment="0" applyProtection="0"/>
    <xf numFmtId="0" fontId="20" fillId="0" borderId="0" applyBorder="0"/>
    <xf numFmtId="0" fontId="1" fillId="0" borderId="0"/>
    <xf numFmtId="40" fontId="19" fillId="0" borderId="0" applyFont="0" applyFill="0" applyBorder="0" applyAlignment="0" applyProtection="0"/>
    <xf numFmtId="0" fontId="19" fillId="0" borderId="0"/>
    <xf numFmtId="40" fontId="19" fillId="0" borderId="0" applyFont="0" applyFill="0" applyBorder="0" applyAlignment="0" applyProtection="0"/>
    <xf numFmtId="8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20" fillId="0" borderId="0"/>
    <xf numFmtId="0" fontId="1" fillId="0" borderId="0"/>
    <xf numFmtId="0" fontId="26" fillId="8" borderId="8" applyNumberFormat="0" applyFont="0" applyAlignment="0" applyProtection="0"/>
    <xf numFmtId="9" fontId="19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1" fontId="19" fillId="0" borderId="0" applyFont="0" applyFill="0" applyBorder="0" applyAlignment="0" applyProtection="0"/>
    <xf numFmtId="1" fontId="19" fillId="0" borderId="0" applyFont="0" applyFill="0" applyBorder="0" applyAlignment="0" applyProtection="0"/>
    <xf numFmtId="0" fontId="20" fillId="0" borderId="0" applyBorder="0"/>
    <xf numFmtId="0" fontId="20" fillId="0" borderId="0" applyBorder="0"/>
    <xf numFmtId="0" fontId="20" fillId="0" borderId="0" applyBorder="0"/>
    <xf numFmtId="0" fontId="1" fillId="0" borderId="0"/>
    <xf numFmtId="0" fontId="20" fillId="0" borderId="0"/>
    <xf numFmtId="0" fontId="19" fillId="0" borderId="0"/>
    <xf numFmtId="43" fontId="27" fillId="0" borderId="0" applyFont="0" applyFill="0" applyBorder="0" applyAlignment="0" applyProtection="0"/>
    <xf numFmtId="0" fontId="20" fillId="0" borderId="0" applyBorder="0"/>
    <xf numFmtId="0" fontId="1" fillId="0" borderId="0"/>
    <xf numFmtId="40" fontId="19" fillId="0" borderId="0" applyFont="0" applyFill="0" applyBorder="0" applyAlignment="0" applyProtection="0"/>
    <xf numFmtId="0" fontId="20" fillId="0" borderId="0"/>
    <xf numFmtId="0" fontId="18" fillId="0" borderId="0"/>
    <xf numFmtId="0" fontId="26" fillId="8" borderId="8" applyNumberFormat="0" applyFont="0" applyAlignment="0" applyProtection="0"/>
    <xf numFmtId="0" fontId="20" fillId="0" borderId="0"/>
    <xf numFmtId="0" fontId="1" fillId="26" borderId="0" applyNumberFormat="0" applyBorder="0" applyAlignment="0" applyProtection="0"/>
    <xf numFmtId="0" fontId="32" fillId="0" borderId="0" applyNumberFormat="0" applyFill="0" applyBorder="0" applyAlignment="0" applyProtection="0"/>
    <xf numFmtId="0" fontId="20" fillId="0" borderId="0"/>
    <xf numFmtId="0" fontId="26" fillId="8" borderId="8" applyNumberFormat="0" applyFont="0" applyAlignment="0" applyProtection="0"/>
    <xf numFmtId="0" fontId="1" fillId="0" borderId="0"/>
    <xf numFmtId="0" fontId="20" fillId="0" borderId="0" applyBorder="0"/>
    <xf numFmtId="43" fontId="21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19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20" fillId="0" borderId="0"/>
    <xf numFmtId="43" fontId="27" fillId="0" borderId="0" applyFont="0" applyFill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0" fontId="21" fillId="0" borderId="0"/>
    <xf numFmtId="0" fontId="20" fillId="0" borderId="0"/>
    <xf numFmtId="0" fontId="1" fillId="0" borderId="0"/>
    <xf numFmtId="0" fontId="21" fillId="0" borderId="0"/>
    <xf numFmtId="0" fontId="1" fillId="22" borderId="0" applyNumberFormat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9" fillId="0" borderId="0"/>
    <xf numFmtId="40" fontId="19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0" borderId="0"/>
    <xf numFmtId="43" fontId="2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9" borderId="0" applyNumberFormat="0" applyBorder="0" applyAlignment="0" applyProtection="0"/>
    <xf numFmtId="0" fontId="26" fillId="8" borderId="8" applyNumberFormat="0" applyFont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21" fillId="0" borderId="0"/>
    <xf numFmtId="0" fontId="1" fillId="15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1" fillId="0" borderId="0"/>
    <xf numFmtId="0" fontId="1" fillId="30" borderId="0" applyNumberFormat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11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8" applyNumberFormat="0" applyFont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20" fillId="0" borderId="0"/>
    <xf numFmtId="0" fontId="26" fillId="8" borderId="8" applyNumberFormat="0" applyFont="0" applyAlignment="0" applyProtection="0"/>
    <xf numFmtId="0" fontId="21" fillId="0" borderId="0"/>
    <xf numFmtId="0" fontId="20" fillId="0" borderId="0" applyBorder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</cellStyleXfs>
  <cellXfs count="27">
    <xf numFmtId="0" fontId="0" fillId="0" borderId="0" xfId="0"/>
    <xf numFmtId="0" fontId="0" fillId="0" borderId="0" xfId="0" applyFont="1"/>
    <xf numFmtId="3" fontId="23" fillId="0" borderId="0" xfId="0" applyNumberFormat="1" applyFont="1"/>
    <xf numFmtId="0" fontId="23" fillId="0" borderId="10" xfId="41" applyFont="1" applyBorder="1" applyAlignment="1">
      <alignment horizontal="center" wrapText="1"/>
    </xf>
    <xf numFmtId="0" fontId="0" fillId="0" borderId="0" xfId="0"/>
    <xf numFmtId="0" fontId="0" fillId="0" borderId="0" xfId="0"/>
    <xf numFmtId="3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3" fillId="0" borderId="10" xfId="0" applyFont="1" applyBorder="1" applyAlignment="1">
      <alignment horizontal="center"/>
    </xf>
    <xf numFmtId="0" fontId="24" fillId="0" borderId="0" xfId="64" applyFont="1" applyFill="1" applyProtection="1"/>
    <xf numFmtId="0" fontId="23" fillId="0" borderId="10" xfId="0" applyFont="1" applyBorder="1" applyAlignment="1">
      <alignment horizontal="left"/>
    </xf>
    <xf numFmtId="14" fontId="23" fillId="0" borderId="0" xfId="0" applyNumberFormat="1" applyFont="1" applyAlignment="1">
      <alignment horizontal="left"/>
    </xf>
    <xf numFmtId="164" fontId="23" fillId="0" borderId="0" xfId="0" applyNumberFormat="1" applyFont="1"/>
    <xf numFmtId="3" fontId="23" fillId="0" borderId="10" xfId="41" applyNumberFormat="1" applyFont="1" applyBorder="1" applyAlignment="1">
      <alignment horizontal="center" wrapText="1"/>
    </xf>
    <xf numFmtId="3" fontId="23" fillId="0" borderId="10" xfId="41" applyNumberFormat="1" applyFont="1" applyFill="1" applyBorder="1" applyAlignment="1">
      <alignment horizontal="center" wrapText="1"/>
    </xf>
    <xf numFmtId="14" fontId="23" fillId="0" borderId="0" xfId="0" applyNumberFormat="1" applyFont="1" applyAlignment="1">
      <alignment horizontal="left"/>
    </xf>
    <xf numFmtId="0" fontId="23" fillId="0" borderId="0" xfId="0" applyFont="1" applyAlignment="1">
      <alignment horizontal="center"/>
    </xf>
    <xf numFmtId="3" fontId="23" fillId="0" borderId="11" xfId="0" applyNumberFormat="1" applyFont="1" applyBorder="1"/>
    <xf numFmtId="3" fontId="23" fillId="0" borderId="0" xfId="0" applyNumberFormat="1" applyFont="1"/>
    <xf numFmtId="0" fontId="31" fillId="0" borderId="0" xfId="0" applyFont="1" applyAlignment="1">
      <alignment horizontal="center"/>
    </xf>
    <xf numFmtId="164" fontId="24" fillId="0" borderId="11" xfId="55" applyNumberFormat="1" applyFont="1" applyFill="1" applyBorder="1" applyProtection="1"/>
    <xf numFmtId="3" fontId="23" fillId="0" borderId="0" xfId="63" applyNumberFormat="1" applyFont="1"/>
    <xf numFmtId="3" fontId="23" fillId="0" borderId="0" xfId="63" applyNumberFormat="1" applyFont="1"/>
    <xf numFmtId="3" fontId="23" fillId="0" borderId="0" xfId="63" applyNumberFormat="1" applyFont="1"/>
    <xf numFmtId="3" fontId="23" fillId="0" borderId="11" xfId="63" applyNumberFormat="1" applyFont="1" applyBorder="1"/>
    <xf numFmtId="164" fontId="24" fillId="0" borderId="0" xfId="55" applyNumberFormat="1" applyFont="1" applyFill="1" applyProtection="1"/>
  </cellXfs>
  <cellStyles count="595">
    <cellStyle name="20% - Accent1" xfId="18" builtinId="30" customBuiltin="1"/>
    <cellStyle name="20% - Accent1 2" xfId="42"/>
    <cellStyle name="20% - Accent1 2 2" xfId="130"/>
    <cellStyle name="20% - Accent1 2 2 2" xfId="252"/>
    <cellStyle name="20% - Accent1 2 2 2 2" xfId="300"/>
    <cellStyle name="20% - Accent1 2 2 3" xfId="299"/>
    <cellStyle name="20% - Accent1 2 2 4" xfId="530"/>
    <cellStyle name="20% - Accent1 2 3" xfId="221"/>
    <cellStyle name="20% - Accent1 2 3 2" xfId="301"/>
    <cellStyle name="20% - Accent1 2 4" xfId="298"/>
    <cellStyle name="20% - Accent1 2 5" xfId="503"/>
    <cellStyle name="20% - Accent1 2 6" xfId="477"/>
    <cellStyle name="20% - Accent1 2 7" xfId="570"/>
    <cellStyle name="20% - Accent1 3" xfId="117"/>
    <cellStyle name="20% - Accent1 3 2" xfId="237"/>
    <cellStyle name="20% - Accent1 3 2 2" xfId="303"/>
    <cellStyle name="20% - Accent1 3 3" xfId="302"/>
    <cellStyle name="20% - Accent1 3 4" xfId="515"/>
    <cellStyle name="20% - Accent1 4" xfId="206"/>
    <cellStyle name="20% - Accent1 4 2" xfId="304"/>
    <cellStyle name="20% - Accent1 5" xfId="284"/>
    <cellStyle name="20% - Accent1 6" xfId="297"/>
    <cellStyle name="20% - Accent1 7" xfId="459"/>
    <cellStyle name="20% - Accent1 8" xfId="558"/>
    <cellStyle name="20% - Accent2" xfId="22" builtinId="34" customBuiltin="1"/>
    <cellStyle name="20% - Accent2 2" xfId="43"/>
    <cellStyle name="20% - Accent2 2 2" xfId="132"/>
    <cellStyle name="20% - Accent2 2 2 2" xfId="254"/>
    <cellStyle name="20% - Accent2 2 2 2 2" xfId="308"/>
    <cellStyle name="20% - Accent2 2 2 3" xfId="307"/>
    <cellStyle name="20% - Accent2 2 2 4" xfId="532"/>
    <cellStyle name="20% - Accent2 2 3" xfId="223"/>
    <cellStyle name="20% - Accent2 2 3 2" xfId="309"/>
    <cellStyle name="20% - Accent2 2 4" xfId="306"/>
    <cellStyle name="20% - Accent2 2 5" xfId="475"/>
    <cellStyle name="20% - Accent2 2 6" xfId="458"/>
    <cellStyle name="20% - Accent2 2 7" xfId="571"/>
    <cellStyle name="20% - Accent2 3" xfId="119"/>
    <cellStyle name="20% - Accent2 3 2" xfId="239"/>
    <cellStyle name="20% - Accent2 3 2 2" xfId="311"/>
    <cellStyle name="20% - Accent2 3 3" xfId="310"/>
    <cellStyle name="20% - Accent2 3 4" xfId="517"/>
    <cellStyle name="20% - Accent2 4" xfId="208"/>
    <cellStyle name="20% - Accent2 4 2" xfId="312"/>
    <cellStyle name="20% - Accent2 5" xfId="286"/>
    <cellStyle name="20% - Accent2 6" xfId="305"/>
    <cellStyle name="20% - Accent2 7" xfId="493"/>
    <cellStyle name="20% - Accent2 8" xfId="560"/>
    <cellStyle name="20% - Accent3" xfId="26" builtinId="38" customBuiltin="1"/>
    <cellStyle name="20% - Accent3 2" xfId="44"/>
    <cellStyle name="20% - Accent3 2 2" xfId="134"/>
    <cellStyle name="20% - Accent3 2 2 2" xfId="256"/>
    <cellStyle name="20% - Accent3 2 2 2 2" xfId="316"/>
    <cellStyle name="20% - Accent3 2 2 3" xfId="315"/>
    <cellStyle name="20% - Accent3 2 2 4" xfId="534"/>
    <cellStyle name="20% - Accent3 2 3" xfId="225"/>
    <cellStyle name="20% - Accent3 2 3 2" xfId="317"/>
    <cellStyle name="20% - Accent3 2 4" xfId="314"/>
    <cellStyle name="20% - Accent3 2 5" xfId="452"/>
    <cellStyle name="20% - Accent3 2 6" xfId="485"/>
    <cellStyle name="20% - Accent3 2 7" xfId="572"/>
    <cellStyle name="20% - Accent3 3" xfId="121"/>
    <cellStyle name="20% - Accent3 3 2" xfId="241"/>
    <cellStyle name="20% - Accent3 3 2 2" xfId="319"/>
    <cellStyle name="20% - Accent3 3 3" xfId="318"/>
    <cellStyle name="20% - Accent3 3 4" xfId="519"/>
    <cellStyle name="20% - Accent3 4" xfId="210"/>
    <cellStyle name="20% - Accent3 4 2" xfId="320"/>
    <cellStyle name="20% - Accent3 5" xfId="288"/>
    <cellStyle name="20% - Accent3 6" xfId="313"/>
    <cellStyle name="20% - Accent3 7" xfId="112"/>
    <cellStyle name="20% - Accent3 8" xfId="562"/>
    <cellStyle name="20% - Accent4" xfId="30" builtinId="42" customBuiltin="1"/>
    <cellStyle name="20% - Accent4 2" xfId="45"/>
    <cellStyle name="20% - Accent4 2 2" xfId="136"/>
    <cellStyle name="20% - Accent4 2 2 2" xfId="258"/>
    <cellStyle name="20% - Accent4 2 2 2 2" xfId="324"/>
    <cellStyle name="20% - Accent4 2 2 3" xfId="323"/>
    <cellStyle name="20% - Accent4 2 2 4" xfId="536"/>
    <cellStyle name="20% - Accent4 2 3" xfId="227"/>
    <cellStyle name="20% - Accent4 2 3 2" xfId="325"/>
    <cellStyle name="20% - Accent4 2 4" xfId="322"/>
    <cellStyle name="20% - Accent4 2 5" xfId="201"/>
    <cellStyle name="20% - Accent4 2 6" xfId="113"/>
    <cellStyle name="20% - Accent4 2 7" xfId="573"/>
    <cellStyle name="20% - Accent4 3" xfId="123"/>
    <cellStyle name="20% - Accent4 3 2" xfId="243"/>
    <cellStyle name="20% - Accent4 3 2 2" xfId="327"/>
    <cellStyle name="20% - Accent4 3 3" xfId="326"/>
    <cellStyle name="20% - Accent4 3 4" xfId="521"/>
    <cellStyle name="20% - Accent4 4" xfId="212"/>
    <cellStyle name="20% - Accent4 4 2" xfId="328"/>
    <cellStyle name="20% - Accent4 5" xfId="290"/>
    <cellStyle name="20% - Accent4 6" xfId="321"/>
    <cellStyle name="20% - Accent4 7" xfId="491"/>
    <cellStyle name="20% - Accent4 8" xfId="564"/>
    <cellStyle name="20% - Accent5" xfId="34" builtinId="46" customBuiltin="1"/>
    <cellStyle name="20% - Accent5 2" xfId="46"/>
    <cellStyle name="20% - Accent5 2 2" xfId="138"/>
    <cellStyle name="20% - Accent5 2 2 2" xfId="260"/>
    <cellStyle name="20% - Accent5 2 2 2 2" xfId="332"/>
    <cellStyle name="20% - Accent5 2 2 3" xfId="331"/>
    <cellStyle name="20% - Accent5 2 2 4" xfId="538"/>
    <cellStyle name="20% - Accent5 2 3" xfId="229"/>
    <cellStyle name="20% - Accent5 2 3 2" xfId="333"/>
    <cellStyle name="20% - Accent5 2 4" xfId="330"/>
    <cellStyle name="20% - Accent5 2 5" xfId="179"/>
    <cellStyle name="20% - Accent5 2 6" xfId="483"/>
    <cellStyle name="20% - Accent5 2 7" xfId="574"/>
    <cellStyle name="20% - Accent5 3" xfId="125"/>
    <cellStyle name="20% - Accent5 3 2" xfId="245"/>
    <cellStyle name="20% - Accent5 3 2 2" xfId="335"/>
    <cellStyle name="20% - Accent5 3 3" xfId="334"/>
    <cellStyle name="20% - Accent5 3 4" xfId="523"/>
    <cellStyle name="20% - Accent5 4" xfId="214"/>
    <cellStyle name="20% - Accent5 4 2" xfId="336"/>
    <cellStyle name="20% - Accent5 5" xfId="292"/>
    <cellStyle name="20% - Accent5 6" xfId="329"/>
    <cellStyle name="20% - Accent5 7" xfId="489"/>
    <cellStyle name="20% - Accent5 8" xfId="566"/>
    <cellStyle name="20% - Accent6" xfId="38" builtinId="50" customBuiltin="1"/>
    <cellStyle name="20% - Accent6 2" xfId="47"/>
    <cellStyle name="20% - Accent6 2 2" xfId="140"/>
    <cellStyle name="20% - Accent6 2 2 2" xfId="262"/>
    <cellStyle name="20% - Accent6 2 2 2 2" xfId="340"/>
    <cellStyle name="20% - Accent6 2 2 3" xfId="339"/>
    <cellStyle name="20% - Accent6 2 2 4" xfId="540"/>
    <cellStyle name="20% - Accent6 2 3" xfId="231"/>
    <cellStyle name="20% - Accent6 2 3 2" xfId="341"/>
    <cellStyle name="20% - Accent6 2 4" xfId="338"/>
    <cellStyle name="20% - Accent6 2 5" xfId="495"/>
    <cellStyle name="20% - Accent6 2 6" xfId="481"/>
    <cellStyle name="20% - Accent6 2 7" xfId="575"/>
    <cellStyle name="20% - Accent6 3" xfId="127"/>
    <cellStyle name="20% - Accent6 3 2" xfId="247"/>
    <cellStyle name="20% - Accent6 3 2 2" xfId="343"/>
    <cellStyle name="20% - Accent6 3 3" xfId="342"/>
    <cellStyle name="20% - Accent6 3 4" xfId="525"/>
    <cellStyle name="20% - Accent6 4" xfId="216"/>
    <cellStyle name="20% - Accent6 4 2" xfId="344"/>
    <cellStyle name="20% - Accent6 5" xfId="294"/>
    <cellStyle name="20% - Accent6 6" xfId="337"/>
    <cellStyle name="20% - Accent6 7" xfId="472"/>
    <cellStyle name="20% - Accent6 8" xfId="568"/>
    <cellStyle name="40% - Accent1" xfId="19" builtinId="31" customBuiltin="1"/>
    <cellStyle name="40% - Accent1 2" xfId="48"/>
    <cellStyle name="40% - Accent1 2 2" xfId="131"/>
    <cellStyle name="40% - Accent1 2 2 2" xfId="253"/>
    <cellStyle name="40% - Accent1 2 2 2 2" xfId="348"/>
    <cellStyle name="40% - Accent1 2 2 3" xfId="347"/>
    <cellStyle name="40% - Accent1 2 2 4" xfId="531"/>
    <cellStyle name="40% - Accent1 2 3" xfId="222"/>
    <cellStyle name="40% - Accent1 2 3 2" xfId="349"/>
    <cellStyle name="40% - Accent1 2 4" xfId="346"/>
    <cellStyle name="40% - Accent1 2 5" xfId="479"/>
    <cellStyle name="40% - Accent1 2 6" xfId="486"/>
    <cellStyle name="40% - Accent1 2 7" xfId="576"/>
    <cellStyle name="40% - Accent1 3" xfId="118"/>
    <cellStyle name="40% - Accent1 3 2" xfId="238"/>
    <cellStyle name="40% - Accent1 3 2 2" xfId="351"/>
    <cellStyle name="40% - Accent1 3 3" xfId="350"/>
    <cellStyle name="40% - Accent1 3 4" xfId="516"/>
    <cellStyle name="40% - Accent1 4" xfId="207"/>
    <cellStyle name="40% - Accent1 4 2" xfId="352"/>
    <cellStyle name="40% - Accent1 5" xfId="285"/>
    <cellStyle name="40% - Accent1 6" xfId="345"/>
    <cellStyle name="40% - Accent1 7" xfId="492"/>
    <cellStyle name="40% - Accent1 8" xfId="559"/>
    <cellStyle name="40% - Accent2" xfId="23" builtinId="35" customBuiltin="1"/>
    <cellStyle name="40% - Accent2 2" xfId="49"/>
    <cellStyle name="40% - Accent2 2 2" xfId="133"/>
    <cellStyle name="40% - Accent2 2 2 2" xfId="255"/>
    <cellStyle name="40% - Accent2 2 2 2 2" xfId="356"/>
    <cellStyle name="40% - Accent2 2 2 3" xfId="355"/>
    <cellStyle name="40% - Accent2 2 2 4" xfId="533"/>
    <cellStyle name="40% - Accent2 2 3" xfId="224"/>
    <cellStyle name="40% - Accent2 2 3 2" xfId="357"/>
    <cellStyle name="40% - Accent2 2 4" xfId="354"/>
    <cellStyle name="40% - Accent2 2 5" xfId="502"/>
    <cellStyle name="40% - Accent2 2 6" xfId="484"/>
    <cellStyle name="40% - Accent2 2 7" xfId="577"/>
    <cellStyle name="40% - Accent2 3" xfId="120"/>
    <cellStyle name="40% - Accent2 3 2" xfId="240"/>
    <cellStyle name="40% - Accent2 3 2 2" xfId="359"/>
    <cellStyle name="40% - Accent2 3 3" xfId="358"/>
    <cellStyle name="40% - Accent2 3 4" xfId="518"/>
    <cellStyle name="40% - Accent2 4" xfId="209"/>
    <cellStyle name="40% - Accent2 4 2" xfId="360"/>
    <cellStyle name="40% - Accent2 5" xfId="287"/>
    <cellStyle name="40% - Accent2 6" xfId="353"/>
    <cellStyle name="40% - Accent2 7" xfId="468"/>
    <cellStyle name="40% - Accent2 8" xfId="561"/>
    <cellStyle name="40% - Accent3" xfId="27" builtinId="39" customBuiltin="1"/>
    <cellStyle name="40% - Accent3 2" xfId="50"/>
    <cellStyle name="40% - Accent3 2 2" xfId="135"/>
    <cellStyle name="40% - Accent3 2 2 2" xfId="257"/>
    <cellStyle name="40% - Accent3 2 2 2 2" xfId="364"/>
    <cellStyle name="40% - Accent3 2 2 3" xfId="363"/>
    <cellStyle name="40% - Accent3 2 2 4" xfId="535"/>
    <cellStyle name="40% - Accent3 2 3" xfId="226"/>
    <cellStyle name="40% - Accent3 2 3 2" xfId="365"/>
    <cellStyle name="40% - Accent3 2 4" xfId="362"/>
    <cellStyle name="40% - Accent3 2 5" xfId="460"/>
    <cellStyle name="40% - Accent3 2 6" xfId="466"/>
    <cellStyle name="40% - Accent3 2 7" xfId="578"/>
    <cellStyle name="40% - Accent3 3" xfId="122"/>
    <cellStyle name="40% - Accent3 3 2" xfId="242"/>
    <cellStyle name="40% - Accent3 3 2 2" xfId="367"/>
    <cellStyle name="40% - Accent3 3 3" xfId="366"/>
    <cellStyle name="40% - Accent3 3 4" xfId="520"/>
    <cellStyle name="40% - Accent3 4" xfId="211"/>
    <cellStyle name="40% - Accent3 4 2" xfId="368"/>
    <cellStyle name="40% - Accent3 5" xfId="289"/>
    <cellStyle name="40% - Accent3 6" xfId="361"/>
    <cellStyle name="40% - Accent3 7" xfId="488"/>
    <cellStyle name="40% - Accent3 8" xfId="563"/>
    <cellStyle name="40% - Accent4" xfId="31" builtinId="43" customBuiltin="1"/>
    <cellStyle name="40% - Accent4 2" xfId="51"/>
    <cellStyle name="40% - Accent4 2 2" xfId="137"/>
    <cellStyle name="40% - Accent4 2 2 2" xfId="259"/>
    <cellStyle name="40% - Accent4 2 2 2 2" xfId="372"/>
    <cellStyle name="40% - Accent4 2 2 3" xfId="371"/>
    <cellStyle name="40% - Accent4 2 2 4" xfId="537"/>
    <cellStyle name="40% - Accent4 2 3" xfId="228"/>
    <cellStyle name="40% - Accent4 2 3 2" xfId="373"/>
    <cellStyle name="40% - Accent4 2 4" xfId="370"/>
    <cellStyle name="40% - Accent4 2 5" xfId="500"/>
    <cellStyle name="40% - Accent4 2 6" xfId="480"/>
    <cellStyle name="40% - Accent4 2 7" xfId="579"/>
    <cellStyle name="40% - Accent4 3" xfId="124"/>
    <cellStyle name="40% - Accent4 3 2" xfId="244"/>
    <cellStyle name="40% - Accent4 3 2 2" xfId="375"/>
    <cellStyle name="40% - Accent4 3 3" xfId="374"/>
    <cellStyle name="40% - Accent4 3 4" xfId="522"/>
    <cellStyle name="40% - Accent4 4" xfId="213"/>
    <cellStyle name="40% - Accent4 4 2" xfId="376"/>
    <cellStyle name="40% - Accent4 5" xfId="291"/>
    <cellStyle name="40% - Accent4 6" xfId="369"/>
    <cellStyle name="40% - Accent4 7" xfId="464"/>
    <cellStyle name="40% - Accent4 8" xfId="565"/>
    <cellStyle name="40% - Accent5" xfId="35" builtinId="47" customBuiltin="1"/>
    <cellStyle name="40% - Accent5 2" xfId="52"/>
    <cellStyle name="40% - Accent5 2 2" xfId="139"/>
    <cellStyle name="40% - Accent5 2 2 2" xfId="261"/>
    <cellStyle name="40% - Accent5 2 2 2 2" xfId="380"/>
    <cellStyle name="40% - Accent5 2 2 3" xfId="379"/>
    <cellStyle name="40% - Accent5 2 2 4" xfId="539"/>
    <cellStyle name="40% - Accent5 2 3" xfId="230"/>
    <cellStyle name="40% - Accent5 2 3 2" xfId="381"/>
    <cellStyle name="40% - Accent5 2 4" xfId="378"/>
    <cellStyle name="40% - Accent5 2 5" xfId="501"/>
    <cellStyle name="40% - Accent5 2 6" xfId="462"/>
    <cellStyle name="40% - Accent5 2 7" xfId="580"/>
    <cellStyle name="40% - Accent5 3" xfId="126"/>
    <cellStyle name="40% - Accent5 3 2" xfId="246"/>
    <cellStyle name="40% - Accent5 3 2 2" xfId="383"/>
    <cellStyle name="40% - Accent5 3 3" xfId="382"/>
    <cellStyle name="40% - Accent5 3 4" xfId="524"/>
    <cellStyle name="40% - Accent5 4" xfId="215"/>
    <cellStyle name="40% - Accent5 4 2" xfId="384"/>
    <cellStyle name="40% - Accent5 5" xfId="293"/>
    <cellStyle name="40% - Accent5 6" xfId="377"/>
    <cellStyle name="40% - Accent5 7" xfId="490"/>
    <cellStyle name="40% - Accent5 8" xfId="567"/>
    <cellStyle name="40% - Accent6" xfId="39" builtinId="51" customBuiltin="1"/>
    <cellStyle name="40% - Accent6 2" xfId="53"/>
    <cellStyle name="40% - Accent6 2 2" xfId="141"/>
    <cellStyle name="40% - Accent6 2 2 2" xfId="263"/>
    <cellStyle name="40% - Accent6 2 2 2 2" xfId="388"/>
    <cellStyle name="40% - Accent6 2 2 3" xfId="387"/>
    <cellStyle name="40% - Accent6 2 2 4" xfId="541"/>
    <cellStyle name="40% - Accent6 2 3" xfId="232"/>
    <cellStyle name="40% - Accent6 2 3 2" xfId="389"/>
    <cellStyle name="40% - Accent6 2 4" xfId="386"/>
    <cellStyle name="40% - Accent6 2 5" xfId="469"/>
    <cellStyle name="40% - Accent6 2 6" xfId="482"/>
    <cellStyle name="40% - Accent6 2 7" xfId="581"/>
    <cellStyle name="40% - Accent6 3" xfId="128"/>
    <cellStyle name="40% - Accent6 3 2" xfId="248"/>
    <cellStyle name="40% - Accent6 3 2 2" xfId="391"/>
    <cellStyle name="40% - Accent6 3 3" xfId="390"/>
    <cellStyle name="40% - Accent6 3 4" xfId="526"/>
    <cellStyle name="40% - Accent6 4" xfId="217"/>
    <cellStyle name="40% - Accent6 4 2" xfId="392"/>
    <cellStyle name="40% - Accent6 5" xfId="295"/>
    <cellStyle name="40% - Accent6 6" xfId="385"/>
    <cellStyle name="40% - Accent6 7" xfId="107"/>
    <cellStyle name="40% - Accent6 8" xfId="569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5"/>
    <cellStyle name="Comma 2 2" xfId="78"/>
    <cellStyle name="Comma 2 2 2" xfId="90"/>
    <cellStyle name="Comma 2 2 3" xfId="196"/>
    <cellStyle name="Comma 2 2 4" xfId="174"/>
    <cellStyle name="Comma 2 2 5" xfId="454"/>
    <cellStyle name="Comma 2 3" xfId="76"/>
    <cellStyle name="Comma 2 3 2" xfId="194"/>
    <cellStyle name="Comma 2 3 3" xfId="164"/>
    <cellStyle name="Comma 2 4" xfId="186"/>
    <cellStyle name="Comma 3" xfId="54"/>
    <cellStyle name="Comma 3 2" xfId="75"/>
    <cellStyle name="Comma 3 3" xfId="89"/>
    <cellStyle name="Comma 3 4" xfId="187"/>
    <cellStyle name="Comma 4" xfId="88"/>
    <cellStyle name="Comma 4 2" xfId="163"/>
    <cellStyle name="Comma 4 2 2" xfId="204"/>
    <cellStyle name="Comma 4 3" xfId="185"/>
    <cellStyle name="Comma 4 4" xfId="151"/>
    <cellStyle name="Comma 5" xfId="87"/>
    <cellStyle name="Comma 5 2" xfId="171"/>
    <cellStyle name="Comma 5 3" xfId="269"/>
    <cellStyle name="Comma 5 3 2" xfId="395"/>
    <cellStyle name="Comma 5 4" xfId="394"/>
    <cellStyle name="Comma 5 5" xfId="162"/>
    <cellStyle name="Comma 6" xfId="149"/>
    <cellStyle name="Comma 6 2" xfId="156"/>
    <cellStyle name="Comma 7" xfId="393"/>
    <cellStyle name="Comma 7 2" xfId="473"/>
    <cellStyle name="Currency 2" xfId="56"/>
    <cellStyle name="Currency 3" xfId="152"/>
    <cellStyle name="Currency 4" xfId="146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92"/>
    <cellStyle name="Hyperlink 3" xfId="93"/>
    <cellStyle name="Hyperlink 4" xfId="91"/>
    <cellStyle name="Hyperlink 4 2" xfId="202"/>
    <cellStyle name="Hyperlink 4 3" xfId="180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173"/>
    <cellStyle name="Normal 10 2" xfId="270"/>
    <cellStyle name="Normal 10 2 2" xfId="397"/>
    <cellStyle name="Normal 10 3" xfId="396"/>
    <cellStyle name="Normal 10 4" xfId="547"/>
    <cellStyle name="Normal 11" xfId="167"/>
    <cellStyle name="Normal 11 2" xfId="510"/>
    <cellStyle name="Normal 11 3" xfId="457"/>
    <cellStyle name="Normal 12" xfId="205"/>
    <cellStyle name="Normal 12 2" xfId="398"/>
    <cellStyle name="Normal 13" xfId="282"/>
    <cellStyle name="Normal 13 2" xfId="399"/>
    <cellStyle name="Normal 14" xfId="296"/>
    <cellStyle name="Normal 14 2" xfId="102"/>
    <cellStyle name="Normal 14 3" xfId="106"/>
    <cellStyle name="Normal 15" xfId="557"/>
    <cellStyle name="Normal 2" xfId="57"/>
    <cellStyle name="Normal 2 10" xfId="103"/>
    <cellStyle name="Normal 2 11" xfId="582"/>
    <cellStyle name="Normal 2 2" xfId="58"/>
    <cellStyle name="Normal 2 2 2" xfId="59"/>
    <cellStyle name="Normal 2 2 2 2" xfId="86"/>
    <cellStyle name="Normal 2 2 2 2 2" xfId="94"/>
    <cellStyle name="Normal 2 2 2 2 2 2" xfId="277"/>
    <cellStyle name="Normal 2 2 2 2 2 2 2" xfId="403"/>
    <cellStyle name="Normal 2 2 2 2 2 2 3" xfId="556"/>
    <cellStyle name="Normal 2 2 2 2 2 3" xfId="402"/>
    <cellStyle name="Normal 2 2 2 2 2 4" xfId="505"/>
    <cellStyle name="Normal 2 2 2 2 2 5" xfId="115"/>
    <cellStyle name="Normal 2 2 2 2 2 6" xfId="551"/>
    <cellStyle name="Normal 2 2 2 2 2 7" xfId="591"/>
    <cellStyle name="Normal 2 2 2 2 3" xfId="200"/>
    <cellStyle name="Normal 2 2 2 2 4" xfId="273"/>
    <cellStyle name="Normal 2 2 2 2 4 2" xfId="404"/>
    <cellStyle name="Normal 2 2 2 2 5" xfId="401"/>
    <cellStyle name="Normal 2 2 2 3" xfId="513"/>
    <cellStyle name="Normal 2 2 2 4" xfId="456"/>
    <cellStyle name="Normal 2 2 2 5" xfId="506"/>
    <cellStyle name="Normal 2 2 2 6" xfId="496"/>
    <cellStyle name="Normal 2 2 2 7" xfId="583"/>
    <cellStyle name="Normal 2 2 3" xfId="83"/>
    <cellStyle name="Normal 2 2 3 2" xfId="198"/>
    <cellStyle name="Normal 2 2 3 3" xfId="188"/>
    <cellStyle name="Normal 2 2 3 3 2" xfId="274"/>
    <cellStyle name="Normal 2 2 3 3 2 2" xfId="406"/>
    <cellStyle name="Normal 2 2 3 3 3" xfId="405"/>
    <cellStyle name="Normal 2 2 4" xfId="158"/>
    <cellStyle name="Normal 2 2 4 2" xfId="268"/>
    <cellStyle name="Normal 2 2 4 2 2" xfId="408"/>
    <cellStyle name="Normal 2 2 4 3" xfId="407"/>
    <cellStyle name="Normal 2 2 4 3 2" xfId="467"/>
    <cellStyle name="Normal 2 2 4 4" xfId="546"/>
    <cellStyle name="Normal 2 3" xfId="79"/>
    <cellStyle name="Normal 2 3 2" xfId="109"/>
    <cellStyle name="Normal 2 3 3" xfId="507"/>
    <cellStyle name="Normal 2 4" xfId="60"/>
    <cellStyle name="Normal 2 4 2" xfId="82"/>
    <cellStyle name="Normal 2 4 2 2" xfId="197"/>
    <cellStyle name="Normal 2 4 2 3" xfId="175"/>
    <cellStyle name="Normal 2 4 3" xfId="157"/>
    <cellStyle name="Normal 2 4 4" xfId="509"/>
    <cellStyle name="Normal 2 5" xfId="81"/>
    <cellStyle name="Normal 2 5 2" xfId="142"/>
    <cellStyle name="Normal 2 5 2 2" xfId="264"/>
    <cellStyle name="Normal 2 5 2 2 2" xfId="411"/>
    <cellStyle name="Normal 2 5 2 3" xfId="410"/>
    <cellStyle name="Normal 2 5 2 4" xfId="542"/>
    <cellStyle name="Normal 2 5 3" xfId="233"/>
    <cellStyle name="Normal 2 5 3 2" xfId="412"/>
    <cellStyle name="Normal 2 5 4" xfId="409"/>
    <cellStyle name="Normal 2 5 5" xfId="105"/>
    <cellStyle name="Normal 2 5 6" xfId="471"/>
    <cellStyle name="Normal 2 5 7" xfId="589"/>
    <cellStyle name="Normal 2 6" xfId="129"/>
    <cellStyle name="Normal 2 6 2" xfId="249"/>
    <cellStyle name="Normal 2 6 2 2" xfId="414"/>
    <cellStyle name="Normal 2 6 3" xfId="413"/>
    <cellStyle name="Normal 2 6 4" xfId="527"/>
    <cellStyle name="Normal 2 7" xfId="218"/>
    <cellStyle name="Normal 2 7 2" xfId="415"/>
    <cellStyle name="Normal 2 8" xfId="400"/>
    <cellStyle name="Normal 2 9" xfId="111"/>
    <cellStyle name="Normal 3" xfId="61"/>
    <cellStyle name="Normal 3 2" xfId="62"/>
    <cellStyle name="Normal 3 2 2" xfId="84"/>
    <cellStyle name="Normal 3 2 2 2" xfId="199"/>
    <cellStyle name="Normal 3 2 2 2 2" xfId="281"/>
    <cellStyle name="Normal 3 2 2 2 2 2" xfId="419"/>
    <cellStyle name="Normal 3 2 2 2 3" xfId="418"/>
    <cellStyle name="Normal 3 2 2 2 4" xfId="555"/>
    <cellStyle name="Normal 3 2 2 3" xfId="181"/>
    <cellStyle name="Normal 3 2 2 3 2" xfId="470"/>
    <cellStyle name="Normal 3 2 2 3 3" xfId="453"/>
    <cellStyle name="Normal 3 2 2 4" xfId="266"/>
    <cellStyle name="Normal 3 2 2 4 2" xfId="420"/>
    <cellStyle name="Normal 3 2 2 5" xfId="417"/>
    <cellStyle name="Normal 3 2 2 6" xfId="183"/>
    <cellStyle name="Normal 3 2 2 7" xfId="544"/>
    <cellStyle name="Normal 3 2 2 8" xfId="590"/>
    <cellStyle name="Normal 3 2 3" xfId="178"/>
    <cellStyle name="Normal 3 2 4" xfId="235"/>
    <cellStyle name="Normal 3 2 4 2" xfId="421"/>
    <cellStyle name="Normal 3 2 5" xfId="416"/>
    <cellStyle name="Normal 3 3" xfId="63"/>
    <cellStyle name="Normal 3 4" xfId="155"/>
    <cellStyle name="Normal 4" xfId="64"/>
    <cellStyle name="Normal 4 2" xfId="65"/>
    <cellStyle name="Normal 4 2 2" xfId="85"/>
    <cellStyle name="Normal 4 2 3" xfId="172"/>
    <cellStyle name="Normal 4 2 4" xfId="463"/>
    <cellStyle name="Normal 4 3" xfId="66"/>
    <cellStyle name="Normal 4 3 2" xfId="191"/>
    <cellStyle name="Normal 4 3 2 2" xfId="278"/>
    <cellStyle name="Normal 4 3 2 2 2" xfId="424"/>
    <cellStyle name="Normal 4 3 2 3" xfId="423"/>
    <cellStyle name="Normal 4 3 2 4" xfId="552"/>
    <cellStyle name="Normal 4 3 3" xfId="272"/>
    <cellStyle name="Normal 4 3 3 2" xfId="425"/>
    <cellStyle name="Normal 4 3 4" xfId="422"/>
    <cellStyle name="Normal 4 3 5" xfId="499"/>
    <cellStyle name="Normal 4 3 6" xfId="549"/>
    <cellStyle name="Normal 4 3 7" xfId="584"/>
    <cellStyle name="Normal 4 4" xfId="95"/>
    <cellStyle name="Normal 4 5" xfId="166"/>
    <cellStyle name="Normal 4 6" xfId="184"/>
    <cellStyle name="Normal 5" xfId="67"/>
    <cellStyle name="Normal 5 2" xfId="80"/>
    <cellStyle name="Normal 5 3" xfId="170"/>
    <cellStyle name="Normal 6" xfId="68"/>
    <cellStyle name="Normal 6 2" xfId="77"/>
    <cellStyle name="Normal 6 2 2" xfId="96"/>
    <cellStyle name="Normal 6 2 3" xfId="195"/>
    <cellStyle name="Normal 6 2 3 2" xfId="280"/>
    <cellStyle name="Normal 6 2 3 2 2" xfId="429"/>
    <cellStyle name="Normal 6 2 3 3" xfId="428"/>
    <cellStyle name="Normal 6 2 3 4" xfId="554"/>
    <cellStyle name="Normal 6 2 4" xfId="147"/>
    <cellStyle name="Normal 6 2 4 2" xfId="165"/>
    <cellStyle name="Normal 6 2 4 3" xfId="168"/>
    <cellStyle name="Normal 6 2 5" xfId="251"/>
    <cellStyle name="Normal 6 2 5 2" xfId="430"/>
    <cellStyle name="Normal 6 2 6" xfId="427"/>
    <cellStyle name="Normal 6 2 7" xfId="474"/>
    <cellStyle name="Normal 6 2 8" xfId="529"/>
    <cellStyle name="Normal 6 2 9" xfId="588"/>
    <cellStyle name="Normal 6 3" xfId="189"/>
    <cellStyle name="Normal 6 3 2" xfId="275"/>
    <cellStyle name="Normal 6 3 2 2" xfId="432"/>
    <cellStyle name="Normal 6 3 3" xfId="431"/>
    <cellStyle name="Normal 6 4" xfId="220"/>
    <cellStyle name="Normal 6 4 2" xfId="433"/>
    <cellStyle name="Normal 6 5" xfId="426"/>
    <cellStyle name="Normal 7" xfId="69"/>
    <cellStyle name="Normal 7 2" xfId="74"/>
    <cellStyle name="Normal 7 2 2" xfId="161"/>
    <cellStyle name="Normal 7 2 3" xfId="150"/>
    <cellStyle name="Normal 7 3" xfId="169"/>
    <cellStyle name="Normal 7 4" xfId="193"/>
    <cellStyle name="Normal 7 5" xfId="203"/>
    <cellStyle name="Normal 7 6" xfId="145"/>
    <cellStyle name="Normal 7 7" xfId="236"/>
    <cellStyle name="Normal 7 7 2" xfId="434"/>
    <cellStyle name="Normal 7 8" xfId="435"/>
    <cellStyle name="Normal 7 9" xfId="116"/>
    <cellStyle name="Normal 8" xfId="41"/>
    <cellStyle name="Normal 8 2" xfId="176"/>
    <cellStyle name="Normal 8 3" xfId="154"/>
    <cellStyle name="Normal 9" xfId="148"/>
    <cellStyle name="Normal 9 2" xfId="267"/>
    <cellStyle name="Normal 9 2 2" xfId="437"/>
    <cellStyle name="Normal 9 3" xfId="436"/>
    <cellStyle name="Normal 9 4" xfId="545"/>
    <cellStyle name="Note 10" xfId="594"/>
    <cellStyle name="Note 2" xfId="70"/>
    <cellStyle name="Note 2 10" xfId="585"/>
    <cellStyle name="Note 2 2" xfId="71"/>
    <cellStyle name="Note 2 2 2" xfId="143"/>
    <cellStyle name="Note 2 2 2 2" xfId="265"/>
    <cellStyle name="Note 2 2 2 2 2" xfId="441"/>
    <cellStyle name="Note 2 2 2 3" xfId="440"/>
    <cellStyle name="Note 2 2 2 4" xfId="543"/>
    <cellStyle name="Note 2 2 3" xfId="234"/>
    <cellStyle name="Note 2 2 3 2" xfId="442"/>
    <cellStyle name="Note 2 2 4" xfId="439"/>
    <cellStyle name="Note 2 2 5" xfId="497"/>
    <cellStyle name="Note 2 2 6" xfId="108"/>
    <cellStyle name="Note 2 2 7" xfId="586"/>
    <cellStyle name="Note 2 3" xfId="98"/>
    <cellStyle name="Note 2 3 2" xfId="190"/>
    <cellStyle name="Note 2 3 2 2" xfId="276"/>
    <cellStyle name="Note 2 3 2 2 2" xfId="445"/>
    <cellStyle name="Note 2 3 2 3" xfId="444"/>
    <cellStyle name="Note 2 3 2 4" xfId="550"/>
    <cellStyle name="Note 2 3 3" xfId="250"/>
    <cellStyle name="Note 2 3 3 2" xfId="446"/>
    <cellStyle name="Note 2 3 4" xfId="443"/>
    <cellStyle name="Note 2 3 5" xfId="487"/>
    <cellStyle name="Note 2 3 6" xfId="528"/>
    <cellStyle name="Note 2 3 7" xfId="592"/>
    <cellStyle name="Note 2 4" xfId="97"/>
    <cellStyle name="Note 2 5" xfId="182"/>
    <cellStyle name="Note 2 5 2" xfId="110"/>
    <cellStyle name="Note 2 5 3" xfId="455"/>
    <cellStyle name="Note 2 6" xfId="219"/>
    <cellStyle name="Note 2 6 2" xfId="447"/>
    <cellStyle name="Note 2 7" xfId="438"/>
    <cellStyle name="Note 2 8" xfId="465"/>
    <cellStyle name="Note 2 9" xfId="144"/>
    <cellStyle name="Note 3" xfId="72"/>
    <cellStyle name="Note 3 2" xfId="100"/>
    <cellStyle name="Note 3 2 2" xfId="192"/>
    <cellStyle name="Note 3 2 2 2" xfId="279"/>
    <cellStyle name="Note 3 2 2 2 2" xfId="450"/>
    <cellStyle name="Note 3 2 2 3" xfId="449"/>
    <cellStyle name="Note 3 2 2 4" xfId="553"/>
    <cellStyle name="Note 3 2 3" xfId="271"/>
    <cellStyle name="Note 3 2 3 2" xfId="451"/>
    <cellStyle name="Note 3 2 4" xfId="448"/>
    <cellStyle name="Note 3 2 5" xfId="478"/>
    <cellStyle name="Note 3 2 6" xfId="548"/>
    <cellStyle name="Note 3 2 7" xfId="593"/>
    <cellStyle name="Note 3 3" xfId="99"/>
    <cellStyle name="Note 3 4" xfId="512"/>
    <cellStyle name="Note 3 4 2" xfId="508"/>
    <cellStyle name="Note 3 5" xfId="104"/>
    <cellStyle name="Note 3 6" xfId="504"/>
    <cellStyle name="Note 3 7" xfId="498"/>
    <cellStyle name="Note 3 8" xfId="587"/>
    <cellStyle name="Note 4" xfId="101"/>
    <cellStyle name="Note 5" xfId="159"/>
    <cellStyle name="Note 5 2" xfId="511"/>
    <cellStyle name="Note 5 3" xfId="514"/>
    <cellStyle name="Note 6" xfId="177"/>
    <cellStyle name="Note 6 2" xfId="461"/>
    <cellStyle name="Note 6 3" xfId="476"/>
    <cellStyle name="Note 7" xfId="283"/>
    <cellStyle name="Note 8" xfId="114"/>
    <cellStyle name="Note 9" xfId="494"/>
    <cellStyle name="Output" xfId="10" builtinId="21" customBuiltin="1"/>
    <cellStyle name="Percent 2" xfId="73"/>
    <cellStyle name="Percent 3" xfId="153"/>
    <cellStyle name="Percent 4" xfId="160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3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/>
  <cols>
    <col min="1" max="1" width="6.140625" bestFit="1" customWidth="1"/>
    <col min="2" max="2" width="24.42578125" bestFit="1" customWidth="1"/>
    <col min="3" max="3" width="11.85546875" bestFit="1" customWidth="1"/>
    <col min="4" max="4" width="15.7109375" style="1" customWidth="1"/>
    <col min="5" max="5" width="13.42578125" style="1" bestFit="1" customWidth="1"/>
    <col min="6" max="6" width="10.7109375" style="1" customWidth="1"/>
    <col min="7" max="7" width="13.42578125" style="1" bestFit="1" customWidth="1"/>
    <col min="8" max="8" width="13.42578125" bestFit="1" customWidth="1"/>
  </cols>
  <sheetData>
    <row r="1" spans="1:9" ht="15.75">
      <c r="A1" s="5"/>
      <c r="B1" s="12">
        <v>41806</v>
      </c>
      <c r="C1" s="5"/>
      <c r="D1" s="20" t="s">
        <v>686</v>
      </c>
      <c r="E1" s="20"/>
      <c r="F1" s="20"/>
      <c r="G1" s="20"/>
      <c r="H1" s="20"/>
      <c r="I1" s="20"/>
    </row>
    <row r="2" spans="1:9" s="4" customFormat="1" ht="15.75">
      <c r="B2" s="16"/>
      <c r="D2" s="20" t="s">
        <v>687</v>
      </c>
      <c r="E2" s="20"/>
      <c r="F2" s="20"/>
      <c r="G2" s="20"/>
      <c r="H2" s="20"/>
      <c r="I2" s="20"/>
    </row>
    <row r="3" spans="1:9" s="4" customFormat="1">
      <c r="B3" s="16"/>
      <c r="D3" s="17"/>
      <c r="E3" s="17"/>
      <c r="F3" s="17"/>
      <c r="G3" s="17"/>
      <c r="H3" s="17"/>
    </row>
    <row r="4" spans="1:9">
      <c r="A4" s="5"/>
      <c r="B4" s="8"/>
      <c r="C4" s="5"/>
      <c r="D4" s="17" t="s">
        <v>688</v>
      </c>
      <c r="E4" s="17" t="s">
        <v>688</v>
      </c>
      <c r="F4" s="17" t="s">
        <v>688</v>
      </c>
      <c r="G4" s="17" t="s">
        <v>688</v>
      </c>
      <c r="H4" s="17" t="s">
        <v>688</v>
      </c>
      <c r="I4" s="17" t="s">
        <v>688</v>
      </c>
    </row>
    <row r="5" spans="1:9" ht="39.75" thickBot="1">
      <c r="A5" s="9" t="s">
        <v>0</v>
      </c>
      <c r="B5" s="11" t="s">
        <v>1</v>
      </c>
      <c r="C5" s="11" t="s">
        <v>2</v>
      </c>
      <c r="D5" s="3" t="s">
        <v>681</v>
      </c>
      <c r="E5" s="14" t="s">
        <v>682</v>
      </c>
      <c r="F5" s="14" t="s">
        <v>683</v>
      </c>
      <c r="G5" s="14" t="s">
        <v>684</v>
      </c>
      <c r="H5" s="3" t="s">
        <v>3</v>
      </c>
      <c r="I5" s="15" t="s">
        <v>685</v>
      </c>
    </row>
    <row r="6" spans="1:9">
      <c r="A6" s="7" t="s">
        <v>4</v>
      </c>
      <c r="B6" s="10" t="s">
        <v>5</v>
      </c>
      <c r="C6" s="10" t="s">
        <v>6</v>
      </c>
      <c r="D6" s="26">
        <v>515</v>
      </c>
      <c r="E6" s="22">
        <v>32828664</v>
      </c>
      <c r="F6" s="2">
        <f>E6/D6</f>
        <v>63744.978640776702</v>
      </c>
      <c r="G6" s="23">
        <v>29357154</v>
      </c>
      <c r="H6" s="24">
        <v>32828664</v>
      </c>
      <c r="I6" s="2">
        <f>H6/D6</f>
        <v>63744.978640776702</v>
      </c>
    </row>
    <row r="7" spans="1:9">
      <c r="A7" s="7" t="s">
        <v>7</v>
      </c>
      <c r="B7" s="10" t="s">
        <v>8</v>
      </c>
      <c r="C7" s="10" t="s">
        <v>9</v>
      </c>
      <c r="D7" s="26">
        <v>653</v>
      </c>
      <c r="E7" s="22">
        <v>41344084</v>
      </c>
      <c r="F7" s="2">
        <f t="shared" ref="F7:F70" si="0">E7/D7</f>
        <v>63314.064318529861</v>
      </c>
      <c r="G7" s="23">
        <v>38633334</v>
      </c>
      <c r="H7" s="24">
        <v>40776430</v>
      </c>
      <c r="I7" s="2">
        <f t="shared" ref="I7:I70" si="1">H7/D7</f>
        <v>62444.762633996936</v>
      </c>
    </row>
    <row r="8" spans="1:9">
      <c r="A8" s="7" t="s">
        <v>10</v>
      </c>
      <c r="B8" s="10" t="s">
        <v>11</v>
      </c>
      <c r="C8" s="10" t="s">
        <v>12</v>
      </c>
      <c r="D8" s="26">
        <v>127</v>
      </c>
      <c r="E8" s="22">
        <v>18916043</v>
      </c>
      <c r="F8" s="2">
        <f t="shared" si="0"/>
        <v>148945.22047244094</v>
      </c>
      <c r="G8" s="23">
        <v>17668462</v>
      </c>
      <c r="H8" s="24">
        <v>18789375</v>
      </c>
      <c r="I8" s="2">
        <f t="shared" si="1"/>
        <v>147947.8346456693</v>
      </c>
    </row>
    <row r="9" spans="1:9">
      <c r="A9" s="7" t="s">
        <v>13</v>
      </c>
      <c r="B9" s="10" t="s">
        <v>14</v>
      </c>
      <c r="C9" s="10" t="s">
        <v>15</v>
      </c>
      <c r="D9" s="26">
        <v>310.5</v>
      </c>
      <c r="E9" s="22">
        <v>25440819</v>
      </c>
      <c r="F9" s="2">
        <f t="shared" si="0"/>
        <v>81935.004830917867</v>
      </c>
      <c r="G9" s="23">
        <v>23121570</v>
      </c>
      <c r="H9" s="24">
        <v>24230620</v>
      </c>
      <c r="I9" s="2">
        <f t="shared" si="1"/>
        <v>78037.423510466993</v>
      </c>
    </row>
    <row r="10" spans="1:9">
      <c r="A10" s="7" t="s">
        <v>16</v>
      </c>
      <c r="B10" s="10" t="s">
        <v>17</v>
      </c>
      <c r="C10" s="10" t="s">
        <v>18</v>
      </c>
      <c r="D10" s="26">
        <v>129</v>
      </c>
      <c r="E10" s="22">
        <v>48574282</v>
      </c>
      <c r="F10" s="2">
        <f t="shared" si="0"/>
        <v>376544.82170542638</v>
      </c>
      <c r="G10" s="23">
        <v>47181097</v>
      </c>
      <c r="H10" s="24">
        <v>48401199</v>
      </c>
      <c r="I10" s="2">
        <f t="shared" si="1"/>
        <v>375203.09302325582</v>
      </c>
    </row>
    <row r="11" spans="1:9">
      <c r="A11" s="7" t="s">
        <v>19</v>
      </c>
      <c r="B11" s="10" t="s">
        <v>20</v>
      </c>
      <c r="C11" s="10" t="s">
        <v>21</v>
      </c>
      <c r="D11" s="26">
        <v>279</v>
      </c>
      <c r="E11" s="22">
        <v>31186572</v>
      </c>
      <c r="F11" s="2">
        <f t="shared" si="0"/>
        <v>111779.82795698925</v>
      </c>
      <c r="G11" s="23">
        <v>28538978</v>
      </c>
      <c r="H11" s="24">
        <v>31186572</v>
      </c>
      <c r="I11" s="2">
        <f t="shared" si="1"/>
        <v>111779.82795698925</v>
      </c>
    </row>
    <row r="12" spans="1:9">
      <c r="A12" s="7" t="s">
        <v>22</v>
      </c>
      <c r="B12" s="10" t="s">
        <v>23</v>
      </c>
      <c r="C12" s="10" t="s">
        <v>24</v>
      </c>
      <c r="D12" s="26">
        <v>346</v>
      </c>
      <c r="E12" s="22">
        <v>30072472</v>
      </c>
      <c r="F12" s="2">
        <f t="shared" si="0"/>
        <v>86914.65895953757</v>
      </c>
      <c r="G12" s="23">
        <v>27431263</v>
      </c>
      <c r="H12" s="24">
        <v>30063803</v>
      </c>
      <c r="I12" s="2">
        <f t="shared" si="1"/>
        <v>86889.604046242777</v>
      </c>
    </row>
    <row r="13" spans="1:9">
      <c r="A13" s="7" t="s">
        <v>25</v>
      </c>
      <c r="B13" s="10" t="s">
        <v>26</v>
      </c>
      <c r="C13" s="10" t="s">
        <v>27</v>
      </c>
      <c r="D13" s="26">
        <v>460</v>
      </c>
      <c r="E13" s="22">
        <v>39921505</v>
      </c>
      <c r="F13" s="2">
        <f t="shared" si="0"/>
        <v>86785.880434782608</v>
      </c>
      <c r="G13" s="23">
        <v>36094152</v>
      </c>
      <c r="H13" s="24">
        <v>39754272</v>
      </c>
      <c r="I13" s="2">
        <f t="shared" si="1"/>
        <v>86422.330434782605</v>
      </c>
    </row>
    <row r="14" spans="1:9">
      <c r="A14" s="7" t="s">
        <v>28</v>
      </c>
      <c r="B14" s="10" t="s">
        <v>29</v>
      </c>
      <c r="C14" s="10" t="s">
        <v>30</v>
      </c>
      <c r="D14" s="26">
        <v>227.5</v>
      </c>
      <c r="E14" s="22">
        <v>15709136</v>
      </c>
      <c r="F14" s="2">
        <f t="shared" si="0"/>
        <v>69051.147252747251</v>
      </c>
      <c r="G14" s="23">
        <v>14129152</v>
      </c>
      <c r="H14" s="24">
        <v>15709136</v>
      </c>
      <c r="I14" s="2">
        <f t="shared" si="1"/>
        <v>69051.147252747251</v>
      </c>
    </row>
    <row r="15" spans="1:9">
      <c r="A15" s="7" t="s">
        <v>31</v>
      </c>
      <c r="B15" s="10" t="s">
        <v>32</v>
      </c>
      <c r="C15" s="10" t="s">
        <v>33</v>
      </c>
      <c r="D15" s="26">
        <v>322.5</v>
      </c>
      <c r="E15" s="22">
        <v>51662255</v>
      </c>
      <c r="F15" s="2">
        <f t="shared" si="0"/>
        <v>160193.03875968992</v>
      </c>
      <c r="G15" s="23">
        <v>49360931</v>
      </c>
      <c r="H15" s="24">
        <v>50435824</v>
      </c>
      <c r="I15" s="2">
        <f t="shared" si="1"/>
        <v>156390.15193798448</v>
      </c>
    </row>
    <row r="16" spans="1:9">
      <c r="A16" s="7" t="s">
        <v>34</v>
      </c>
      <c r="B16" s="10" t="s">
        <v>35</v>
      </c>
      <c r="C16" s="10" t="s">
        <v>36</v>
      </c>
      <c r="D16" s="26">
        <v>516.20000000000005</v>
      </c>
      <c r="E16" s="22">
        <v>99773067</v>
      </c>
      <c r="F16" s="2">
        <f t="shared" si="0"/>
        <v>193283.74079814024</v>
      </c>
      <c r="G16" s="23">
        <v>95843186</v>
      </c>
      <c r="H16" s="24">
        <v>99532846</v>
      </c>
      <c r="I16" s="2">
        <f t="shared" si="1"/>
        <v>192818.37659821773</v>
      </c>
    </row>
    <row r="17" spans="1:9">
      <c r="A17" s="7" t="s">
        <v>37</v>
      </c>
      <c r="B17" s="10" t="s">
        <v>38</v>
      </c>
      <c r="C17" s="10" t="s">
        <v>39</v>
      </c>
      <c r="D17" s="26">
        <v>1078.2</v>
      </c>
      <c r="E17" s="22">
        <v>83221449</v>
      </c>
      <c r="F17" s="2">
        <f t="shared" si="0"/>
        <v>77185.539788536451</v>
      </c>
      <c r="G17" s="23">
        <v>77524963</v>
      </c>
      <c r="H17" s="24">
        <v>82647227</v>
      </c>
      <c r="I17" s="2">
        <f t="shared" si="1"/>
        <v>76652.965127063624</v>
      </c>
    </row>
    <row r="18" spans="1:9">
      <c r="A18" s="7" t="s">
        <v>40</v>
      </c>
      <c r="B18" s="10" t="s">
        <v>41</v>
      </c>
      <c r="C18" s="10" t="s">
        <v>33</v>
      </c>
      <c r="D18" s="26">
        <v>647.5</v>
      </c>
      <c r="E18" s="22">
        <v>34495881</v>
      </c>
      <c r="F18" s="2">
        <f t="shared" si="0"/>
        <v>53275.491891891892</v>
      </c>
      <c r="G18" s="23">
        <v>31468831</v>
      </c>
      <c r="H18" s="24">
        <v>32984882</v>
      </c>
      <c r="I18" s="2">
        <f t="shared" si="1"/>
        <v>50941.902702702704</v>
      </c>
    </row>
    <row r="19" spans="1:9">
      <c r="A19" s="7" t="s">
        <v>42</v>
      </c>
      <c r="B19" s="10" t="s">
        <v>43</v>
      </c>
      <c r="C19" s="10" t="s">
        <v>39</v>
      </c>
      <c r="D19" s="26">
        <v>557</v>
      </c>
      <c r="E19" s="22">
        <v>64209965</v>
      </c>
      <c r="F19" s="2">
        <f t="shared" si="0"/>
        <v>115278.21364452424</v>
      </c>
      <c r="G19" s="23">
        <v>60588681</v>
      </c>
      <c r="H19" s="24">
        <v>63604756</v>
      </c>
      <c r="I19" s="2">
        <f t="shared" si="1"/>
        <v>114191.66247755835</v>
      </c>
    </row>
    <row r="20" spans="1:9">
      <c r="A20" s="7" t="s">
        <v>44</v>
      </c>
      <c r="B20" s="10" t="s">
        <v>45</v>
      </c>
      <c r="C20" s="10" t="s">
        <v>46</v>
      </c>
      <c r="D20" s="26">
        <v>210.6</v>
      </c>
      <c r="E20" s="22">
        <v>30013552</v>
      </c>
      <c r="F20" s="2">
        <f t="shared" si="0"/>
        <v>142514.49192782526</v>
      </c>
      <c r="G20" s="23">
        <v>28672105</v>
      </c>
      <c r="H20" s="24">
        <v>30013552</v>
      </c>
      <c r="I20" s="2">
        <f t="shared" si="1"/>
        <v>142514.49192782526</v>
      </c>
    </row>
    <row r="21" spans="1:9">
      <c r="A21" s="7" t="s">
        <v>47</v>
      </c>
      <c r="B21" s="10" t="s">
        <v>48</v>
      </c>
      <c r="C21" s="10" t="s">
        <v>49</v>
      </c>
      <c r="D21" s="26">
        <v>3930.5</v>
      </c>
      <c r="E21" s="22">
        <v>120089715</v>
      </c>
      <c r="F21" s="2">
        <f t="shared" si="0"/>
        <v>30553.292202009921</v>
      </c>
      <c r="G21" s="23">
        <v>105709618</v>
      </c>
      <c r="H21" s="24">
        <v>119565497</v>
      </c>
      <c r="I21" s="2">
        <f t="shared" si="1"/>
        <v>30419.920366365601</v>
      </c>
    </row>
    <row r="22" spans="1:9">
      <c r="A22" s="7" t="s">
        <v>50</v>
      </c>
      <c r="B22" s="10" t="s">
        <v>51</v>
      </c>
      <c r="C22" s="10" t="s">
        <v>49</v>
      </c>
      <c r="D22" s="26">
        <v>1803.6</v>
      </c>
      <c r="E22" s="22">
        <v>167996422</v>
      </c>
      <c r="F22" s="2">
        <f t="shared" si="0"/>
        <v>93145.055444666228</v>
      </c>
      <c r="G22" s="23">
        <v>159399160</v>
      </c>
      <c r="H22" s="24">
        <v>156222245</v>
      </c>
      <c r="I22" s="2">
        <f t="shared" si="1"/>
        <v>86616.902306498116</v>
      </c>
    </row>
    <row r="23" spans="1:9">
      <c r="A23" s="7" t="s">
        <v>52</v>
      </c>
      <c r="B23" s="10" t="s">
        <v>53</v>
      </c>
      <c r="C23" s="10" t="s">
        <v>49</v>
      </c>
      <c r="D23" s="26">
        <v>2440.8000000000002</v>
      </c>
      <c r="E23" s="22">
        <v>157948287</v>
      </c>
      <c r="F23" s="2">
        <f t="shared" si="0"/>
        <v>64711.687561455255</v>
      </c>
      <c r="G23" s="23">
        <v>147116572</v>
      </c>
      <c r="H23" s="24">
        <v>152952491</v>
      </c>
      <c r="I23" s="2">
        <f t="shared" si="1"/>
        <v>62664.901261881343</v>
      </c>
    </row>
    <row r="24" spans="1:9">
      <c r="A24" s="7" t="s">
        <v>54</v>
      </c>
      <c r="B24" s="10" t="s">
        <v>55</v>
      </c>
      <c r="C24" s="10" t="s">
        <v>56</v>
      </c>
      <c r="D24" s="26">
        <v>502.2</v>
      </c>
      <c r="E24" s="22">
        <v>34565694</v>
      </c>
      <c r="F24" s="2">
        <f t="shared" si="0"/>
        <v>68828.542413381118</v>
      </c>
      <c r="G24" s="23">
        <v>30910170</v>
      </c>
      <c r="H24" s="24">
        <v>34565694</v>
      </c>
      <c r="I24" s="2">
        <f t="shared" si="1"/>
        <v>68828.542413381118</v>
      </c>
    </row>
    <row r="25" spans="1:9">
      <c r="A25" s="7" t="s">
        <v>57</v>
      </c>
      <c r="B25" s="10" t="s">
        <v>58</v>
      </c>
      <c r="C25" s="10" t="s">
        <v>56</v>
      </c>
      <c r="D25" s="26">
        <v>513.70000000000005</v>
      </c>
      <c r="E25" s="22">
        <v>42503018</v>
      </c>
      <c r="F25" s="2">
        <f t="shared" si="0"/>
        <v>82738.987736032694</v>
      </c>
      <c r="G25" s="23">
        <v>39416578</v>
      </c>
      <c r="H25" s="24">
        <v>42503018</v>
      </c>
      <c r="I25" s="2">
        <f t="shared" si="1"/>
        <v>82738.987736032694</v>
      </c>
    </row>
    <row r="26" spans="1:9">
      <c r="A26" s="7" t="s">
        <v>59</v>
      </c>
      <c r="B26" s="10" t="s">
        <v>60</v>
      </c>
      <c r="C26" s="10" t="s">
        <v>61</v>
      </c>
      <c r="D26" s="26">
        <v>1887.6</v>
      </c>
      <c r="E26" s="22">
        <v>2531553</v>
      </c>
      <c r="F26" s="2">
        <f t="shared" si="0"/>
        <v>1341.1490781945329</v>
      </c>
      <c r="G26" s="23">
        <v>2531553</v>
      </c>
      <c r="H26" s="24">
        <v>2531553</v>
      </c>
      <c r="I26" s="2">
        <f t="shared" si="1"/>
        <v>1341.1490781945329</v>
      </c>
    </row>
    <row r="27" spans="1:9">
      <c r="A27" s="7" t="s">
        <v>62</v>
      </c>
      <c r="B27" s="10" t="s">
        <v>63</v>
      </c>
      <c r="C27" s="10" t="s">
        <v>64</v>
      </c>
      <c r="D27" s="26">
        <v>375</v>
      </c>
      <c r="E27" s="22">
        <v>48063943</v>
      </c>
      <c r="F27" s="2">
        <f t="shared" si="0"/>
        <v>128170.51466666667</v>
      </c>
      <c r="G27" s="23">
        <v>44985021</v>
      </c>
      <c r="H27" s="24">
        <v>47805073</v>
      </c>
      <c r="I27" s="2">
        <f t="shared" si="1"/>
        <v>127480.19466666666</v>
      </c>
    </row>
    <row r="28" spans="1:9">
      <c r="A28" s="7" t="s">
        <v>65</v>
      </c>
      <c r="B28" s="10" t="s">
        <v>66</v>
      </c>
      <c r="C28" s="10" t="s">
        <v>67</v>
      </c>
      <c r="D28" s="26">
        <v>189.4</v>
      </c>
      <c r="E28" s="22">
        <v>56342804</v>
      </c>
      <c r="F28" s="2">
        <f t="shared" si="0"/>
        <v>297480.48574445618</v>
      </c>
      <c r="G28" s="23">
        <v>55776598</v>
      </c>
      <c r="H28" s="24">
        <v>56342804</v>
      </c>
      <c r="I28" s="2">
        <f t="shared" si="1"/>
        <v>297480.48574445618</v>
      </c>
    </row>
    <row r="29" spans="1:9">
      <c r="A29" s="7" t="s">
        <v>68</v>
      </c>
      <c r="B29" s="10" t="s">
        <v>69</v>
      </c>
      <c r="C29" s="10" t="s">
        <v>67</v>
      </c>
      <c r="D29" s="26">
        <v>1050.0999999999999</v>
      </c>
      <c r="E29" s="22">
        <v>180172884</v>
      </c>
      <c r="F29" s="2">
        <f t="shared" si="0"/>
        <v>171576.88220169509</v>
      </c>
      <c r="G29" s="23">
        <v>176176197</v>
      </c>
      <c r="H29" s="24">
        <v>180172884</v>
      </c>
      <c r="I29" s="2">
        <f t="shared" si="1"/>
        <v>171576.88220169509</v>
      </c>
    </row>
    <row r="30" spans="1:9">
      <c r="A30" s="7" t="s">
        <v>70</v>
      </c>
      <c r="B30" s="10" t="s">
        <v>71</v>
      </c>
      <c r="C30" s="10" t="s">
        <v>72</v>
      </c>
      <c r="D30" s="26">
        <v>695</v>
      </c>
      <c r="E30" s="22">
        <v>41193005</v>
      </c>
      <c r="F30" s="2">
        <f t="shared" si="0"/>
        <v>59270.510791366905</v>
      </c>
      <c r="G30" s="23">
        <v>37041853</v>
      </c>
      <c r="H30" s="24">
        <v>40976686</v>
      </c>
      <c r="I30" s="2">
        <f t="shared" si="1"/>
        <v>58959.260431654679</v>
      </c>
    </row>
    <row r="31" spans="1:9">
      <c r="A31" s="7" t="s">
        <v>73</v>
      </c>
      <c r="B31" s="10" t="s">
        <v>74</v>
      </c>
      <c r="C31" s="10" t="s">
        <v>72</v>
      </c>
      <c r="D31" s="26">
        <v>172.5</v>
      </c>
      <c r="E31" s="22">
        <v>13256800</v>
      </c>
      <c r="F31" s="2">
        <f t="shared" si="0"/>
        <v>76851.014492753617</v>
      </c>
      <c r="G31" s="23">
        <v>12393163</v>
      </c>
      <c r="H31" s="24">
        <v>13249761</v>
      </c>
      <c r="I31" s="2">
        <f t="shared" si="1"/>
        <v>76810.208695652167</v>
      </c>
    </row>
    <row r="32" spans="1:9">
      <c r="A32" s="7" t="s">
        <v>75</v>
      </c>
      <c r="B32" s="10" t="s">
        <v>76</v>
      </c>
      <c r="C32" s="10" t="s">
        <v>77</v>
      </c>
      <c r="D32" s="26">
        <v>1671.5</v>
      </c>
      <c r="E32" s="22">
        <v>232041073</v>
      </c>
      <c r="F32" s="2">
        <f t="shared" si="0"/>
        <v>138822.05982650313</v>
      </c>
      <c r="G32" s="23">
        <v>226159380</v>
      </c>
      <c r="H32" s="24">
        <v>232041073</v>
      </c>
      <c r="I32" s="2">
        <f t="shared" si="1"/>
        <v>138822.05982650313</v>
      </c>
    </row>
    <row r="33" spans="1:9">
      <c r="A33" s="7" t="s">
        <v>78</v>
      </c>
      <c r="B33" s="10" t="s">
        <v>79</v>
      </c>
      <c r="C33" s="10" t="s">
        <v>80</v>
      </c>
      <c r="D33" s="26">
        <v>637.9</v>
      </c>
      <c r="E33" s="22">
        <v>119319847</v>
      </c>
      <c r="F33" s="2">
        <f t="shared" si="0"/>
        <v>187051.02210377803</v>
      </c>
      <c r="G33" s="23">
        <v>116939214</v>
      </c>
      <c r="H33" s="24">
        <v>119319847</v>
      </c>
      <c r="I33" s="2">
        <f t="shared" si="1"/>
        <v>187051.02210377803</v>
      </c>
    </row>
    <row r="34" spans="1:9">
      <c r="A34" s="7" t="s">
        <v>81</v>
      </c>
      <c r="B34" s="10" t="s">
        <v>82</v>
      </c>
      <c r="C34" s="10" t="s">
        <v>80</v>
      </c>
      <c r="D34" s="26">
        <v>241.3</v>
      </c>
      <c r="E34" s="22">
        <v>44845483</v>
      </c>
      <c r="F34" s="2">
        <f t="shared" si="0"/>
        <v>185849.49440530461</v>
      </c>
      <c r="G34" s="23">
        <v>44053791</v>
      </c>
      <c r="H34" s="24">
        <v>44845483</v>
      </c>
      <c r="I34" s="2">
        <f t="shared" si="1"/>
        <v>185849.49440530461</v>
      </c>
    </row>
    <row r="35" spans="1:9">
      <c r="A35" s="7" t="s">
        <v>83</v>
      </c>
      <c r="B35" s="10" t="s">
        <v>84</v>
      </c>
      <c r="C35" s="10" t="s">
        <v>85</v>
      </c>
      <c r="D35" s="26">
        <v>177.8</v>
      </c>
      <c r="E35" s="22">
        <v>52963736</v>
      </c>
      <c r="F35" s="2">
        <f t="shared" si="0"/>
        <v>297883.77952755906</v>
      </c>
      <c r="G35" s="23">
        <v>52285822</v>
      </c>
      <c r="H35" s="24">
        <v>52963736</v>
      </c>
      <c r="I35" s="2">
        <f t="shared" si="1"/>
        <v>297883.77952755906</v>
      </c>
    </row>
    <row r="36" spans="1:9">
      <c r="A36" s="7" t="s">
        <v>86</v>
      </c>
      <c r="B36" s="10" t="s">
        <v>87</v>
      </c>
      <c r="C36" s="10" t="s">
        <v>85</v>
      </c>
      <c r="D36" s="26">
        <v>1137</v>
      </c>
      <c r="E36" s="22">
        <v>65070821</v>
      </c>
      <c r="F36" s="2">
        <f t="shared" si="0"/>
        <v>57230.273526824974</v>
      </c>
      <c r="G36" s="23">
        <v>62934298</v>
      </c>
      <c r="H36" s="24">
        <v>65070821</v>
      </c>
      <c r="I36" s="2">
        <f t="shared" si="1"/>
        <v>57230.273526824974</v>
      </c>
    </row>
    <row r="37" spans="1:9">
      <c r="A37" s="7" t="s">
        <v>88</v>
      </c>
      <c r="B37" s="10" t="s">
        <v>89</v>
      </c>
      <c r="C37" s="10" t="s">
        <v>90</v>
      </c>
      <c r="D37" s="26">
        <v>249</v>
      </c>
      <c r="E37" s="22">
        <v>24384837</v>
      </c>
      <c r="F37" s="2">
        <f t="shared" si="0"/>
        <v>97931.072289156626</v>
      </c>
      <c r="G37" s="23">
        <v>23471286</v>
      </c>
      <c r="H37" s="24">
        <v>24219945</v>
      </c>
      <c r="I37" s="2">
        <f t="shared" si="1"/>
        <v>97268.855421686749</v>
      </c>
    </row>
    <row r="38" spans="1:9">
      <c r="A38" s="7" t="s">
        <v>91</v>
      </c>
      <c r="B38" s="10" t="s">
        <v>92</v>
      </c>
      <c r="C38" s="10" t="s">
        <v>90</v>
      </c>
      <c r="D38" s="26">
        <v>195.9</v>
      </c>
      <c r="E38" s="22">
        <v>29205570</v>
      </c>
      <c r="F38" s="2">
        <f t="shared" si="0"/>
        <v>149084.07350689126</v>
      </c>
      <c r="G38" s="23">
        <v>28042030</v>
      </c>
      <c r="H38" s="24">
        <v>29106378</v>
      </c>
      <c r="I38" s="2">
        <f t="shared" si="1"/>
        <v>148577.73353751915</v>
      </c>
    </row>
    <row r="39" spans="1:9">
      <c r="A39" s="7" t="s">
        <v>93</v>
      </c>
      <c r="B39" s="10" t="s">
        <v>94</v>
      </c>
      <c r="C39" s="10" t="s">
        <v>24</v>
      </c>
      <c r="D39" s="26">
        <v>374.8</v>
      </c>
      <c r="E39" s="22">
        <v>33297629</v>
      </c>
      <c r="F39" s="2">
        <f t="shared" si="0"/>
        <v>88841.059231590174</v>
      </c>
      <c r="G39" s="23">
        <v>30845600</v>
      </c>
      <c r="H39" s="24">
        <v>33276023</v>
      </c>
      <c r="I39" s="2">
        <f t="shared" si="1"/>
        <v>88783.412486659552</v>
      </c>
    </row>
    <row r="40" spans="1:9">
      <c r="A40" s="7" t="s">
        <v>95</v>
      </c>
      <c r="B40" s="10" t="s">
        <v>96</v>
      </c>
      <c r="C40" s="10" t="s">
        <v>24</v>
      </c>
      <c r="D40" s="26">
        <v>306.5</v>
      </c>
      <c r="E40" s="22">
        <v>26273730</v>
      </c>
      <c r="F40" s="2">
        <f t="shared" si="0"/>
        <v>85721.794453507347</v>
      </c>
      <c r="G40" s="23">
        <v>24362117</v>
      </c>
      <c r="H40" s="24">
        <v>26196216</v>
      </c>
      <c r="I40" s="2">
        <f t="shared" si="1"/>
        <v>85468.893964110932</v>
      </c>
    </row>
    <row r="41" spans="1:9">
      <c r="A41" s="7" t="s">
        <v>97</v>
      </c>
      <c r="B41" s="10" t="s">
        <v>98</v>
      </c>
      <c r="C41" s="10" t="s">
        <v>99</v>
      </c>
      <c r="D41" s="26">
        <v>156</v>
      </c>
      <c r="E41" s="22">
        <v>14346467</v>
      </c>
      <c r="F41" s="2">
        <f t="shared" si="0"/>
        <v>91964.532051282047</v>
      </c>
      <c r="G41" s="23">
        <v>13509815</v>
      </c>
      <c r="H41" s="24">
        <v>14346467</v>
      </c>
      <c r="I41" s="2">
        <f t="shared" si="1"/>
        <v>91964.532051282047</v>
      </c>
    </row>
    <row r="42" spans="1:9">
      <c r="A42" s="7" t="s">
        <v>100</v>
      </c>
      <c r="B42" s="10" t="s">
        <v>101</v>
      </c>
      <c r="C42" s="10" t="s">
        <v>99</v>
      </c>
      <c r="D42" s="26">
        <v>409.1</v>
      </c>
      <c r="E42" s="22">
        <v>55486384</v>
      </c>
      <c r="F42" s="2">
        <f t="shared" si="0"/>
        <v>135630.36910290882</v>
      </c>
      <c r="G42" s="23">
        <v>53510408</v>
      </c>
      <c r="H42" s="24">
        <v>55472084</v>
      </c>
      <c r="I42" s="2">
        <f t="shared" si="1"/>
        <v>135595.41432412612</v>
      </c>
    </row>
    <row r="43" spans="1:9">
      <c r="A43" s="7" t="s">
        <v>102</v>
      </c>
      <c r="B43" s="10" t="s">
        <v>103</v>
      </c>
      <c r="C43" s="10" t="s">
        <v>104</v>
      </c>
      <c r="D43" s="26">
        <v>291.5</v>
      </c>
      <c r="E43" s="22">
        <v>48238478</v>
      </c>
      <c r="F43" s="2">
        <f t="shared" si="0"/>
        <v>165483.62950257291</v>
      </c>
      <c r="G43" s="23">
        <v>46463914</v>
      </c>
      <c r="H43" s="24">
        <v>48238478</v>
      </c>
      <c r="I43" s="2">
        <f t="shared" si="1"/>
        <v>165483.62950257291</v>
      </c>
    </row>
    <row r="44" spans="1:9">
      <c r="A44" s="7" t="s">
        <v>105</v>
      </c>
      <c r="B44" s="10" t="s">
        <v>106</v>
      </c>
      <c r="C44" s="10" t="s">
        <v>107</v>
      </c>
      <c r="D44" s="26">
        <v>21371.5</v>
      </c>
      <c r="E44" s="22">
        <v>2323837384</v>
      </c>
      <c r="F44" s="2">
        <f t="shared" si="0"/>
        <v>108735.34305032402</v>
      </c>
      <c r="G44" s="23">
        <v>2242265882</v>
      </c>
      <c r="H44" s="24">
        <v>2323837384</v>
      </c>
      <c r="I44" s="2">
        <f t="shared" si="1"/>
        <v>108735.34305032402</v>
      </c>
    </row>
    <row r="45" spans="1:9">
      <c r="A45" s="7" t="s">
        <v>108</v>
      </c>
      <c r="B45" s="10" t="s">
        <v>109</v>
      </c>
      <c r="C45" s="10" t="s">
        <v>107</v>
      </c>
      <c r="D45" s="26">
        <v>2849.7</v>
      </c>
      <c r="E45" s="22">
        <v>132756418</v>
      </c>
      <c r="F45" s="2">
        <f t="shared" si="0"/>
        <v>46586.103098571781</v>
      </c>
      <c r="G45" s="23">
        <v>123053267</v>
      </c>
      <c r="H45" s="24">
        <v>132756418</v>
      </c>
      <c r="I45" s="2">
        <f t="shared" si="1"/>
        <v>46586.103098571781</v>
      </c>
    </row>
    <row r="46" spans="1:9">
      <c r="A46" s="7" t="s">
        <v>110</v>
      </c>
      <c r="B46" s="10" t="s">
        <v>111</v>
      </c>
      <c r="C46" s="10" t="s">
        <v>107</v>
      </c>
      <c r="D46" s="26">
        <v>5150.8999999999996</v>
      </c>
      <c r="E46" s="22">
        <v>232205136</v>
      </c>
      <c r="F46" s="2">
        <f t="shared" si="0"/>
        <v>45080.497777087505</v>
      </c>
      <c r="G46" s="23">
        <v>214503653</v>
      </c>
      <c r="H46" s="24">
        <v>229482517</v>
      </c>
      <c r="I46" s="2">
        <f t="shared" si="1"/>
        <v>44551.926265312861</v>
      </c>
    </row>
    <row r="47" spans="1:9">
      <c r="A47" s="7" t="s">
        <v>112</v>
      </c>
      <c r="B47" s="10" t="s">
        <v>113</v>
      </c>
      <c r="C47" s="10" t="s">
        <v>107</v>
      </c>
      <c r="D47" s="26">
        <v>6706.8</v>
      </c>
      <c r="E47" s="22">
        <v>380979144</v>
      </c>
      <c r="F47" s="2">
        <f t="shared" si="0"/>
        <v>56804.906065485775</v>
      </c>
      <c r="G47" s="23">
        <v>357379562</v>
      </c>
      <c r="H47" s="24">
        <v>380919380</v>
      </c>
      <c r="I47" s="2">
        <f t="shared" si="1"/>
        <v>56795.995109441166</v>
      </c>
    </row>
    <row r="48" spans="1:9">
      <c r="A48" s="7" t="s">
        <v>114</v>
      </c>
      <c r="B48" s="10" t="s">
        <v>115</v>
      </c>
      <c r="C48" s="10" t="s">
        <v>107</v>
      </c>
      <c r="D48" s="26">
        <v>27413.1</v>
      </c>
      <c r="E48" s="22">
        <v>1701103708</v>
      </c>
      <c r="F48" s="2">
        <f t="shared" si="0"/>
        <v>62054.408585676196</v>
      </c>
      <c r="G48" s="23">
        <v>1600864181</v>
      </c>
      <c r="H48" s="24">
        <v>1685100906</v>
      </c>
      <c r="I48" s="2">
        <f t="shared" si="1"/>
        <v>61470.643816277625</v>
      </c>
    </row>
    <row r="49" spans="1:9">
      <c r="A49" s="7" t="s">
        <v>116</v>
      </c>
      <c r="B49" s="10" t="s">
        <v>117</v>
      </c>
      <c r="C49" s="10" t="s">
        <v>118</v>
      </c>
      <c r="D49" s="26">
        <v>1834.2</v>
      </c>
      <c r="E49" s="22">
        <v>75067820</v>
      </c>
      <c r="F49" s="2">
        <f t="shared" si="0"/>
        <v>40926.73645185912</v>
      </c>
      <c r="G49" s="23">
        <v>64319378</v>
      </c>
      <c r="H49" s="24">
        <v>74762350</v>
      </c>
      <c r="I49" s="2">
        <f t="shared" si="1"/>
        <v>40760.195180460149</v>
      </c>
    </row>
    <row r="50" spans="1:9">
      <c r="A50" s="7" t="s">
        <v>119</v>
      </c>
      <c r="B50" s="10" t="s">
        <v>120</v>
      </c>
      <c r="C50" s="10" t="s">
        <v>118</v>
      </c>
      <c r="D50" s="26">
        <v>433.5</v>
      </c>
      <c r="E50" s="22">
        <v>14145674</v>
      </c>
      <c r="F50" s="2">
        <f t="shared" si="0"/>
        <v>32631.31257208766</v>
      </c>
      <c r="G50" s="23">
        <v>12067766</v>
      </c>
      <c r="H50" s="24">
        <v>14145674</v>
      </c>
      <c r="I50" s="2">
        <f t="shared" si="1"/>
        <v>32631.31257208766</v>
      </c>
    </row>
    <row r="51" spans="1:9">
      <c r="A51" s="7" t="s">
        <v>121</v>
      </c>
      <c r="B51" s="10" t="s">
        <v>122</v>
      </c>
      <c r="C51" s="10" t="s">
        <v>123</v>
      </c>
      <c r="D51" s="26">
        <v>376.8</v>
      </c>
      <c r="E51" s="22">
        <v>26915496</v>
      </c>
      <c r="F51" s="2">
        <f t="shared" si="0"/>
        <v>71431.783439490449</v>
      </c>
      <c r="G51" s="23">
        <v>24036663</v>
      </c>
      <c r="H51" s="24">
        <v>26467252</v>
      </c>
      <c r="I51" s="2">
        <f t="shared" si="1"/>
        <v>70242.176220806796</v>
      </c>
    </row>
    <row r="52" spans="1:9">
      <c r="A52" s="7" t="s">
        <v>124</v>
      </c>
      <c r="B52" s="10" t="s">
        <v>125</v>
      </c>
      <c r="C52" s="10" t="s">
        <v>126</v>
      </c>
      <c r="D52" s="26">
        <v>618.29999999999995</v>
      </c>
      <c r="E52" s="22">
        <v>34131846</v>
      </c>
      <c r="F52" s="2">
        <f t="shared" si="0"/>
        <v>55202.726831635133</v>
      </c>
      <c r="G52" s="23">
        <v>30957050</v>
      </c>
      <c r="H52" s="24">
        <v>33976527</v>
      </c>
      <c r="I52" s="2">
        <f t="shared" si="1"/>
        <v>54951.523532265892</v>
      </c>
    </row>
    <row r="53" spans="1:9">
      <c r="A53" s="7" t="s">
        <v>127</v>
      </c>
      <c r="B53" s="10" t="s">
        <v>128</v>
      </c>
      <c r="C53" s="10" t="s">
        <v>126</v>
      </c>
      <c r="D53" s="26">
        <v>599.79999999999995</v>
      </c>
      <c r="E53" s="22">
        <v>29230971</v>
      </c>
      <c r="F53" s="2">
        <f t="shared" si="0"/>
        <v>48734.529843281096</v>
      </c>
      <c r="G53" s="23">
        <v>26850348</v>
      </c>
      <c r="H53" s="24">
        <v>29230971</v>
      </c>
      <c r="I53" s="2">
        <f t="shared" si="1"/>
        <v>48734.529843281096</v>
      </c>
    </row>
    <row r="54" spans="1:9">
      <c r="A54" s="7" t="s">
        <v>129</v>
      </c>
      <c r="B54" s="10" t="s">
        <v>130</v>
      </c>
      <c r="C54" s="10" t="s">
        <v>131</v>
      </c>
      <c r="D54" s="26">
        <v>190</v>
      </c>
      <c r="E54" s="22">
        <v>27082755</v>
      </c>
      <c r="F54" s="2">
        <f t="shared" si="0"/>
        <v>142540.81578947368</v>
      </c>
      <c r="G54" s="23">
        <v>25876473</v>
      </c>
      <c r="H54" s="24">
        <v>27069441</v>
      </c>
      <c r="I54" s="2">
        <f t="shared" si="1"/>
        <v>142470.74210526317</v>
      </c>
    </row>
    <row r="55" spans="1:9">
      <c r="A55" s="7" t="s">
        <v>132</v>
      </c>
      <c r="B55" s="10" t="s">
        <v>133</v>
      </c>
      <c r="C55" s="10" t="s">
        <v>131</v>
      </c>
      <c r="D55" s="26">
        <v>90.8</v>
      </c>
      <c r="E55" s="22">
        <v>9829365</v>
      </c>
      <c r="F55" s="2">
        <f t="shared" si="0"/>
        <v>108252.91850220265</v>
      </c>
      <c r="G55" s="23">
        <v>9575338</v>
      </c>
      <c r="H55" s="24">
        <v>9829365</v>
      </c>
      <c r="I55" s="2">
        <f t="shared" si="1"/>
        <v>108252.91850220265</v>
      </c>
    </row>
    <row r="56" spans="1:9">
      <c r="A56" s="7" t="s">
        <v>134</v>
      </c>
      <c r="B56" s="10" t="s">
        <v>135</v>
      </c>
      <c r="C56" s="10" t="s">
        <v>136</v>
      </c>
      <c r="D56" s="26">
        <v>492.7</v>
      </c>
      <c r="E56" s="22">
        <v>26470200</v>
      </c>
      <c r="F56" s="2">
        <f t="shared" si="0"/>
        <v>53724.78181449158</v>
      </c>
      <c r="G56" s="23">
        <v>23970099</v>
      </c>
      <c r="H56" s="24">
        <v>26470200</v>
      </c>
      <c r="I56" s="2">
        <f t="shared" si="1"/>
        <v>53724.78181449158</v>
      </c>
    </row>
    <row r="57" spans="1:9">
      <c r="A57" s="7" t="s">
        <v>137</v>
      </c>
      <c r="B57" s="10" t="s">
        <v>138</v>
      </c>
      <c r="C57" s="10" t="s">
        <v>136</v>
      </c>
      <c r="D57" s="26">
        <v>815.2</v>
      </c>
      <c r="E57" s="22">
        <v>390951572</v>
      </c>
      <c r="F57" s="2">
        <f t="shared" si="0"/>
        <v>479577.49263984297</v>
      </c>
      <c r="G57" s="23">
        <v>387131217</v>
      </c>
      <c r="H57" s="24">
        <v>390951572</v>
      </c>
      <c r="I57" s="2">
        <f t="shared" si="1"/>
        <v>479577.49263984297</v>
      </c>
    </row>
    <row r="58" spans="1:9">
      <c r="A58" s="7" t="s">
        <v>139</v>
      </c>
      <c r="B58" s="10" t="s">
        <v>140</v>
      </c>
      <c r="C58" s="10" t="s">
        <v>136</v>
      </c>
      <c r="D58" s="26">
        <v>198</v>
      </c>
      <c r="E58" s="22">
        <v>23702987</v>
      </c>
      <c r="F58" s="2">
        <f t="shared" si="0"/>
        <v>119712.05555555556</v>
      </c>
      <c r="G58" s="23">
        <v>22143952</v>
      </c>
      <c r="H58" s="24">
        <v>23702987</v>
      </c>
      <c r="I58" s="2">
        <f t="shared" si="1"/>
        <v>119712.05555555556</v>
      </c>
    </row>
    <row r="59" spans="1:9">
      <c r="A59" s="7" t="s">
        <v>141</v>
      </c>
      <c r="B59" s="10" t="s">
        <v>142</v>
      </c>
      <c r="C59" s="10" t="s">
        <v>143</v>
      </c>
      <c r="D59" s="26">
        <v>483.5</v>
      </c>
      <c r="E59" s="22">
        <v>16963599</v>
      </c>
      <c r="F59" s="2">
        <f t="shared" si="0"/>
        <v>35085.00310237849</v>
      </c>
      <c r="G59" s="23">
        <v>13134973</v>
      </c>
      <c r="H59" s="24">
        <v>16963599</v>
      </c>
      <c r="I59" s="2">
        <f t="shared" si="1"/>
        <v>35085.00310237849</v>
      </c>
    </row>
    <row r="60" spans="1:9">
      <c r="A60" s="7" t="s">
        <v>144</v>
      </c>
      <c r="B60" s="10" t="s">
        <v>145</v>
      </c>
      <c r="C60" s="10" t="s">
        <v>143</v>
      </c>
      <c r="D60" s="26">
        <v>621</v>
      </c>
      <c r="E60" s="22">
        <v>28376164</v>
      </c>
      <c r="F60" s="2">
        <f t="shared" si="0"/>
        <v>45694.305958132049</v>
      </c>
      <c r="G60" s="23">
        <v>24172306</v>
      </c>
      <c r="H60" s="24">
        <v>28376164</v>
      </c>
      <c r="I60" s="2">
        <f t="shared" si="1"/>
        <v>45694.305958132049</v>
      </c>
    </row>
    <row r="61" spans="1:9">
      <c r="A61" s="7" t="s">
        <v>146</v>
      </c>
      <c r="B61" s="10" t="s">
        <v>147</v>
      </c>
      <c r="C61" s="10" t="s">
        <v>143</v>
      </c>
      <c r="D61" s="26">
        <v>980.5</v>
      </c>
      <c r="E61" s="22">
        <v>34864236</v>
      </c>
      <c r="F61" s="2">
        <f t="shared" si="0"/>
        <v>35557.609382967872</v>
      </c>
      <c r="G61" s="23">
        <v>29959187</v>
      </c>
      <c r="H61" s="24">
        <v>34576143</v>
      </c>
      <c r="I61" s="2">
        <f t="shared" si="1"/>
        <v>35263.786843447218</v>
      </c>
    </row>
    <row r="62" spans="1:9">
      <c r="A62" s="7" t="s">
        <v>148</v>
      </c>
      <c r="B62" s="10" t="s">
        <v>149</v>
      </c>
      <c r="C62" s="10" t="s">
        <v>143</v>
      </c>
      <c r="D62" s="26">
        <v>888.5</v>
      </c>
      <c r="E62" s="22">
        <v>24839428</v>
      </c>
      <c r="F62" s="2">
        <f t="shared" si="0"/>
        <v>27956.587507034328</v>
      </c>
      <c r="G62" s="23">
        <v>21302351</v>
      </c>
      <c r="H62" s="24">
        <v>24758096</v>
      </c>
      <c r="I62" s="2">
        <f t="shared" si="1"/>
        <v>27865.048958919528</v>
      </c>
    </row>
    <row r="63" spans="1:9">
      <c r="A63" s="7" t="s">
        <v>150</v>
      </c>
      <c r="B63" s="10" t="s">
        <v>151</v>
      </c>
      <c r="C63" s="10" t="s">
        <v>143</v>
      </c>
      <c r="D63" s="26">
        <v>2828.8</v>
      </c>
      <c r="E63" s="22">
        <v>141858265</v>
      </c>
      <c r="F63" s="2">
        <f t="shared" si="0"/>
        <v>50147.859516402714</v>
      </c>
      <c r="G63" s="23">
        <v>123798654</v>
      </c>
      <c r="H63" s="24">
        <v>138984581</v>
      </c>
      <c r="I63" s="2">
        <f t="shared" si="1"/>
        <v>49131.992717760178</v>
      </c>
    </row>
    <row r="64" spans="1:9">
      <c r="A64" s="7" t="s">
        <v>152</v>
      </c>
      <c r="B64" s="10" t="s">
        <v>153</v>
      </c>
      <c r="C64" s="10" t="s">
        <v>154</v>
      </c>
      <c r="D64" s="26">
        <v>432.8</v>
      </c>
      <c r="E64" s="22">
        <v>61866573</v>
      </c>
      <c r="F64" s="2">
        <f t="shared" si="0"/>
        <v>142944.94685767096</v>
      </c>
      <c r="G64" s="23">
        <v>58814706</v>
      </c>
      <c r="H64" s="24">
        <v>61866573</v>
      </c>
      <c r="I64" s="2">
        <f t="shared" si="1"/>
        <v>142944.94685767096</v>
      </c>
    </row>
    <row r="65" spans="1:9">
      <c r="A65" s="7" t="s">
        <v>155</v>
      </c>
      <c r="B65" s="10" t="s">
        <v>156</v>
      </c>
      <c r="C65" s="10" t="s">
        <v>154</v>
      </c>
      <c r="D65" s="26">
        <v>518.5</v>
      </c>
      <c r="E65" s="22">
        <v>36451949</v>
      </c>
      <c r="F65" s="2">
        <f t="shared" si="0"/>
        <v>70302.698167791707</v>
      </c>
      <c r="G65" s="23">
        <v>33731914</v>
      </c>
      <c r="H65" s="24">
        <v>36451949</v>
      </c>
      <c r="I65" s="2">
        <f t="shared" si="1"/>
        <v>70302.698167791707</v>
      </c>
    </row>
    <row r="66" spans="1:9">
      <c r="A66" s="7" t="s">
        <v>157</v>
      </c>
      <c r="B66" s="10" t="s">
        <v>158</v>
      </c>
      <c r="C66" s="10" t="s">
        <v>154</v>
      </c>
      <c r="D66" s="26">
        <v>4279.8</v>
      </c>
      <c r="E66" s="22">
        <v>171045128</v>
      </c>
      <c r="F66" s="2">
        <f t="shared" si="0"/>
        <v>39965.682508528436</v>
      </c>
      <c r="G66" s="23">
        <v>151952278</v>
      </c>
      <c r="H66" s="24">
        <v>169635793</v>
      </c>
      <c r="I66" s="2">
        <f t="shared" si="1"/>
        <v>39636.383242207579</v>
      </c>
    </row>
    <row r="67" spans="1:9">
      <c r="A67" s="7" t="s">
        <v>159</v>
      </c>
      <c r="B67" s="10" t="s">
        <v>160</v>
      </c>
      <c r="C67" s="10" t="s">
        <v>161</v>
      </c>
      <c r="D67" s="26">
        <v>449</v>
      </c>
      <c r="E67" s="22">
        <v>62768749</v>
      </c>
      <c r="F67" s="2">
        <f t="shared" si="0"/>
        <v>139796.76837416482</v>
      </c>
      <c r="G67" s="23">
        <v>59303957</v>
      </c>
      <c r="H67" s="24">
        <v>61562144</v>
      </c>
      <c r="I67" s="2">
        <f t="shared" si="1"/>
        <v>137109.45211581292</v>
      </c>
    </row>
    <row r="68" spans="1:9">
      <c r="A68" s="7" t="s">
        <v>162</v>
      </c>
      <c r="B68" s="10" t="s">
        <v>163</v>
      </c>
      <c r="C68" s="10" t="s">
        <v>161</v>
      </c>
      <c r="D68" s="26">
        <v>237</v>
      </c>
      <c r="E68" s="22">
        <v>93623750</v>
      </c>
      <c r="F68" s="2">
        <f t="shared" si="0"/>
        <v>395036.91983122361</v>
      </c>
      <c r="G68" s="23">
        <v>92000699</v>
      </c>
      <c r="H68" s="24">
        <v>93301012</v>
      </c>
      <c r="I68" s="2">
        <f t="shared" si="1"/>
        <v>393675.15611814347</v>
      </c>
    </row>
    <row r="69" spans="1:9">
      <c r="A69" s="7" t="s">
        <v>164</v>
      </c>
      <c r="B69" s="10" t="s">
        <v>165</v>
      </c>
      <c r="C69" s="10" t="s">
        <v>166</v>
      </c>
      <c r="D69" s="26">
        <v>281.5</v>
      </c>
      <c r="E69" s="22">
        <v>16445431</v>
      </c>
      <c r="F69" s="2">
        <f t="shared" si="0"/>
        <v>58420.714031971584</v>
      </c>
      <c r="G69" s="23">
        <v>14897482</v>
      </c>
      <c r="H69" s="24">
        <v>16445431</v>
      </c>
      <c r="I69" s="2">
        <f t="shared" si="1"/>
        <v>58420.714031971584</v>
      </c>
    </row>
    <row r="70" spans="1:9">
      <c r="A70" s="7" t="s">
        <v>167</v>
      </c>
      <c r="B70" s="10" t="s">
        <v>168</v>
      </c>
      <c r="C70" s="10" t="s">
        <v>166</v>
      </c>
      <c r="D70" s="26">
        <v>1272.5</v>
      </c>
      <c r="E70" s="22">
        <v>51841478</v>
      </c>
      <c r="F70" s="2">
        <f t="shared" si="0"/>
        <v>40739.864833005893</v>
      </c>
      <c r="G70" s="23">
        <v>44179872</v>
      </c>
      <c r="H70" s="24">
        <v>51386233</v>
      </c>
      <c r="I70" s="2">
        <f t="shared" si="1"/>
        <v>40382.108447937135</v>
      </c>
    </row>
    <row r="71" spans="1:9">
      <c r="A71" s="7" t="s">
        <v>169</v>
      </c>
      <c r="B71" s="10" t="s">
        <v>170</v>
      </c>
      <c r="C71" s="10" t="s">
        <v>166</v>
      </c>
      <c r="D71" s="26">
        <v>739.5</v>
      </c>
      <c r="E71" s="22">
        <v>28218286</v>
      </c>
      <c r="F71" s="2">
        <f t="shared" ref="F71:F134" si="2">E71/D71</f>
        <v>38158.601757944554</v>
      </c>
      <c r="G71" s="23">
        <v>25585155</v>
      </c>
      <c r="H71" s="24">
        <v>28035643</v>
      </c>
      <c r="I71" s="2">
        <f t="shared" ref="I71:I134" si="3">H71/D71</f>
        <v>37911.620013522654</v>
      </c>
    </row>
    <row r="72" spans="1:9">
      <c r="A72" s="7" t="s">
        <v>171</v>
      </c>
      <c r="B72" s="10" t="s">
        <v>172</v>
      </c>
      <c r="C72" s="10" t="s">
        <v>173</v>
      </c>
      <c r="D72" s="26">
        <v>47038.3</v>
      </c>
      <c r="E72" s="22">
        <v>2585856212</v>
      </c>
      <c r="F72" s="2">
        <f t="shared" si="2"/>
        <v>54973.419787704908</v>
      </c>
      <c r="G72" s="23">
        <v>2339454120</v>
      </c>
      <c r="H72" s="24">
        <v>2566366388</v>
      </c>
      <c r="I72" s="2">
        <f t="shared" si="3"/>
        <v>54559.080323906259</v>
      </c>
    </row>
    <row r="73" spans="1:9">
      <c r="A73" s="7" t="s">
        <v>174</v>
      </c>
      <c r="B73" s="10" t="s">
        <v>175</v>
      </c>
      <c r="C73" s="10" t="s">
        <v>173</v>
      </c>
      <c r="D73" s="26">
        <v>6426.3</v>
      </c>
      <c r="E73" s="22">
        <v>396419884</v>
      </c>
      <c r="F73" s="2">
        <f t="shared" si="2"/>
        <v>61687.111401584116</v>
      </c>
      <c r="G73" s="23">
        <v>370197473</v>
      </c>
      <c r="H73" s="24">
        <v>396419884</v>
      </c>
      <c r="I73" s="2">
        <f t="shared" si="3"/>
        <v>61687.111401584116</v>
      </c>
    </row>
    <row r="74" spans="1:9">
      <c r="A74" s="7" t="s">
        <v>176</v>
      </c>
      <c r="B74" s="10" t="s">
        <v>177</v>
      </c>
      <c r="C74" s="10" t="s">
        <v>173</v>
      </c>
      <c r="D74" s="26">
        <v>5088</v>
      </c>
      <c r="E74" s="22">
        <v>134526300</v>
      </c>
      <c r="F74" s="2">
        <f t="shared" si="2"/>
        <v>26439.917452830188</v>
      </c>
      <c r="G74" s="23">
        <v>115409847</v>
      </c>
      <c r="H74" s="24">
        <v>133788889</v>
      </c>
      <c r="I74" s="2">
        <f t="shared" si="3"/>
        <v>26294.986045597485</v>
      </c>
    </row>
    <row r="75" spans="1:9">
      <c r="A75" s="7" t="s">
        <v>178</v>
      </c>
      <c r="B75" s="10" t="s">
        <v>179</v>
      </c>
      <c r="C75" s="10" t="s">
        <v>173</v>
      </c>
      <c r="D75" s="26">
        <v>2651.5</v>
      </c>
      <c r="E75" s="22">
        <v>116851372</v>
      </c>
      <c r="F75" s="2">
        <f t="shared" si="2"/>
        <v>44069.912125212148</v>
      </c>
      <c r="G75" s="23">
        <v>104803790</v>
      </c>
      <c r="H75" s="24">
        <v>116851372</v>
      </c>
      <c r="I75" s="2">
        <f t="shared" si="3"/>
        <v>44069.912125212148</v>
      </c>
    </row>
    <row r="76" spans="1:9">
      <c r="A76" s="7" t="s">
        <v>180</v>
      </c>
      <c r="B76" s="10" t="s">
        <v>181</v>
      </c>
      <c r="C76" s="10" t="s">
        <v>173</v>
      </c>
      <c r="D76" s="26">
        <v>1756.6</v>
      </c>
      <c r="E76" s="22">
        <v>122097760</v>
      </c>
      <c r="F76" s="2">
        <f t="shared" si="2"/>
        <v>69508.004098827281</v>
      </c>
      <c r="G76" s="23">
        <v>113511030</v>
      </c>
      <c r="H76" s="24">
        <v>121690401</v>
      </c>
      <c r="I76" s="2">
        <f t="shared" si="3"/>
        <v>69276.10212911306</v>
      </c>
    </row>
    <row r="77" spans="1:9">
      <c r="A77" s="7" t="s">
        <v>182</v>
      </c>
      <c r="B77" s="10" t="s">
        <v>183</v>
      </c>
      <c r="C77" s="10" t="s">
        <v>173</v>
      </c>
      <c r="D77" s="26">
        <v>1131.5999999999999</v>
      </c>
      <c r="E77" s="22">
        <v>57922162</v>
      </c>
      <c r="F77" s="2">
        <f t="shared" si="2"/>
        <v>51186.074584658891</v>
      </c>
      <c r="G77" s="23">
        <v>52985551</v>
      </c>
      <c r="H77" s="24">
        <v>57865884</v>
      </c>
      <c r="I77" s="2">
        <f t="shared" si="3"/>
        <v>51136.341463414639</v>
      </c>
    </row>
    <row r="78" spans="1:9">
      <c r="A78" s="7" t="s">
        <v>184</v>
      </c>
      <c r="B78" s="10" t="s">
        <v>185</v>
      </c>
      <c r="C78" s="10" t="s">
        <v>173</v>
      </c>
      <c r="D78" s="26">
        <v>5131.1000000000004</v>
      </c>
      <c r="E78" s="22">
        <v>232136279</v>
      </c>
      <c r="F78" s="2">
        <f t="shared" si="2"/>
        <v>45241.035840268167</v>
      </c>
      <c r="G78" s="23">
        <v>210405627</v>
      </c>
      <c r="H78" s="24">
        <v>232136279</v>
      </c>
      <c r="I78" s="2">
        <f t="shared" si="3"/>
        <v>45241.035840268167</v>
      </c>
    </row>
    <row r="79" spans="1:9">
      <c r="A79" s="7" t="s">
        <v>186</v>
      </c>
      <c r="B79" s="10" t="s">
        <v>187</v>
      </c>
      <c r="C79" s="10" t="s">
        <v>173</v>
      </c>
      <c r="D79" s="26">
        <v>6782.5</v>
      </c>
      <c r="E79" s="22">
        <v>359393188</v>
      </c>
      <c r="F79" s="2">
        <f t="shared" si="2"/>
        <v>52988.306376704757</v>
      </c>
      <c r="G79" s="23">
        <v>332353438</v>
      </c>
      <c r="H79" s="24">
        <v>359393188</v>
      </c>
      <c r="I79" s="2">
        <f t="shared" si="3"/>
        <v>52988.306376704757</v>
      </c>
    </row>
    <row r="80" spans="1:9">
      <c r="A80" s="7" t="s">
        <v>188</v>
      </c>
      <c r="B80" s="10" t="s">
        <v>189</v>
      </c>
      <c r="C80" s="10" t="s">
        <v>173</v>
      </c>
      <c r="D80" s="26">
        <v>1845</v>
      </c>
      <c r="E80" s="22">
        <v>105210611</v>
      </c>
      <c r="F80" s="2">
        <f t="shared" si="2"/>
        <v>57024.721409214093</v>
      </c>
      <c r="G80" s="23">
        <v>98242054</v>
      </c>
      <c r="H80" s="24">
        <v>105210611</v>
      </c>
      <c r="I80" s="2">
        <f t="shared" si="3"/>
        <v>57024.721409214093</v>
      </c>
    </row>
    <row r="81" spans="1:9">
      <c r="A81" s="7" t="s">
        <v>190</v>
      </c>
      <c r="B81" s="10" t="s">
        <v>191</v>
      </c>
      <c r="C81" s="10" t="s">
        <v>173</v>
      </c>
      <c r="D81" s="26">
        <v>754.6</v>
      </c>
      <c r="E81" s="22">
        <v>30828229</v>
      </c>
      <c r="F81" s="2">
        <f t="shared" si="2"/>
        <v>40853.735754041874</v>
      </c>
      <c r="G81" s="23">
        <v>27687261</v>
      </c>
      <c r="H81" s="24">
        <v>30600603</v>
      </c>
      <c r="I81" s="2">
        <f t="shared" si="3"/>
        <v>40552.084548104955</v>
      </c>
    </row>
    <row r="82" spans="1:9">
      <c r="A82" s="7" t="s">
        <v>192</v>
      </c>
      <c r="B82" s="10" t="s">
        <v>193</v>
      </c>
      <c r="C82" s="10" t="s">
        <v>194</v>
      </c>
      <c r="D82" s="26">
        <v>127</v>
      </c>
      <c r="E82" s="22">
        <v>47592618</v>
      </c>
      <c r="F82" s="2">
        <f t="shared" si="2"/>
        <v>374745.02362204727</v>
      </c>
      <c r="G82" s="23">
        <v>46724926</v>
      </c>
      <c r="H82" s="24">
        <v>47416287</v>
      </c>
      <c r="I82" s="2">
        <f t="shared" si="3"/>
        <v>373356.59055118111</v>
      </c>
    </row>
    <row r="83" spans="1:9">
      <c r="A83" s="7" t="s">
        <v>195</v>
      </c>
      <c r="B83" s="10" t="s">
        <v>196</v>
      </c>
      <c r="C83" s="10" t="s">
        <v>194</v>
      </c>
      <c r="D83" s="26">
        <v>365.3</v>
      </c>
      <c r="E83" s="22">
        <v>69733760</v>
      </c>
      <c r="F83" s="2">
        <f t="shared" si="2"/>
        <v>190894.49767314535</v>
      </c>
      <c r="G83" s="23">
        <v>67300462</v>
      </c>
      <c r="H83" s="24">
        <v>68625505</v>
      </c>
      <c r="I83" s="2">
        <f t="shared" si="3"/>
        <v>187860.67615658362</v>
      </c>
    </row>
    <row r="84" spans="1:9">
      <c r="A84" s="7" t="s">
        <v>197</v>
      </c>
      <c r="B84" s="10" t="s">
        <v>198</v>
      </c>
      <c r="C84" s="10" t="s">
        <v>194</v>
      </c>
      <c r="D84" s="26">
        <v>293.10000000000002</v>
      </c>
      <c r="E84" s="22">
        <v>30261839</v>
      </c>
      <c r="F84" s="2">
        <f t="shared" si="2"/>
        <v>103247.48891163425</v>
      </c>
      <c r="G84" s="23">
        <v>28161934</v>
      </c>
      <c r="H84" s="24">
        <v>29655905</v>
      </c>
      <c r="I84" s="2">
        <f t="shared" si="3"/>
        <v>101180.16035482769</v>
      </c>
    </row>
    <row r="85" spans="1:9">
      <c r="A85" s="7" t="s">
        <v>199</v>
      </c>
      <c r="B85" s="10" t="s">
        <v>200</v>
      </c>
      <c r="C85" s="10" t="s">
        <v>201</v>
      </c>
      <c r="D85" s="26">
        <v>309.3</v>
      </c>
      <c r="E85" s="22">
        <v>27614346</v>
      </c>
      <c r="F85" s="2">
        <f t="shared" si="2"/>
        <v>89280.135790494664</v>
      </c>
      <c r="G85" s="23">
        <v>24761403</v>
      </c>
      <c r="H85" s="24">
        <v>26154773</v>
      </c>
      <c r="I85" s="2">
        <f t="shared" si="3"/>
        <v>84561.180084060776</v>
      </c>
    </row>
    <row r="86" spans="1:9">
      <c r="A86" s="7" t="s">
        <v>202</v>
      </c>
      <c r="B86" s="10" t="s">
        <v>203</v>
      </c>
      <c r="C86" s="10" t="s">
        <v>201</v>
      </c>
      <c r="D86" s="26">
        <v>749</v>
      </c>
      <c r="E86" s="22">
        <v>54258432</v>
      </c>
      <c r="F86" s="2">
        <f t="shared" si="2"/>
        <v>72441.164218958613</v>
      </c>
      <c r="G86" s="23">
        <v>49490045</v>
      </c>
      <c r="H86" s="24">
        <v>51621779</v>
      </c>
      <c r="I86" s="2">
        <f t="shared" si="3"/>
        <v>68920.933244325774</v>
      </c>
    </row>
    <row r="87" spans="1:9">
      <c r="A87" s="7" t="s">
        <v>204</v>
      </c>
      <c r="B87" s="10" t="s">
        <v>205</v>
      </c>
      <c r="C87" s="10" t="s">
        <v>206</v>
      </c>
      <c r="D87" s="26">
        <v>375.2</v>
      </c>
      <c r="E87" s="22">
        <v>65575865</v>
      </c>
      <c r="F87" s="2">
        <f t="shared" si="2"/>
        <v>174775.75959488272</v>
      </c>
      <c r="G87" s="23">
        <v>62989020</v>
      </c>
      <c r="H87" s="24">
        <v>64468662</v>
      </c>
      <c r="I87" s="2">
        <f t="shared" si="3"/>
        <v>171824.7921108742</v>
      </c>
    </row>
    <row r="88" spans="1:9">
      <c r="A88" s="7" t="s">
        <v>207</v>
      </c>
      <c r="B88" s="10" t="s">
        <v>208</v>
      </c>
      <c r="C88" s="10" t="s">
        <v>206</v>
      </c>
      <c r="D88" s="26">
        <v>78.5</v>
      </c>
      <c r="E88" s="22">
        <v>21826136</v>
      </c>
      <c r="F88" s="2">
        <f t="shared" si="2"/>
        <v>278039.94904458598</v>
      </c>
      <c r="G88" s="23">
        <v>21351913</v>
      </c>
      <c r="H88" s="24">
        <v>21719043</v>
      </c>
      <c r="I88" s="2">
        <f t="shared" si="3"/>
        <v>276675.70700636943</v>
      </c>
    </row>
    <row r="89" spans="1:9">
      <c r="A89" s="7" t="s">
        <v>209</v>
      </c>
      <c r="B89" s="10" t="s">
        <v>210</v>
      </c>
      <c r="C89" s="10" t="s">
        <v>211</v>
      </c>
      <c r="D89" s="26">
        <v>378.6</v>
      </c>
      <c r="E89" s="22">
        <v>58471625</v>
      </c>
      <c r="F89" s="2">
        <f t="shared" si="2"/>
        <v>154441.69307976754</v>
      </c>
      <c r="G89" s="23">
        <v>55767213</v>
      </c>
      <c r="H89" s="24">
        <v>58153395</v>
      </c>
      <c r="I89" s="2">
        <f t="shared" si="3"/>
        <v>153601.14896988907</v>
      </c>
    </row>
    <row r="90" spans="1:9">
      <c r="A90" s="7" t="s">
        <v>212</v>
      </c>
      <c r="B90" s="10" t="s">
        <v>213</v>
      </c>
      <c r="C90" s="10" t="s">
        <v>214</v>
      </c>
      <c r="D90" s="26">
        <v>315.8</v>
      </c>
      <c r="E90" s="22">
        <v>19970556</v>
      </c>
      <c r="F90" s="2">
        <f t="shared" si="2"/>
        <v>63237.986067131096</v>
      </c>
      <c r="G90" s="23">
        <v>17009578</v>
      </c>
      <c r="H90" s="24">
        <v>19970556</v>
      </c>
      <c r="I90" s="2">
        <f t="shared" si="3"/>
        <v>63237.986067131096</v>
      </c>
    </row>
    <row r="91" spans="1:9">
      <c r="A91" s="7" t="s">
        <v>215</v>
      </c>
      <c r="B91" s="10" t="s">
        <v>216</v>
      </c>
      <c r="C91" s="10" t="s">
        <v>214</v>
      </c>
      <c r="D91" s="26">
        <v>137</v>
      </c>
      <c r="E91" s="22">
        <v>10012216</v>
      </c>
      <c r="F91" s="2">
        <f t="shared" si="2"/>
        <v>73081.868613138693</v>
      </c>
      <c r="G91" s="23">
        <v>9215805</v>
      </c>
      <c r="H91" s="24">
        <v>10012216</v>
      </c>
      <c r="I91" s="2">
        <f t="shared" si="3"/>
        <v>73081.868613138693</v>
      </c>
    </row>
    <row r="92" spans="1:9">
      <c r="A92" s="7" t="s">
        <v>217</v>
      </c>
      <c r="B92" s="10" t="s">
        <v>218</v>
      </c>
      <c r="C92" s="10" t="s">
        <v>219</v>
      </c>
      <c r="D92" s="26">
        <v>364.5</v>
      </c>
      <c r="E92" s="22">
        <v>42510587</v>
      </c>
      <c r="F92" s="2">
        <f t="shared" si="2"/>
        <v>116627.12482853224</v>
      </c>
      <c r="G92" s="23">
        <v>39435909</v>
      </c>
      <c r="H92" s="24">
        <v>42266968</v>
      </c>
      <c r="I92" s="2">
        <f t="shared" si="3"/>
        <v>115958.75994513031</v>
      </c>
    </row>
    <row r="93" spans="1:9">
      <c r="A93" s="7" t="s">
        <v>220</v>
      </c>
      <c r="B93" s="10" t="s">
        <v>221</v>
      </c>
      <c r="C93" s="10" t="s">
        <v>222</v>
      </c>
      <c r="D93" s="26">
        <v>163.19999999999999</v>
      </c>
      <c r="E93" s="22">
        <v>9121893</v>
      </c>
      <c r="F93" s="2">
        <f t="shared" si="2"/>
        <v>55893.952205882357</v>
      </c>
      <c r="G93" s="23">
        <v>8239526</v>
      </c>
      <c r="H93" s="24">
        <v>9121893</v>
      </c>
      <c r="I93" s="2">
        <f t="shared" si="3"/>
        <v>55893.952205882357</v>
      </c>
    </row>
    <row r="94" spans="1:9">
      <c r="A94" s="7" t="s">
        <v>223</v>
      </c>
      <c r="B94" s="10" t="s">
        <v>224</v>
      </c>
      <c r="C94" s="10" t="s">
        <v>222</v>
      </c>
      <c r="D94" s="26">
        <v>339.7</v>
      </c>
      <c r="E94" s="22">
        <v>22182379</v>
      </c>
      <c r="F94" s="2">
        <f t="shared" si="2"/>
        <v>65299.908743008542</v>
      </c>
      <c r="G94" s="23">
        <v>19489427</v>
      </c>
      <c r="H94" s="24">
        <v>22182379</v>
      </c>
      <c r="I94" s="2">
        <f t="shared" si="3"/>
        <v>65299.908743008542</v>
      </c>
    </row>
    <row r="95" spans="1:9">
      <c r="A95" s="7" t="s">
        <v>225</v>
      </c>
      <c r="B95" s="10" t="s">
        <v>226</v>
      </c>
      <c r="C95" s="10" t="s">
        <v>227</v>
      </c>
      <c r="D95" s="26">
        <v>582</v>
      </c>
      <c r="E95" s="22">
        <v>38607700</v>
      </c>
      <c r="F95" s="2">
        <f t="shared" si="2"/>
        <v>66336.25429553265</v>
      </c>
      <c r="G95" s="23">
        <v>33816417</v>
      </c>
      <c r="H95" s="24">
        <v>38607700</v>
      </c>
      <c r="I95" s="2">
        <f t="shared" si="3"/>
        <v>66336.25429553265</v>
      </c>
    </row>
    <row r="96" spans="1:9">
      <c r="A96" s="7" t="s">
        <v>228</v>
      </c>
      <c r="B96" s="10" t="s">
        <v>229</v>
      </c>
      <c r="C96" s="10" t="s">
        <v>227</v>
      </c>
      <c r="D96" s="26">
        <v>551.5</v>
      </c>
      <c r="E96" s="22">
        <v>23937758</v>
      </c>
      <c r="F96" s="2">
        <f t="shared" si="2"/>
        <v>43404.819582955577</v>
      </c>
      <c r="G96" s="23">
        <v>21122690</v>
      </c>
      <c r="H96" s="24">
        <v>23937758</v>
      </c>
      <c r="I96" s="2">
        <f t="shared" si="3"/>
        <v>43404.819582955577</v>
      </c>
    </row>
    <row r="97" spans="1:9">
      <c r="A97" s="7" t="s">
        <v>230</v>
      </c>
      <c r="B97" s="10" t="s">
        <v>231</v>
      </c>
      <c r="C97" s="10" t="s">
        <v>227</v>
      </c>
      <c r="D97" s="26">
        <v>768.4</v>
      </c>
      <c r="E97" s="22">
        <v>46898270</v>
      </c>
      <c r="F97" s="2">
        <f t="shared" si="2"/>
        <v>61033.667360749612</v>
      </c>
      <c r="G97" s="23">
        <v>42696566</v>
      </c>
      <c r="H97" s="24">
        <v>46898270</v>
      </c>
      <c r="I97" s="2">
        <f t="shared" si="3"/>
        <v>61033.667360749612</v>
      </c>
    </row>
    <row r="98" spans="1:9">
      <c r="A98" s="7" t="s">
        <v>232</v>
      </c>
      <c r="B98" s="10" t="s">
        <v>233</v>
      </c>
      <c r="C98" s="10" t="s">
        <v>227</v>
      </c>
      <c r="D98" s="26">
        <v>2392.4</v>
      </c>
      <c r="E98" s="22">
        <v>118925925</v>
      </c>
      <c r="F98" s="2">
        <f t="shared" si="2"/>
        <v>49709.883380705563</v>
      </c>
      <c r="G98" s="23">
        <v>107153133</v>
      </c>
      <c r="H98" s="24">
        <v>117393447</v>
      </c>
      <c r="I98" s="2">
        <f t="shared" si="3"/>
        <v>49069.322437719442</v>
      </c>
    </row>
    <row r="99" spans="1:9">
      <c r="A99" s="7" t="s">
        <v>234</v>
      </c>
      <c r="B99" s="10" t="s">
        <v>235</v>
      </c>
      <c r="C99" s="10" t="s">
        <v>236</v>
      </c>
      <c r="D99" s="26">
        <v>91</v>
      </c>
      <c r="E99" s="22">
        <v>15297884</v>
      </c>
      <c r="F99" s="2">
        <f t="shared" si="2"/>
        <v>168108.61538461538</v>
      </c>
      <c r="G99" s="23">
        <v>14673562</v>
      </c>
      <c r="H99" s="24">
        <v>15297884</v>
      </c>
      <c r="I99" s="2">
        <f t="shared" si="3"/>
        <v>168108.61538461538</v>
      </c>
    </row>
    <row r="100" spans="1:9">
      <c r="A100" s="7" t="s">
        <v>237</v>
      </c>
      <c r="B100" s="10" t="s">
        <v>238</v>
      </c>
      <c r="C100" s="10" t="s">
        <v>236</v>
      </c>
      <c r="D100" s="26">
        <v>97.5</v>
      </c>
      <c r="E100" s="22">
        <v>15040041</v>
      </c>
      <c r="F100" s="2">
        <f t="shared" si="2"/>
        <v>154256.83076923076</v>
      </c>
      <c r="G100" s="23">
        <v>14124310</v>
      </c>
      <c r="H100" s="24">
        <v>15040041</v>
      </c>
      <c r="I100" s="2">
        <f t="shared" si="3"/>
        <v>154256.83076923076</v>
      </c>
    </row>
    <row r="101" spans="1:9">
      <c r="A101" s="7" t="s">
        <v>239</v>
      </c>
      <c r="B101" s="10" t="s">
        <v>240</v>
      </c>
      <c r="C101" s="10" t="s">
        <v>236</v>
      </c>
      <c r="D101" s="26">
        <v>288.5</v>
      </c>
      <c r="E101" s="22">
        <v>24060515</v>
      </c>
      <c r="F101" s="2">
        <f t="shared" si="2"/>
        <v>83398.665511265164</v>
      </c>
      <c r="G101" s="23">
        <v>22674658</v>
      </c>
      <c r="H101" s="24">
        <v>24060515</v>
      </c>
      <c r="I101" s="2">
        <f t="shared" si="3"/>
        <v>83398.665511265164</v>
      </c>
    </row>
    <row r="102" spans="1:9">
      <c r="A102" s="7" t="s">
        <v>241</v>
      </c>
      <c r="B102" s="10" t="s">
        <v>242</v>
      </c>
      <c r="C102" s="10" t="s">
        <v>243</v>
      </c>
      <c r="D102" s="26">
        <v>344.5</v>
      </c>
      <c r="E102" s="22">
        <v>37147360</v>
      </c>
      <c r="F102" s="2">
        <f t="shared" si="2"/>
        <v>107829.78229317852</v>
      </c>
      <c r="G102" s="23">
        <v>34078336</v>
      </c>
      <c r="H102" s="24">
        <v>37147360</v>
      </c>
      <c r="I102" s="2">
        <f t="shared" si="3"/>
        <v>107829.78229317852</v>
      </c>
    </row>
    <row r="103" spans="1:9">
      <c r="A103" s="7" t="s">
        <v>244</v>
      </c>
      <c r="B103" s="10" t="s">
        <v>245</v>
      </c>
      <c r="C103" s="10" t="s">
        <v>12</v>
      </c>
      <c r="D103" s="26">
        <v>284</v>
      </c>
      <c r="E103" s="22">
        <v>27541738</v>
      </c>
      <c r="F103" s="2">
        <f t="shared" si="2"/>
        <v>96977.950704225354</v>
      </c>
      <c r="G103" s="23">
        <v>25246720</v>
      </c>
      <c r="H103" s="24">
        <v>27541738</v>
      </c>
      <c r="I103" s="2">
        <f t="shared" si="3"/>
        <v>96977.950704225354</v>
      </c>
    </row>
    <row r="104" spans="1:9">
      <c r="A104" s="7" t="s">
        <v>246</v>
      </c>
      <c r="B104" s="10" t="s">
        <v>247</v>
      </c>
      <c r="C104" s="10" t="s">
        <v>248</v>
      </c>
      <c r="D104" s="26">
        <v>347</v>
      </c>
      <c r="E104" s="22">
        <v>24027779</v>
      </c>
      <c r="F104" s="2">
        <f t="shared" si="2"/>
        <v>69244.319884726225</v>
      </c>
      <c r="G104" s="23">
        <v>21656380</v>
      </c>
      <c r="H104" s="24">
        <v>23931594</v>
      </c>
      <c r="I104" s="2">
        <f t="shared" si="3"/>
        <v>68967.129682997125</v>
      </c>
    </row>
    <row r="105" spans="1:9">
      <c r="A105" s="7" t="s">
        <v>249</v>
      </c>
      <c r="B105" s="10" t="s">
        <v>250</v>
      </c>
      <c r="C105" s="10" t="s">
        <v>248</v>
      </c>
      <c r="D105" s="26">
        <v>230.5</v>
      </c>
      <c r="E105" s="22">
        <v>22131067</v>
      </c>
      <c r="F105" s="2">
        <f t="shared" si="2"/>
        <v>96013.305856832972</v>
      </c>
      <c r="G105" s="23">
        <v>20189440</v>
      </c>
      <c r="H105" s="24">
        <v>22014793</v>
      </c>
      <c r="I105" s="2">
        <f t="shared" si="3"/>
        <v>95508.863340563985</v>
      </c>
    </row>
    <row r="106" spans="1:9">
      <c r="A106" s="7" t="s">
        <v>251</v>
      </c>
      <c r="B106" s="10" t="s">
        <v>252</v>
      </c>
      <c r="C106" s="10" t="s">
        <v>253</v>
      </c>
      <c r="D106" s="26">
        <v>324.5</v>
      </c>
      <c r="E106" s="22">
        <v>72203283</v>
      </c>
      <c r="F106" s="2">
        <f t="shared" si="2"/>
        <v>222506.26502311247</v>
      </c>
      <c r="G106" s="23">
        <v>70202876</v>
      </c>
      <c r="H106" s="24">
        <v>71861092</v>
      </c>
      <c r="I106" s="2">
        <f t="shared" si="3"/>
        <v>221451.7473035439</v>
      </c>
    </row>
    <row r="107" spans="1:9">
      <c r="A107" s="7" t="s">
        <v>254</v>
      </c>
      <c r="B107" s="10" t="s">
        <v>255</v>
      </c>
      <c r="C107" s="10" t="s">
        <v>18</v>
      </c>
      <c r="D107" s="26">
        <v>298.8</v>
      </c>
      <c r="E107" s="22">
        <v>56381309</v>
      </c>
      <c r="F107" s="2">
        <f t="shared" si="2"/>
        <v>188692.46653279784</v>
      </c>
      <c r="G107" s="23">
        <v>54595094</v>
      </c>
      <c r="H107" s="24">
        <v>55903021</v>
      </c>
      <c r="I107" s="2">
        <f t="shared" si="3"/>
        <v>187091.77041499331</v>
      </c>
    </row>
    <row r="108" spans="1:9">
      <c r="A108" s="7" t="s">
        <v>256</v>
      </c>
      <c r="B108" s="10" t="s">
        <v>257</v>
      </c>
      <c r="C108" s="10" t="s">
        <v>258</v>
      </c>
      <c r="D108" s="26">
        <v>6924.1</v>
      </c>
      <c r="E108" s="22">
        <v>433239221</v>
      </c>
      <c r="F108" s="2">
        <f t="shared" si="2"/>
        <v>62569.752169957101</v>
      </c>
      <c r="G108" s="23">
        <v>393463387</v>
      </c>
      <c r="H108" s="24">
        <v>430816679</v>
      </c>
      <c r="I108" s="2">
        <f t="shared" si="3"/>
        <v>62219.881139787118</v>
      </c>
    </row>
    <row r="109" spans="1:9">
      <c r="A109" s="7" t="s">
        <v>259</v>
      </c>
      <c r="B109" s="10" t="s">
        <v>260</v>
      </c>
      <c r="C109" s="10" t="s">
        <v>258</v>
      </c>
      <c r="D109" s="26">
        <v>720.2</v>
      </c>
      <c r="E109" s="22">
        <v>66842383</v>
      </c>
      <c r="F109" s="2">
        <f t="shared" si="2"/>
        <v>92810.862260483191</v>
      </c>
      <c r="G109" s="23">
        <v>63978255</v>
      </c>
      <c r="H109" s="24">
        <v>66842383</v>
      </c>
      <c r="I109" s="2">
        <f t="shared" si="3"/>
        <v>92810.862260483191</v>
      </c>
    </row>
    <row r="110" spans="1:9">
      <c r="A110" s="7" t="s">
        <v>261</v>
      </c>
      <c r="B110" s="10" t="s">
        <v>262</v>
      </c>
      <c r="C110" s="10" t="s">
        <v>258</v>
      </c>
      <c r="D110" s="26">
        <v>490.2</v>
      </c>
      <c r="E110" s="22">
        <v>20675520</v>
      </c>
      <c r="F110" s="2">
        <f t="shared" si="2"/>
        <v>42177.723378212977</v>
      </c>
      <c r="G110" s="23">
        <v>19005947</v>
      </c>
      <c r="H110" s="24">
        <v>20675520</v>
      </c>
      <c r="I110" s="2">
        <f t="shared" si="3"/>
        <v>42177.723378212977</v>
      </c>
    </row>
    <row r="111" spans="1:9">
      <c r="A111" s="7" t="s">
        <v>263</v>
      </c>
      <c r="B111" s="10" t="s">
        <v>264</v>
      </c>
      <c r="C111" s="10" t="s">
        <v>265</v>
      </c>
      <c r="D111" s="26">
        <v>4892.5</v>
      </c>
      <c r="E111" s="22">
        <v>203529712</v>
      </c>
      <c r="F111" s="2">
        <f t="shared" si="2"/>
        <v>41600.349923352071</v>
      </c>
      <c r="G111" s="23">
        <v>175259681</v>
      </c>
      <c r="H111" s="24">
        <v>202329674</v>
      </c>
      <c r="I111" s="2">
        <f t="shared" si="3"/>
        <v>41355.068778742971</v>
      </c>
    </row>
    <row r="112" spans="1:9">
      <c r="A112" s="7" t="s">
        <v>266</v>
      </c>
      <c r="B112" s="10" t="s">
        <v>267</v>
      </c>
      <c r="C112" s="10" t="s">
        <v>265</v>
      </c>
      <c r="D112" s="26">
        <v>1106.3</v>
      </c>
      <c r="E112" s="22">
        <v>68354205</v>
      </c>
      <c r="F112" s="2">
        <f t="shared" si="2"/>
        <v>61786.319262406221</v>
      </c>
      <c r="G112" s="23">
        <v>61809634</v>
      </c>
      <c r="H112" s="24">
        <v>67955727</v>
      </c>
      <c r="I112" s="2">
        <f t="shared" si="3"/>
        <v>61426.129440477271</v>
      </c>
    </row>
    <row r="113" spans="1:9">
      <c r="A113" s="7" t="s">
        <v>268</v>
      </c>
      <c r="B113" s="10" t="s">
        <v>269</v>
      </c>
      <c r="C113" s="10" t="s">
        <v>265</v>
      </c>
      <c r="D113" s="26">
        <v>272</v>
      </c>
      <c r="E113" s="22">
        <v>38187165</v>
      </c>
      <c r="F113" s="2">
        <f t="shared" si="2"/>
        <v>140393.98897058822</v>
      </c>
      <c r="G113" s="23">
        <v>35722174</v>
      </c>
      <c r="H113" s="24">
        <v>38187165</v>
      </c>
      <c r="I113" s="2">
        <f t="shared" si="3"/>
        <v>140393.98897058822</v>
      </c>
    </row>
    <row r="114" spans="1:9">
      <c r="A114" s="7" t="s">
        <v>270</v>
      </c>
      <c r="B114" s="10" t="s">
        <v>271</v>
      </c>
      <c r="C114" s="10" t="s">
        <v>265</v>
      </c>
      <c r="D114" s="26">
        <v>275.3</v>
      </c>
      <c r="E114" s="22">
        <v>16431119</v>
      </c>
      <c r="F114" s="2">
        <f t="shared" si="2"/>
        <v>59684.413367235742</v>
      </c>
      <c r="G114" s="23">
        <v>14884967</v>
      </c>
      <c r="H114" s="24">
        <v>16395068</v>
      </c>
      <c r="I114" s="2">
        <f t="shared" si="3"/>
        <v>59553.461678169268</v>
      </c>
    </row>
    <row r="115" spans="1:9">
      <c r="A115" s="7" t="s">
        <v>272</v>
      </c>
      <c r="B115" s="10" t="s">
        <v>273</v>
      </c>
      <c r="C115" s="10" t="s">
        <v>265</v>
      </c>
      <c r="D115" s="26">
        <v>929.5</v>
      </c>
      <c r="E115" s="22">
        <v>65153630</v>
      </c>
      <c r="F115" s="2">
        <f t="shared" si="2"/>
        <v>70095.352339967721</v>
      </c>
      <c r="G115" s="23">
        <v>60139951</v>
      </c>
      <c r="H115" s="24">
        <v>65119712</v>
      </c>
      <c r="I115" s="2">
        <f t="shared" si="3"/>
        <v>70058.86175363099</v>
      </c>
    </row>
    <row r="116" spans="1:9">
      <c r="A116" s="7" t="s">
        <v>274</v>
      </c>
      <c r="B116" s="10" t="s">
        <v>275</v>
      </c>
      <c r="C116" s="10" t="s">
        <v>265</v>
      </c>
      <c r="D116" s="26">
        <v>2111.1999999999998</v>
      </c>
      <c r="E116" s="22">
        <v>145695818</v>
      </c>
      <c r="F116" s="2">
        <f t="shared" si="2"/>
        <v>69010.90280409246</v>
      </c>
      <c r="G116" s="23">
        <v>135103097</v>
      </c>
      <c r="H116" s="24">
        <v>144578205</v>
      </c>
      <c r="I116" s="2">
        <f t="shared" si="3"/>
        <v>68481.529461917395</v>
      </c>
    </row>
    <row r="117" spans="1:9">
      <c r="A117" s="7" t="s">
        <v>276</v>
      </c>
      <c r="B117" s="10" t="s">
        <v>277</v>
      </c>
      <c r="C117" s="10" t="s">
        <v>278</v>
      </c>
      <c r="D117" s="26">
        <v>98.9</v>
      </c>
      <c r="E117" s="22">
        <v>12133024</v>
      </c>
      <c r="F117" s="2">
        <f t="shared" si="2"/>
        <v>122679.71688574317</v>
      </c>
      <c r="G117" s="23">
        <v>11530698</v>
      </c>
      <c r="H117" s="24">
        <v>12133024</v>
      </c>
      <c r="I117" s="2">
        <f t="shared" si="3"/>
        <v>122679.71688574317</v>
      </c>
    </row>
    <row r="118" spans="1:9">
      <c r="A118" s="7" t="s">
        <v>279</v>
      </c>
      <c r="B118" s="10" t="s">
        <v>280</v>
      </c>
      <c r="C118" s="10" t="s">
        <v>278</v>
      </c>
      <c r="D118" s="26">
        <v>920</v>
      </c>
      <c r="E118" s="22">
        <v>72350341</v>
      </c>
      <c r="F118" s="2">
        <f t="shared" si="2"/>
        <v>78641.675000000003</v>
      </c>
      <c r="G118" s="23">
        <v>66866092</v>
      </c>
      <c r="H118" s="24">
        <v>70975841</v>
      </c>
      <c r="I118" s="2">
        <f t="shared" si="3"/>
        <v>77147.653260869571</v>
      </c>
    </row>
    <row r="119" spans="1:9">
      <c r="A119" s="7" t="s">
        <v>281</v>
      </c>
      <c r="B119" s="10" t="s">
        <v>282</v>
      </c>
      <c r="C119" s="10" t="s">
        <v>278</v>
      </c>
      <c r="D119" s="26">
        <v>189.4</v>
      </c>
      <c r="E119" s="22">
        <v>12380491</v>
      </c>
      <c r="F119" s="2">
        <f t="shared" si="2"/>
        <v>65366.900739176344</v>
      </c>
      <c r="G119" s="23">
        <v>11594715</v>
      </c>
      <c r="H119" s="24">
        <v>12335426</v>
      </c>
      <c r="I119" s="2">
        <f t="shared" si="3"/>
        <v>65128.965153115096</v>
      </c>
    </row>
    <row r="120" spans="1:9">
      <c r="A120" s="7" t="s">
        <v>283</v>
      </c>
      <c r="B120" s="10" t="s">
        <v>284</v>
      </c>
      <c r="C120" s="10" t="s">
        <v>285</v>
      </c>
      <c r="D120" s="26">
        <v>1464.6</v>
      </c>
      <c r="E120" s="22">
        <v>74797897</v>
      </c>
      <c r="F120" s="2">
        <f t="shared" si="2"/>
        <v>51070.529154718017</v>
      </c>
      <c r="G120" s="23">
        <v>68436930</v>
      </c>
      <c r="H120" s="24">
        <v>74797897</v>
      </c>
      <c r="I120" s="2">
        <f t="shared" si="3"/>
        <v>51070.529154718017</v>
      </c>
    </row>
    <row r="121" spans="1:9">
      <c r="A121" s="7" t="s">
        <v>286</v>
      </c>
      <c r="B121" s="10" t="s">
        <v>287</v>
      </c>
      <c r="C121" s="10" t="s">
        <v>285</v>
      </c>
      <c r="D121" s="26">
        <v>1127.5</v>
      </c>
      <c r="E121" s="22">
        <v>287269876</v>
      </c>
      <c r="F121" s="2">
        <f t="shared" si="2"/>
        <v>254784.81241685143</v>
      </c>
      <c r="G121" s="23">
        <v>281785148</v>
      </c>
      <c r="H121" s="24">
        <v>287269876</v>
      </c>
      <c r="I121" s="2">
        <f t="shared" si="3"/>
        <v>254784.81241685143</v>
      </c>
    </row>
    <row r="122" spans="1:9">
      <c r="A122" s="7" t="s">
        <v>288</v>
      </c>
      <c r="B122" s="10" t="s">
        <v>289</v>
      </c>
      <c r="C122" s="10" t="s">
        <v>285</v>
      </c>
      <c r="D122" s="26">
        <v>304</v>
      </c>
      <c r="E122" s="22">
        <v>19877258</v>
      </c>
      <c r="F122" s="2">
        <f t="shared" si="2"/>
        <v>65385.71710526316</v>
      </c>
      <c r="G122" s="23">
        <v>17936825</v>
      </c>
      <c r="H122" s="24">
        <v>19668695</v>
      </c>
      <c r="I122" s="2">
        <f t="shared" si="3"/>
        <v>64699.65460526316</v>
      </c>
    </row>
    <row r="123" spans="1:9">
      <c r="A123" s="7" t="s">
        <v>290</v>
      </c>
      <c r="B123" s="10" t="s">
        <v>291</v>
      </c>
      <c r="C123" s="10" t="s">
        <v>285</v>
      </c>
      <c r="D123" s="26">
        <v>854.9</v>
      </c>
      <c r="E123" s="22">
        <v>44363846</v>
      </c>
      <c r="F123" s="2">
        <f t="shared" si="2"/>
        <v>51893.60860919406</v>
      </c>
      <c r="G123" s="23">
        <v>39985256</v>
      </c>
      <c r="H123" s="24">
        <v>44363846</v>
      </c>
      <c r="I123" s="2">
        <f t="shared" si="3"/>
        <v>51893.60860919406</v>
      </c>
    </row>
    <row r="124" spans="1:9">
      <c r="A124" s="7" t="s">
        <v>292</v>
      </c>
      <c r="B124" s="10" t="s">
        <v>293</v>
      </c>
      <c r="C124" s="10" t="s">
        <v>30</v>
      </c>
      <c r="D124" s="26">
        <v>587</v>
      </c>
      <c r="E124" s="22">
        <v>28383866</v>
      </c>
      <c r="F124" s="2">
        <f t="shared" si="2"/>
        <v>48354.115843270869</v>
      </c>
      <c r="G124" s="23">
        <v>25123838</v>
      </c>
      <c r="H124" s="24">
        <v>28383866</v>
      </c>
      <c r="I124" s="2">
        <f t="shared" si="3"/>
        <v>48354.115843270869</v>
      </c>
    </row>
    <row r="125" spans="1:9">
      <c r="A125" s="7" t="s">
        <v>294</v>
      </c>
      <c r="B125" s="10" t="s">
        <v>295</v>
      </c>
      <c r="C125" s="10" t="s">
        <v>30</v>
      </c>
      <c r="D125" s="26">
        <v>171</v>
      </c>
      <c r="E125" s="22">
        <v>17700869</v>
      </c>
      <c r="F125" s="2">
        <f t="shared" si="2"/>
        <v>103513.85380116959</v>
      </c>
      <c r="G125" s="23">
        <v>16710585</v>
      </c>
      <c r="H125" s="24">
        <v>17680913</v>
      </c>
      <c r="I125" s="2">
        <f t="shared" si="3"/>
        <v>103397.15204678362</v>
      </c>
    </row>
    <row r="126" spans="1:9">
      <c r="A126" s="7" t="s">
        <v>296</v>
      </c>
      <c r="B126" s="10" t="s">
        <v>297</v>
      </c>
      <c r="C126" s="10" t="s">
        <v>36</v>
      </c>
      <c r="D126" s="26">
        <v>581.5</v>
      </c>
      <c r="E126" s="22">
        <v>40278695</v>
      </c>
      <c r="F126" s="2">
        <f t="shared" si="2"/>
        <v>69266.887360275156</v>
      </c>
      <c r="G126" s="23">
        <v>36136116</v>
      </c>
      <c r="H126" s="24">
        <v>38633063</v>
      </c>
      <c r="I126" s="2">
        <f t="shared" si="3"/>
        <v>66436.909716251073</v>
      </c>
    </row>
    <row r="127" spans="1:9">
      <c r="A127" s="7" t="s">
        <v>298</v>
      </c>
      <c r="B127" s="10" t="s">
        <v>299</v>
      </c>
      <c r="C127" s="10" t="s">
        <v>300</v>
      </c>
      <c r="D127" s="26">
        <v>471.5</v>
      </c>
      <c r="E127" s="22">
        <v>37789180</v>
      </c>
      <c r="F127" s="2">
        <f t="shared" si="2"/>
        <v>80146.723223753972</v>
      </c>
      <c r="G127" s="23">
        <v>34468108</v>
      </c>
      <c r="H127" s="24">
        <v>37133212</v>
      </c>
      <c r="I127" s="2">
        <f t="shared" si="3"/>
        <v>78755.486744432666</v>
      </c>
    </row>
    <row r="128" spans="1:9">
      <c r="A128" s="7" t="s">
        <v>301</v>
      </c>
      <c r="B128" s="10" t="s">
        <v>302</v>
      </c>
      <c r="C128" s="10" t="s">
        <v>300</v>
      </c>
      <c r="D128" s="26">
        <v>474.1</v>
      </c>
      <c r="E128" s="22">
        <v>35630555</v>
      </c>
      <c r="F128" s="2">
        <f t="shared" si="2"/>
        <v>75154.091963720726</v>
      </c>
      <c r="G128" s="23">
        <v>32102543</v>
      </c>
      <c r="H128" s="24">
        <v>35242849</v>
      </c>
      <c r="I128" s="2">
        <f t="shared" si="3"/>
        <v>74336.319341910988</v>
      </c>
    </row>
    <row r="129" spans="1:9">
      <c r="A129" s="7" t="s">
        <v>303</v>
      </c>
      <c r="B129" s="10" t="s">
        <v>304</v>
      </c>
      <c r="C129" s="10" t="s">
        <v>305</v>
      </c>
      <c r="D129" s="26">
        <v>926.1</v>
      </c>
      <c r="E129" s="22">
        <v>69680541</v>
      </c>
      <c r="F129" s="2">
        <f t="shared" si="2"/>
        <v>75240.839002267574</v>
      </c>
      <c r="G129" s="23">
        <v>63488908</v>
      </c>
      <c r="H129" s="24">
        <v>66882509</v>
      </c>
      <c r="I129" s="2">
        <f t="shared" si="3"/>
        <v>72219.532447899794</v>
      </c>
    </row>
    <row r="130" spans="1:9">
      <c r="A130" s="7" t="s">
        <v>306</v>
      </c>
      <c r="B130" s="10" t="s">
        <v>307</v>
      </c>
      <c r="C130" s="10" t="s">
        <v>305</v>
      </c>
      <c r="D130" s="26">
        <v>155.1</v>
      </c>
      <c r="E130" s="22">
        <v>59283165</v>
      </c>
      <c r="F130" s="2">
        <f t="shared" si="2"/>
        <v>382225.43520309479</v>
      </c>
      <c r="G130" s="23">
        <v>57803927</v>
      </c>
      <c r="H130" s="24">
        <v>58743390</v>
      </c>
      <c r="I130" s="2">
        <f t="shared" si="3"/>
        <v>378745.26112185686</v>
      </c>
    </row>
    <row r="131" spans="1:9">
      <c r="A131" s="7" t="s">
        <v>308</v>
      </c>
      <c r="B131" s="10" t="s">
        <v>309</v>
      </c>
      <c r="C131" s="10" t="s">
        <v>310</v>
      </c>
      <c r="D131" s="26">
        <v>1010</v>
      </c>
      <c r="E131" s="22">
        <v>53171698</v>
      </c>
      <c r="F131" s="2">
        <f t="shared" si="2"/>
        <v>52645.245544554455</v>
      </c>
      <c r="G131" s="23">
        <v>46949561</v>
      </c>
      <c r="H131" s="24">
        <v>49041011</v>
      </c>
      <c r="I131" s="2">
        <f t="shared" si="3"/>
        <v>48555.456435643566</v>
      </c>
    </row>
    <row r="132" spans="1:9">
      <c r="A132" s="7" t="s">
        <v>311</v>
      </c>
      <c r="B132" s="10" t="s">
        <v>312</v>
      </c>
      <c r="C132" s="10" t="s">
        <v>310</v>
      </c>
      <c r="D132" s="26">
        <v>235.3</v>
      </c>
      <c r="E132" s="22">
        <v>21197886</v>
      </c>
      <c r="F132" s="2">
        <f t="shared" si="2"/>
        <v>90088.763280917978</v>
      </c>
      <c r="G132" s="23">
        <v>19673913</v>
      </c>
      <c r="H132" s="24">
        <v>21116877</v>
      </c>
      <c r="I132" s="2">
        <f t="shared" si="3"/>
        <v>89744.483637909041</v>
      </c>
    </row>
    <row r="133" spans="1:9">
      <c r="A133" s="7" t="s">
        <v>313</v>
      </c>
      <c r="B133" s="10" t="s">
        <v>314</v>
      </c>
      <c r="C133" s="10" t="s">
        <v>315</v>
      </c>
      <c r="D133" s="26">
        <v>388</v>
      </c>
      <c r="E133" s="22">
        <v>17166726</v>
      </c>
      <c r="F133" s="2">
        <f t="shared" si="2"/>
        <v>44244.139175257733</v>
      </c>
      <c r="G133" s="23">
        <v>15330864</v>
      </c>
      <c r="H133" s="24">
        <v>17157457</v>
      </c>
      <c r="I133" s="2">
        <f t="shared" si="3"/>
        <v>44220.25</v>
      </c>
    </row>
    <row r="134" spans="1:9">
      <c r="A134" s="7" t="s">
        <v>316</v>
      </c>
      <c r="B134" s="10" t="s">
        <v>317</v>
      </c>
      <c r="C134" s="10" t="s">
        <v>315</v>
      </c>
      <c r="D134" s="26">
        <v>1151.4000000000001</v>
      </c>
      <c r="E134" s="22">
        <v>42086372</v>
      </c>
      <c r="F134" s="2">
        <f t="shared" si="2"/>
        <v>36552.346708355042</v>
      </c>
      <c r="G134" s="23">
        <v>36819764</v>
      </c>
      <c r="H134" s="24">
        <v>41865793</v>
      </c>
      <c r="I134" s="2">
        <f t="shared" si="3"/>
        <v>36360.772103526142</v>
      </c>
    </row>
    <row r="135" spans="1:9">
      <c r="A135" s="7" t="s">
        <v>318</v>
      </c>
      <c r="B135" s="10" t="s">
        <v>319</v>
      </c>
      <c r="C135" s="10" t="s">
        <v>315</v>
      </c>
      <c r="D135" s="26">
        <v>917.4</v>
      </c>
      <c r="E135" s="22">
        <v>28589684</v>
      </c>
      <c r="F135" s="2">
        <f t="shared" ref="F135:F198" si="4">E135/D135</f>
        <v>31163.81512971441</v>
      </c>
      <c r="G135" s="23">
        <v>25151749</v>
      </c>
      <c r="H135" s="24">
        <v>28558691</v>
      </c>
      <c r="I135" s="2">
        <f t="shared" ref="I135:I198" si="5">H135/D135</f>
        <v>31130.031611074777</v>
      </c>
    </row>
    <row r="136" spans="1:9">
      <c r="A136" s="7" t="s">
        <v>320</v>
      </c>
      <c r="B136" s="10" t="s">
        <v>321</v>
      </c>
      <c r="C136" s="10" t="s">
        <v>322</v>
      </c>
      <c r="D136" s="26">
        <v>394</v>
      </c>
      <c r="E136" s="22">
        <v>15720488</v>
      </c>
      <c r="F136" s="2">
        <f t="shared" si="4"/>
        <v>39899.715736040613</v>
      </c>
      <c r="G136" s="23">
        <v>13705881</v>
      </c>
      <c r="H136" s="24">
        <v>15720488</v>
      </c>
      <c r="I136" s="2">
        <f t="shared" si="5"/>
        <v>39899.715736040613</v>
      </c>
    </row>
    <row r="137" spans="1:9">
      <c r="A137" s="7" t="s">
        <v>323</v>
      </c>
      <c r="B137" s="10" t="s">
        <v>324</v>
      </c>
      <c r="C137" s="10" t="s">
        <v>322</v>
      </c>
      <c r="D137" s="26">
        <v>436</v>
      </c>
      <c r="E137" s="22">
        <v>17142963</v>
      </c>
      <c r="F137" s="2">
        <f t="shared" si="4"/>
        <v>39318.722477064221</v>
      </c>
      <c r="G137" s="23">
        <v>15133832</v>
      </c>
      <c r="H137" s="24">
        <v>17142963</v>
      </c>
      <c r="I137" s="2">
        <f t="shared" si="5"/>
        <v>39318.722477064221</v>
      </c>
    </row>
    <row r="138" spans="1:9">
      <c r="A138" s="7" t="s">
        <v>325</v>
      </c>
      <c r="B138" s="10" t="s">
        <v>326</v>
      </c>
      <c r="C138" s="10" t="s">
        <v>322</v>
      </c>
      <c r="D138" s="26">
        <v>854.8</v>
      </c>
      <c r="E138" s="22">
        <v>38191090</v>
      </c>
      <c r="F138" s="2">
        <f t="shared" si="4"/>
        <v>44678.392606457652</v>
      </c>
      <c r="G138" s="23">
        <v>33871020</v>
      </c>
      <c r="H138" s="24">
        <v>38191090</v>
      </c>
      <c r="I138" s="2">
        <f t="shared" si="5"/>
        <v>44678.392606457652</v>
      </c>
    </row>
    <row r="139" spans="1:9">
      <c r="A139" s="7" t="s">
        <v>327</v>
      </c>
      <c r="B139" s="10" t="s">
        <v>328</v>
      </c>
      <c r="C139" s="10" t="s">
        <v>322</v>
      </c>
      <c r="D139" s="26">
        <v>530</v>
      </c>
      <c r="E139" s="22">
        <v>25586296</v>
      </c>
      <c r="F139" s="2">
        <f t="shared" si="4"/>
        <v>48276.030188679244</v>
      </c>
      <c r="G139" s="23">
        <v>22184674</v>
      </c>
      <c r="H139" s="24">
        <v>25586296</v>
      </c>
      <c r="I139" s="2">
        <f t="shared" si="5"/>
        <v>48276.030188679244</v>
      </c>
    </row>
    <row r="140" spans="1:9">
      <c r="A140" s="7" t="s">
        <v>329</v>
      </c>
      <c r="B140" s="10" t="s">
        <v>330</v>
      </c>
      <c r="C140" s="10" t="s">
        <v>322</v>
      </c>
      <c r="D140" s="26">
        <v>505.7</v>
      </c>
      <c r="E140" s="22">
        <v>30093316</v>
      </c>
      <c r="F140" s="2">
        <f t="shared" si="4"/>
        <v>59508.238085821635</v>
      </c>
      <c r="G140" s="23">
        <v>27023848</v>
      </c>
      <c r="H140" s="24">
        <v>30093316</v>
      </c>
      <c r="I140" s="2">
        <f t="shared" si="5"/>
        <v>59508.238085821635</v>
      </c>
    </row>
    <row r="141" spans="1:9">
      <c r="A141" s="7" t="s">
        <v>331</v>
      </c>
      <c r="B141" s="10" t="s">
        <v>332</v>
      </c>
      <c r="C141" s="10" t="s">
        <v>322</v>
      </c>
      <c r="D141" s="26">
        <v>810.5</v>
      </c>
      <c r="E141" s="22">
        <v>58824633</v>
      </c>
      <c r="F141" s="2">
        <f t="shared" si="4"/>
        <v>72578.202344231962</v>
      </c>
      <c r="G141" s="23">
        <v>54069599</v>
      </c>
      <c r="H141" s="24">
        <v>58824633</v>
      </c>
      <c r="I141" s="2">
        <f t="shared" si="5"/>
        <v>72578.202344231962</v>
      </c>
    </row>
    <row r="142" spans="1:9">
      <c r="A142" s="7" t="s">
        <v>333</v>
      </c>
      <c r="B142" s="10" t="s">
        <v>334</v>
      </c>
      <c r="C142" s="10" t="s">
        <v>335</v>
      </c>
      <c r="D142" s="26">
        <v>370.2</v>
      </c>
      <c r="E142" s="22">
        <v>12952106</v>
      </c>
      <c r="F142" s="2">
        <f t="shared" si="4"/>
        <v>34986.780118854673</v>
      </c>
      <c r="G142" s="23">
        <v>10984656</v>
      </c>
      <c r="H142" s="24">
        <v>12952106</v>
      </c>
      <c r="I142" s="2">
        <f t="shared" si="5"/>
        <v>34986.780118854673</v>
      </c>
    </row>
    <row r="143" spans="1:9">
      <c r="A143" s="7" t="s">
        <v>336</v>
      </c>
      <c r="B143" s="10" t="s">
        <v>337</v>
      </c>
      <c r="C143" s="10" t="s">
        <v>338</v>
      </c>
      <c r="D143" s="26">
        <v>3718.7</v>
      </c>
      <c r="E143" s="22">
        <v>226954362</v>
      </c>
      <c r="F143" s="2">
        <f t="shared" si="4"/>
        <v>61030.56498238632</v>
      </c>
      <c r="G143" s="23">
        <v>209953605</v>
      </c>
      <c r="H143" s="24">
        <v>224977727</v>
      </c>
      <c r="I143" s="2">
        <f t="shared" si="5"/>
        <v>60499.025734799798</v>
      </c>
    </row>
    <row r="144" spans="1:9">
      <c r="A144" s="7" t="s">
        <v>339</v>
      </c>
      <c r="B144" s="10" t="s">
        <v>340</v>
      </c>
      <c r="C144" s="10" t="s">
        <v>335</v>
      </c>
      <c r="D144" s="26">
        <v>515.29999999999995</v>
      </c>
      <c r="E144" s="22">
        <v>32236979</v>
      </c>
      <c r="F144" s="2">
        <f t="shared" si="4"/>
        <v>62559.633223365039</v>
      </c>
      <c r="G144" s="23">
        <v>28162069</v>
      </c>
      <c r="H144" s="24">
        <v>32236979</v>
      </c>
      <c r="I144" s="2">
        <f t="shared" si="5"/>
        <v>62559.633223365039</v>
      </c>
    </row>
    <row r="145" spans="1:9">
      <c r="A145" s="7" t="s">
        <v>341</v>
      </c>
      <c r="B145" s="10" t="s">
        <v>342</v>
      </c>
      <c r="C145" s="10" t="s">
        <v>343</v>
      </c>
      <c r="D145" s="26">
        <v>356.5</v>
      </c>
      <c r="E145" s="22">
        <v>27260415</v>
      </c>
      <c r="F145" s="2">
        <f t="shared" si="4"/>
        <v>76466.802244039267</v>
      </c>
      <c r="G145" s="23">
        <v>25080573</v>
      </c>
      <c r="H145" s="24">
        <v>27130303</v>
      </c>
      <c r="I145" s="2">
        <f t="shared" si="5"/>
        <v>76101.831697054702</v>
      </c>
    </row>
    <row r="146" spans="1:9">
      <c r="A146" s="7" t="s">
        <v>344</v>
      </c>
      <c r="B146" s="10" t="s">
        <v>345</v>
      </c>
      <c r="C146" s="10" t="s">
        <v>346</v>
      </c>
      <c r="D146" s="26">
        <v>1342.5</v>
      </c>
      <c r="E146" s="22">
        <v>75415185</v>
      </c>
      <c r="F146" s="2">
        <f t="shared" si="4"/>
        <v>56175.184357541897</v>
      </c>
      <c r="G146" s="23">
        <v>68983944</v>
      </c>
      <c r="H146" s="24">
        <v>75415185</v>
      </c>
      <c r="I146" s="2">
        <f t="shared" si="5"/>
        <v>56175.184357541897</v>
      </c>
    </row>
    <row r="147" spans="1:9">
      <c r="A147" s="7" t="s">
        <v>347</v>
      </c>
      <c r="B147" s="10" t="s">
        <v>348</v>
      </c>
      <c r="C147" s="10" t="s">
        <v>349</v>
      </c>
      <c r="D147" s="26">
        <v>269.5</v>
      </c>
      <c r="E147" s="22">
        <v>19857355</v>
      </c>
      <c r="F147" s="2">
        <f t="shared" si="4"/>
        <v>73682.207792207788</v>
      </c>
      <c r="G147" s="23">
        <v>18315232</v>
      </c>
      <c r="H147" s="24">
        <v>19428626</v>
      </c>
      <c r="I147" s="2">
        <f t="shared" si="5"/>
        <v>72091.376623376622</v>
      </c>
    </row>
    <row r="148" spans="1:9">
      <c r="A148" s="7" t="s">
        <v>350</v>
      </c>
      <c r="B148" s="10" t="s">
        <v>351</v>
      </c>
      <c r="C148" s="10" t="s">
        <v>349</v>
      </c>
      <c r="D148" s="26">
        <v>331</v>
      </c>
      <c r="E148" s="22">
        <v>42620939</v>
      </c>
      <c r="F148" s="2">
        <f t="shared" si="4"/>
        <v>128764.166163142</v>
      </c>
      <c r="G148" s="23">
        <v>40623080</v>
      </c>
      <c r="H148" s="24">
        <v>41863012</v>
      </c>
      <c r="I148" s="2">
        <f t="shared" si="5"/>
        <v>126474.35649546828</v>
      </c>
    </row>
    <row r="149" spans="1:9">
      <c r="A149" s="7" t="s">
        <v>352</v>
      </c>
      <c r="B149" s="10" t="s">
        <v>353</v>
      </c>
      <c r="C149" s="10" t="s">
        <v>349</v>
      </c>
      <c r="D149" s="26">
        <v>263.7</v>
      </c>
      <c r="E149" s="22">
        <v>37598808</v>
      </c>
      <c r="F149" s="2">
        <f t="shared" si="4"/>
        <v>142581.75199089875</v>
      </c>
      <c r="G149" s="23">
        <v>36401953</v>
      </c>
      <c r="H149" s="24">
        <v>37216260</v>
      </c>
      <c r="I149" s="2">
        <f t="shared" si="5"/>
        <v>141131.05802047782</v>
      </c>
    </row>
    <row r="150" spans="1:9">
      <c r="A150" s="7" t="s">
        <v>354</v>
      </c>
      <c r="B150" s="10" t="s">
        <v>355</v>
      </c>
      <c r="C150" s="10" t="s">
        <v>356</v>
      </c>
      <c r="D150" s="26">
        <v>1032.3</v>
      </c>
      <c r="E150" s="22">
        <v>70692383</v>
      </c>
      <c r="F150" s="2">
        <f t="shared" si="4"/>
        <v>68480.464012399505</v>
      </c>
      <c r="G150" s="23">
        <v>65148077</v>
      </c>
      <c r="H150" s="24">
        <v>68471367</v>
      </c>
      <c r="I150" s="2">
        <f t="shared" si="5"/>
        <v>66328.942167974426</v>
      </c>
    </row>
    <row r="151" spans="1:9">
      <c r="A151" s="7" t="s">
        <v>357</v>
      </c>
      <c r="B151" s="10" t="s">
        <v>358</v>
      </c>
      <c r="C151" s="10" t="s">
        <v>359</v>
      </c>
      <c r="D151" s="26">
        <v>1521.5</v>
      </c>
      <c r="E151" s="22">
        <v>64671556</v>
      </c>
      <c r="F151" s="2">
        <f t="shared" si="4"/>
        <v>42505.130463358524</v>
      </c>
      <c r="G151" s="23">
        <v>56352724</v>
      </c>
      <c r="H151" s="24">
        <v>59531318</v>
      </c>
      <c r="I151" s="2">
        <f t="shared" si="5"/>
        <v>39126.728885967794</v>
      </c>
    </row>
    <row r="152" spans="1:9">
      <c r="A152" s="7" t="s">
        <v>360</v>
      </c>
      <c r="B152" s="10" t="s">
        <v>361</v>
      </c>
      <c r="C152" s="10" t="s">
        <v>362</v>
      </c>
      <c r="D152" s="26">
        <v>409.2</v>
      </c>
      <c r="E152" s="22">
        <v>43546886</v>
      </c>
      <c r="F152" s="2">
        <f t="shared" si="4"/>
        <v>106419.56500488758</v>
      </c>
      <c r="G152" s="23">
        <v>40829918</v>
      </c>
      <c r="H152" s="24">
        <v>43460414</v>
      </c>
      <c r="I152" s="2">
        <f t="shared" si="5"/>
        <v>106208.24535679375</v>
      </c>
    </row>
    <row r="153" spans="1:9">
      <c r="A153" s="7" t="s">
        <v>363</v>
      </c>
      <c r="B153" s="10" t="s">
        <v>364</v>
      </c>
      <c r="C153" s="10" t="s">
        <v>359</v>
      </c>
      <c r="D153" s="26">
        <v>492.3</v>
      </c>
      <c r="E153" s="22">
        <v>20581479</v>
      </c>
      <c r="F153" s="2">
        <f t="shared" si="4"/>
        <v>41806.782449725775</v>
      </c>
      <c r="G153" s="23">
        <v>18396206</v>
      </c>
      <c r="H153" s="24">
        <v>19988993</v>
      </c>
      <c r="I153" s="2">
        <f t="shared" si="5"/>
        <v>40603.276457444648</v>
      </c>
    </row>
    <row r="154" spans="1:9">
      <c r="A154" s="7" t="s">
        <v>365</v>
      </c>
      <c r="B154" s="10" t="s">
        <v>366</v>
      </c>
      <c r="C154" s="10" t="s">
        <v>359</v>
      </c>
      <c r="D154" s="26">
        <v>593.5</v>
      </c>
      <c r="E154" s="22">
        <v>21247259</v>
      </c>
      <c r="F154" s="2">
        <f t="shared" si="4"/>
        <v>35799.930918281381</v>
      </c>
      <c r="G154" s="23">
        <v>18188492</v>
      </c>
      <c r="H154" s="24">
        <v>20832269</v>
      </c>
      <c r="I154" s="2">
        <f t="shared" si="5"/>
        <v>35100.705981465879</v>
      </c>
    </row>
    <row r="155" spans="1:9">
      <c r="A155" s="7" t="s">
        <v>367</v>
      </c>
      <c r="B155" s="10" t="s">
        <v>368</v>
      </c>
      <c r="C155" s="10" t="s">
        <v>359</v>
      </c>
      <c r="D155" s="26">
        <v>335.2</v>
      </c>
      <c r="E155" s="22">
        <v>17940574</v>
      </c>
      <c r="F155" s="2">
        <f t="shared" si="4"/>
        <v>53521.998806682583</v>
      </c>
      <c r="G155" s="23">
        <v>16135415</v>
      </c>
      <c r="H155" s="24">
        <v>17606053</v>
      </c>
      <c r="I155" s="2">
        <f t="shared" si="5"/>
        <v>52524.024463007161</v>
      </c>
    </row>
    <row r="156" spans="1:9">
      <c r="A156" s="7" t="s">
        <v>369</v>
      </c>
      <c r="B156" s="10" t="s">
        <v>370</v>
      </c>
      <c r="C156" s="10" t="s">
        <v>359</v>
      </c>
      <c r="D156" s="26">
        <v>162</v>
      </c>
      <c r="E156" s="22">
        <v>14247973</v>
      </c>
      <c r="F156" s="2">
        <f t="shared" si="4"/>
        <v>87950.450617283946</v>
      </c>
      <c r="G156" s="23">
        <v>13222151</v>
      </c>
      <c r="H156" s="24">
        <v>14022145</v>
      </c>
      <c r="I156" s="2">
        <f t="shared" si="5"/>
        <v>86556.450617283946</v>
      </c>
    </row>
    <row r="157" spans="1:9">
      <c r="A157" s="7" t="s">
        <v>371</v>
      </c>
      <c r="B157" s="10" t="s">
        <v>372</v>
      </c>
      <c r="C157" s="10" t="s">
        <v>359</v>
      </c>
      <c r="D157" s="26">
        <v>243.5</v>
      </c>
      <c r="E157" s="22">
        <v>15067767</v>
      </c>
      <c r="F157" s="2">
        <f t="shared" si="4"/>
        <v>61879.946611909654</v>
      </c>
      <c r="G157" s="23">
        <v>13545829</v>
      </c>
      <c r="H157" s="24">
        <v>14993775</v>
      </c>
      <c r="I157" s="2">
        <f t="shared" si="5"/>
        <v>61576.078028747434</v>
      </c>
    </row>
    <row r="158" spans="1:9">
      <c r="A158" s="7" t="s">
        <v>373</v>
      </c>
      <c r="B158" s="10" t="s">
        <v>374</v>
      </c>
      <c r="C158" s="10" t="s">
        <v>375</v>
      </c>
      <c r="D158" s="26">
        <v>839.2</v>
      </c>
      <c r="E158" s="22">
        <v>93578615</v>
      </c>
      <c r="F158" s="2">
        <f t="shared" si="4"/>
        <v>111509.31244041944</v>
      </c>
      <c r="G158" s="23">
        <v>88454090</v>
      </c>
      <c r="H158" s="24">
        <v>93158005</v>
      </c>
      <c r="I158" s="2">
        <f t="shared" si="5"/>
        <v>111008.1089132507</v>
      </c>
    </row>
    <row r="159" spans="1:9">
      <c r="A159" s="7" t="s">
        <v>376</v>
      </c>
      <c r="B159" s="10" t="s">
        <v>377</v>
      </c>
      <c r="C159" s="10" t="s">
        <v>335</v>
      </c>
      <c r="D159" s="26">
        <v>910.3</v>
      </c>
      <c r="E159" s="22">
        <v>146739202</v>
      </c>
      <c r="F159" s="2">
        <f t="shared" si="4"/>
        <v>161198.72789190378</v>
      </c>
      <c r="G159" s="23">
        <v>140351818</v>
      </c>
      <c r="H159" s="24">
        <v>146739202</v>
      </c>
      <c r="I159" s="2">
        <f t="shared" si="5"/>
        <v>161198.72789190378</v>
      </c>
    </row>
    <row r="160" spans="1:9">
      <c r="A160" s="7" t="s">
        <v>378</v>
      </c>
      <c r="B160" s="10" t="s">
        <v>379</v>
      </c>
      <c r="C160" s="10" t="s">
        <v>380</v>
      </c>
      <c r="D160" s="26">
        <v>932.1</v>
      </c>
      <c r="E160" s="22">
        <v>166926018</v>
      </c>
      <c r="F160" s="2">
        <f t="shared" si="4"/>
        <v>179085.95429674926</v>
      </c>
      <c r="G160" s="23">
        <v>164848840</v>
      </c>
      <c r="H160" s="24">
        <v>166917934</v>
      </c>
      <c r="I160" s="2">
        <f t="shared" si="5"/>
        <v>179077.28140757428</v>
      </c>
    </row>
    <row r="161" spans="1:9">
      <c r="A161" s="7" t="s">
        <v>381</v>
      </c>
      <c r="B161" s="10" t="s">
        <v>382</v>
      </c>
      <c r="C161" s="10" t="s">
        <v>383</v>
      </c>
      <c r="D161" s="26">
        <v>689.2</v>
      </c>
      <c r="E161" s="22">
        <v>71280715</v>
      </c>
      <c r="F161" s="2">
        <f t="shared" si="4"/>
        <v>103425.29744631457</v>
      </c>
      <c r="G161" s="23">
        <v>66154939</v>
      </c>
      <c r="H161" s="24">
        <v>69766256</v>
      </c>
      <c r="I161" s="2">
        <f t="shared" si="5"/>
        <v>101227.88160185723</v>
      </c>
    </row>
    <row r="162" spans="1:9">
      <c r="A162" s="7" t="s">
        <v>384</v>
      </c>
      <c r="B162" s="10" t="s">
        <v>385</v>
      </c>
      <c r="C162" s="10" t="s">
        <v>386</v>
      </c>
      <c r="D162" s="26">
        <v>1070.5999999999999</v>
      </c>
      <c r="E162" s="22">
        <v>65508306</v>
      </c>
      <c r="F162" s="2">
        <f t="shared" si="4"/>
        <v>61188.404632916128</v>
      </c>
      <c r="G162" s="23">
        <v>59041777</v>
      </c>
      <c r="H162" s="24">
        <v>65307781</v>
      </c>
      <c r="I162" s="2">
        <f t="shared" si="5"/>
        <v>61001.103119745945</v>
      </c>
    </row>
    <row r="163" spans="1:9">
      <c r="A163" s="7" t="s">
        <v>387</v>
      </c>
      <c r="B163" s="10" t="s">
        <v>388</v>
      </c>
      <c r="C163" s="10" t="s">
        <v>389</v>
      </c>
      <c r="D163" s="26">
        <v>444</v>
      </c>
      <c r="E163" s="22">
        <v>30720184</v>
      </c>
      <c r="F163" s="2">
        <f t="shared" si="4"/>
        <v>69189.603603603609</v>
      </c>
      <c r="G163" s="23">
        <v>27835828</v>
      </c>
      <c r="H163" s="24">
        <v>30720184</v>
      </c>
      <c r="I163" s="2">
        <f t="shared" si="5"/>
        <v>69189.603603603609</v>
      </c>
    </row>
    <row r="164" spans="1:9">
      <c r="A164" s="7" t="s">
        <v>390</v>
      </c>
      <c r="B164" s="10" t="s">
        <v>391</v>
      </c>
      <c r="C164" s="10" t="s">
        <v>392</v>
      </c>
      <c r="D164" s="26">
        <v>1143</v>
      </c>
      <c r="E164" s="22">
        <v>43357596</v>
      </c>
      <c r="F164" s="2">
        <f t="shared" si="4"/>
        <v>37933.154855643043</v>
      </c>
      <c r="G164" s="23">
        <v>37767237</v>
      </c>
      <c r="H164" s="24">
        <v>42520738</v>
      </c>
      <c r="I164" s="2">
        <f t="shared" si="5"/>
        <v>37200.995625546806</v>
      </c>
    </row>
    <row r="165" spans="1:9">
      <c r="A165" s="7" t="s">
        <v>393</v>
      </c>
      <c r="B165" s="10" t="s">
        <v>394</v>
      </c>
      <c r="C165" s="10" t="s">
        <v>392</v>
      </c>
      <c r="D165" s="26">
        <v>1919</v>
      </c>
      <c r="E165" s="22">
        <v>128586499</v>
      </c>
      <c r="F165" s="2">
        <f t="shared" si="4"/>
        <v>67007.034392912974</v>
      </c>
      <c r="G165" s="23">
        <v>118703183</v>
      </c>
      <c r="H165" s="24">
        <v>128334491</v>
      </c>
      <c r="I165" s="2">
        <f t="shared" si="5"/>
        <v>66875.711829077642</v>
      </c>
    </row>
    <row r="166" spans="1:9">
      <c r="A166" s="7" t="s">
        <v>395</v>
      </c>
      <c r="B166" s="10" t="s">
        <v>396</v>
      </c>
      <c r="C166" s="10" t="s">
        <v>397</v>
      </c>
      <c r="D166" s="26">
        <v>232.5</v>
      </c>
      <c r="E166" s="22">
        <v>19406725</v>
      </c>
      <c r="F166" s="2">
        <f t="shared" si="4"/>
        <v>83469.784946236556</v>
      </c>
      <c r="G166" s="23">
        <v>18013682</v>
      </c>
      <c r="H166" s="24">
        <v>19391975</v>
      </c>
      <c r="I166" s="2">
        <f t="shared" si="5"/>
        <v>83406.344086021505</v>
      </c>
    </row>
    <row r="167" spans="1:9">
      <c r="A167" s="7" t="s">
        <v>398</v>
      </c>
      <c r="B167" s="10" t="s">
        <v>399</v>
      </c>
      <c r="C167" s="10" t="s">
        <v>9</v>
      </c>
      <c r="D167" s="26">
        <v>234.9</v>
      </c>
      <c r="E167" s="22">
        <v>17557851</v>
      </c>
      <c r="F167" s="2">
        <f t="shared" si="4"/>
        <v>74746.066411238819</v>
      </c>
      <c r="G167" s="23">
        <v>16296230</v>
      </c>
      <c r="H167" s="24">
        <v>17557851</v>
      </c>
      <c r="I167" s="2">
        <f t="shared" si="5"/>
        <v>74746.066411238819</v>
      </c>
    </row>
    <row r="168" spans="1:9">
      <c r="A168" s="7" t="s">
        <v>400</v>
      </c>
      <c r="B168" s="10" t="s">
        <v>401</v>
      </c>
      <c r="C168" s="10" t="s">
        <v>338</v>
      </c>
      <c r="D168" s="26">
        <v>690.2</v>
      </c>
      <c r="E168" s="22">
        <v>29981957</v>
      </c>
      <c r="F168" s="2">
        <f t="shared" si="4"/>
        <v>43439.5204288612</v>
      </c>
      <c r="G168" s="23">
        <v>27179984</v>
      </c>
      <c r="H168" s="24">
        <v>29981957</v>
      </c>
      <c r="I168" s="2">
        <f t="shared" si="5"/>
        <v>43439.5204288612</v>
      </c>
    </row>
    <row r="169" spans="1:9">
      <c r="A169" s="7" t="s">
        <v>402</v>
      </c>
      <c r="B169" s="10" t="s">
        <v>403</v>
      </c>
      <c r="C169" s="10" t="s">
        <v>397</v>
      </c>
      <c r="D169" s="26">
        <v>3446.1</v>
      </c>
      <c r="E169" s="22">
        <v>151120077</v>
      </c>
      <c r="F169" s="2">
        <f t="shared" si="4"/>
        <v>43852.493253242799</v>
      </c>
      <c r="G169" s="23">
        <v>133124825</v>
      </c>
      <c r="H169" s="24">
        <v>147473977</v>
      </c>
      <c r="I169" s="2">
        <f t="shared" si="5"/>
        <v>42794.456632134876</v>
      </c>
    </row>
    <row r="170" spans="1:9">
      <c r="A170" s="7" t="s">
        <v>404</v>
      </c>
      <c r="B170" s="10" t="s">
        <v>405</v>
      </c>
      <c r="C170" s="10" t="s">
        <v>406</v>
      </c>
      <c r="D170" s="26">
        <v>454</v>
      </c>
      <c r="E170" s="22">
        <v>97703170</v>
      </c>
      <c r="F170" s="2">
        <f t="shared" si="4"/>
        <v>215205.22026431718</v>
      </c>
      <c r="G170" s="23">
        <v>95772908</v>
      </c>
      <c r="H170" s="24">
        <v>97703170</v>
      </c>
      <c r="I170" s="2">
        <f t="shared" si="5"/>
        <v>215205.22026431718</v>
      </c>
    </row>
    <row r="171" spans="1:9">
      <c r="A171" s="7" t="s">
        <v>407</v>
      </c>
      <c r="B171" s="10" t="s">
        <v>408</v>
      </c>
      <c r="C171" s="10" t="s">
        <v>56</v>
      </c>
      <c r="D171" s="26">
        <v>1826.4</v>
      </c>
      <c r="E171" s="22">
        <v>174403708</v>
      </c>
      <c r="F171" s="2">
        <f t="shared" si="4"/>
        <v>95490.422689443716</v>
      </c>
      <c r="G171" s="23">
        <v>166830823</v>
      </c>
      <c r="H171" s="24">
        <v>174249261</v>
      </c>
      <c r="I171" s="2">
        <f t="shared" si="5"/>
        <v>95405.859067017082</v>
      </c>
    </row>
    <row r="172" spans="1:9">
      <c r="A172" s="7" t="s">
        <v>409</v>
      </c>
      <c r="B172" s="10" t="s">
        <v>410</v>
      </c>
      <c r="C172" s="10" t="s">
        <v>411</v>
      </c>
      <c r="D172" s="26">
        <v>499.9</v>
      </c>
      <c r="E172" s="22">
        <v>25966173</v>
      </c>
      <c r="F172" s="2">
        <f t="shared" si="4"/>
        <v>51942.734546909385</v>
      </c>
      <c r="G172" s="23">
        <v>23384057</v>
      </c>
      <c r="H172" s="24">
        <v>25166782</v>
      </c>
      <c r="I172" s="2">
        <f t="shared" si="5"/>
        <v>50343.632726545315</v>
      </c>
    </row>
    <row r="173" spans="1:9">
      <c r="A173" s="7" t="s">
        <v>412</v>
      </c>
      <c r="B173" s="10" t="s">
        <v>413</v>
      </c>
      <c r="C173" s="10" t="s">
        <v>414</v>
      </c>
      <c r="D173" s="26">
        <v>588</v>
      </c>
      <c r="E173" s="22">
        <v>48069871</v>
      </c>
      <c r="F173" s="2">
        <f t="shared" si="4"/>
        <v>81751.481292517012</v>
      </c>
      <c r="G173" s="23">
        <v>43881274</v>
      </c>
      <c r="H173" s="24">
        <v>45605514</v>
      </c>
      <c r="I173" s="2">
        <f t="shared" si="5"/>
        <v>77560.397959183669</v>
      </c>
    </row>
    <row r="174" spans="1:9">
      <c r="A174" s="7" t="s">
        <v>415</v>
      </c>
      <c r="B174" s="10" t="s">
        <v>416</v>
      </c>
      <c r="C174" s="10" t="s">
        <v>417</v>
      </c>
      <c r="D174" s="26">
        <v>685.8</v>
      </c>
      <c r="E174" s="22">
        <v>40011309</v>
      </c>
      <c r="F174" s="2">
        <f t="shared" si="4"/>
        <v>58342.532808398952</v>
      </c>
      <c r="G174" s="23">
        <v>36245930</v>
      </c>
      <c r="H174" s="24">
        <v>40011309</v>
      </c>
      <c r="I174" s="2">
        <f t="shared" si="5"/>
        <v>58342.532808398952</v>
      </c>
    </row>
    <row r="175" spans="1:9">
      <c r="A175" s="7" t="s">
        <v>418</v>
      </c>
      <c r="B175" s="10" t="s">
        <v>419</v>
      </c>
      <c r="C175" s="10" t="s">
        <v>420</v>
      </c>
      <c r="D175" s="26">
        <v>1357.6</v>
      </c>
      <c r="E175" s="22">
        <v>79587394</v>
      </c>
      <c r="F175" s="2">
        <f t="shared" si="4"/>
        <v>58623.596051856221</v>
      </c>
      <c r="G175" s="23">
        <v>71647534</v>
      </c>
      <c r="H175" s="24">
        <v>75082561</v>
      </c>
      <c r="I175" s="2">
        <f t="shared" si="5"/>
        <v>55305.363140836773</v>
      </c>
    </row>
    <row r="176" spans="1:9">
      <c r="A176" s="7" t="s">
        <v>421</v>
      </c>
      <c r="B176" s="10" t="s">
        <v>422</v>
      </c>
      <c r="C176" s="10" t="s">
        <v>383</v>
      </c>
      <c r="D176" s="26">
        <v>524.5</v>
      </c>
      <c r="E176" s="22">
        <v>29139372</v>
      </c>
      <c r="F176" s="2">
        <f t="shared" si="4"/>
        <v>55556.476644423259</v>
      </c>
      <c r="G176" s="23">
        <v>26532952</v>
      </c>
      <c r="H176" s="24">
        <v>29031827</v>
      </c>
      <c r="I176" s="2">
        <f t="shared" si="5"/>
        <v>55351.433746425166</v>
      </c>
    </row>
    <row r="177" spans="1:9">
      <c r="A177" s="7" t="s">
        <v>423</v>
      </c>
      <c r="B177" s="10" t="s">
        <v>424</v>
      </c>
      <c r="C177" s="10" t="s">
        <v>425</v>
      </c>
      <c r="D177" s="26">
        <v>339.5</v>
      </c>
      <c r="E177" s="22">
        <v>22127590</v>
      </c>
      <c r="F177" s="2">
        <f t="shared" si="4"/>
        <v>65176.99558173785</v>
      </c>
      <c r="G177" s="23">
        <v>21046945</v>
      </c>
      <c r="H177" s="24">
        <v>22098030</v>
      </c>
      <c r="I177" s="2">
        <f t="shared" si="5"/>
        <v>65089.926362297498</v>
      </c>
    </row>
    <row r="178" spans="1:9">
      <c r="A178" s="7" t="s">
        <v>426</v>
      </c>
      <c r="B178" s="10" t="s">
        <v>427</v>
      </c>
      <c r="C178" s="10" t="s">
        <v>428</v>
      </c>
      <c r="D178" s="26">
        <v>1173.2</v>
      </c>
      <c r="E178" s="22">
        <v>92929976</v>
      </c>
      <c r="F178" s="2">
        <f t="shared" si="4"/>
        <v>79210.685305148305</v>
      </c>
      <c r="G178" s="23">
        <v>85375966</v>
      </c>
      <c r="H178" s="24">
        <v>81773651</v>
      </c>
      <c r="I178" s="2">
        <f t="shared" si="5"/>
        <v>69701.373167405385</v>
      </c>
    </row>
    <row r="179" spans="1:9">
      <c r="A179" s="7" t="s">
        <v>429</v>
      </c>
      <c r="B179" s="10" t="s">
        <v>430</v>
      </c>
      <c r="C179" s="10" t="s">
        <v>417</v>
      </c>
      <c r="D179" s="26">
        <v>6014.7</v>
      </c>
      <c r="E179" s="22">
        <v>589722675</v>
      </c>
      <c r="F179" s="2">
        <f t="shared" si="4"/>
        <v>98046.897600877855</v>
      </c>
      <c r="G179" s="23">
        <v>553504204</v>
      </c>
      <c r="H179" s="24">
        <v>578215789</v>
      </c>
      <c r="I179" s="2">
        <f t="shared" si="5"/>
        <v>96133.770429115335</v>
      </c>
    </row>
    <row r="180" spans="1:9">
      <c r="A180" s="7" t="s">
        <v>431</v>
      </c>
      <c r="B180" s="10" t="s">
        <v>106</v>
      </c>
      <c r="C180" s="10" t="s">
        <v>417</v>
      </c>
      <c r="D180" s="26">
        <v>179</v>
      </c>
      <c r="E180" s="22">
        <v>17927357</v>
      </c>
      <c r="F180" s="2">
        <f t="shared" si="4"/>
        <v>100152.83240223464</v>
      </c>
      <c r="G180" s="23">
        <v>16019590</v>
      </c>
      <c r="H180" s="24">
        <v>17927357</v>
      </c>
      <c r="I180" s="2">
        <f t="shared" si="5"/>
        <v>100152.83240223464</v>
      </c>
    </row>
    <row r="181" spans="1:9">
      <c r="A181" s="7" t="s">
        <v>432</v>
      </c>
      <c r="B181" s="10" t="s">
        <v>433</v>
      </c>
      <c r="C181" s="10" t="s">
        <v>56</v>
      </c>
      <c r="D181" s="26">
        <v>5729.2</v>
      </c>
      <c r="E181" s="22">
        <v>276798788</v>
      </c>
      <c r="F181" s="2">
        <f t="shared" si="4"/>
        <v>48313.689171263002</v>
      </c>
      <c r="G181" s="23">
        <v>258234559</v>
      </c>
      <c r="H181" s="24">
        <v>276673024</v>
      </c>
      <c r="I181" s="2">
        <f t="shared" si="5"/>
        <v>48291.737764434823</v>
      </c>
    </row>
    <row r="182" spans="1:9">
      <c r="A182" s="7" t="s">
        <v>434</v>
      </c>
      <c r="B182" s="10" t="s">
        <v>435</v>
      </c>
      <c r="C182" s="10" t="s">
        <v>436</v>
      </c>
      <c r="D182" s="26">
        <v>242</v>
      </c>
      <c r="E182" s="22">
        <v>16055413</v>
      </c>
      <c r="F182" s="2">
        <f t="shared" si="4"/>
        <v>66344.681818181823</v>
      </c>
      <c r="G182" s="23">
        <v>14603962</v>
      </c>
      <c r="H182" s="24">
        <v>16055413</v>
      </c>
      <c r="I182" s="2">
        <f t="shared" si="5"/>
        <v>66344.681818181823</v>
      </c>
    </row>
    <row r="183" spans="1:9">
      <c r="A183" s="7" t="s">
        <v>437</v>
      </c>
      <c r="B183" s="10" t="s">
        <v>438</v>
      </c>
      <c r="C183" s="10" t="s">
        <v>439</v>
      </c>
      <c r="D183" s="26">
        <v>186.5</v>
      </c>
      <c r="E183" s="22">
        <v>19719432</v>
      </c>
      <c r="F183" s="2">
        <f t="shared" si="4"/>
        <v>105734.2198391421</v>
      </c>
      <c r="G183" s="23">
        <v>18036173</v>
      </c>
      <c r="H183" s="24">
        <v>19719432</v>
      </c>
      <c r="I183" s="2">
        <f t="shared" si="5"/>
        <v>105734.2198391421</v>
      </c>
    </row>
    <row r="184" spans="1:9">
      <c r="A184" s="7" t="s">
        <v>440</v>
      </c>
      <c r="B184" s="10" t="s">
        <v>441</v>
      </c>
      <c r="C184" s="10" t="s">
        <v>442</v>
      </c>
      <c r="D184" s="26">
        <v>413</v>
      </c>
      <c r="E184" s="22">
        <v>40672337</v>
      </c>
      <c r="F184" s="2">
        <f t="shared" si="4"/>
        <v>98480.23486682809</v>
      </c>
      <c r="G184" s="23">
        <v>38098952</v>
      </c>
      <c r="H184" s="24">
        <v>39738502</v>
      </c>
      <c r="I184" s="2">
        <f t="shared" si="5"/>
        <v>96219.133171912836</v>
      </c>
    </row>
    <row r="185" spans="1:9">
      <c r="A185" s="7" t="s">
        <v>443</v>
      </c>
      <c r="B185" s="10" t="s">
        <v>444</v>
      </c>
      <c r="C185" s="10" t="s">
        <v>436</v>
      </c>
      <c r="D185" s="26">
        <v>643</v>
      </c>
      <c r="E185" s="22">
        <v>30816029</v>
      </c>
      <c r="F185" s="2">
        <f t="shared" si="4"/>
        <v>47925.39502332815</v>
      </c>
      <c r="G185" s="23">
        <v>25617645</v>
      </c>
      <c r="H185" s="24">
        <v>30780622</v>
      </c>
      <c r="I185" s="2">
        <f t="shared" si="5"/>
        <v>47870.329704510106</v>
      </c>
    </row>
    <row r="186" spans="1:9">
      <c r="A186" s="7" t="s">
        <v>445</v>
      </c>
      <c r="B186" s="10" t="s">
        <v>446</v>
      </c>
      <c r="C186" s="10" t="s">
        <v>436</v>
      </c>
      <c r="D186" s="26">
        <v>82.5</v>
      </c>
      <c r="E186" s="22">
        <v>9331950</v>
      </c>
      <c r="F186" s="2">
        <f t="shared" si="4"/>
        <v>113114.54545454546</v>
      </c>
      <c r="G186" s="23">
        <v>8768287</v>
      </c>
      <c r="H186" s="24">
        <v>9331950</v>
      </c>
      <c r="I186" s="2">
        <f t="shared" si="5"/>
        <v>113114.54545454546</v>
      </c>
    </row>
    <row r="187" spans="1:9">
      <c r="A187" s="7" t="s">
        <v>447</v>
      </c>
      <c r="B187" s="10" t="s">
        <v>448</v>
      </c>
      <c r="C187" s="10" t="s">
        <v>449</v>
      </c>
      <c r="D187" s="26">
        <v>285.60000000000002</v>
      </c>
      <c r="E187" s="22">
        <v>22435992</v>
      </c>
      <c r="F187" s="2">
        <f t="shared" si="4"/>
        <v>78557.394957983182</v>
      </c>
      <c r="G187" s="23">
        <v>20425211</v>
      </c>
      <c r="H187" s="24">
        <v>22135949</v>
      </c>
      <c r="I187" s="2">
        <f t="shared" si="5"/>
        <v>77506.824229691876</v>
      </c>
    </row>
    <row r="188" spans="1:9">
      <c r="A188" s="7" t="s">
        <v>450</v>
      </c>
      <c r="B188" s="10" t="s">
        <v>451</v>
      </c>
      <c r="C188" s="10" t="s">
        <v>452</v>
      </c>
      <c r="D188" s="26">
        <v>324.2</v>
      </c>
      <c r="E188" s="22">
        <v>22355003</v>
      </c>
      <c r="F188" s="2">
        <f t="shared" si="4"/>
        <v>68954.358420727949</v>
      </c>
      <c r="G188" s="23">
        <v>20551067</v>
      </c>
      <c r="H188" s="24">
        <v>21980910</v>
      </c>
      <c r="I188" s="2">
        <f t="shared" si="5"/>
        <v>67800.462677359654</v>
      </c>
    </row>
    <row r="189" spans="1:9">
      <c r="A189" s="7" t="s">
        <v>453</v>
      </c>
      <c r="B189" s="10" t="s">
        <v>454</v>
      </c>
      <c r="C189" s="10" t="s">
        <v>56</v>
      </c>
      <c r="D189" s="26">
        <v>1612.4</v>
      </c>
      <c r="E189" s="22">
        <v>60978041</v>
      </c>
      <c r="F189" s="2">
        <f t="shared" si="4"/>
        <v>37818.184693624411</v>
      </c>
      <c r="G189" s="23">
        <v>54353882</v>
      </c>
      <c r="H189" s="24">
        <v>60964863</v>
      </c>
      <c r="I189" s="2">
        <f t="shared" si="5"/>
        <v>37810.011783676506</v>
      </c>
    </row>
    <row r="190" spans="1:9">
      <c r="A190" s="7" t="s">
        <v>455</v>
      </c>
      <c r="B190" s="10" t="s">
        <v>456</v>
      </c>
      <c r="C190" s="10" t="s">
        <v>457</v>
      </c>
      <c r="D190" s="26">
        <v>272</v>
      </c>
      <c r="E190" s="22">
        <v>24262080</v>
      </c>
      <c r="F190" s="2">
        <f t="shared" si="4"/>
        <v>89198.823529411762</v>
      </c>
      <c r="G190" s="23">
        <v>21953928</v>
      </c>
      <c r="H190" s="24">
        <v>24262080</v>
      </c>
      <c r="I190" s="2">
        <f t="shared" si="5"/>
        <v>89198.823529411762</v>
      </c>
    </row>
    <row r="191" spans="1:9">
      <c r="A191" s="7" t="s">
        <v>458</v>
      </c>
      <c r="B191" s="10" t="s">
        <v>459</v>
      </c>
      <c r="C191" s="10" t="s">
        <v>56</v>
      </c>
      <c r="D191" s="26">
        <v>688.3</v>
      </c>
      <c r="E191" s="22">
        <v>25673239</v>
      </c>
      <c r="F191" s="2">
        <f t="shared" si="4"/>
        <v>37299.490047944215</v>
      </c>
      <c r="G191" s="23">
        <v>22567828</v>
      </c>
      <c r="H191" s="24">
        <v>25360778</v>
      </c>
      <c r="I191" s="2">
        <f t="shared" si="5"/>
        <v>36845.5295655964</v>
      </c>
    </row>
    <row r="192" spans="1:9">
      <c r="A192" s="7" t="s">
        <v>460</v>
      </c>
      <c r="B192" s="10" t="s">
        <v>461</v>
      </c>
      <c r="C192" s="10" t="s">
        <v>462</v>
      </c>
      <c r="D192" s="26">
        <v>391.1</v>
      </c>
      <c r="E192" s="22">
        <v>22168071</v>
      </c>
      <c r="F192" s="2">
        <f t="shared" si="4"/>
        <v>56681.337253899255</v>
      </c>
      <c r="G192" s="23">
        <v>20700863</v>
      </c>
      <c r="H192" s="24">
        <v>21985312</v>
      </c>
      <c r="I192" s="2">
        <f t="shared" si="5"/>
        <v>56214.042444387618</v>
      </c>
    </row>
    <row r="193" spans="1:9">
      <c r="A193" s="7" t="s">
        <v>463</v>
      </c>
      <c r="B193" s="10" t="s">
        <v>464</v>
      </c>
      <c r="C193" s="10" t="s">
        <v>462</v>
      </c>
      <c r="D193" s="26">
        <v>259.5</v>
      </c>
      <c r="E193" s="22">
        <v>24075463</v>
      </c>
      <c r="F193" s="2">
        <f t="shared" si="4"/>
        <v>92776.350674373796</v>
      </c>
      <c r="G193" s="23">
        <v>21907244</v>
      </c>
      <c r="H193" s="24">
        <v>23945386</v>
      </c>
      <c r="I193" s="2">
        <f t="shared" si="5"/>
        <v>92275.090558766853</v>
      </c>
    </row>
    <row r="194" spans="1:9">
      <c r="A194" s="7" t="s">
        <v>465</v>
      </c>
      <c r="B194" s="10" t="s">
        <v>466</v>
      </c>
      <c r="C194" s="10" t="s">
        <v>467</v>
      </c>
      <c r="D194" s="26">
        <v>129.6</v>
      </c>
      <c r="E194" s="22">
        <v>32581904</v>
      </c>
      <c r="F194" s="2">
        <f t="shared" si="4"/>
        <v>251403.5802469136</v>
      </c>
      <c r="G194" s="23">
        <v>31889775</v>
      </c>
      <c r="H194" s="24">
        <v>32497920</v>
      </c>
      <c r="I194" s="2">
        <f t="shared" si="5"/>
        <v>250755.55555555556</v>
      </c>
    </row>
    <row r="195" spans="1:9">
      <c r="A195" s="7" t="s">
        <v>468</v>
      </c>
      <c r="B195" s="10" t="s">
        <v>469</v>
      </c>
      <c r="C195" s="10" t="s">
        <v>470</v>
      </c>
      <c r="D195" s="26">
        <v>950.8</v>
      </c>
      <c r="E195" s="22">
        <v>59923188</v>
      </c>
      <c r="F195" s="2">
        <f t="shared" si="4"/>
        <v>63023.967185527981</v>
      </c>
      <c r="G195" s="23">
        <v>53983889</v>
      </c>
      <c r="H195" s="24">
        <v>59923188</v>
      </c>
      <c r="I195" s="2">
        <f t="shared" si="5"/>
        <v>63023.967185527981</v>
      </c>
    </row>
    <row r="196" spans="1:9">
      <c r="A196" s="7" t="s">
        <v>471</v>
      </c>
      <c r="B196" s="10" t="s">
        <v>472</v>
      </c>
      <c r="C196" s="10" t="s">
        <v>411</v>
      </c>
      <c r="D196" s="26">
        <v>162</v>
      </c>
      <c r="E196" s="22">
        <v>24570221</v>
      </c>
      <c r="F196" s="2">
        <f t="shared" si="4"/>
        <v>151668.03086419753</v>
      </c>
      <c r="G196" s="23">
        <v>23833999</v>
      </c>
      <c r="H196" s="24">
        <v>23552719</v>
      </c>
      <c r="I196" s="2">
        <f t="shared" si="5"/>
        <v>145387.15432098764</v>
      </c>
    </row>
    <row r="197" spans="1:9">
      <c r="A197" s="7" t="s">
        <v>473</v>
      </c>
      <c r="B197" s="10" t="s">
        <v>474</v>
      </c>
      <c r="C197" s="10" t="s">
        <v>56</v>
      </c>
      <c r="D197" s="26">
        <v>2174.6999999999998</v>
      </c>
      <c r="E197" s="22">
        <v>80848801</v>
      </c>
      <c r="F197" s="2">
        <f t="shared" si="4"/>
        <v>37176.990389479011</v>
      </c>
      <c r="G197" s="23">
        <v>70849606</v>
      </c>
      <c r="H197" s="24">
        <v>80274332</v>
      </c>
      <c r="I197" s="2">
        <f t="shared" si="5"/>
        <v>36912.83027544029</v>
      </c>
    </row>
    <row r="198" spans="1:9">
      <c r="A198" s="7" t="s">
        <v>475</v>
      </c>
      <c r="B198" s="10" t="s">
        <v>476</v>
      </c>
      <c r="C198" s="10" t="s">
        <v>457</v>
      </c>
      <c r="D198" s="26">
        <v>217.7</v>
      </c>
      <c r="E198" s="22">
        <v>28713022</v>
      </c>
      <c r="F198" s="2">
        <f t="shared" si="4"/>
        <v>131892.61368856224</v>
      </c>
      <c r="G198" s="23">
        <v>27270530</v>
      </c>
      <c r="H198" s="24">
        <v>28713022</v>
      </c>
      <c r="I198" s="2">
        <f t="shared" si="5"/>
        <v>131892.61368856224</v>
      </c>
    </row>
    <row r="199" spans="1:9">
      <c r="A199" s="7" t="s">
        <v>477</v>
      </c>
      <c r="B199" s="10" t="s">
        <v>478</v>
      </c>
      <c r="C199" s="10" t="s">
        <v>479</v>
      </c>
      <c r="D199" s="26">
        <v>732.7</v>
      </c>
      <c r="E199" s="22">
        <v>35926669</v>
      </c>
      <c r="F199" s="2">
        <f t="shared" ref="F199:F262" si="6">E199/D199</f>
        <v>49033.259178381326</v>
      </c>
      <c r="G199" s="23">
        <v>32560092</v>
      </c>
      <c r="H199" s="24">
        <v>35926669</v>
      </c>
      <c r="I199" s="2">
        <f t="shared" ref="I199:I262" si="7">H199/D199</f>
        <v>49033.259178381326</v>
      </c>
    </row>
    <row r="200" spans="1:9">
      <c r="A200" s="7" t="s">
        <v>480</v>
      </c>
      <c r="B200" s="10" t="s">
        <v>481</v>
      </c>
      <c r="C200" s="10" t="s">
        <v>411</v>
      </c>
      <c r="D200" s="26">
        <v>773.5</v>
      </c>
      <c r="E200" s="22">
        <v>38887377</v>
      </c>
      <c r="F200" s="2">
        <f t="shared" si="6"/>
        <v>50274.566257272141</v>
      </c>
      <c r="G200" s="23">
        <v>35268842</v>
      </c>
      <c r="H200" s="24">
        <v>38284226</v>
      </c>
      <c r="I200" s="2">
        <f t="shared" si="7"/>
        <v>49494.797672915323</v>
      </c>
    </row>
    <row r="201" spans="1:9">
      <c r="A201" s="7" t="s">
        <v>482</v>
      </c>
      <c r="B201" s="10" t="s">
        <v>483</v>
      </c>
      <c r="C201" s="10" t="s">
        <v>467</v>
      </c>
      <c r="D201" s="26">
        <v>778.5</v>
      </c>
      <c r="E201" s="22">
        <v>91908114</v>
      </c>
      <c r="F201" s="2">
        <f t="shared" si="6"/>
        <v>118057.94990366089</v>
      </c>
      <c r="G201" s="23">
        <v>86189870</v>
      </c>
      <c r="H201" s="24">
        <v>89826595</v>
      </c>
      <c r="I201" s="2">
        <f t="shared" si="7"/>
        <v>115384.19396274888</v>
      </c>
    </row>
    <row r="202" spans="1:9">
      <c r="A202" s="7" t="s">
        <v>484</v>
      </c>
      <c r="B202" s="10" t="s">
        <v>485</v>
      </c>
      <c r="C202" s="10" t="s">
        <v>462</v>
      </c>
      <c r="D202" s="26">
        <v>500.4</v>
      </c>
      <c r="E202" s="22">
        <v>31653887</v>
      </c>
      <c r="F202" s="2">
        <f t="shared" si="6"/>
        <v>63257.168265387692</v>
      </c>
      <c r="G202" s="23">
        <v>27702055</v>
      </c>
      <c r="H202" s="24">
        <v>30755071</v>
      </c>
      <c r="I202" s="2">
        <f t="shared" si="7"/>
        <v>61460.973221422864</v>
      </c>
    </row>
    <row r="203" spans="1:9">
      <c r="A203" s="7" t="s">
        <v>486</v>
      </c>
      <c r="B203" s="10" t="s">
        <v>487</v>
      </c>
      <c r="C203" s="10" t="s">
        <v>414</v>
      </c>
      <c r="D203" s="26">
        <v>1564.4</v>
      </c>
      <c r="E203" s="22">
        <v>86726885</v>
      </c>
      <c r="F203" s="2">
        <f t="shared" si="6"/>
        <v>55437.794042444388</v>
      </c>
      <c r="G203" s="23">
        <v>77230320</v>
      </c>
      <c r="H203" s="24">
        <v>77352785</v>
      </c>
      <c r="I203" s="2">
        <f t="shared" si="7"/>
        <v>49445.65648171823</v>
      </c>
    </row>
    <row r="204" spans="1:9">
      <c r="A204" s="7" t="s">
        <v>488</v>
      </c>
      <c r="B204" s="10" t="s">
        <v>489</v>
      </c>
      <c r="C204" s="10" t="s">
        <v>462</v>
      </c>
      <c r="D204" s="26">
        <v>538.4</v>
      </c>
      <c r="E204" s="22">
        <v>36321526</v>
      </c>
      <c r="F204" s="2">
        <f t="shared" si="6"/>
        <v>67461.972511144137</v>
      </c>
      <c r="G204" s="23">
        <v>32697459</v>
      </c>
      <c r="H204" s="24">
        <v>35465091</v>
      </c>
      <c r="I204" s="2">
        <f t="shared" si="7"/>
        <v>65871.268573551264</v>
      </c>
    </row>
    <row r="205" spans="1:9">
      <c r="A205" s="7" t="s">
        <v>490</v>
      </c>
      <c r="B205" s="10" t="s">
        <v>491</v>
      </c>
      <c r="C205" s="10" t="s">
        <v>462</v>
      </c>
      <c r="D205" s="26">
        <v>273</v>
      </c>
      <c r="E205" s="22">
        <v>12862375</v>
      </c>
      <c r="F205" s="2">
        <f t="shared" si="6"/>
        <v>47114.926739926741</v>
      </c>
      <c r="G205" s="23">
        <v>11508417</v>
      </c>
      <c r="H205" s="24">
        <v>12644990</v>
      </c>
      <c r="I205" s="2">
        <f t="shared" si="7"/>
        <v>46318.644688644687</v>
      </c>
    </row>
    <row r="206" spans="1:9">
      <c r="A206" s="7" t="s">
        <v>492</v>
      </c>
      <c r="B206" s="10" t="s">
        <v>493</v>
      </c>
      <c r="C206" s="10" t="s">
        <v>494</v>
      </c>
      <c r="D206" s="26">
        <v>335.5</v>
      </c>
      <c r="E206" s="22">
        <v>35443894</v>
      </c>
      <c r="F206" s="2">
        <f t="shared" si="6"/>
        <v>105644.98956780924</v>
      </c>
      <c r="G206" s="23">
        <v>33241725</v>
      </c>
      <c r="H206" s="24">
        <v>35252720</v>
      </c>
      <c r="I206" s="2">
        <f t="shared" si="7"/>
        <v>105075.17138599105</v>
      </c>
    </row>
    <row r="207" spans="1:9">
      <c r="A207" s="7" t="s">
        <v>495</v>
      </c>
      <c r="B207" s="10" t="s">
        <v>496</v>
      </c>
      <c r="C207" s="10" t="s">
        <v>6</v>
      </c>
      <c r="D207" s="26">
        <v>1815.3</v>
      </c>
      <c r="E207" s="22">
        <v>100804493</v>
      </c>
      <c r="F207" s="2">
        <f t="shared" si="6"/>
        <v>55530.486971850383</v>
      </c>
      <c r="G207" s="23">
        <v>90961661</v>
      </c>
      <c r="H207" s="24">
        <v>100804493</v>
      </c>
      <c r="I207" s="2">
        <f t="shared" si="7"/>
        <v>55530.486971850383</v>
      </c>
    </row>
    <row r="208" spans="1:9">
      <c r="A208" s="7" t="s">
        <v>497</v>
      </c>
      <c r="B208" s="10" t="s">
        <v>498</v>
      </c>
      <c r="C208" s="10" t="s">
        <v>499</v>
      </c>
      <c r="D208" s="26">
        <v>813.7</v>
      </c>
      <c r="E208" s="22">
        <v>84949610</v>
      </c>
      <c r="F208" s="2">
        <f t="shared" si="6"/>
        <v>104399.17660071279</v>
      </c>
      <c r="G208" s="23">
        <v>79474084</v>
      </c>
      <c r="H208" s="24">
        <v>82936805</v>
      </c>
      <c r="I208" s="2">
        <f t="shared" si="7"/>
        <v>101925.5315226742</v>
      </c>
    </row>
    <row r="209" spans="1:9">
      <c r="A209" s="7" t="s">
        <v>500</v>
      </c>
      <c r="B209" s="10" t="s">
        <v>501</v>
      </c>
      <c r="C209" s="10" t="s">
        <v>392</v>
      </c>
      <c r="D209" s="26">
        <v>1691.1</v>
      </c>
      <c r="E209" s="22">
        <v>111721971</v>
      </c>
      <c r="F209" s="2">
        <f t="shared" si="6"/>
        <v>66064.674472237006</v>
      </c>
      <c r="G209" s="23">
        <v>104054902</v>
      </c>
      <c r="H209" s="24">
        <v>111721971</v>
      </c>
      <c r="I209" s="2">
        <f t="shared" si="7"/>
        <v>66064.674472237006</v>
      </c>
    </row>
    <row r="210" spans="1:9">
      <c r="A210" s="7" t="s">
        <v>502</v>
      </c>
      <c r="B210" s="10" t="s">
        <v>503</v>
      </c>
      <c r="C210" s="10" t="s">
        <v>504</v>
      </c>
      <c r="D210" s="26">
        <v>708.5</v>
      </c>
      <c r="E210" s="22">
        <v>57444101</v>
      </c>
      <c r="F210" s="2">
        <f t="shared" si="6"/>
        <v>81078.477064220177</v>
      </c>
      <c r="G210" s="23">
        <v>51654639</v>
      </c>
      <c r="H210" s="24">
        <v>57444101</v>
      </c>
      <c r="I210" s="2">
        <f t="shared" si="7"/>
        <v>81078.477064220177</v>
      </c>
    </row>
    <row r="211" spans="1:9">
      <c r="A211" s="7" t="s">
        <v>505</v>
      </c>
      <c r="B211" s="10" t="s">
        <v>506</v>
      </c>
      <c r="C211" s="10" t="s">
        <v>470</v>
      </c>
      <c r="D211" s="26">
        <v>2242.4</v>
      </c>
      <c r="E211" s="22">
        <v>182713145</v>
      </c>
      <c r="F211" s="2">
        <f t="shared" si="6"/>
        <v>81481.067160185514</v>
      </c>
      <c r="G211" s="23">
        <v>170537255</v>
      </c>
      <c r="H211" s="24">
        <v>182713145</v>
      </c>
      <c r="I211" s="2">
        <f t="shared" si="7"/>
        <v>81481.067160185514</v>
      </c>
    </row>
    <row r="212" spans="1:9">
      <c r="A212" s="7" t="s">
        <v>507</v>
      </c>
      <c r="B212" s="10" t="s">
        <v>508</v>
      </c>
      <c r="C212" s="10" t="s">
        <v>470</v>
      </c>
      <c r="D212" s="26">
        <v>379.5</v>
      </c>
      <c r="E212" s="22">
        <v>31795773</v>
      </c>
      <c r="F212" s="2">
        <f t="shared" si="6"/>
        <v>83783.328063241104</v>
      </c>
      <c r="G212" s="23">
        <v>29255294</v>
      </c>
      <c r="H212" s="24">
        <v>31795773</v>
      </c>
      <c r="I212" s="2">
        <f t="shared" si="7"/>
        <v>83783.328063241104</v>
      </c>
    </row>
    <row r="213" spans="1:9">
      <c r="A213" s="7" t="s">
        <v>509</v>
      </c>
      <c r="B213" s="10" t="s">
        <v>510</v>
      </c>
      <c r="C213" s="10" t="s">
        <v>511</v>
      </c>
      <c r="D213" s="26">
        <v>619.70000000000005</v>
      </c>
      <c r="E213" s="22">
        <v>26779257</v>
      </c>
      <c r="F213" s="2">
        <f t="shared" si="6"/>
        <v>43213.259641762139</v>
      </c>
      <c r="G213" s="23">
        <v>23366542</v>
      </c>
      <c r="H213" s="24">
        <v>26455583</v>
      </c>
      <c r="I213" s="2">
        <f t="shared" si="7"/>
        <v>42690.952073583991</v>
      </c>
    </row>
    <row r="214" spans="1:9">
      <c r="A214" s="7" t="s">
        <v>512</v>
      </c>
      <c r="B214" s="10" t="s">
        <v>513</v>
      </c>
      <c r="C214" s="10" t="s">
        <v>511</v>
      </c>
      <c r="D214" s="26">
        <v>428.5</v>
      </c>
      <c r="E214" s="22">
        <v>20293132</v>
      </c>
      <c r="F214" s="2">
        <f t="shared" si="6"/>
        <v>47358.534422403733</v>
      </c>
      <c r="G214" s="23">
        <v>17630063</v>
      </c>
      <c r="H214" s="24">
        <v>20032401</v>
      </c>
      <c r="I214" s="2">
        <f t="shared" si="7"/>
        <v>46750.06067677946</v>
      </c>
    </row>
    <row r="215" spans="1:9">
      <c r="A215" s="7" t="s">
        <v>514</v>
      </c>
      <c r="B215" s="10" t="s">
        <v>515</v>
      </c>
      <c r="C215" s="10" t="s">
        <v>516</v>
      </c>
      <c r="D215" s="26">
        <v>397.6</v>
      </c>
      <c r="E215" s="22">
        <v>73224318</v>
      </c>
      <c r="F215" s="2">
        <f t="shared" si="6"/>
        <v>184165.78973843058</v>
      </c>
      <c r="G215" s="23">
        <v>71673075</v>
      </c>
      <c r="H215" s="24">
        <v>68894216</v>
      </c>
      <c r="I215" s="2">
        <f t="shared" si="7"/>
        <v>173275.19114688129</v>
      </c>
    </row>
    <row r="216" spans="1:9">
      <c r="A216" s="7" t="s">
        <v>517</v>
      </c>
      <c r="B216" s="10" t="s">
        <v>518</v>
      </c>
      <c r="C216" s="10" t="s">
        <v>470</v>
      </c>
      <c r="D216" s="26">
        <v>396</v>
      </c>
      <c r="E216" s="22">
        <v>39512994</v>
      </c>
      <c r="F216" s="2">
        <f t="shared" si="6"/>
        <v>99780.287878787873</v>
      </c>
      <c r="G216" s="23">
        <v>36699822</v>
      </c>
      <c r="H216" s="24">
        <v>39512994</v>
      </c>
      <c r="I216" s="2">
        <f t="shared" si="7"/>
        <v>99780.287878787873</v>
      </c>
    </row>
    <row r="217" spans="1:9">
      <c r="A217" s="7" t="s">
        <v>519</v>
      </c>
      <c r="B217" s="10" t="s">
        <v>520</v>
      </c>
      <c r="C217" s="10" t="s">
        <v>27</v>
      </c>
      <c r="D217" s="26">
        <v>212</v>
      </c>
      <c r="E217" s="22">
        <v>15742342</v>
      </c>
      <c r="F217" s="2">
        <f t="shared" si="6"/>
        <v>74256.330188679247</v>
      </c>
      <c r="G217" s="23">
        <v>14523486</v>
      </c>
      <c r="H217" s="24">
        <v>15694946</v>
      </c>
      <c r="I217" s="2">
        <f t="shared" si="7"/>
        <v>74032.764150943403</v>
      </c>
    </row>
    <row r="218" spans="1:9">
      <c r="A218" s="7" t="s">
        <v>521</v>
      </c>
      <c r="B218" s="10" t="s">
        <v>522</v>
      </c>
      <c r="C218" s="10" t="s">
        <v>362</v>
      </c>
      <c r="D218" s="26">
        <v>2999.1</v>
      </c>
      <c r="E218" s="22">
        <v>150547454</v>
      </c>
      <c r="F218" s="2">
        <f t="shared" si="6"/>
        <v>50197.543929845619</v>
      </c>
      <c r="G218" s="23">
        <v>134877842</v>
      </c>
      <c r="H218" s="24">
        <v>146671741</v>
      </c>
      <c r="I218" s="2">
        <f t="shared" si="7"/>
        <v>48905.251908906008</v>
      </c>
    </row>
    <row r="219" spans="1:9">
      <c r="A219" s="7" t="s">
        <v>523</v>
      </c>
      <c r="B219" s="10" t="s">
        <v>524</v>
      </c>
      <c r="C219" s="10" t="s">
        <v>33</v>
      </c>
      <c r="D219" s="26">
        <v>324</v>
      </c>
      <c r="E219" s="22">
        <v>19842426</v>
      </c>
      <c r="F219" s="2">
        <f t="shared" si="6"/>
        <v>61242.055555555555</v>
      </c>
      <c r="G219" s="23">
        <v>18042188</v>
      </c>
      <c r="H219" s="24">
        <v>19009884</v>
      </c>
      <c r="I219" s="2">
        <f t="shared" si="7"/>
        <v>58672.481481481482</v>
      </c>
    </row>
    <row r="220" spans="1:9">
      <c r="A220" s="7" t="s">
        <v>525</v>
      </c>
      <c r="B220" s="10" t="s">
        <v>526</v>
      </c>
      <c r="C220" s="10" t="s">
        <v>499</v>
      </c>
      <c r="D220" s="26">
        <v>563.20000000000005</v>
      </c>
      <c r="E220" s="22">
        <v>25035814</v>
      </c>
      <c r="F220" s="2">
        <f t="shared" si="6"/>
        <v>44452.794744318177</v>
      </c>
      <c r="G220" s="23">
        <v>22104167</v>
      </c>
      <c r="H220" s="24">
        <v>24570080</v>
      </c>
      <c r="I220" s="2">
        <f t="shared" si="7"/>
        <v>43625.852272727272</v>
      </c>
    </row>
    <row r="221" spans="1:9">
      <c r="A221" s="7" t="s">
        <v>527</v>
      </c>
      <c r="B221" s="10" t="s">
        <v>528</v>
      </c>
      <c r="C221" s="10" t="s">
        <v>362</v>
      </c>
      <c r="D221" s="26">
        <v>684</v>
      </c>
      <c r="E221" s="22">
        <v>45707802</v>
      </c>
      <c r="F221" s="2">
        <f t="shared" si="6"/>
        <v>66824.271929824565</v>
      </c>
      <c r="G221" s="23">
        <v>42095956</v>
      </c>
      <c r="H221" s="24">
        <v>45606009</v>
      </c>
      <c r="I221" s="2">
        <f t="shared" si="7"/>
        <v>66675.451754385969</v>
      </c>
    </row>
    <row r="222" spans="1:9">
      <c r="A222" s="7" t="s">
        <v>529</v>
      </c>
      <c r="B222" s="10" t="s">
        <v>530</v>
      </c>
      <c r="C222" s="10" t="s">
        <v>442</v>
      </c>
      <c r="D222" s="26">
        <v>267</v>
      </c>
      <c r="E222" s="22">
        <v>41496491</v>
      </c>
      <c r="F222" s="2">
        <f t="shared" si="6"/>
        <v>155417.56928838952</v>
      </c>
      <c r="G222" s="23">
        <v>39610324</v>
      </c>
      <c r="H222" s="24">
        <v>41496491</v>
      </c>
      <c r="I222" s="2">
        <f t="shared" si="7"/>
        <v>155417.56928838952</v>
      </c>
    </row>
    <row r="223" spans="1:9">
      <c r="A223" s="7" t="s">
        <v>531</v>
      </c>
      <c r="B223" s="10" t="s">
        <v>532</v>
      </c>
      <c r="C223" s="10" t="s">
        <v>511</v>
      </c>
      <c r="D223" s="26">
        <v>985.7</v>
      </c>
      <c r="E223" s="22">
        <v>46364429</v>
      </c>
      <c r="F223" s="2">
        <f t="shared" si="6"/>
        <v>47037.058942883225</v>
      </c>
      <c r="G223" s="23">
        <v>40706292</v>
      </c>
      <c r="H223" s="24">
        <v>46265284</v>
      </c>
      <c r="I223" s="2">
        <f t="shared" si="7"/>
        <v>46936.475601095663</v>
      </c>
    </row>
    <row r="224" spans="1:9">
      <c r="A224" s="7" t="s">
        <v>533</v>
      </c>
      <c r="B224" s="10" t="s">
        <v>534</v>
      </c>
      <c r="C224" s="10" t="s">
        <v>452</v>
      </c>
      <c r="D224" s="26">
        <v>1539.8</v>
      </c>
      <c r="E224" s="22">
        <v>77290075</v>
      </c>
      <c r="F224" s="2">
        <f t="shared" si="6"/>
        <v>50194.879205091573</v>
      </c>
      <c r="G224" s="23">
        <v>69575933</v>
      </c>
      <c r="H224" s="24">
        <v>77015551</v>
      </c>
      <c r="I224" s="2">
        <f t="shared" si="7"/>
        <v>50016.593713469287</v>
      </c>
    </row>
    <row r="225" spans="1:9">
      <c r="A225" s="7" t="s">
        <v>535</v>
      </c>
      <c r="B225" s="10" t="s">
        <v>536</v>
      </c>
      <c r="C225" s="10" t="s">
        <v>537</v>
      </c>
      <c r="D225" s="26">
        <v>787</v>
      </c>
      <c r="E225" s="22">
        <v>34048571</v>
      </c>
      <c r="F225" s="2">
        <f t="shared" si="6"/>
        <v>43263.749682337992</v>
      </c>
      <c r="G225" s="23">
        <v>29983128</v>
      </c>
      <c r="H225" s="24">
        <v>33923686</v>
      </c>
      <c r="I225" s="2">
        <f t="shared" si="7"/>
        <v>43105.064803049558</v>
      </c>
    </row>
    <row r="226" spans="1:9">
      <c r="A226" s="7" t="s">
        <v>538</v>
      </c>
      <c r="B226" s="10" t="s">
        <v>539</v>
      </c>
      <c r="C226" s="10" t="s">
        <v>338</v>
      </c>
      <c r="D226" s="26">
        <v>5768.4</v>
      </c>
      <c r="E226" s="22">
        <v>453987856</v>
      </c>
      <c r="F226" s="2">
        <f t="shared" si="6"/>
        <v>78702.561542195413</v>
      </c>
      <c r="G226" s="23">
        <v>426792159</v>
      </c>
      <c r="H226" s="24">
        <v>453987856</v>
      </c>
      <c r="I226" s="2">
        <f t="shared" si="7"/>
        <v>78702.561542195413</v>
      </c>
    </row>
    <row r="227" spans="1:9">
      <c r="A227" s="7" t="s">
        <v>540</v>
      </c>
      <c r="B227" s="10" t="s">
        <v>541</v>
      </c>
      <c r="C227" s="10" t="s">
        <v>428</v>
      </c>
      <c r="D227" s="26">
        <v>411.9</v>
      </c>
      <c r="E227" s="22">
        <v>30392091</v>
      </c>
      <c r="F227" s="2">
        <f t="shared" si="6"/>
        <v>73785.120174799711</v>
      </c>
      <c r="G227" s="23">
        <v>29252678</v>
      </c>
      <c r="H227" s="24">
        <v>29090156</v>
      </c>
      <c r="I227" s="2">
        <f t="shared" si="7"/>
        <v>70624.316581694584</v>
      </c>
    </row>
    <row r="228" spans="1:9">
      <c r="A228" s="7" t="s">
        <v>542</v>
      </c>
      <c r="B228" s="10" t="s">
        <v>543</v>
      </c>
      <c r="C228" s="10" t="s">
        <v>397</v>
      </c>
      <c r="D228" s="26">
        <v>500.4</v>
      </c>
      <c r="E228" s="22">
        <v>16289550</v>
      </c>
      <c r="F228" s="2">
        <f t="shared" si="6"/>
        <v>32553.057553956834</v>
      </c>
      <c r="G228" s="23">
        <v>14540605</v>
      </c>
      <c r="H228" s="24">
        <v>16077934</v>
      </c>
      <c r="I228" s="2">
        <f t="shared" si="7"/>
        <v>32130.163868904878</v>
      </c>
    </row>
    <row r="229" spans="1:9">
      <c r="A229" s="7" t="s">
        <v>544</v>
      </c>
      <c r="B229" s="10" t="s">
        <v>545</v>
      </c>
      <c r="C229" s="10" t="s">
        <v>397</v>
      </c>
      <c r="D229" s="26">
        <v>763.5</v>
      </c>
      <c r="E229" s="22">
        <v>37610273</v>
      </c>
      <c r="F229" s="2">
        <f t="shared" si="6"/>
        <v>49260.344466273738</v>
      </c>
      <c r="G229" s="23">
        <v>33575781</v>
      </c>
      <c r="H229" s="24">
        <v>37510458</v>
      </c>
      <c r="I229" s="2">
        <f t="shared" si="7"/>
        <v>49129.611001964637</v>
      </c>
    </row>
    <row r="230" spans="1:9">
      <c r="A230" s="7" t="s">
        <v>546</v>
      </c>
      <c r="B230" s="10" t="s">
        <v>547</v>
      </c>
      <c r="C230" s="10" t="s">
        <v>425</v>
      </c>
      <c r="D230" s="26">
        <v>6268.9</v>
      </c>
      <c r="E230" s="22">
        <v>210032976</v>
      </c>
      <c r="F230" s="2">
        <f t="shared" si="6"/>
        <v>33503.960184402371</v>
      </c>
      <c r="G230" s="23">
        <v>190397298</v>
      </c>
      <c r="H230" s="24">
        <v>208847087</v>
      </c>
      <c r="I230" s="2">
        <f t="shared" si="7"/>
        <v>33314.789995054954</v>
      </c>
    </row>
    <row r="231" spans="1:9">
      <c r="A231" s="7" t="s">
        <v>548</v>
      </c>
      <c r="B231" s="10" t="s">
        <v>549</v>
      </c>
      <c r="C231" s="10" t="s">
        <v>411</v>
      </c>
      <c r="D231" s="26">
        <v>333.4</v>
      </c>
      <c r="E231" s="22">
        <v>39322435</v>
      </c>
      <c r="F231" s="2">
        <f t="shared" si="6"/>
        <v>117943.71625674865</v>
      </c>
      <c r="G231" s="23">
        <v>37964077</v>
      </c>
      <c r="H231" s="24">
        <v>39249118</v>
      </c>
      <c r="I231" s="2">
        <f t="shared" si="7"/>
        <v>117723.80923815237</v>
      </c>
    </row>
    <row r="232" spans="1:9">
      <c r="A232" s="7" t="s">
        <v>550</v>
      </c>
      <c r="B232" s="10" t="s">
        <v>551</v>
      </c>
      <c r="C232" s="10" t="s">
        <v>537</v>
      </c>
      <c r="D232" s="26">
        <v>1732.1</v>
      </c>
      <c r="E232" s="22">
        <v>130499486</v>
      </c>
      <c r="F232" s="2">
        <f t="shared" si="6"/>
        <v>75341.773569655343</v>
      </c>
      <c r="G232" s="23">
        <v>118449457</v>
      </c>
      <c r="H232" s="24">
        <v>129152666</v>
      </c>
      <c r="I232" s="2">
        <f t="shared" si="7"/>
        <v>74564.208763928182</v>
      </c>
    </row>
    <row r="233" spans="1:9">
      <c r="A233" s="7" t="s">
        <v>552</v>
      </c>
      <c r="B233" s="10" t="s">
        <v>553</v>
      </c>
      <c r="C233" s="10" t="s">
        <v>537</v>
      </c>
      <c r="D233" s="26">
        <v>1950.2</v>
      </c>
      <c r="E233" s="22">
        <v>99081467</v>
      </c>
      <c r="F233" s="2">
        <f t="shared" si="6"/>
        <v>50805.797866885448</v>
      </c>
      <c r="G233" s="23">
        <v>87009192</v>
      </c>
      <c r="H233" s="24">
        <v>98744357</v>
      </c>
      <c r="I233" s="2">
        <f t="shared" si="7"/>
        <v>50632.938672956618</v>
      </c>
    </row>
    <row r="234" spans="1:9">
      <c r="A234" s="7" t="s">
        <v>554</v>
      </c>
      <c r="B234" s="10" t="s">
        <v>555</v>
      </c>
      <c r="C234" s="10" t="s">
        <v>537</v>
      </c>
      <c r="D234" s="26">
        <v>902.4</v>
      </c>
      <c r="E234" s="22">
        <v>24600870</v>
      </c>
      <c r="F234" s="2">
        <f t="shared" si="6"/>
        <v>27261.60239361702</v>
      </c>
      <c r="G234" s="23">
        <v>20697795</v>
      </c>
      <c r="H234" s="24">
        <v>24457163</v>
      </c>
      <c r="I234" s="2">
        <f t="shared" si="7"/>
        <v>27102.352615248226</v>
      </c>
    </row>
    <row r="235" spans="1:9">
      <c r="A235" s="7" t="s">
        <v>556</v>
      </c>
      <c r="B235" s="10" t="s">
        <v>557</v>
      </c>
      <c r="C235" s="10" t="s">
        <v>470</v>
      </c>
      <c r="D235" s="26">
        <v>412.3</v>
      </c>
      <c r="E235" s="22">
        <v>32762550</v>
      </c>
      <c r="F235" s="2">
        <f t="shared" si="6"/>
        <v>79462.891098714521</v>
      </c>
      <c r="G235" s="23">
        <v>30644944</v>
      </c>
      <c r="H235" s="24">
        <v>32752148</v>
      </c>
      <c r="I235" s="2">
        <f t="shared" si="7"/>
        <v>79437.661896677178</v>
      </c>
    </row>
    <row r="236" spans="1:9">
      <c r="A236" s="7" t="s">
        <v>558</v>
      </c>
      <c r="B236" s="10" t="s">
        <v>559</v>
      </c>
      <c r="C236" s="10" t="s">
        <v>61</v>
      </c>
      <c r="D236" s="26">
        <v>652.70000000000005</v>
      </c>
      <c r="E236" s="22">
        <v>34073162</v>
      </c>
      <c r="F236" s="2">
        <f t="shared" si="6"/>
        <v>52203.404320514783</v>
      </c>
      <c r="G236" s="23">
        <v>30960158</v>
      </c>
      <c r="H236" s="24">
        <v>34073162</v>
      </c>
      <c r="I236" s="2">
        <f t="shared" si="7"/>
        <v>52203.404320514783</v>
      </c>
    </row>
    <row r="237" spans="1:9">
      <c r="A237" s="7" t="s">
        <v>560</v>
      </c>
      <c r="B237" s="10" t="s">
        <v>561</v>
      </c>
      <c r="C237" s="10" t="s">
        <v>338</v>
      </c>
      <c r="D237" s="26">
        <v>3464.1</v>
      </c>
      <c r="E237" s="22">
        <v>188394210</v>
      </c>
      <c r="F237" s="2">
        <f t="shared" si="6"/>
        <v>54384.749285528713</v>
      </c>
      <c r="G237" s="23">
        <v>171366598</v>
      </c>
      <c r="H237" s="24">
        <v>188394210</v>
      </c>
      <c r="I237" s="2">
        <f t="shared" si="7"/>
        <v>54384.749285528713</v>
      </c>
    </row>
    <row r="238" spans="1:9">
      <c r="A238" s="7" t="s">
        <v>562</v>
      </c>
      <c r="B238" s="10" t="s">
        <v>563</v>
      </c>
      <c r="C238" s="10" t="s">
        <v>564</v>
      </c>
      <c r="D238" s="26">
        <v>425.1</v>
      </c>
      <c r="E238" s="22">
        <v>77370300</v>
      </c>
      <c r="F238" s="2">
        <f t="shared" si="6"/>
        <v>182004.94001411431</v>
      </c>
      <c r="G238" s="23">
        <v>75533728</v>
      </c>
      <c r="H238" s="24">
        <v>77370300</v>
      </c>
      <c r="I238" s="2">
        <f t="shared" si="7"/>
        <v>182004.94001411431</v>
      </c>
    </row>
    <row r="239" spans="1:9">
      <c r="A239" s="7" t="s">
        <v>565</v>
      </c>
      <c r="B239" s="10" t="s">
        <v>566</v>
      </c>
      <c r="C239" s="10" t="s">
        <v>61</v>
      </c>
      <c r="D239" s="26">
        <v>3627.4</v>
      </c>
      <c r="E239" s="22">
        <v>183608403</v>
      </c>
      <c r="F239" s="2">
        <f t="shared" si="6"/>
        <v>50617.081931962282</v>
      </c>
      <c r="G239" s="23">
        <v>162219192</v>
      </c>
      <c r="H239" s="24">
        <v>182853788</v>
      </c>
      <c r="I239" s="2">
        <f t="shared" si="7"/>
        <v>50409.050008270387</v>
      </c>
    </row>
    <row r="240" spans="1:9">
      <c r="A240" s="7" t="s">
        <v>567</v>
      </c>
      <c r="B240" s="10" t="s">
        <v>568</v>
      </c>
      <c r="C240" s="10" t="s">
        <v>511</v>
      </c>
      <c r="D240" s="26">
        <v>310.5</v>
      </c>
      <c r="E240" s="22">
        <v>11328281</v>
      </c>
      <c r="F240" s="2">
        <f t="shared" si="6"/>
        <v>36483.996779388086</v>
      </c>
      <c r="G240" s="23">
        <v>9656719</v>
      </c>
      <c r="H240" s="24">
        <v>11289041</v>
      </c>
      <c r="I240" s="2">
        <f t="shared" si="7"/>
        <v>36357.619967793878</v>
      </c>
    </row>
    <row r="241" spans="1:9">
      <c r="A241" s="7" t="s">
        <v>569</v>
      </c>
      <c r="B241" s="10" t="s">
        <v>570</v>
      </c>
      <c r="C241" s="10" t="s">
        <v>511</v>
      </c>
      <c r="D241" s="26">
        <v>278</v>
      </c>
      <c r="E241" s="22">
        <v>15806994</v>
      </c>
      <c r="F241" s="2">
        <f t="shared" si="6"/>
        <v>56859.690647482013</v>
      </c>
      <c r="G241" s="23">
        <v>14261620</v>
      </c>
      <c r="H241" s="24">
        <v>15772813</v>
      </c>
      <c r="I241" s="2">
        <f t="shared" si="7"/>
        <v>56736.737410071939</v>
      </c>
    </row>
    <row r="242" spans="1:9">
      <c r="A242" s="7" t="s">
        <v>571</v>
      </c>
      <c r="B242" s="10" t="s">
        <v>572</v>
      </c>
      <c r="C242" s="10" t="s">
        <v>380</v>
      </c>
      <c r="D242" s="26">
        <v>7097</v>
      </c>
      <c r="E242" s="22">
        <v>326713033</v>
      </c>
      <c r="F242" s="2">
        <f t="shared" si="6"/>
        <v>46035.371706354796</v>
      </c>
      <c r="G242" s="23">
        <v>305220746</v>
      </c>
      <c r="H242" s="24">
        <v>326281990</v>
      </c>
      <c r="I242" s="2">
        <f t="shared" si="7"/>
        <v>45974.635761589401</v>
      </c>
    </row>
    <row r="243" spans="1:9">
      <c r="A243" s="7" t="s">
        <v>573</v>
      </c>
      <c r="B243" s="10" t="s">
        <v>574</v>
      </c>
      <c r="C243" s="10" t="s">
        <v>61</v>
      </c>
      <c r="D243" s="26">
        <v>2263.1999999999998</v>
      </c>
      <c r="E243" s="22">
        <v>125084608</v>
      </c>
      <c r="F243" s="2">
        <f t="shared" si="6"/>
        <v>55268.914810887247</v>
      </c>
      <c r="G243" s="23">
        <v>114890699</v>
      </c>
      <c r="H243" s="24">
        <v>124166332</v>
      </c>
      <c r="I243" s="2">
        <f t="shared" si="7"/>
        <v>54863.172499116299</v>
      </c>
    </row>
    <row r="244" spans="1:9">
      <c r="A244" s="7" t="s">
        <v>575</v>
      </c>
      <c r="B244" s="10" t="s">
        <v>576</v>
      </c>
      <c r="C244" s="10" t="s">
        <v>425</v>
      </c>
      <c r="D244" s="26">
        <v>228.7</v>
      </c>
      <c r="E244" s="22">
        <v>35910592</v>
      </c>
      <c r="F244" s="2">
        <f t="shared" si="6"/>
        <v>157020.51595977263</v>
      </c>
      <c r="G244" s="23">
        <v>34542797</v>
      </c>
      <c r="H244" s="24">
        <v>35858479</v>
      </c>
      <c r="I244" s="2">
        <f t="shared" si="7"/>
        <v>156792.64975951027</v>
      </c>
    </row>
    <row r="245" spans="1:9">
      <c r="A245" s="7" t="s">
        <v>577</v>
      </c>
      <c r="B245" s="10" t="s">
        <v>578</v>
      </c>
      <c r="C245" s="10" t="s">
        <v>397</v>
      </c>
      <c r="D245" s="26">
        <v>794</v>
      </c>
      <c r="E245" s="22">
        <v>39987666</v>
      </c>
      <c r="F245" s="2">
        <f t="shared" si="6"/>
        <v>50362.299748110832</v>
      </c>
      <c r="G245" s="23">
        <v>37000515</v>
      </c>
      <c r="H245" s="24">
        <v>39626313</v>
      </c>
      <c r="I245" s="2">
        <f t="shared" si="7"/>
        <v>49907.195214105792</v>
      </c>
    </row>
    <row r="246" spans="1:9">
      <c r="A246" s="7" t="s">
        <v>579</v>
      </c>
      <c r="B246" s="10" t="s">
        <v>580</v>
      </c>
      <c r="C246" s="10" t="s">
        <v>439</v>
      </c>
      <c r="D246" s="26">
        <v>671.5</v>
      </c>
      <c r="E246" s="22">
        <v>24431729</v>
      </c>
      <c r="F246" s="2">
        <f t="shared" si="6"/>
        <v>36383.810871183916</v>
      </c>
      <c r="G246" s="23">
        <v>21056533</v>
      </c>
      <c r="H246" s="24">
        <v>24431729</v>
      </c>
      <c r="I246" s="2">
        <f t="shared" si="7"/>
        <v>36383.810871183916</v>
      </c>
    </row>
    <row r="247" spans="1:9">
      <c r="A247" s="7" t="s">
        <v>581</v>
      </c>
      <c r="B247" s="10" t="s">
        <v>582</v>
      </c>
      <c r="C247" s="10" t="s">
        <v>583</v>
      </c>
      <c r="D247" s="26">
        <v>313</v>
      </c>
      <c r="E247" s="22">
        <v>13282057</v>
      </c>
      <c r="F247" s="2">
        <f t="shared" si="6"/>
        <v>42434.68690095847</v>
      </c>
      <c r="G247" s="23">
        <v>11382743</v>
      </c>
      <c r="H247" s="24">
        <v>13282057</v>
      </c>
      <c r="I247" s="2">
        <f t="shared" si="7"/>
        <v>42434.68690095847</v>
      </c>
    </row>
    <row r="248" spans="1:9">
      <c r="A248" s="7" t="s">
        <v>584</v>
      </c>
      <c r="B248" s="10" t="s">
        <v>585</v>
      </c>
      <c r="C248" s="10" t="s">
        <v>583</v>
      </c>
      <c r="D248" s="26">
        <v>340</v>
      </c>
      <c r="E248" s="22">
        <v>17637927</v>
      </c>
      <c r="F248" s="2">
        <f t="shared" si="6"/>
        <v>51876.25588235294</v>
      </c>
      <c r="G248" s="23">
        <v>15735775</v>
      </c>
      <c r="H248" s="24">
        <v>17637927</v>
      </c>
      <c r="I248" s="2">
        <f t="shared" si="7"/>
        <v>51876.25588235294</v>
      </c>
    </row>
    <row r="249" spans="1:9">
      <c r="A249" s="7" t="s">
        <v>586</v>
      </c>
      <c r="B249" s="10" t="s">
        <v>587</v>
      </c>
      <c r="C249" s="10" t="s">
        <v>61</v>
      </c>
      <c r="D249" s="26">
        <v>1862.6</v>
      </c>
      <c r="E249" s="22">
        <v>93256718</v>
      </c>
      <c r="F249" s="2">
        <f t="shared" si="6"/>
        <v>50068.032857296253</v>
      </c>
      <c r="G249" s="23">
        <v>84857589</v>
      </c>
      <c r="H249" s="24">
        <v>93219872</v>
      </c>
      <c r="I249" s="2">
        <f t="shared" si="7"/>
        <v>50048.250832170088</v>
      </c>
    </row>
    <row r="250" spans="1:9">
      <c r="A250" s="7" t="s">
        <v>588</v>
      </c>
      <c r="B250" s="10" t="s">
        <v>589</v>
      </c>
      <c r="C250" s="10" t="s">
        <v>583</v>
      </c>
      <c r="D250" s="26">
        <v>2223.6999999999998</v>
      </c>
      <c r="E250" s="22">
        <v>100877069</v>
      </c>
      <c r="F250" s="2">
        <f t="shared" si="6"/>
        <v>45364.513648423803</v>
      </c>
      <c r="G250" s="23">
        <v>88655134</v>
      </c>
      <c r="H250" s="24">
        <v>100133365</v>
      </c>
      <c r="I250" s="2">
        <f t="shared" si="7"/>
        <v>45030.069253946131</v>
      </c>
    </row>
    <row r="251" spans="1:9">
      <c r="A251" s="7" t="s">
        <v>590</v>
      </c>
      <c r="B251" s="10" t="s">
        <v>591</v>
      </c>
      <c r="C251" s="10" t="s">
        <v>592</v>
      </c>
      <c r="D251" s="26">
        <v>895</v>
      </c>
      <c r="E251" s="22">
        <v>91377969</v>
      </c>
      <c r="F251" s="2">
        <f t="shared" si="6"/>
        <v>102098.28938547485</v>
      </c>
      <c r="G251" s="23">
        <v>86783907</v>
      </c>
      <c r="H251" s="24">
        <v>90773203</v>
      </c>
      <c r="I251" s="2">
        <f t="shared" si="7"/>
        <v>101422.57318435755</v>
      </c>
    </row>
    <row r="252" spans="1:9">
      <c r="A252" s="7" t="s">
        <v>593</v>
      </c>
      <c r="B252" s="10" t="s">
        <v>594</v>
      </c>
      <c r="C252" s="10" t="s">
        <v>595</v>
      </c>
      <c r="D252" s="26">
        <v>399</v>
      </c>
      <c r="E252" s="22">
        <v>37690794</v>
      </c>
      <c r="F252" s="2">
        <f t="shared" si="6"/>
        <v>94463.142857142855</v>
      </c>
      <c r="G252" s="23">
        <v>35673147</v>
      </c>
      <c r="H252" s="24">
        <v>37578557</v>
      </c>
      <c r="I252" s="2">
        <f t="shared" si="7"/>
        <v>94181.847117794488</v>
      </c>
    </row>
    <row r="253" spans="1:9">
      <c r="A253" s="7" t="s">
        <v>596</v>
      </c>
      <c r="B253" s="10" t="s">
        <v>597</v>
      </c>
      <c r="C253" s="10" t="s">
        <v>598</v>
      </c>
      <c r="D253" s="26">
        <v>79.8</v>
      </c>
      <c r="E253" s="22">
        <v>16716007</v>
      </c>
      <c r="F253" s="2">
        <f t="shared" si="6"/>
        <v>209473.77192982458</v>
      </c>
      <c r="G253" s="23">
        <v>16369573</v>
      </c>
      <c r="H253" s="24">
        <v>16643983</v>
      </c>
      <c r="I253" s="2">
        <f t="shared" si="7"/>
        <v>208571.21553884711</v>
      </c>
    </row>
    <row r="254" spans="1:9">
      <c r="A254" s="7" t="s">
        <v>599</v>
      </c>
      <c r="B254" s="10" t="s">
        <v>600</v>
      </c>
      <c r="C254" s="10" t="s">
        <v>61</v>
      </c>
      <c r="D254" s="26">
        <v>2557.1</v>
      </c>
      <c r="E254" s="22">
        <v>119870032</v>
      </c>
      <c r="F254" s="2">
        <f t="shared" si="6"/>
        <v>46877.334480466154</v>
      </c>
      <c r="G254" s="23">
        <v>110329205</v>
      </c>
      <c r="H254" s="24">
        <v>117278846</v>
      </c>
      <c r="I254" s="2">
        <f t="shared" si="7"/>
        <v>45864.004536388878</v>
      </c>
    </row>
    <row r="255" spans="1:9">
      <c r="A255" s="7" t="s">
        <v>601</v>
      </c>
      <c r="B255" s="10" t="s">
        <v>602</v>
      </c>
      <c r="C255" s="10" t="s">
        <v>583</v>
      </c>
      <c r="D255" s="26">
        <v>2645</v>
      </c>
      <c r="E255" s="22">
        <v>84086099</v>
      </c>
      <c r="F255" s="2">
        <f t="shared" si="6"/>
        <v>31790.585633270322</v>
      </c>
      <c r="G255" s="23">
        <v>70130439</v>
      </c>
      <c r="H255" s="24">
        <v>83209621</v>
      </c>
      <c r="I255" s="2">
        <f t="shared" si="7"/>
        <v>31459.213988657844</v>
      </c>
    </row>
    <row r="256" spans="1:9">
      <c r="A256" s="7" t="s">
        <v>603</v>
      </c>
      <c r="B256" s="10" t="s">
        <v>604</v>
      </c>
      <c r="C256" s="10" t="s">
        <v>583</v>
      </c>
      <c r="D256" s="26">
        <v>146.80000000000001</v>
      </c>
      <c r="E256" s="22">
        <v>7447963</v>
      </c>
      <c r="F256" s="2">
        <f t="shared" si="6"/>
        <v>50735.442779291552</v>
      </c>
      <c r="G256" s="23">
        <v>6828942</v>
      </c>
      <c r="H256" s="24">
        <v>7447963</v>
      </c>
      <c r="I256" s="2">
        <f t="shared" si="7"/>
        <v>50735.442779291552</v>
      </c>
    </row>
    <row r="257" spans="1:9">
      <c r="A257" s="7" t="s">
        <v>605</v>
      </c>
      <c r="B257" s="10" t="s">
        <v>606</v>
      </c>
      <c r="C257" s="10" t="s">
        <v>452</v>
      </c>
      <c r="D257" s="26">
        <v>1050</v>
      </c>
      <c r="E257" s="22">
        <v>70466712</v>
      </c>
      <c r="F257" s="2">
        <f t="shared" si="6"/>
        <v>67111.154285714292</v>
      </c>
      <c r="G257" s="23">
        <v>64888729</v>
      </c>
      <c r="H257" s="24">
        <v>70466712</v>
      </c>
      <c r="I257" s="2">
        <f t="shared" si="7"/>
        <v>67111.154285714292</v>
      </c>
    </row>
    <row r="258" spans="1:9">
      <c r="A258" s="7" t="s">
        <v>607</v>
      </c>
      <c r="B258" s="10" t="s">
        <v>608</v>
      </c>
      <c r="C258" s="10" t="s">
        <v>516</v>
      </c>
      <c r="D258" s="26">
        <v>105</v>
      </c>
      <c r="E258" s="22">
        <v>18904511</v>
      </c>
      <c r="F258" s="2">
        <f t="shared" si="6"/>
        <v>180042.96190476191</v>
      </c>
      <c r="G258" s="23">
        <v>18217007</v>
      </c>
      <c r="H258" s="24">
        <v>18675249</v>
      </c>
      <c r="I258" s="2">
        <f t="shared" si="7"/>
        <v>177859.51428571428</v>
      </c>
    </row>
    <row r="259" spans="1:9">
      <c r="A259" s="7" t="s">
        <v>609</v>
      </c>
      <c r="B259" s="10" t="s">
        <v>610</v>
      </c>
      <c r="C259" s="10" t="s">
        <v>611</v>
      </c>
      <c r="D259" s="26">
        <v>8100.6</v>
      </c>
      <c r="E259" s="22">
        <v>218604807</v>
      </c>
      <c r="F259" s="2">
        <f t="shared" si="6"/>
        <v>26986.248796385451</v>
      </c>
      <c r="G259" s="23">
        <v>197826218</v>
      </c>
      <c r="H259" s="24">
        <v>202439348</v>
      </c>
      <c r="I259" s="2">
        <f t="shared" si="7"/>
        <v>24990.660938695899</v>
      </c>
    </row>
    <row r="260" spans="1:9">
      <c r="A260" s="7" t="s">
        <v>612</v>
      </c>
      <c r="B260" s="10" t="s">
        <v>613</v>
      </c>
      <c r="C260" s="10" t="s">
        <v>9</v>
      </c>
      <c r="D260" s="26">
        <v>109.5</v>
      </c>
      <c r="E260" s="22">
        <v>15990066</v>
      </c>
      <c r="F260" s="2">
        <f t="shared" si="6"/>
        <v>146028</v>
      </c>
      <c r="G260" s="23">
        <v>15330334</v>
      </c>
      <c r="H260" s="24">
        <v>15990066</v>
      </c>
      <c r="I260" s="2">
        <f t="shared" si="7"/>
        <v>146028</v>
      </c>
    </row>
    <row r="261" spans="1:9">
      <c r="A261" s="7" t="s">
        <v>614</v>
      </c>
      <c r="B261" s="10" t="s">
        <v>615</v>
      </c>
      <c r="C261" s="10" t="s">
        <v>9</v>
      </c>
      <c r="D261" s="26">
        <v>224.9</v>
      </c>
      <c r="E261" s="22">
        <v>25373787</v>
      </c>
      <c r="F261" s="2">
        <f t="shared" si="6"/>
        <v>112822.53001333926</v>
      </c>
      <c r="G261" s="23">
        <v>24675707</v>
      </c>
      <c r="H261" s="24">
        <v>25373787</v>
      </c>
      <c r="I261" s="2">
        <f t="shared" si="7"/>
        <v>112822.53001333926</v>
      </c>
    </row>
    <row r="262" spans="1:9">
      <c r="A262" s="7" t="s">
        <v>616</v>
      </c>
      <c r="B262" s="10" t="s">
        <v>617</v>
      </c>
      <c r="C262" s="10" t="s">
        <v>386</v>
      </c>
      <c r="D262" s="26">
        <v>207.5</v>
      </c>
      <c r="E262" s="22">
        <v>14399593</v>
      </c>
      <c r="F262" s="2">
        <f t="shared" si="6"/>
        <v>69395.628915662644</v>
      </c>
      <c r="G262" s="23">
        <v>13045549</v>
      </c>
      <c r="H262" s="24">
        <v>14399593</v>
      </c>
      <c r="I262" s="2">
        <f t="shared" si="7"/>
        <v>69395.628915662644</v>
      </c>
    </row>
    <row r="263" spans="1:9">
      <c r="A263" s="7" t="s">
        <v>618</v>
      </c>
      <c r="B263" s="10" t="s">
        <v>619</v>
      </c>
      <c r="C263" s="10" t="s">
        <v>620</v>
      </c>
      <c r="D263" s="26">
        <v>4621.1000000000004</v>
      </c>
      <c r="E263" s="22">
        <v>171304875</v>
      </c>
      <c r="F263" s="2">
        <f t="shared" ref="F263:F293" si="8">E263/D263</f>
        <v>37070.151046287676</v>
      </c>
      <c r="G263" s="23">
        <v>157861634</v>
      </c>
      <c r="H263" s="24">
        <v>171304875</v>
      </c>
      <c r="I263" s="2">
        <f t="shared" ref="I263:I293" si="9">H263/D263</f>
        <v>37070.151046287676</v>
      </c>
    </row>
    <row r="264" spans="1:9">
      <c r="A264" s="7" t="s">
        <v>621</v>
      </c>
      <c r="B264" s="10" t="s">
        <v>622</v>
      </c>
      <c r="C264" s="10" t="s">
        <v>452</v>
      </c>
      <c r="D264" s="26">
        <v>315.5</v>
      </c>
      <c r="E264" s="22">
        <v>28739298</v>
      </c>
      <c r="F264" s="2">
        <f t="shared" si="8"/>
        <v>91091.277337559426</v>
      </c>
      <c r="G264" s="23">
        <v>26498185</v>
      </c>
      <c r="H264" s="24">
        <v>28739298</v>
      </c>
      <c r="I264" s="2">
        <f t="shared" si="9"/>
        <v>91091.277337559426</v>
      </c>
    </row>
    <row r="265" spans="1:9">
      <c r="A265" s="7" t="s">
        <v>623</v>
      </c>
      <c r="B265" s="10" t="s">
        <v>624</v>
      </c>
      <c r="C265" s="10" t="s">
        <v>598</v>
      </c>
      <c r="D265" s="26">
        <v>245</v>
      </c>
      <c r="E265" s="22">
        <v>49465900</v>
      </c>
      <c r="F265" s="2">
        <f t="shared" si="8"/>
        <v>201901.63265306121</v>
      </c>
      <c r="G265" s="23">
        <v>47891021</v>
      </c>
      <c r="H265" s="24">
        <v>49443145</v>
      </c>
      <c r="I265" s="2">
        <f t="shared" si="9"/>
        <v>201808.75510204083</v>
      </c>
    </row>
    <row r="266" spans="1:9">
      <c r="A266" s="7" t="s">
        <v>625</v>
      </c>
      <c r="B266" s="10" t="s">
        <v>626</v>
      </c>
      <c r="C266" s="10" t="s">
        <v>620</v>
      </c>
      <c r="D266" s="26">
        <v>675.5</v>
      </c>
      <c r="E266" s="22">
        <v>85708142</v>
      </c>
      <c r="F266" s="2">
        <f t="shared" si="8"/>
        <v>126881.03923019985</v>
      </c>
      <c r="G266" s="23">
        <v>83401078</v>
      </c>
      <c r="H266" s="24">
        <v>85626891</v>
      </c>
      <c r="I266" s="2">
        <f t="shared" si="9"/>
        <v>126760.75647668394</v>
      </c>
    </row>
    <row r="267" spans="1:9">
      <c r="A267" s="7" t="s">
        <v>627</v>
      </c>
      <c r="B267" s="10" t="s">
        <v>628</v>
      </c>
      <c r="C267" s="10" t="s">
        <v>439</v>
      </c>
      <c r="D267" s="26">
        <v>656.6</v>
      </c>
      <c r="E267" s="22">
        <v>41889431</v>
      </c>
      <c r="F267" s="2">
        <f t="shared" si="8"/>
        <v>63797.488577520555</v>
      </c>
      <c r="G267" s="23">
        <v>36935621</v>
      </c>
      <c r="H267" s="24">
        <v>41811441</v>
      </c>
      <c r="I267" s="2">
        <f t="shared" si="9"/>
        <v>63678.71002132196</v>
      </c>
    </row>
    <row r="268" spans="1:9">
      <c r="A268" s="7" t="s">
        <v>629</v>
      </c>
      <c r="B268" s="10" t="s">
        <v>630</v>
      </c>
      <c r="C268" s="10" t="s">
        <v>452</v>
      </c>
      <c r="D268" s="26">
        <v>456.3</v>
      </c>
      <c r="E268" s="22">
        <v>20281100</v>
      </c>
      <c r="F268" s="2">
        <f t="shared" si="8"/>
        <v>44446.855139162828</v>
      </c>
      <c r="G268" s="23">
        <v>17350248</v>
      </c>
      <c r="H268" s="24">
        <v>20281100</v>
      </c>
      <c r="I268" s="2">
        <f t="shared" si="9"/>
        <v>44446.855139162828</v>
      </c>
    </row>
    <row r="269" spans="1:9">
      <c r="A269" s="7" t="s">
        <v>631</v>
      </c>
      <c r="B269" s="10" t="s">
        <v>632</v>
      </c>
      <c r="C269" s="10" t="s">
        <v>442</v>
      </c>
      <c r="D269" s="26">
        <v>2821.7</v>
      </c>
      <c r="E269" s="22">
        <v>305578791</v>
      </c>
      <c r="F269" s="2">
        <f t="shared" si="8"/>
        <v>108295.98858843961</v>
      </c>
      <c r="G269" s="23">
        <v>286927661</v>
      </c>
      <c r="H269" s="24">
        <v>304663321</v>
      </c>
      <c r="I269" s="2">
        <f t="shared" si="9"/>
        <v>107971.54942056208</v>
      </c>
    </row>
    <row r="270" spans="1:9">
      <c r="A270" s="7" t="s">
        <v>633</v>
      </c>
      <c r="B270" s="10" t="s">
        <v>634</v>
      </c>
      <c r="C270" s="10" t="s">
        <v>56</v>
      </c>
      <c r="D270" s="26">
        <v>1872.4</v>
      </c>
      <c r="E270" s="22">
        <v>163838488</v>
      </c>
      <c r="F270" s="2">
        <f t="shared" si="8"/>
        <v>87501.862849818412</v>
      </c>
      <c r="G270" s="23">
        <v>152650941</v>
      </c>
      <c r="H270" s="24">
        <v>162119710</v>
      </c>
      <c r="I270" s="2">
        <f t="shared" si="9"/>
        <v>86583.908352916042</v>
      </c>
    </row>
    <row r="271" spans="1:9">
      <c r="A271" s="7" t="s">
        <v>635</v>
      </c>
      <c r="B271" s="10" t="s">
        <v>636</v>
      </c>
      <c r="C271" s="10" t="s">
        <v>346</v>
      </c>
      <c r="D271" s="26">
        <v>1571.7</v>
      </c>
      <c r="E271" s="22">
        <v>57218616</v>
      </c>
      <c r="F271" s="2">
        <f t="shared" si="8"/>
        <v>36405.558312655085</v>
      </c>
      <c r="G271" s="23">
        <v>51580474</v>
      </c>
      <c r="H271" s="24">
        <v>57218616</v>
      </c>
      <c r="I271" s="2">
        <f t="shared" si="9"/>
        <v>36405.558312655085</v>
      </c>
    </row>
    <row r="272" spans="1:9">
      <c r="A272" s="7" t="s">
        <v>637</v>
      </c>
      <c r="B272" s="10" t="s">
        <v>638</v>
      </c>
      <c r="C272" s="10" t="s">
        <v>56</v>
      </c>
      <c r="D272" s="26">
        <v>282.10000000000002</v>
      </c>
      <c r="E272" s="22">
        <v>16802995</v>
      </c>
      <c r="F272" s="2">
        <f t="shared" si="8"/>
        <v>59563.9666784828</v>
      </c>
      <c r="G272" s="23">
        <v>15403163</v>
      </c>
      <c r="H272" s="24">
        <v>16802995</v>
      </c>
      <c r="I272" s="2">
        <f t="shared" si="9"/>
        <v>59563.9666784828</v>
      </c>
    </row>
    <row r="273" spans="1:9">
      <c r="A273" s="7" t="s">
        <v>639</v>
      </c>
      <c r="B273" s="10" t="s">
        <v>640</v>
      </c>
      <c r="C273" s="10" t="s">
        <v>479</v>
      </c>
      <c r="D273" s="26">
        <v>987.5</v>
      </c>
      <c r="E273" s="22">
        <v>57490685</v>
      </c>
      <c r="F273" s="2">
        <f t="shared" si="8"/>
        <v>58218.41518987342</v>
      </c>
      <c r="G273" s="23">
        <v>50739281</v>
      </c>
      <c r="H273" s="24">
        <v>57490685</v>
      </c>
      <c r="I273" s="2">
        <f t="shared" si="9"/>
        <v>58218.41518987342</v>
      </c>
    </row>
    <row r="274" spans="1:9">
      <c r="A274" s="7" t="s">
        <v>641</v>
      </c>
      <c r="B274" s="10" t="s">
        <v>642</v>
      </c>
      <c r="C274" s="10" t="s">
        <v>643</v>
      </c>
      <c r="D274" s="26">
        <v>480</v>
      </c>
      <c r="E274" s="22">
        <v>44406220</v>
      </c>
      <c r="F274" s="2">
        <f t="shared" si="8"/>
        <v>92512.958333333328</v>
      </c>
      <c r="G274" s="23">
        <v>42186085</v>
      </c>
      <c r="H274" s="24">
        <v>44406220</v>
      </c>
      <c r="I274" s="2">
        <f t="shared" si="9"/>
        <v>92512.958333333328</v>
      </c>
    </row>
    <row r="275" spans="1:9">
      <c r="A275" s="7" t="s">
        <v>644</v>
      </c>
      <c r="B275" s="10" t="s">
        <v>645</v>
      </c>
      <c r="C275" s="10" t="s">
        <v>646</v>
      </c>
      <c r="D275" s="26">
        <v>921.4</v>
      </c>
      <c r="E275" s="22">
        <v>51308224</v>
      </c>
      <c r="F275" s="2">
        <f t="shared" si="8"/>
        <v>55685.070544823095</v>
      </c>
      <c r="G275" s="23">
        <v>45688199</v>
      </c>
      <c r="H275" s="24">
        <v>50901945</v>
      </c>
      <c r="I275" s="2">
        <f t="shared" si="9"/>
        <v>55244.133926633389</v>
      </c>
    </row>
    <row r="276" spans="1:9">
      <c r="A276" s="7" t="s">
        <v>647</v>
      </c>
      <c r="B276" s="10" t="s">
        <v>648</v>
      </c>
      <c r="C276" s="10" t="s">
        <v>646</v>
      </c>
      <c r="D276" s="26">
        <v>166.5</v>
      </c>
      <c r="E276" s="22">
        <v>14367240</v>
      </c>
      <c r="F276" s="2">
        <f t="shared" si="8"/>
        <v>86289.729729729734</v>
      </c>
      <c r="G276" s="23">
        <v>13649789</v>
      </c>
      <c r="H276" s="24">
        <v>14281970</v>
      </c>
      <c r="I276" s="2">
        <f t="shared" si="9"/>
        <v>85777.597597597603</v>
      </c>
    </row>
    <row r="277" spans="1:9">
      <c r="A277" s="7" t="s">
        <v>649</v>
      </c>
      <c r="B277" s="10" t="s">
        <v>650</v>
      </c>
      <c r="C277" s="10" t="s">
        <v>346</v>
      </c>
      <c r="D277" s="26">
        <v>11347.2</v>
      </c>
      <c r="E277" s="22">
        <v>996501220</v>
      </c>
      <c r="F277" s="2">
        <f t="shared" si="8"/>
        <v>87819.128948110549</v>
      </c>
      <c r="G277" s="23">
        <v>937696549</v>
      </c>
      <c r="H277" s="24">
        <v>992393634</v>
      </c>
      <c r="I277" s="2">
        <f t="shared" si="9"/>
        <v>87457.137796108291</v>
      </c>
    </row>
    <row r="278" spans="1:9">
      <c r="A278" s="7" t="s">
        <v>651</v>
      </c>
      <c r="B278" s="10" t="s">
        <v>652</v>
      </c>
      <c r="C278" s="10" t="s">
        <v>383</v>
      </c>
      <c r="D278" s="26">
        <v>394.4</v>
      </c>
      <c r="E278" s="22">
        <v>18207310</v>
      </c>
      <c r="F278" s="2">
        <f t="shared" si="8"/>
        <v>46164.579107505073</v>
      </c>
      <c r="G278" s="23">
        <v>16134772</v>
      </c>
      <c r="H278" s="24">
        <v>17932619</v>
      </c>
      <c r="I278" s="2">
        <f t="shared" si="9"/>
        <v>45468.100912778908</v>
      </c>
    </row>
    <row r="279" spans="1:9">
      <c r="A279" s="7" t="s">
        <v>653</v>
      </c>
      <c r="B279" s="10" t="s">
        <v>654</v>
      </c>
      <c r="C279" s="10" t="s">
        <v>479</v>
      </c>
      <c r="D279" s="26">
        <v>812.7</v>
      </c>
      <c r="E279" s="22">
        <v>16457768</v>
      </c>
      <c r="F279" s="2">
        <f t="shared" si="8"/>
        <v>20250.729666543619</v>
      </c>
      <c r="G279" s="23">
        <v>13415866</v>
      </c>
      <c r="H279" s="24">
        <v>16457768</v>
      </c>
      <c r="I279" s="2">
        <f t="shared" si="9"/>
        <v>20250.729666543619</v>
      </c>
    </row>
    <row r="280" spans="1:9">
      <c r="A280" s="7" t="s">
        <v>655</v>
      </c>
      <c r="B280" s="10" t="s">
        <v>656</v>
      </c>
      <c r="C280" s="10" t="s">
        <v>49</v>
      </c>
      <c r="D280" s="26">
        <v>19998.2</v>
      </c>
      <c r="E280" s="22">
        <v>675755996</v>
      </c>
      <c r="F280" s="2">
        <f t="shared" si="8"/>
        <v>33790.84097568781</v>
      </c>
      <c r="G280" s="23">
        <v>592569819</v>
      </c>
      <c r="H280" s="24">
        <v>663321509</v>
      </c>
      <c r="I280" s="2">
        <f t="shared" si="9"/>
        <v>33169.060665459889</v>
      </c>
    </row>
    <row r="281" spans="1:9">
      <c r="A281" s="7" t="s">
        <v>657</v>
      </c>
      <c r="B281" s="10" t="s">
        <v>658</v>
      </c>
      <c r="C281" s="10" t="s">
        <v>338</v>
      </c>
      <c r="D281" s="26">
        <v>13192</v>
      </c>
      <c r="E281" s="22">
        <v>608691083</v>
      </c>
      <c r="F281" s="2">
        <f t="shared" si="8"/>
        <v>46140.925030321407</v>
      </c>
      <c r="G281" s="23">
        <v>533094194</v>
      </c>
      <c r="H281" s="24">
        <v>593352360</v>
      </c>
      <c r="I281" s="2">
        <f t="shared" si="9"/>
        <v>44978.195876288657</v>
      </c>
    </row>
    <row r="282" spans="1:9">
      <c r="A282" s="7" t="s">
        <v>659</v>
      </c>
      <c r="B282" s="10" t="s">
        <v>660</v>
      </c>
      <c r="C282" s="10" t="s">
        <v>343</v>
      </c>
      <c r="D282" s="26">
        <v>100</v>
      </c>
      <c r="E282" s="22">
        <v>15661117</v>
      </c>
      <c r="F282" s="2">
        <f t="shared" si="8"/>
        <v>156611.17000000001</v>
      </c>
      <c r="G282" s="23">
        <v>15001540</v>
      </c>
      <c r="H282" s="24">
        <v>15661117</v>
      </c>
      <c r="I282" s="2">
        <f t="shared" si="9"/>
        <v>156611.17000000001</v>
      </c>
    </row>
    <row r="283" spans="1:9">
      <c r="A283" s="7" t="s">
        <v>661</v>
      </c>
      <c r="B283" s="10" t="s">
        <v>662</v>
      </c>
      <c r="C283" s="10" t="s">
        <v>663</v>
      </c>
      <c r="D283" s="26">
        <v>1241.4000000000001</v>
      </c>
      <c r="E283" s="22">
        <v>52608437</v>
      </c>
      <c r="F283" s="2">
        <f t="shared" si="8"/>
        <v>42378.312389237952</v>
      </c>
      <c r="G283" s="23">
        <v>43814074</v>
      </c>
      <c r="H283" s="24">
        <v>52447307</v>
      </c>
      <c r="I283" s="2">
        <f t="shared" si="9"/>
        <v>42248.515385854676</v>
      </c>
    </row>
    <row r="284" spans="1:9">
      <c r="A284" s="7" t="s">
        <v>664</v>
      </c>
      <c r="B284" s="10" t="s">
        <v>665</v>
      </c>
      <c r="C284" s="10" t="s">
        <v>663</v>
      </c>
      <c r="D284" s="26">
        <v>462.2</v>
      </c>
      <c r="E284" s="22">
        <v>12045687</v>
      </c>
      <c r="F284" s="2">
        <f t="shared" si="8"/>
        <v>26061.633491994809</v>
      </c>
      <c r="G284" s="23">
        <v>10094253</v>
      </c>
      <c r="H284" s="24">
        <v>11943286</v>
      </c>
      <c r="I284" s="2">
        <f t="shared" si="9"/>
        <v>25840.082215491129</v>
      </c>
    </row>
    <row r="285" spans="1:9">
      <c r="A285" s="7" t="s">
        <v>666</v>
      </c>
      <c r="B285" s="10" t="s">
        <v>667</v>
      </c>
      <c r="C285" s="10" t="s">
        <v>663</v>
      </c>
      <c r="D285" s="26">
        <v>456.2</v>
      </c>
      <c r="E285" s="22">
        <v>14797852</v>
      </c>
      <c r="F285" s="2">
        <f t="shared" si="8"/>
        <v>32437.202981148621</v>
      </c>
      <c r="G285" s="23">
        <v>12373463</v>
      </c>
      <c r="H285" s="24">
        <v>14707688</v>
      </c>
      <c r="I285" s="2">
        <f t="shared" si="9"/>
        <v>32239.561595791321</v>
      </c>
    </row>
    <row r="286" spans="1:9">
      <c r="A286" s="7" t="s">
        <v>668</v>
      </c>
      <c r="B286" s="10" t="s">
        <v>669</v>
      </c>
      <c r="C286" s="10" t="s">
        <v>663</v>
      </c>
      <c r="D286" s="26">
        <v>1471.3</v>
      </c>
      <c r="E286" s="22">
        <v>50593942</v>
      </c>
      <c r="F286" s="2">
        <f t="shared" si="8"/>
        <v>34387.237137225588</v>
      </c>
      <c r="G286" s="23">
        <v>43732739</v>
      </c>
      <c r="H286" s="24">
        <v>50590419</v>
      </c>
      <c r="I286" s="2">
        <f t="shared" si="9"/>
        <v>34384.842656154426</v>
      </c>
    </row>
    <row r="287" spans="1:9">
      <c r="A287" s="7" t="s">
        <v>670</v>
      </c>
      <c r="B287" s="10" t="s">
        <v>671</v>
      </c>
      <c r="C287" s="10" t="s">
        <v>406</v>
      </c>
      <c r="D287" s="26">
        <v>281</v>
      </c>
      <c r="E287" s="22">
        <v>133506929</v>
      </c>
      <c r="F287" s="2">
        <f t="shared" si="8"/>
        <v>475113.62633451959</v>
      </c>
      <c r="G287" s="23">
        <v>132169237</v>
      </c>
      <c r="H287" s="24">
        <v>133506929</v>
      </c>
      <c r="I287" s="2">
        <f t="shared" si="9"/>
        <v>475113.62633451959</v>
      </c>
    </row>
    <row r="288" spans="1:9">
      <c r="A288" s="7" t="s">
        <v>672</v>
      </c>
      <c r="B288" s="10" t="s">
        <v>673</v>
      </c>
      <c r="C288" s="10" t="s">
        <v>479</v>
      </c>
      <c r="D288" s="26">
        <v>971.8</v>
      </c>
      <c r="E288" s="22">
        <v>23877347</v>
      </c>
      <c r="F288" s="2">
        <f t="shared" si="8"/>
        <v>24570.227413047953</v>
      </c>
      <c r="G288" s="23">
        <v>19587275</v>
      </c>
      <c r="H288" s="24">
        <v>23877347</v>
      </c>
      <c r="I288" s="2">
        <f t="shared" si="9"/>
        <v>24570.227413047953</v>
      </c>
    </row>
    <row r="289" spans="1:9">
      <c r="A289" s="7" t="s">
        <v>674</v>
      </c>
      <c r="B289" s="10" t="s">
        <v>675</v>
      </c>
      <c r="C289" s="10" t="s">
        <v>359</v>
      </c>
      <c r="D289" s="26">
        <v>173</v>
      </c>
      <c r="E289" s="22">
        <v>10475140</v>
      </c>
      <c r="F289" s="2">
        <f t="shared" si="8"/>
        <v>60549.942196531789</v>
      </c>
      <c r="G289" s="23">
        <v>9717724</v>
      </c>
      <c r="H289" s="24">
        <v>10349387</v>
      </c>
      <c r="I289" s="2">
        <f t="shared" si="9"/>
        <v>59823.046242774566</v>
      </c>
    </row>
    <row r="290" spans="1:9">
      <c r="A290" s="7" t="s">
        <v>676</v>
      </c>
      <c r="B290" s="10" t="s">
        <v>677</v>
      </c>
      <c r="C290" s="10" t="s">
        <v>375</v>
      </c>
      <c r="D290" s="26">
        <v>157.5</v>
      </c>
      <c r="E290" s="22">
        <v>14711731</v>
      </c>
      <c r="F290" s="2">
        <f t="shared" si="8"/>
        <v>93407.815873015876</v>
      </c>
      <c r="G290" s="23">
        <v>13878068</v>
      </c>
      <c r="H290" s="24">
        <v>14451673</v>
      </c>
      <c r="I290" s="2">
        <f t="shared" si="9"/>
        <v>91756.653968253973</v>
      </c>
    </row>
    <row r="291" spans="1:9" ht="15.75" thickBot="1">
      <c r="A291" s="7" t="s">
        <v>678</v>
      </c>
      <c r="B291" s="10" t="s">
        <v>679</v>
      </c>
      <c r="C291" s="10" t="s">
        <v>107</v>
      </c>
      <c r="D291" s="21">
        <v>26151.5</v>
      </c>
      <c r="E291" s="25">
        <v>2896935178</v>
      </c>
      <c r="F291" s="18">
        <f t="shared" si="8"/>
        <v>110775.10574919221</v>
      </c>
      <c r="G291" s="25">
        <v>2726716312</v>
      </c>
      <c r="H291" s="25">
        <v>2838136680</v>
      </c>
      <c r="I291" s="18">
        <f t="shared" si="9"/>
        <v>108526.72619161425</v>
      </c>
    </row>
    <row r="292" spans="1:9" ht="15.75" thickTop="1">
      <c r="A292" s="5"/>
      <c r="B292" s="5"/>
      <c r="C292" s="5"/>
      <c r="H292" s="5"/>
    </row>
    <row r="293" spans="1:9">
      <c r="A293" s="7" t="s">
        <v>680</v>
      </c>
      <c r="B293" s="5"/>
      <c r="C293" s="5"/>
      <c r="D293" s="13">
        <f>SUM(D6:D291)</f>
        <v>461088.30000000022</v>
      </c>
      <c r="E293" s="19">
        <f>SUM(E6:E291)</f>
        <v>30850221495</v>
      </c>
      <c r="F293" s="19">
        <f t="shared" si="8"/>
        <v>66907.404709683557</v>
      </c>
      <c r="G293" s="19">
        <f>SUM(G6:G291)</f>
        <v>28598679328</v>
      </c>
      <c r="H293" s="6">
        <f>SUM(H6:H291)</f>
        <v>30545350969</v>
      </c>
      <c r="I293" s="19">
        <f t="shared" si="9"/>
        <v>66246.207004168144</v>
      </c>
    </row>
  </sheetData>
  <mergeCells count="2">
    <mergeCell ref="D1:I1"/>
    <mergeCell ref="D2:I2"/>
  </mergeCells>
  <printOptions horizontalCentered="1" gridLines="1"/>
  <pageMargins left="0.2" right="0.2" top="0.25" bottom="0.5" header="0.3" footer="0.3"/>
  <pageSetup scale="85" orientation="portrait" r:id="rId1"/>
  <headerFooter>
    <oddFooter>&amp;C&amp;9Page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Barnes</dc:creator>
  <cp:lastModifiedBy>Sara Barnes</cp:lastModifiedBy>
  <cp:lastPrinted>2014-06-16T18:45:44Z</cp:lastPrinted>
  <dcterms:created xsi:type="dcterms:W3CDTF">2013-05-14T23:09:37Z</dcterms:created>
  <dcterms:modified xsi:type="dcterms:W3CDTF">2014-06-16T18:45:54Z</dcterms:modified>
</cp:coreProperties>
</file>