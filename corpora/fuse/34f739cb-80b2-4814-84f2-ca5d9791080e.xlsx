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9155" windowHeight="11310"/>
  </bookViews>
  <sheets>
    <sheet name="LEA 2009-10 Finals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S385" i="1"/>
  <c r="R385"/>
  <c r="Q385"/>
  <c r="P385"/>
  <c r="O385"/>
  <c r="N385"/>
  <c r="M385"/>
  <c r="L385"/>
  <c r="K385"/>
  <c r="I385"/>
  <c r="H385"/>
  <c r="G385"/>
  <c r="F385"/>
  <c r="D385"/>
  <c r="S384"/>
  <c r="R384"/>
  <c r="Q384"/>
  <c r="P384"/>
  <c r="O384"/>
  <c r="N384"/>
  <c r="M384"/>
  <c r="L384"/>
  <c r="K384"/>
  <c r="I384"/>
  <c r="H384"/>
  <c r="G384"/>
  <c r="F384"/>
  <c r="D384"/>
  <c r="S383"/>
  <c r="R383"/>
  <c r="P383"/>
  <c r="O383"/>
  <c r="N383"/>
  <c r="M383"/>
  <c r="L383"/>
  <c r="K383"/>
  <c r="I383"/>
  <c r="H383"/>
  <c r="G383"/>
  <c r="F383"/>
  <c r="D383"/>
  <c r="S382"/>
  <c r="R382"/>
  <c r="Q382"/>
  <c r="P382"/>
  <c r="O382"/>
  <c r="N382"/>
  <c r="M382"/>
  <c r="L382"/>
  <c r="K382"/>
  <c r="I382"/>
  <c r="H382"/>
  <c r="G382"/>
  <c r="F382"/>
  <c r="D382"/>
  <c r="S381"/>
  <c r="R381"/>
  <c r="Q381"/>
  <c r="P381"/>
  <c r="O381"/>
  <c r="N381"/>
  <c r="M381"/>
  <c r="L381"/>
  <c r="K381"/>
  <c r="I381"/>
  <c r="H381"/>
  <c r="G381"/>
  <c r="F381"/>
  <c r="D381"/>
  <c r="S380"/>
  <c r="R380"/>
  <c r="P380"/>
  <c r="O380"/>
  <c r="N380"/>
  <c r="M380"/>
  <c r="L380"/>
  <c r="K380"/>
  <c r="I380"/>
  <c r="H380"/>
  <c r="G380"/>
  <c r="F380"/>
  <c r="D380"/>
  <c r="S379"/>
  <c r="R379"/>
  <c r="P379"/>
  <c r="O379"/>
  <c r="N379"/>
  <c r="M379"/>
  <c r="L379"/>
  <c r="K379"/>
  <c r="I379"/>
  <c r="H379"/>
  <c r="G379"/>
  <c r="F379"/>
  <c r="D379"/>
  <c r="S378"/>
  <c r="S387" s="1"/>
  <c r="R378"/>
  <c r="R387" s="1"/>
  <c r="Q378"/>
  <c r="P378"/>
  <c r="O378"/>
  <c r="N378"/>
  <c r="M378"/>
  <c r="L378"/>
  <c r="K378"/>
  <c r="K387" s="1"/>
  <c r="I378"/>
  <c r="I387" s="1"/>
  <c r="H378"/>
  <c r="G378"/>
  <c r="F378"/>
  <c r="D378"/>
  <c r="S377"/>
  <c r="R377"/>
  <c r="Q377"/>
  <c r="P377"/>
  <c r="P387" s="1"/>
  <c r="O377"/>
  <c r="N377"/>
  <c r="M377"/>
  <c r="L377"/>
  <c r="K377"/>
  <c r="I377"/>
  <c r="H377"/>
  <c r="H387" s="1"/>
  <c r="G377"/>
  <c r="G387" s="1"/>
  <c r="F377"/>
  <c r="D377"/>
  <c r="S376"/>
  <c r="R376"/>
  <c r="P376"/>
  <c r="O376"/>
  <c r="O387" s="1"/>
  <c r="N376"/>
  <c r="N387" s="1"/>
  <c r="M376"/>
  <c r="M387" s="1"/>
  <c r="L376"/>
  <c r="L387" s="1"/>
  <c r="K376"/>
  <c r="I376"/>
  <c r="H376"/>
  <c r="G376"/>
  <c r="F376"/>
  <c r="F387" s="1"/>
  <c r="D376"/>
  <c r="D387" s="1"/>
  <c r="Q305"/>
  <c r="Q383" s="1"/>
  <c r="Q219"/>
  <c r="Q198"/>
  <c r="Q191"/>
  <c r="Q182"/>
  <c r="Q181"/>
  <c r="Q178"/>
  <c r="Q175"/>
  <c r="Q380" s="1"/>
  <c r="Q147"/>
  <c r="Q379" s="1"/>
  <c r="Q94"/>
  <c r="Q88"/>
  <c r="Q22"/>
  <c r="Q376" s="1"/>
  <c r="Q387" l="1"/>
</calcChain>
</file>

<file path=xl/sharedStrings.xml><?xml version="1.0" encoding="utf-8"?>
<sst xmlns="http://schemas.openxmlformats.org/spreadsheetml/2006/main" count="1201" uniqueCount="809">
  <si>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</si>
  <si>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</si>
  <si>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</si>
  <si>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</si>
  <si>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</si>
  <si>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</si>
  <si>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</si>
  <si>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</si>
  <si>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</si>
  <si>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</si>
  <si>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</si>
  <si>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</si>
  <si>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</si>
  <si>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 xml:space="preserve">N </t>
  </si>
  <si>
    <t>O</t>
  </si>
  <si>
    <t>P</t>
  </si>
  <si>
    <t>Q</t>
  </si>
  <si>
    <t>R</t>
  </si>
  <si>
    <t>S</t>
  </si>
  <si>
    <t>IDEA, PART B BASIC &amp; ARRA</t>
  </si>
  <si>
    <t>BASIC</t>
  </si>
  <si>
    <t>Per cent for</t>
  </si>
  <si>
    <t>Nonpublic</t>
  </si>
  <si>
    <t>ARRA</t>
  </si>
  <si>
    <t xml:space="preserve">TOTAL </t>
  </si>
  <si>
    <t>2008-09</t>
  </si>
  <si>
    <t>CHANGE</t>
  </si>
  <si>
    <t>2009-10</t>
  </si>
  <si>
    <t>PART B LEA</t>
  </si>
  <si>
    <t>Non-Public</t>
  </si>
  <si>
    <t>Pro-Share</t>
  </si>
  <si>
    <t xml:space="preserve">CEIS </t>
  </si>
  <si>
    <t xml:space="preserve">FORMULA </t>
  </si>
  <si>
    <t>AWARD</t>
  </si>
  <si>
    <t>From 08-09</t>
  </si>
  <si>
    <t>ALLOWABLE</t>
  </si>
  <si>
    <t>"NET"</t>
  </si>
  <si>
    <t>Updated 8/10/09</t>
  </si>
  <si>
    <t>PER</t>
  </si>
  <si>
    <t>NET AWARD</t>
  </si>
  <si>
    <t>AMOUNT</t>
  </si>
  <si>
    <t>to 09-10</t>
  </si>
  <si>
    <t>MOER</t>
  </si>
  <si>
    <t>AEA</t>
  </si>
  <si>
    <t>District</t>
  </si>
  <si>
    <t>District Name</t>
  </si>
  <si>
    <t>FORMULA</t>
  </si>
  <si>
    <t>BASIC PLUS ARRA</t>
  </si>
  <si>
    <t>= D x  E</t>
  </si>
  <si>
    <t>+ D - F</t>
  </si>
  <si>
    <t>+D x .15</t>
  </si>
  <si>
    <t>= I x  J</t>
  </si>
  <si>
    <t>+ I - K</t>
  </si>
  <si>
    <t>+ I x .15</t>
  </si>
  <si>
    <t xml:space="preserve"> = +D + I</t>
  </si>
  <si>
    <t xml:space="preserve"> + N - O</t>
  </si>
  <si>
    <t>+.50 X P</t>
  </si>
  <si>
    <t>+H + M</t>
  </si>
  <si>
    <t>+ G + L</t>
  </si>
  <si>
    <t>01</t>
  </si>
  <si>
    <t>0135</t>
  </si>
  <si>
    <t>Allamakee</t>
  </si>
  <si>
    <t>1080</t>
  </si>
  <si>
    <t>Central</t>
  </si>
  <si>
    <t>1638</t>
  </si>
  <si>
    <t>Decorah</t>
  </si>
  <si>
    <t>1863</t>
  </si>
  <si>
    <t>Dubuque</t>
  </si>
  <si>
    <t>1972</t>
  </si>
  <si>
    <t>Eastern Allamakee</t>
  </si>
  <si>
    <t>1989</t>
  </si>
  <si>
    <t>Edgewood-Colesburg</t>
  </si>
  <si>
    <t>2349</t>
  </si>
  <si>
    <t>Fredericksburg</t>
  </si>
  <si>
    <t>2763</t>
  </si>
  <si>
    <t>Clayton Ridge</t>
  </si>
  <si>
    <t>3029</t>
  </si>
  <si>
    <t>Howard-Winneshiek</t>
  </si>
  <si>
    <t>4043</t>
  </si>
  <si>
    <t>Maquoketa Valley</t>
  </si>
  <si>
    <t>4419</t>
  </si>
  <si>
    <t>MFL MarMac</t>
  </si>
  <si>
    <t>4662</t>
  </si>
  <si>
    <t>New Hampton</t>
  </si>
  <si>
    <t>4774</t>
  </si>
  <si>
    <t>North Fayette</t>
  </si>
  <si>
    <t>4787</t>
  </si>
  <si>
    <t>North Winneshiek</t>
  </si>
  <si>
    <t>4869</t>
  </si>
  <si>
    <t xml:space="preserve">Oelwein                                        </t>
  </si>
  <si>
    <t>5310</t>
  </si>
  <si>
    <t>Postville</t>
  </si>
  <si>
    <t>5508</t>
  </si>
  <si>
    <t>Riceville</t>
  </si>
  <si>
    <t>6100</t>
  </si>
  <si>
    <t>South Winneshiek</t>
  </si>
  <si>
    <t>6175</t>
  </si>
  <si>
    <t>Starmont</t>
  </si>
  <si>
    <t>6509</t>
  </si>
  <si>
    <t>Turkey Valley</t>
  </si>
  <si>
    <t>6591</t>
  </si>
  <si>
    <t>Valley</t>
  </si>
  <si>
    <t>6943</t>
  </si>
  <si>
    <t>West Central</t>
  </si>
  <si>
    <t>6950</t>
  </si>
  <si>
    <t>West Delaware County</t>
  </si>
  <si>
    <t>6961</t>
  </si>
  <si>
    <t>Western Dubuque</t>
  </si>
  <si>
    <t>07</t>
  </si>
  <si>
    <t>0009</t>
  </si>
  <si>
    <t>AGWSR</t>
  </si>
  <si>
    <t>0108</t>
  </si>
  <si>
    <t>Alden</t>
  </si>
  <si>
    <t>0153</t>
  </si>
  <si>
    <t>Allison-Bristow</t>
  </si>
  <si>
    <t>0279</t>
  </si>
  <si>
    <t>Aplington-Parkersburg</t>
  </si>
  <si>
    <t>0540</t>
  </si>
  <si>
    <t>BCLUW</t>
  </si>
  <si>
    <t>0594</t>
  </si>
  <si>
    <t>Belmond-Klemme</t>
  </si>
  <si>
    <t>0819</t>
  </si>
  <si>
    <t>West Hancock</t>
  </si>
  <si>
    <t>0846</t>
  </si>
  <si>
    <t>Brooklyn-Guernsey-Malcom</t>
  </si>
  <si>
    <t>0873</t>
  </si>
  <si>
    <t>North Iowa</t>
  </si>
  <si>
    <t>0916</t>
  </si>
  <si>
    <t>CAL</t>
  </si>
  <si>
    <t>1044</t>
  </si>
  <si>
    <t>Cedar Falls</t>
  </si>
  <si>
    <t>1116</t>
  </si>
  <si>
    <t>Charles City</t>
  </si>
  <si>
    <t>1215</t>
  </si>
  <si>
    <t>Clarksville</t>
  </si>
  <si>
    <t>1233</t>
  </si>
  <si>
    <t>Clear Lake</t>
  </si>
  <si>
    <t>1449</t>
  </si>
  <si>
    <t>Corwith-Wesley</t>
  </si>
  <si>
    <t>1719</t>
  </si>
  <si>
    <t>Denver</t>
  </si>
  <si>
    <t>1791</t>
  </si>
  <si>
    <t>Dike-New Hartford</t>
  </si>
  <si>
    <t>1854</t>
  </si>
  <si>
    <t>Dows</t>
  </si>
  <si>
    <t>1908</t>
  </si>
  <si>
    <t>Dunkerton</t>
  </si>
  <si>
    <t>1963</t>
  </si>
  <si>
    <t>East Buchanan</t>
  </si>
  <si>
    <t>1968</t>
  </si>
  <si>
    <t>East Marshall</t>
  </si>
  <si>
    <t>2007</t>
  </si>
  <si>
    <t>Eldora-New Providence</t>
  </si>
  <si>
    <t>2295</t>
  </si>
  <si>
    <t>Forest City</t>
  </si>
  <si>
    <t>2403</t>
  </si>
  <si>
    <t>Garner-Hayfield</t>
  </si>
  <si>
    <t>2502</t>
  </si>
  <si>
    <t>Gladbrook-Reinbeck</t>
  </si>
  <si>
    <t>2664</t>
  </si>
  <si>
    <t>Greene</t>
  </si>
  <si>
    <t>2682</t>
  </si>
  <si>
    <t>GMG</t>
  </si>
  <si>
    <t>2709</t>
  </si>
  <si>
    <t>Grinnell-Newburg</t>
  </si>
  <si>
    <t>2727</t>
  </si>
  <si>
    <t>Grundy Center</t>
  </si>
  <si>
    <t>2781</t>
  </si>
  <si>
    <t>Hampton-Dumont</t>
  </si>
  <si>
    <t>3033</t>
  </si>
  <si>
    <t>Hubbard-Radcliffe</t>
  </si>
  <si>
    <t>3042</t>
  </si>
  <si>
    <t>Hudson</t>
  </si>
  <si>
    <t>3105</t>
  </si>
  <si>
    <t>Independence</t>
  </si>
  <si>
    <t>3150</t>
  </si>
  <si>
    <t>Iowa Falls</t>
  </si>
  <si>
    <t>3186</t>
  </si>
  <si>
    <t>Janesville Consolidated</t>
  </si>
  <si>
    <t>3204</t>
  </si>
  <si>
    <t>Jesup</t>
  </si>
  <si>
    <t>3420</t>
  </si>
  <si>
    <t>Lake Mills</t>
  </si>
  <si>
    <t>4104</t>
  </si>
  <si>
    <t>Marshalltown</t>
  </si>
  <si>
    <t>4131</t>
  </si>
  <si>
    <t>Mason City</t>
  </si>
  <si>
    <t>4437</t>
  </si>
  <si>
    <t>Montezuma</t>
  </si>
  <si>
    <t>4599</t>
  </si>
  <si>
    <t>Nashua-Plainfield</t>
  </si>
  <si>
    <t>4761</t>
  </si>
  <si>
    <t>Nora Springs-Rock Falls</t>
  </si>
  <si>
    <t>4772</t>
  </si>
  <si>
    <t>North Central</t>
  </si>
  <si>
    <t>4785</t>
  </si>
  <si>
    <t>North Tama County</t>
  </si>
  <si>
    <t>4788</t>
  </si>
  <si>
    <t>Northwood-Kensett</t>
  </si>
  <si>
    <t>4995</t>
  </si>
  <si>
    <t>Osage</t>
  </si>
  <si>
    <t>5616</t>
  </si>
  <si>
    <t>Rockwell-Swaledale</t>
  </si>
  <si>
    <t>5697</t>
  </si>
  <si>
    <t>Rudd-Rockford-Marble Rk</t>
  </si>
  <si>
    <t>5751</t>
  </si>
  <si>
    <t>St Ansgar</t>
  </si>
  <si>
    <t>5922</t>
  </si>
  <si>
    <t>Sheffield-Chapin-Meservey-Thornton</t>
  </si>
  <si>
    <t>6098</t>
  </si>
  <si>
    <t>South Tama County</t>
  </si>
  <si>
    <t>6273</t>
  </si>
  <si>
    <t>Sumner</t>
  </si>
  <si>
    <t>6471</t>
  </si>
  <si>
    <t>Tripoli</t>
  </si>
  <si>
    <t>6536</t>
  </si>
  <si>
    <t>Union</t>
  </si>
  <si>
    <t>6633</t>
  </si>
  <si>
    <t>Ventura</t>
  </si>
  <si>
    <t>6762</t>
  </si>
  <si>
    <t>Wapsie Valley</t>
  </si>
  <si>
    <t>6795</t>
  </si>
  <si>
    <t xml:space="preserve">Waterloo                                      </t>
  </si>
  <si>
    <t>6840</t>
  </si>
  <si>
    <t>Waverly-Shell Rock</t>
  </si>
  <si>
    <t>6985</t>
  </si>
  <si>
    <t>West Marshall</t>
  </si>
  <si>
    <t>7083</t>
  </si>
  <si>
    <t>Woden-Crystal Lake</t>
  </si>
  <si>
    <t>08</t>
  </si>
  <si>
    <t>0072</t>
  </si>
  <si>
    <t>Albert City-Truesdale</t>
  </si>
  <si>
    <t>0126</t>
  </si>
  <si>
    <t>Algona</t>
  </si>
  <si>
    <t>0171</t>
  </si>
  <si>
    <t xml:space="preserve">Alta                                               </t>
  </si>
  <si>
    <t>0333</t>
  </si>
  <si>
    <t>Armstrong-Ringsted</t>
  </si>
  <si>
    <t>1206</t>
  </si>
  <si>
    <t>Clarion-Goldfield</t>
  </si>
  <si>
    <t>1218</t>
  </si>
  <si>
    <t>Clay Central-Everly</t>
  </si>
  <si>
    <t>1944</t>
  </si>
  <si>
    <t>Eagle Grove</t>
  </si>
  <si>
    <t>1967</t>
  </si>
  <si>
    <t>East Greene</t>
  </si>
  <si>
    <t>2088</t>
  </si>
  <si>
    <t>Emmetsburg</t>
  </si>
  <si>
    <t>2124</t>
  </si>
  <si>
    <t>Estherville Lincoln</t>
  </si>
  <si>
    <t>2313</t>
  </si>
  <si>
    <t>Fort Dodge</t>
  </si>
  <si>
    <t>2493</t>
  </si>
  <si>
    <t>Gilmore City-Bradgate</t>
  </si>
  <si>
    <t>2556</t>
  </si>
  <si>
    <t>Graettinger</t>
  </si>
  <si>
    <t>2846</t>
  </si>
  <si>
    <t>Harris-Lake Park</t>
  </si>
  <si>
    <t>3060</t>
  </si>
  <si>
    <t>Humboldt</t>
  </si>
  <si>
    <t>3195</t>
  </si>
  <si>
    <t>Jefferson-Scranton</t>
  </si>
  <si>
    <t>3537</t>
  </si>
  <si>
    <t>Laurens-Marathon</t>
  </si>
  <si>
    <t>3897</t>
  </si>
  <si>
    <t>LuVerne</t>
  </si>
  <si>
    <t>4023</t>
  </si>
  <si>
    <t>Manson Northwest Webster</t>
  </si>
  <si>
    <t>4644</t>
  </si>
  <si>
    <t>Newell-Fonda</t>
  </si>
  <si>
    <t>4775</t>
  </si>
  <si>
    <t>Northeast Hamilton</t>
  </si>
  <si>
    <t>4778</t>
  </si>
  <si>
    <t>North Kossuth</t>
  </si>
  <si>
    <t>4860</t>
  </si>
  <si>
    <t>Odebolt-Arthur</t>
  </si>
  <si>
    <t>4890</t>
  </si>
  <si>
    <t>Okoboji</t>
  </si>
  <si>
    <t>5139</t>
  </si>
  <si>
    <t>Paton-Churdan</t>
  </si>
  <si>
    <t>5283</t>
  </si>
  <si>
    <t>Pocahontas Area</t>
  </si>
  <si>
    <t>5301</t>
  </si>
  <si>
    <t>Pomeroy-Palmer</t>
  </si>
  <si>
    <t>5325</t>
  </si>
  <si>
    <t>Prairie Valley</t>
  </si>
  <si>
    <t>5625</t>
  </si>
  <si>
    <t>Rockwell City-Lytton</t>
  </si>
  <si>
    <t>5724</t>
  </si>
  <si>
    <t>Ruthven-Ayrshire</t>
  </si>
  <si>
    <t>5742</t>
  </si>
  <si>
    <t>Sac</t>
  </si>
  <si>
    <t>5823</t>
  </si>
  <si>
    <t>Schaller-Crestland</t>
  </si>
  <si>
    <t>5868</t>
  </si>
  <si>
    <t>Sentral</t>
  </si>
  <si>
    <t>6035</t>
  </si>
  <si>
    <t>Sioux Central</t>
  </si>
  <si>
    <t>6091</t>
  </si>
  <si>
    <t>Southern Cal</t>
  </si>
  <si>
    <t>6092</t>
  </si>
  <si>
    <t>South Clay</t>
  </si>
  <si>
    <t>6095</t>
  </si>
  <si>
    <t>South Hamilton</t>
  </si>
  <si>
    <t>6096</t>
  </si>
  <si>
    <t>Southeast Webster Grand</t>
  </si>
  <si>
    <t>6102</t>
  </si>
  <si>
    <t>Spencer</t>
  </si>
  <si>
    <t>6120</t>
  </si>
  <si>
    <t>Spirit Lake</t>
  </si>
  <si>
    <t>6219</t>
  </si>
  <si>
    <t>Storm Lake</t>
  </si>
  <si>
    <t>6246</t>
  </si>
  <si>
    <t>Stratford</t>
  </si>
  <si>
    <t>6345</t>
  </si>
  <si>
    <t>Terril</t>
  </si>
  <si>
    <t>6417</t>
  </si>
  <si>
    <t>Titonka Consolidated</t>
  </si>
  <si>
    <t>6516</t>
  </si>
  <si>
    <t>Twin Rivers</t>
  </si>
  <si>
    <t>6741</t>
  </si>
  <si>
    <t>Wall Lake View Auburn</t>
  </si>
  <si>
    <t>6867</t>
  </si>
  <si>
    <t>Webster City</t>
  </si>
  <si>
    <t>6921</t>
  </si>
  <si>
    <t>West Bend-Mallard</t>
  </si>
  <si>
    <t>09</t>
  </si>
  <si>
    <t>0243</t>
  </si>
  <si>
    <t>Andrew</t>
  </si>
  <si>
    <t>0585</t>
  </si>
  <si>
    <t>Bellevue</t>
  </si>
  <si>
    <t>0603</t>
  </si>
  <si>
    <t>Bennett</t>
  </si>
  <si>
    <t>0621</t>
  </si>
  <si>
    <t>Bettendorf</t>
  </si>
  <si>
    <t>0918</t>
  </si>
  <si>
    <t>Calamus-Wheatland</t>
  </si>
  <si>
    <t>0936</t>
  </si>
  <si>
    <t>Camanche</t>
  </si>
  <si>
    <t>1082</t>
  </si>
  <si>
    <t>Central Clinton</t>
  </si>
  <si>
    <t>1278</t>
  </si>
  <si>
    <t xml:space="preserve">Clinton                                         </t>
  </si>
  <si>
    <t>1368</t>
  </si>
  <si>
    <t>Columbus</t>
  </si>
  <si>
    <t>1611</t>
  </si>
  <si>
    <t>Davenport</t>
  </si>
  <si>
    <t>1675</t>
  </si>
  <si>
    <t>Delwood</t>
  </si>
  <si>
    <t>1926</t>
  </si>
  <si>
    <t>Durant</t>
  </si>
  <si>
    <t>1965</t>
  </si>
  <si>
    <t>East Central</t>
  </si>
  <si>
    <t>3841</t>
  </si>
  <si>
    <t>Louisa-Muscatine</t>
  </si>
  <si>
    <t>4041</t>
  </si>
  <si>
    <t>Maquoketa</t>
  </si>
  <si>
    <t>4581</t>
  </si>
  <si>
    <t>Muscatine</t>
  </si>
  <si>
    <t>4773</t>
  </si>
  <si>
    <t>Northeast</t>
  </si>
  <si>
    <t>4784</t>
  </si>
  <si>
    <t>North Scott</t>
  </si>
  <si>
    <t>5250</t>
  </si>
  <si>
    <t>Pleasant Valley</t>
  </si>
  <si>
    <t>5337</t>
  </si>
  <si>
    <t>Preston</t>
  </si>
  <si>
    <t>6975</t>
  </si>
  <si>
    <t>West Liberty</t>
  </si>
  <si>
    <t>7038</t>
  </si>
  <si>
    <t>Wilton</t>
  </si>
  <si>
    <t>10</t>
  </si>
  <si>
    <t>0099</t>
  </si>
  <si>
    <t>Alburnett</t>
  </si>
  <si>
    <t>0234</t>
  </si>
  <si>
    <t>Anamosa</t>
  </si>
  <si>
    <t>0576</t>
  </si>
  <si>
    <t>Belle Plaine</t>
  </si>
  <si>
    <t>0609</t>
  </si>
  <si>
    <t>Benton</t>
  </si>
  <si>
    <t>1053</t>
  </si>
  <si>
    <t>Cedar Rapids</t>
  </si>
  <si>
    <t>1062</t>
  </si>
  <si>
    <t>Center Point-Urbana</t>
  </si>
  <si>
    <t>1089</t>
  </si>
  <si>
    <t>Central City</t>
  </si>
  <si>
    <t>1221</t>
  </si>
  <si>
    <t>Clear Creek Amana</t>
  </si>
  <si>
    <t>1337</t>
  </si>
  <si>
    <t>College</t>
  </si>
  <si>
    <t>1647</t>
  </si>
  <si>
    <t>Deep River-Millersburg</t>
  </si>
  <si>
    <t>2097</t>
  </si>
  <si>
    <t>English Valleys</t>
  </si>
  <si>
    <t>2766</t>
  </si>
  <si>
    <t>H-L-V</t>
  </si>
  <si>
    <t>2977</t>
  </si>
  <si>
    <t>Highland</t>
  </si>
  <si>
    <t>3141</t>
  </si>
  <si>
    <t xml:space="preserve">Iowa City                                     </t>
  </si>
  <si>
    <t>3154</t>
  </si>
  <si>
    <t>Iowa Valley</t>
  </si>
  <si>
    <t>3691</t>
  </si>
  <si>
    <t>North Cedar</t>
  </si>
  <si>
    <t>3715</t>
  </si>
  <si>
    <t xml:space="preserve">Linn-Mar                                     </t>
  </si>
  <si>
    <t>3744</t>
  </si>
  <si>
    <t>Lisbon</t>
  </si>
  <si>
    <t>3816</t>
  </si>
  <si>
    <t>Lone Tree</t>
  </si>
  <si>
    <t>4086</t>
  </si>
  <si>
    <t xml:space="preserve">Marion Independent                  </t>
  </si>
  <si>
    <t>4269</t>
  </si>
  <si>
    <t xml:space="preserve">Midland                                        </t>
  </si>
  <si>
    <t>4271</t>
  </si>
  <si>
    <t>Mid-Prairie</t>
  </si>
  <si>
    <t>4446</t>
  </si>
  <si>
    <t>Monticello</t>
  </si>
  <si>
    <t>4554</t>
  </si>
  <si>
    <t>Mount Vernon</t>
  </si>
  <si>
    <t>4777</t>
  </si>
  <si>
    <t>North Linn</t>
  </si>
  <si>
    <t>4905</t>
  </si>
  <si>
    <t>Olin Consolidated</t>
  </si>
  <si>
    <t>6093</t>
  </si>
  <si>
    <t>Solon</t>
  </si>
  <si>
    <t>6138</t>
  </si>
  <si>
    <t>Springville</t>
  </si>
  <si>
    <t>6408</t>
  </si>
  <si>
    <t>Tipton</t>
  </si>
  <si>
    <t>6660</t>
  </si>
  <si>
    <t xml:space="preserve">Vinton-Shellsburg                    </t>
  </si>
  <si>
    <t>6768</t>
  </si>
  <si>
    <t>Washington</t>
  </si>
  <si>
    <t>6930</t>
  </si>
  <si>
    <t>West Branch</t>
  </si>
  <si>
    <t>7029</t>
  </si>
  <si>
    <t>Williamsburg</t>
  </si>
  <si>
    <t>11</t>
  </si>
  <si>
    <t>0018</t>
  </si>
  <si>
    <t>Adair-Casey</t>
  </si>
  <si>
    <t>0027</t>
  </si>
  <si>
    <t>Adel-DeSoto-Minburn</t>
  </si>
  <si>
    <t>0225</t>
  </si>
  <si>
    <t>Ames</t>
  </si>
  <si>
    <t>0261</t>
  </si>
  <si>
    <t xml:space="preserve">Ankeny                                         </t>
  </si>
  <si>
    <t>0414</t>
  </si>
  <si>
    <t>Audubon</t>
  </si>
  <si>
    <t>0472</t>
  </si>
  <si>
    <t>Ballard</t>
  </si>
  <si>
    <t>0513</t>
  </si>
  <si>
    <t>Baxter</t>
  </si>
  <si>
    <t>0720</t>
  </si>
  <si>
    <t>Bondurant-Farrar</t>
  </si>
  <si>
    <t>0729</t>
  </si>
  <si>
    <t>Boone</t>
  </si>
  <si>
    <t>0981</t>
  </si>
  <si>
    <t>Carlisle</t>
  </si>
  <si>
    <t>0999</t>
  </si>
  <si>
    <t>Carroll</t>
  </si>
  <si>
    <t>1332</t>
  </si>
  <si>
    <t>Colfax-Mingo</t>
  </si>
  <si>
    <t>1350</t>
  </si>
  <si>
    <t>Collins-Maxwell</t>
  </si>
  <si>
    <t>1359</t>
  </si>
  <si>
    <t>Colo-Nesco</t>
  </si>
  <si>
    <t>1413</t>
  </si>
  <si>
    <t>Coon Rapids-Bayard</t>
  </si>
  <si>
    <t>1576</t>
  </si>
  <si>
    <t>Dallas Center-Grimes</t>
  </si>
  <si>
    <t>1737</t>
  </si>
  <si>
    <t>Des Moines Independent</t>
  </si>
  <si>
    <t>1953</t>
  </si>
  <si>
    <t>Earlham</t>
  </si>
  <si>
    <t>2151</t>
  </si>
  <si>
    <t>Exira</t>
  </si>
  <si>
    <t>2466</t>
  </si>
  <si>
    <t>Gilbert</t>
  </si>
  <si>
    <t>2520</t>
  </si>
  <si>
    <t>Glidden-Ralston</t>
  </si>
  <si>
    <t>2754</t>
  </si>
  <si>
    <t>Guthrie Center</t>
  </si>
  <si>
    <t>3114</t>
  </si>
  <si>
    <t>Indianola</t>
  </si>
  <si>
    <t>3119</t>
  </si>
  <si>
    <t>Interstate 35</t>
  </si>
  <si>
    <t>3231</t>
  </si>
  <si>
    <t xml:space="preserve">Johnston                                      </t>
  </si>
  <si>
    <t>3375</t>
  </si>
  <si>
    <t>Knoxville</t>
  </si>
  <si>
    <t>3906</t>
  </si>
  <si>
    <t>Lynnville-Sully</t>
  </si>
  <si>
    <t>3942</t>
  </si>
  <si>
    <t>Madrid</t>
  </si>
  <si>
    <t>4014</t>
  </si>
  <si>
    <t>Manning</t>
  </si>
  <si>
    <t>4122</t>
  </si>
  <si>
    <t>Martensdale-St Marys</t>
  </si>
  <si>
    <t>4212</t>
  </si>
  <si>
    <t>Melcher-Dallas</t>
  </si>
  <si>
    <t>4617</t>
  </si>
  <si>
    <t>Nevada</t>
  </si>
  <si>
    <t>4725</t>
  </si>
  <si>
    <t>Newton</t>
  </si>
  <si>
    <t>4779</t>
  </si>
  <si>
    <t>North Polk</t>
  </si>
  <si>
    <t>4797</t>
  </si>
  <si>
    <t>Norwalk</t>
  </si>
  <si>
    <t>4878</t>
  </si>
  <si>
    <t>Ogden</t>
  </si>
  <si>
    <t>5121</t>
  </si>
  <si>
    <t>Panorama</t>
  </si>
  <si>
    <t>5160</t>
  </si>
  <si>
    <t>PCM</t>
  </si>
  <si>
    <t>5166</t>
  </si>
  <si>
    <t>Pella</t>
  </si>
  <si>
    <t>5184</t>
  </si>
  <si>
    <t>Perry</t>
  </si>
  <si>
    <t>5256</t>
  </si>
  <si>
    <t>Pleasantville</t>
  </si>
  <si>
    <t>5643</t>
  </si>
  <si>
    <t>Roland-Story</t>
  </si>
  <si>
    <t>5805</t>
  </si>
  <si>
    <t>Saydel</t>
  </si>
  <si>
    <t>6094</t>
  </si>
  <si>
    <t>Southeast Warren</t>
  </si>
  <si>
    <t>6101</t>
  </si>
  <si>
    <t>Southeast Polk</t>
  </si>
  <si>
    <t>6264</t>
  </si>
  <si>
    <t>West Central Valley</t>
  </si>
  <si>
    <t>6512</t>
  </si>
  <si>
    <t>Twin Cedars</t>
  </si>
  <si>
    <t>6561</t>
  </si>
  <si>
    <t>United</t>
  </si>
  <si>
    <t>6579</t>
  </si>
  <si>
    <t>Urbandale</t>
  </si>
  <si>
    <t>6615</t>
  </si>
  <si>
    <t>Van Meter</t>
  </si>
  <si>
    <t>6822</t>
  </si>
  <si>
    <t>Waukee</t>
  </si>
  <si>
    <t>6957</t>
  </si>
  <si>
    <t>West Des Moines</t>
  </si>
  <si>
    <t>7056</t>
  </si>
  <si>
    <t>Winterset</t>
  </si>
  <si>
    <t>7110</t>
  </si>
  <si>
    <t>Woodward-Granger</t>
  </si>
  <si>
    <t>12</t>
  </si>
  <si>
    <t>0063</t>
  </si>
  <si>
    <t>Akron Westfield</t>
  </si>
  <si>
    <t>0270</t>
  </si>
  <si>
    <t>Anthon-Oto</t>
  </si>
  <si>
    <t>0355</t>
  </si>
  <si>
    <t>Ar-We-Va</t>
  </si>
  <si>
    <t>0423</t>
  </si>
  <si>
    <t>Aurelia</t>
  </si>
  <si>
    <t>0504</t>
  </si>
  <si>
    <t>Battle Creek-Ida Grove</t>
  </si>
  <si>
    <t>0747</t>
  </si>
  <si>
    <t>Boyden-Hull</t>
  </si>
  <si>
    <t>1095</t>
  </si>
  <si>
    <t>Central Lyon</t>
  </si>
  <si>
    <t>1134</t>
  </si>
  <si>
    <t>Charter Oak-Ute</t>
  </si>
  <si>
    <t>1152</t>
  </si>
  <si>
    <t>Cherokee</t>
  </si>
  <si>
    <t>1701</t>
  </si>
  <si>
    <t>Denison</t>
  </si>
  <si>
    <t>1975</t>
  </si>
  <si>
    <t>River Valley</t>
  </si>
  <si>
    <t>2376</t>
  </si>
  <si>
    <t>Galva-Holstein</t>
  </si>
  <si>
    <t>2457</t>
  </si>
  <si>
    <t>George-Little Rock</t>
  </si>
  <si>
    <t>2862</t>
  </si>
  <si>
    <t>Hartley-Melvin-Sanborn</t>
  </si>
  <si>
    <t>2988</t>
  </si>
  <si>
    <t>Hinton</t>
  </si>
  <si>
    <t>3348</t>
  </si>
  <si>
    <t>Kingsley-Pierson</t>
  </si>
  <si>
    <t>3555</t>
  </si>
  <si>
    <t>Lawton-Bronson</t>
  </si>
  <si>
    <t>3600</t>
  </si>
  <si>
    <t>Le Mars</t>
  </si>
  <si>
    <t>4033</t>
  </si>
  <si>
    <t>Maple Valley</t>
  </si>
  <si>
    <t>4068</t>
  </si>
  <si>
    <t>Marcus-Meriden-Cleghorn</t>
  </si>
  <si>
    <t>4149</t>
  </si>
  <si>
    <t>MOC-Floyd Valley</t>
  </si>
  <si>
    <t>5486</t>
  </si>
  <si>
    <t>Remsen-Union</t>
  </si>
  <si>
    <t>5607</t>
  </si>
  <si>
    <t>Rock Valley</t>
  </si>
  <si>
    <t>5832</t>
  </si>
  <si>
    <t>Schleswig</t>
  </si>
  <si>
    <t>5877</t>
  </si>
  <si>
    <t>Sergeant Bluff-Luton</t>
  </si>
  <si>
    <t>5949</t>
  </si>
  <si>
    <t>Sheldon</t>
  </si>
  <si>
    <t>5994</t>
  </si>
  <si>
    <t>Sibley-Ocheyedan</t>
  </si>
  <si>
    <t>6030</t>
  </si>
  <si>
    <t>Sioux Center</t>
  </si>
  <si>
    <t>6039</t>
  </si>
  <si>
    <t>Sioux City</t>
  </si>
  <si>
    <t>6099</t>
  </si>
  <si>
    <t>South O'Brien</t>
  </si>
  <si>
    <t>6983</t>
  </si>
  <si>
    <t>West Lyon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</si>
  <si>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</si>
  <si>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</si>
  <si>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</si>
  <si>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</si>
  <si>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</si>
  <si>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</si>
  <si>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</si>
  <si>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</si>
  <si>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7098</t>
  </si>
  <si>
    <t>Woodbury Central</t>
  </si>
  <si>
    <t>13</t>
  </si>
  <si>
    <t>0252</t>
  </si>
  <si>
    <t>Anita</t>
  </si>
  <si>
    <t>0387</t>
  </si>
  <si>
    <t>Atlantic</t>
  </si>
  <si>
    <t>0441</t>
  </si>
  <si>
    <t>A-H-S-T</t>
  </si>
  <si>
    <t>0914</t>
  </si>
  <si>
    <t>C and M</t>
  </si>
  <si>
    <t>1197</t>
  </si>
  <si>
    <t>Clarinda</t>
  </si>
  <si>
    <t>1476</t>
  </si>
  <si>
    <t>Council Bluffs</t>
  </si>
  <si>
    <t>1917</t>
  </si>
  <si>
    <t>Boyer Valley</t>
  </si>
  <si>
    <t>2016</t>
  </si>
  <si>
    <t>Elk Horn-Kimballton</t>
  </si>
  <si>
    <t>2113</t>
  </si>
  <si>
    <t>Essex</t>
  </si>
  <si>
    <t>2205</t>
  </si>
  <si>
    <t>Farragut</t>
  </si>
  <si>
    <t>2369</t>
  </si>
  <si>
    <t>Fremont-Mills</t>
  </si>
  <si>
    <t>2511</t>
  </si>
  <si>
    <t>Glenwood</t>
  </si>
  <si>
    <t>2718</t>
  </si>
  <si>
    <t>Griswold</t>
  </si>
  <si>
    <t>2772</t>
  </si>
  <si>
    <t>Hamburg</t>
  </si>
  <si>
    <t>2826</t>
  </si>
  <si>
    <t>Harlan</t>
  </si>
  <si>
    <t>3168</t>
  </si>
  <si>
    <t>IKM</t>
  </si>
  <si>
    <t>3645</t>
  </si>
  <si>
    <t>Lewis Central</t>
  </si>
  <si>
    <t>3798</t>
  </si>
  <si>
    <t>Logan-Magnolia</t>
  </si>
  <si>
    <t>3978</t>
  </si>
  <si>
    <t>Malvern</t>
  </si>
  <si>
    <t>4356</t>
  </si>
  <si>
    <t>Missouri Valley</t>
  </si>
  <si>
    <t>4751</t>
  </si>
  <si>
    <t xml:space="preserve">Nishna Valley                             </t>
  </si>
  <si>
    <t>5510</t>
  </si>
  <si>
    <t>Riverside</t>
  </si>
  <si>
    <t>5976</t>
  </si>
  <si>
    <t>Shenandoah</t>
  </si>
  <si>
    <t>6003</t>
  </si>
  <si>
    <t>Sidney</t>
  </si>
  <si>
    <t>6097</t>
  </si>
  <si>
    <t>South Page</t>
  </si>
  <si>
    <t>6453</t>
  </si>
  <si>
    <t>Treynor</t>
  </si>
  <si>
    <t>6460</t>
  </si>
  <si>
    <t>Tri-Center</t>
  </si>
  <si>
    <t>6534</t>
  </si>
  <si>
    <t>Underwood</t>
  </si>
  <si>
    <t>6750</t>
  </si>
  <si>
    <t>Walnut</t>
  </si>
  <si>
    <t>6969</t>
  </si>
  <si>
    <t>West Harrison</t>
  </si>
  <si>
    <t>7092</t>
  </si>
  <si>
    <t>Woodbine</t>
  </si>
  <si>
    <t>14</t>
  </si>
  <si>
    <t>0549</t>
  </si>
  <si>
    <t>Bedford</t>
  </si>
  <si>
    <t>1093</t>
  </si>
  <si>
    <t>Central Decatur</t>
  </si>
  <si>
    <t>1211</t>
  </si>
  <si>
    <t>Clarke</t>
  </si>
  <si>
    <t>1224</t>
  </si>
  <si>
    <t>Clearfield</t>
  </si>
  <si>
    <t>1431</t>
  </si>
  <si>
    <t>Corning</t>
  </si>
  <si>
    <t>1503</t>
  </si>
  <si>
    <t>Creston</t>
  </si>
  <si>
    <t>1782</t>
  </si>
  <si>
    <t>Diagonal</t>
  </si>
  <si>
    <t>1970</t>
  </si>
  <si>
    <t>East Union</t>
  </si>
  <si>
    <t>2673</t>
  </si>
  <si>
    <t>Nodaway Valley</t>
  </si>
  <si>
    <t>3465</t>
  </si>
  <si>
    <t>Lamoni</t>
  </si>
  <si>
    <t>3609</t>
  </si>
  <si>
    <t>Lenox</t>
  </si>
  <si>
    <t>4505</t>
  </si>
  <si>
    <t>Mormon Trail</t>
  </si>
  <si>
    <t>4527</t>
  </si>
  <si>
    <t>Mount Ayr</t>
  </si>
  <si>
    <t>4572</t>
  </si>
  <si>
    <t>Murray</t>
  </si>
  <si>
    <t>4978</t>
  </si>
  <si>
    <t>Orient-Macksburg</t>
  </si>
  <si>
    <t>5328</t>
  </si>
  <si>
    <t>Prescott</t>
  </si>
  <si>
    <t>5463</t>
  </si>
  <si>
    <t>Red Oak</t>
  </si>
  <si>
    <t>6165</t>
  </si>
  <si>
    <t>Stanton</t>
  </si>
  <si>
    <t>6651</t>
  </si>
  <si>
    <t>Villisca</t>
  </si>
  <si>
    <t>15</t>
  </si>
  <si>
    <t>0081</t>
  </si>
  <si>
    <t>Albia</t>
  </si>
  <si>
    <t>0657</t>
  </si>
  <si>
    <t>Eddyville-Blakesburg</t>
  </si>
  <si>
    <t>0882</t>
  </si>
  <si>
    <t>Burlington</t>
  </si>
  <si>
    <t>0977</t>
  </si>
  <si>
    <t>Cardinal</t>
  </si>
  <si>
    <t>1071</t>
  </si>
  <si>
    <t>Centerville</t>
  </si>
  <si>
    <t>1079</t>
  </si>
  <si>
    <t>Central Lee</t>
  </si>
  <si>
    <t>1107</t>
  </si>
  <si>
    <t>Chariton</t>
  </si>
  <si>
    <t>1602</t>
  </si>
  <si>
    <t>Danville</t>
  </si>
  <si>
    <t>1619</t>
  </si>
  <si>
    <t>Davis County</t>
  </si>
  <si>
    <t>2169</t>
  </si>
  <si>
    <t>Fairfield</t>
  </si>
  <si>
    <t>2322</t>
  </si>
  <si>
    <t>Fort Madison</t>
  </si>
  <si>
    <t>2367</t>
  </si>
  <si>
    <t>Fremont</t>
  </si>
  <si>
    <t>2834</t>
  </si>
  <si>
    <t>Harmony</t>
  </si>
  <si>
    <t>3312</t>
  </si>
  <si>
    <t>Keokuk</t>
  </si>
  <si>
    <t>3330</t>
  </si>
  <si>
    <t>Keota</t>
  </si>
  <si>
    <t>3705</t>
  </si>
  <si>
    <t>Lineville-Clio</t>
  </si>
  <si>
    <t>4203</t>
  </si>
  <si>
    <t>Mediapolis</t>
  </si>
  <si>
    <t>4491</t>
  </si>
  <si>
    <t>Moravia</t>
  </si>
  <si>
    <t>4509</t>
  </si>
  <si>
    <t>Morning Sun</t>
  </si>
  <si>
    <t>4518</t>
  </si>
  <si>
    <t>Moulton-Udell</t>
  </si>
  <si>
    <t>4536</t>
  </si>
  <si>
    <t>Mount Pleasant</t>
  </si>
  <si>
    <t>4689</t>
  </si>
  <si>
    <t>New London</t>
  </si>
  <si>
    <t>4776</t>
  </si>
  <si>
    <t>North Mahaska</t>
  </si>
  <si>
    <t>5013</t>
  </si>
  <si>
    <t>Oskaloosa</t>
  </si>
  <si>
    <t>5049</t>
  </si>
  <si>
    <t>Ottumwa</t>
  </si>
  <si>
    <t>5163</t>
  </si>
  <si>
    <t>Pekin</t>
  </si>
  <si>
    <t>5895</t>
  </si>
  <si>
    <t>Seymour</t>
  </si>
  <si>
    <t>6012</t>
  </si>
  <si>
    <t>Sigourney</t>
  </si>
  <si>
    <t>6462</t>
  </si>
  <si>
    <t>Tri-County</t>
  </si>
  <si>
    <t>6592</t>
  </si>
  <si>
    <t>Van Buren</t>
  </si>
  <si>
    <t>6700</t>
  </si>
  <si>
    <t>Waco</t>
  </si>
  <si>
    <t>6759</t>
  </si>
  <si>
    <t>Wapello</t>
  </si>
  <si>
    <t>6854</t>
  </si>
  <si>
    <t>Wayne</t>
  </si>
  <si>
    <t>6937</t>
  </si>
  <si>
    <t>West Burlington Ind</t>
  </si>
  <si>
    <t>7047</t>
  </si>
  <si>
    <t>Winfield-Mt Union</t>
  </si>
  <si>
    <t xml:space="preserve">TOTAL LEA  09-10 </t>
  </si>
  <si>
    <t>Total by AEA</t>
  </si>
  <si>
    <t xml:space="preserve">Total  </t>
  </si>
  <si>
    <t>CEIS = Coordinated Early Intervening Services (15% of Formula)</t>
  </si>
  <si>
    <t>NPPS = NonPublic Proportionate Share</t>
  </si>
  <si>
    <t>MOER = Maintenance of Effort Reduction</t>
  </si>
  <si>
    <t>MOER Not available; must do CEIS  15%</t>
  </si>
  <si>
    <r>
      <t xml:space="preserve">MOER </t>
    </r>
    <r>
      <rPr>
        <b/>
        <sz val="10"/>
        <rFont val="Arial"/>
        <family val="2"/>
      </rPr>
      <t>Not available</t>
    </r>
  </si>
  <si>
    <t>Proportionate Share</t>
  </si>
  <si>
    <t xml:space="preserve"> Amount BASIC TO AEA</t>
  </si>
  <si>
    <t>IDEA, Part B</t>
  </si>
  <si>
    <t>from BASIC Part B AWARD</t>
  </si>
  <si>
    <t>Maximum 15%</t>
  </si>
  <si>
    <t xml:space="preserve"> Amount ARRA TO AEA</t>
  </si>
  <si>
    <t>from ARRA Part B AWARD</t>
  </si>
  <si>
    <t>from BASIC &amp; ARRA Part B AWARD</t>
  </si>
</sst>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8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CEF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2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7" fontId="2" fillId="2" borderId="5" xfId="0" applyNumberFormat="1" applyFon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4" fillId="0" borderId="10" xfId="0" applyFont="1" applyBorder="1"/>
    <xf numFmtId="17" fontId="10" fillId="8" borderId="5" xfId="0" applyNumberFormat="1" applyFont="1" applyFill="1" applyBorder="1" applyAlignment="1">
      <alignment horizontal="center"/>
    </xf>
    <xf numFmtId="164" fontId="11" fillId="2" borderId="8" xfId="0" applyNumberFormat="1" applyFont="1" applyFill="1" applyBorder="1" applyAlignment="1">
      <alignment horizontal="center"/>
    </xf>
    <xf numFmtId="164" fontId="12" fillId="4" borderId="8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6" fillId="4" borderId="12" xfId="0" applyFont="1" applyFill="1" applyBorder="1" applyAlignment="1">
      <alignment horizontal="center" vertical="top" wrapText="1"/>
    </xf>
    <xf numFmtId="16" fontId="5" fillId="2" borderId="12" xfId="0" quotePrefix="1" applyNumberFormat="1" applyFont="1" applyFill="1" applyBorder="1" applyAlignment="1">
      <alignment horizontal="center" vertical="top" wrapText="1"/>
    </xf>
    <xf numFmtId="0" fontId="5" fillId="0" borderId="10" xfId="0" applyFont="1" applyBorder="1" applyAlignment="1">
      <alignment horizontal="center" wrapText="1"/>
    </xf>
    <xf numFmtId="0" fontId="0" fillId="3" borderId="10" xfId="0" applyFill="1" applyBorder="1"/>
    <xf numFmtId="0" fontId="7" fillId="3" borderId="14" xfId="0" quotePrefix="1" applyFont="1" applyFill="1" applyBorder="1" applyAlignment="1">
      <alignment horizontal="center"/>
    </xf>
    <xf numFmtId="0" fontId="6" fillId="3" borderId="15" xfId="0" quotePrefix="1" applyFont="1" applyFill="1" applyBorder="1" applyAlignment="1">
      <alignment horizontal="center"/>
    </xf>
    <xf numFmtId="0" fontId="0" fillId="5" borderId="10" xfId="0" applyFill="1" applyBorder="1"/>
    <xf numFmtId="0" fontId="7" fillId="5" borderId="14" xfId="0" quotePrefix="1" applyFont="1" applyFill="1" applyBorder="1" applyAlignment="1">
      <alignment horizontal="center"/>
    </xf>
    <xf numFmtId="0" fontId="6" fillId="5" borderId="15" xfId="0" quotePrefix="1" applyFont="1" applyFill="1" applyBorder="1" applyAlignment="1">
      <alignment horizontal="center"/>
    </xf>
    <xf numFmtId="0" fontId="7" fillId="9" borderId="10" xfId="0" quotePrefix="1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 wrapText="1"/>
    </xf>
    <xf numFmtId="0" fontId="0" fillId="10" borderId="16" xfId="0" applyFill="1" applyBorder="1"/>
    <xf numFmtId="0" fontId="4" fillId="10" borderId="16" xfId="0" applyFont="1" applyFill="1" applyBorder="1" applyAlignment="1">
      <alignment horizontal="center" wrapText="1"/>
    </xf>
    <xf numFmtId="0" fontId="6" fillId="10" borderId="17" xfId="0" applyFont="1" applyFill="1" applyBorder="1" applyAlignment="1">
      <alignment horizontal="center" wrapText="1"/>
    </xf>
    <xf numFmtId="0" fontId="0" fillId="10" borderId="2" xfId="0" applyFill="1" applyBorder="1"/>
    <xf numFmtId="0" fontId="4" fillId="0" borderId="2" xfId="0" quotePrefix="1" applyFont="1" applyBorder="1"/>
    <xf numFmtId="0" fontId="4" fillId="0" borderId="2" xfId="0" quotePrefix="1" applyNumberFormat="1" applyFont="1" applyBorder="1"/>
    <xf numFmtId="164" fontId="4" fillId="2" borderId="2" xfId="0" applyNumberFormat="1" applyFont="1" applyFill="1" applyBorder="1"/>
    <xf numFmtId="10" fontId="4" fillId="2" borderId="2" xfId="1" applyNumberFormat="1" applyFont="1" applyFill="1" applyBorder="1"/>
    <xf numFmtId="164" fontId="4" fillId="2" borderId="16" xfId="0" applyNumberFormat="1" applyFont="1" applyFill="1" applyBorder="1"/>
    <xf numFmtId="164" fontId="6" fillId="2" borderId="17" xfId="0" applyNumberFormat="1" applyFont="1" applyFill="1" applyBorder="1"/>
    <xf numFmtId="164" fontId="4" fillId="5" borderId="2" xfId="0" applyNumberFormat="1" applyFont="1" applyFill="1" applyBorder="1"/>
    <xf numFmtId="10" fontId="4" fillId="5" borderId="2" xfId="1" applyNumberFormat="1" applyFont="1" applyFill="1" applyBorder="1"/>
    <xf numFmtId="164" fontId="4" fillId="5" borderId="16" xfId="0" applyNumberFormat="1" applyFont="1" applyFill="1" applyBorder="1"/>
    <xf numFmtId="164" fontId="6" fillId="5" borderId="17" xfId="0" applyNumberFormat="1" applyFont="1" applyFill="1" applyBorder="1"/>
    <xf numFmtId="164" fontId="4" fillId="9" borderId="2" xfId="0" applyNumberFormat="1" applyFont="1" applyFill="1" applyBorder="1"/>
    <xf numFmtId="164" fontId="5" fillId="9" borderId="2" xfId="0" applyNumberFormat="1" applyFont="1" applyFill="1" applyBorder="1"/>
    <xf numFmtId="0" fontId="2" fillId="11" borderId="2" xfId="0" quotePrefix="1" applyFont="1" applyFill="1" applyBorder="1"/>
    <xf numFmtId="0" fontId="2" fillId="11" borderId="2" xfId="0" quotePrefix="1" applyNumberFormat="1" applyFont="1" applyFill="1" applyBorder="1"/>
    <xf numFmtId="10" fontId="5" fillId="2" borderId="2" xfId="1" applyNumberFormat="1" applyFont="1" applyFill="1" applyBorder="1"/>
    <xf numFmtId="164" fontId="5" fillId="2" borderId="16" xfId="0" applyNumberFormat="1" applyFont="1" applyFill="1" applyBorder="1"/>
    <xf numFmtId="10" fontId="2" fillId="5" borderId="2" xfId="1" applyNumberFormat="1" applyFont="1" applyFill="1" applyBorder="1"/>
    <xf numFmtId="164" fontId="5" fillId="5" borderId="16" xfId="0" applyNumberFormat="1" applyFont="1" applyFill="1" applyBorder="1"/>
    <xf numFmtId="164" fontId="5" fillId="12" borderId="2" xfId="0" applyNumberFormat="1" applyFont="1" applyFill="1" applyBorder="1"/>
    <xf numFmtId="0" fontId="4" fillId="0" borderId="1" xfId="0" quotePrefix="1" applyFont="1" applyBorder="1"/>
    <xf numFmtId="0" fontId="4" fillId="0" borderId="1" xfId="0" quotePrefix="1" applyNumberFormat="1" applyFont="1" applyBorder="1"/>
    <xf numFmtId="164" fontId="4" fillId="2" borderId="1" xfId="0" applyNumberFormat="1" applyFont="1" applyFill="1" applyBorder="1"/>
    <xf numFmtId="10" fontId="4" fillId="2" borderId="1" xfId="1" applyNumberFormat="1" applyFont="1" applyFill="1" applyBorder="1"/>
    <xf numFmtId="164" fontId="4" fillId="2" borderId="18" xfId="0" applyNumberFormat="1" applyFont="1" applyFill="1" applyBorder="1"/>
    <xf numFmtId="164" fontId="6" fillId="2" borderId="19" xfId="0" applyNumberFormat="1" applyFont="1" applyFill="1" applyBorder="1"/>
    <xf numFmtId="164" fontId="4" fillId="5" borderId="1" xfId="0" applyNumberFormat="1" applyFont="1" applyFill="1" applyBorder="1"/>
    <xf numFmtId="10" fontId="4" fillId="5" borderId="1" xfId="1" applyNumberFormat="1" applyFont="1" applyFill="1" applyBorder="1"/>
    <xf numFmtId="164" fontId="4" fillId="5" borderId="18" xfId="0" applyNumberFormat="1" applyFont="1" applyFill="1" applyBorder="1"/>
    <xf numFmtId="164" fontId="6" fillId="5" borderId="19" xfId="0" applyNumberFormat="1" applyFont="1" applyFill="1" applyBorder="1"/>
    <xf numFmtId="164" fontId="4" fillId="9" borderId="1" xfId="0" applyNumberFormat="1" applyFont="1" applyFill="1" applyBorder="1"/>
    <xf numFmtId="0" fontId="4" fillId="0" borderId="10" xfId="0" quotePrefix="1" applyFont="1" applyBorder="1"/>
    <xf numFmtId="0" fontId="4" fillId="0" borderId="10" xfId="0" quotePrefix="1" applyNumberFormat="1" applyFont="1" applyBorder="1"/>
    <xf numFmtId="10" fontId="4" fillId="2" borderId="10" xfId="1" applyNumberFormat="1" applyFont="1" applyFill="1" applyBorder="1"/>
    <xf numFmtId="164" fontId="4" fillId="2" borderId="14" xfId="0" applyNumberFormat="1" applyFont="1" applyFill="1" applyBorder="1"/>
    <xf numFmtId="164" fontId="6" fillId="2" borderId="15" xfId="0" applyNumberFormat="1" applyFont="1" applyFill="1" applyBorder="1"/>
    <xf numFmtId="10" fontId="4" fillId="5" borderId="10" xfId="1" applyNumberFormat="1" applyFont="1" applyFill="1" applyBorder="1"/>
    <xf numFmtId="164" fontId="4" fillId="5" borderId="14" xfId="0" applyNumberFormat="1" applyFont="1" applyFill="1" applyBorder="1"/>
    <xf numFmtId="164" fontId="6" fillId="5" borderId="15" xfId="0" applyNumberFormat="1" applyFont="1" applyFill="1" applyBorder="1"/>
    <xf numFmtId="164" fontId="4" fillId="9" borderId="10" xfId="0" applyNumberFormat="1" applyFont="1" applyFill="1" applyBorder="1"/>
    <xf numFmtId="0" fontId="4" fillId="2" borderId="2" xfId="0" quotePrefix="1" applyFont="1" applyFill="1" applyBorder="1"/>
    <xf numFmtId="0" fontId="4" fillId="2" borderId="2" xfId="0" quotePrefix="1" applyNumberFormat="1" applyFont="1" applyFill="1" applyBorder="1"/>
    <xf numFmtId="0" fontId="5" fillId="13" borderId="2" xfId="0" quotePrefix="1" applyFont="1" applyFill="1" applyBorder="1"/>
    <xf numFmtId="0" fontId="5" fillId="13" borderId="2" xfId="0" quotePrefix="1" applyNumberFormat="1" applyFont="1" applyFill="1" applyBorder="1"/>
    <xf numFmtId="10" fontId="5" fillId="5" borderId="2" xfId="1" applyNumberFormat="1" applyFont="1" applyFill="1" applyBorder="1"/>
    <xf numFmtId="164" fontId="5" fillId="13" borderId="2" xfId="0" applyNumberFormat="1" applyFont="1" applyFill="1" applyBorder="1"/>
    <xf numFmtId="164" fontId="6" fillId="9" borderId="2" xfId="0" applyNumberFormat="1" applyFont="1" applyFill="1" applyBorder="1"/>
    <xf numFmtId="10" fontId="4" fillId="2" borderId="18" xfId="1" applyNumberFormat="1" applyFont="1" applyFill="1" applyBorder="1"/>
    <xf numFmtId="10" fontId="4" fillId="5" borderId="18" xfId="1" applyNumberFormat="1" applyFont="1" applyFill="1" applyBorder="1"/>
    <xf numFmtId="0" fontId="4" fillId="0" borderId="20" xfId="0" quotePrefix="1" applyFont="1" applyBorder="1"/>
    <xf numFmtId="0" fontId="4" fillId="0" borderId="20" xfId="0" quotePrefix="1" applyNumberFormat="1" applyFont="1" applyBorder="1"/>
    <xf numFmtId="0" fontId="5" fillId="0" borderId="20" xfId="0" applyNumberFormat="1" applyFont="1" applyBorder="1" applyAlignment="1">
      <alignment horizontal="center"/>
    </xf>
    <xf numFmtId="164" fontId="4" fillId="2" borderId="20" xfId="0" applyNumberFormat="1" applyFont="1" applyFill="1" applyBorder="1"/>
    <xf numFmtId="0" fontId="0" fillId="2" borderId="20" xfId="0" applyFill="1" applyBorder="1"/>
    <xf numFmtId="164" fontId="5" fillId="2" borderId="20" xfId="0" applyNumberFormat="1" applyFont="1" applyFill="1" applyBorder="1"/>
    <xf numFmtId="164" fontId="5" fillId="9" borderId="20" xfId="0" applyNumberFormat="1" applyFont="1" applyFill="1" applyBorder="1"/>
    <xf numFmtId="0" fontId="2" fillId="0" borderId="2" xfId="0" quotePrefix="1" applyNumberFormat="1" applyFont="1" applyBorder="1" applyAlignment="1">
      <alignment horizontal="center"/>
    </xf>
    <xf numFmtId="0" fontId="7" fillId="6" borderId="21" xfId="0" applyFont="1" applyFill="1" applyBorder="1"/>
    <xf numFmtId="0" fontId="7" fillId="6" borderId="22" xfId="0" applyFont="1" applyFill="1" applyBorder="1"/>
    <xf numFmtId="0" fontId="7" fillId="6" borderId="23" xfId="0" applyFont="1" applyFill="1" applyBorder="1"/>
    <xf numFmtId="0" fontId="5" fillId="13" borderId="24" xfId="0" applyFont="1" applyFill="1" applyBorder="1"/>
    <xf numFmtId="0" fontId="5" fillId="11" borderId="24" xfId="0" applyFont="1" applyFill="1" applyBorder="1"/>
    <xf numFmtId="164" fontId="6" fillId="4" borderId="8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10" borderId="16" xfId="0" applyFont="1" applyFill="1" applyBorder="1" applyAlignment="1">
      <alignment horizontal="center" wrapText="1"/>
    </xf>
    <xf numFmtId="0" fontId="4" fillId="0" borderId="16" xfId="0" quotePrefix="1" applyNumberFormat="1" applyFont="1" applyBorder="1"/>
    <xf numFmtId="0" fontId="2" fillId="11" borderId="16" xfId="0" quotePrefix="1" applyNumberFormat="1" applyFont="1" applyFill="1" applyBorder="1"/>
    <xf numFmtId="0" fontId="4" fillId="0" borderId="18" xfId="0" quotePrefix="1" applyNumberFormat="1" applyFont="1" applyBorder="1"/>
    <xf numFmtId="0" fontId="4" fillId="0" borderId="14" xfId="0" quotePrefix="1" applyNumberFormat="1" applyFont="1" applyBorder="1"/>
    <xf numFmtId="0" fontId="4" fillId="2" borderId="16" xfId="0" quotePrefix="1" applyNumberFormat="1" applyFont="1" applyFill="1" applyBorder="1"/>
    <xf numFmtId="0" fontId="7" fillId="13" borderId="16" xfId="0" quotePrefix="1" applyNumberFormat="1" applyFont="1" applyFill="1" applyBorder="1"/>
    <xf numFmtId="0" fontId="5" fillId="0" borderId="25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4" fillId="3" borderId="37" xfId="0" applyFont="1" applyFill="1" applyBorder="1"/>
    <xf numFmtId="0" fontId="7" fillId="3" borderId="38" xfId="0" quotePrefix="1" applyFont="1" applyFill="1" applyBorder="1" applyAlignment="1">
      <alignment horizontal="center"/>
    </xf>
    <xf numFmtId="0" fontId="5" fillId="10" borderId="39" xfId="0" applyFont="1" applyFill="1" applyBorder="1" applyAlignment="1">
      <alignment horizontal="center" wrapText="1"/>
    </xf>
    <xf numFmtId="0" fontId="0" fillId="10" borderId="40" xfId="0" applyFill="1" applyBorder="1"/>
    <xf numFmtId="164" fontId="4" fillId="2" borderId="39" xfId="0" applyNumberFormat="1" applyFont="1" applyFill="1" applyBorder="1"/>
    <xf numFmtId="164" fontId="4" fillId="2" borderId="40" xfId="0" applyNumberFormat="1" applyFont="1" applyFill="1" applyBorder="1"/>
    <xf numFmtId="164" fontId="5" fillId="2" borderId="39" xfId="0" applyNumberFormat="1" applyFont="1" applyFill="1" applyBorder="1"/>
    <xf numFmtId="164" fontId="5" fillId="2" borderId="40" xfId="0" applyNumberFormat="1" applyFont="1" applyFill="1" applyBorder="1"/>
    <xf numFmtId="164" fontId="4" fillId="2" borderId="41" xfId="0" applyNumberFormat="1" applyFont="1" applyFill="1" applyBorder="1"/>
    <xf numFmtId="164" fontId="4" fillId="2" borderId="11" xfId="0" applyNumberFormat="1" applyFont="1" applyFill="1" applyBorder="1"/>
    <xf numFmtId="164" fontId="4" fillId="2" borderId="37" xfId="0" applyNumberFormat="1" applyFont="1" applyFill="1" applyBorder="1"/>
    <xf numFmtId="164" fontId="4" fillId="2" borderId="38" xfId="0" applyNumberFormat="1" applyFont="1" applyFill="1" applyBorder="1"/>
    <xf numFmtId="164" fontId="2" fillId="2" borderId="40" xfId="0" applyNumberFormat="1" applyFont="1" applyFill="1" applyBorder="1"/>
    <xf numFmtId="164" fontId="4" fillId="2" borderId="42" xfId="0" applyNumberFormat="1" applyFont="1" applyFill="1" applyBorder="1"/>
    <xf numFmtId="0" fontId="0" fillId="2" borderId="34" xfId="0" applyFill="1" applyBorder="1"/>
    <xf numFmtId="164" fontId="4" fillId="2" borderId="34" xfId="0" applyNumberFormat="1" applyFont="1" applyFill="1" applyBorder="1"/>
    <xf numFmtId="164" fontId="5" fillId="2" borderId="34" xfId="0" applyNumberFormat="1" applyFont="1" applyFill="1" applyBorder="1"/>
    <xf numFmtId="164" fontId="5" fillId="2" borderId="43" xfId="0" applyNumberFormat="1" applyFont="1" applyFill="1" applyBorder="1"/>
    <xf numFmtId="0" fontId="2" fillId="3" borderId="24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164" fontId="2" fillId="9" borderId="2" xfId="0" applyNumberFormat="1" applyFont="1" applyFill="1" applyBorder="1"/>
    <xf numFmtId="164" fontId="2" fillId="9" borderId="1" xfId="0" applyNumberFormat="1" applyFont="1" applyFill="1" applyBorder="1"/>
    <xf numFmtId="164" fontId="2" fillId="9" borderId="10" xfId="0" applyNumberFormat="1" applyFont="1" applyFill="1" applyBorder="1"/>
    <xf numFmtId="0" fontId="2" fillId="2" borderId="44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 vertical="top" wrapText="1"/>
    </xf>
    <xf numFmtId="0" fontId="7" fillId="9" borderId="29" xfId="0" quotePrefix="1" applyFont="1" applyFill="1" applyBorder="1" applyAlignment="1">
      <alignment horizontal="center"/>
    </xf>
    <xf numFmtId="0" fontId="0" fillId="10" borderId="26" xfId="0" applyFill="1" applyBorder="1"/>
    <xf numFmtId="164" fontId="4" fillId="9" borderId="26" xfId="0" applyNumberFormat="1" applyFont="1" applyFill="1" applyBorder="1"/>
    <xf numFmtId="164" fontId="4" fillId="9" borderId="30" xfId="0" applyNumberFormat="1" applyFont="1" applyFill="1" applyBorder="1"/>
    <xf numFmtId="164" fontId="4" fillId="9" borderId="29" xfId="0" applyNumberFormat="1" applyFont="1" applyFill="1" applyBorder="1"/>
    <xf numFmtId="164" fontId="5" fillId="9" borderId="26" xfId="0" applyNumberFormat="1" applyFont="1" applyFill="1" applyBorder="1"/>
    <xf numFmtId="164" fontId="5" fillId="9" borderId="31" xfId="0" applyNumberFormat="1" applyFont="1" applyFill="1" applyBorder="1"/>
    <xf numFmtId="0" fontId="2" fillId="2" borderId="36" xfId="0" applyFont="1" applyFill="1" applyBorder="1" applyAlignment="1">
      <alignment horizontal="center"/>
    </xf>
    <xf numFmtId="0" fontId="4" fillId="5" borderId="37" xfId="0" applyFont="1" applyFill="1" applyBorder="1"/>
    <xf numFmtId="0" fontId="7" fillId="5" borderId="38" xfId="0" quotePrefix="1" applyFont="1" applyFill="1" applyBorder="1" applyAlignment="1">
      <alignment horizontal="center"/>
    </xf>
    <xf numFmtId="164" fontId="4" fillId="5" borderId="39" xfId="0" applyNumberFormat="1" applyFont="1" applyFill="1" applyBorder="1"/>
    <xf numFmtId="164" fontId="4" fillId="5" borderId="40" xfId="0" applyNumberFormat="1" applyFont="1" applyFill="1" applyBorder="1"/>
    <xf numFmtId="164" fontId="2" fillId="5" borderId="39" xfId="0" applyNumberFormat="1" applyFont="1" applyFill="1" applyBorder="1"/>
    <xf numFmtId="164" fontId="5" fillId="5" borderId="40" xfId="0" applyNumberFormat="1" applyFont="1" applyFill="1" applyBorder="1"/>
    <xf numFmtId="164" fontId="4" fillId="5" borderId="41" xfId="0" applyNumberFormat="1" applyFont="1" applyFill="1" applyBorder="1"/>
    <xf numFmtId="164" fontId="4" fillId="5" borderId="11" xfId="0" applyNumberFormat="1" applyFont="1" applyFill="1" applyBorder="1"/>
    <xf numFmtId="164" fontId="4" fillId="5" borderId="37" xfId="0" applyNumberFormat="1" applyFont="1" applyFill="1" applyBorder="1"/>
    <xf numFmtId="164" fontId="4" fillId="5" borderId="38" xfId="0" applyNumberFormat="1" applyFont="1" applyFill="1" applyBorder="1"/>
    <xf numFmtId="164" fontId="5" fillId="5" borderId="39" xfId="0" applyNumberFormat="1" applyFont="1" applyFill="1" applyBorder="1"/>
    <xf numFmtId="164" fontId="2" fillId="5" borderId="40" xfId="0" applyNumberFormat="1" applyFont="1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5"/>
  <sheetViews>
    <sheetView tabSelected="1" workbookViewId="0">
      <selection activeCell="C374" sqref="C374"/>
    </sheetView>
  </sheetViews>
  <sheetFormatPr defaultRowHeight="15"/>
  <cols>
    <col min="1" max="1" width="4.140625" bestFit="1" customWidth="1"/>
    <col min="2" max="2" width="6.5703125" bestFit="1" customWidth="1"/>
    <col min="3" max="3" width="31.85546875" bestFit="1" customWidth="1"/>
    <col min="4" max="4" width="13" customWidth="1"/>
    <col min="5" max="5" width="12.28515625" customWidth="1"/>
    <col min="6" max="6" width="9.140625" customWidth="1"/>
    <col min="7" max="7" width="15.140625" customWidth="1"/>
    <col min="8" max="8" width="15.140625" bestFit="1" customWidth="1"/>
    <col min="9" max="9" width="12.5703125" customWidth="1"/>
    <col min="10" max="10" width="12.28515625" customWidth="1"/>
    <col min="11" max="11" width="9.140625" customWidth="1"/>
    <col min="12" max="12" width="15.140625" customWidth="1"/>
    <col min="13" max="14" width="15.7109375" customWidth="1"/>
    <col min="15" max="15" width="11.7109375" hidden="1" customWidth="1"/>
    <col min="16" max="16" width="10.7109375" hidden="1" customWidth="1"/>
    <col min="17" max="17" width="13" customWidth="1"/>
    <col min="18" max="18" width="13.85546875" customWidth="1"/>
    <col min="19" max="19" width="13.5703125" customWidth="1"/>
  </cols>
  <sheetData>
    <row r="1" spans="1:19" ht="15.75" thickBot="1">
      <c r="A1" s="1" t="s">
        <v>0</v>
      </c>
      <c r="B1" s="1" t="s">
        <v>1</v>
      </c>
      <c r="C1" s="103" t="s">
        <v>2</v>
      </c>
      <c r="D1" s="114" t="s">
        <v>3</v>
      </c>
      <c r="E1" s="115" t="s">
        <v>4</v>
      </c>
      <c r="F1" s="116" t="s">
        <v>5</v>
      </c>
      <c r="G1" s="117" t="s">
        <v>6</v>
      </c>
      <c r="H1" s="118" t="s">
        <v>7</v>
      </c>
      <c r="I1" s="114" t="s">
        <v>8</v>
      </c>
      <c r="J1" s="115" t="s">
        <v>9</v>
      </c>
      <c r="K1" s="116" t="s">
        <v>10</v>
      </c>
      <c r="L1" s="117" t="s">
        <v>11</v>
      </c>
      <c r="M1" s="154" t="s">
        <v>12</v>
      </c>
      <c r="N1" s="14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thickBot="1">
      <c r="A2" s="3"/>
      <c r="B2" s="3"/>
      <c r="C2" s="4" t="s">
        <v>19</v>
      </c>
      <c r="D2" s="137" t="s">
        <v>20</v>
      </c>
      <c r="E2" s="5" t="s">
        <v>20</v>
      </c>
      <c r="F2" s="5" t="s">
        <v>20</v>
      </c>
      <c r="G2" s="137" t="s">
        <v>20</v>
      </c>
      <c r="H2" s="137" t="s">
        <v>20</v>
      </c>
      <c r="I2" s="138" t="s">
        <v>23</v>
      </c>
      <c r="J2" s="138" t="s">
        <v>23</v>
      </c>
      <c r="K2" s="138" t="s">
        <v>23</v>
      </c>
      <c r="L2" s="138" t="s">
        <v>23</v>
      </c>
      <c r="M2" s="138" t="s">
        <v>23</v>
      </c>
      <c r="N2" s="143" t="s">
        <v>24</v>
      </c>
      <c r="O2" s="8" t="s">
        <v>25</v>
      </c>
      <c r="P2" s="8" t="s">
        <v>26</v>
      </c>
      <c r="Q2" s="143" t="s">
        <v>24</v>
      </c>
      <c r="R2" s="143" t="s">
        <v>24</v>
      </c>
      <c r="S2" s="143" t="s">
        <v>24</v>
      </c>
    </row>
    <row r="3" spans="1:19" ht="18">
      <c r="A3" s="3"/>
      <c r="B3" s="3"/>
      <c r="C3" s="9" t="s">
        <v>27</v>
      </c>
      <c r="D3" s="10" t="s">
        <v>28</v>
      </c>
      <c r="E3" s="6" t="s">
        <v>21</v>
      </c>
      <c r="F3" s="7" t="s">
        <v>22</v>
      </c>
      <c r="G3" s="102" t="s">
        <v>803</v>
      </c>
      <c r="H3" s="13" t="s">
        <v>31</v>
      </c>
      <c r="I3" s="10" t="s">
        <v>28</v>
      </c>
      <c r="J3" s="6" t="s">
        <v>21</v>
      </c>
      <c r="K3" s="7" t="s">
        <v>22</v>
      </c>
      <c r="L3" s="14" t="s">
        <v>803</v>
      </c>
      <c r="M3" s="13" t="s">
        <v>31</v>
      </c>
      <c r="N3" s="144" t="s">
        <v>32</v>
      </c>
      <c r="O3" s="15" t="s">
        <v>33</v>
      </c>
      <c r="P3" s="15" t="s">
        <v>34</v>
      </c>
      <c r="Q3" s="15" t="s">
        <v>35</v>
      </c>
      <c r="R3" s="16" t="s">
        <v>31</v>
      </c>
      <c r="S3" s="17" t="s">
        <v>36</v>
      </c>
    </row>
    <row r="4" spans="1:19" ht="18">
      <c r="A4" s="18"/>
      <c r="B4" s="18"/>
      <c r="C4" s="19" t="s">
        <v>37</v>
      </c>
      <c r="D4" s="20" t="s">
        <v>38</v>
      </c>
      <c r="E4" s="11" t="s">
        <v>29</v>
      </c>
      <c r="F4" s="12" t="s">
        <v>30</v>
      </c>
      <c r="G4" s="21" t="s">
        <v>39</v>
      </c>
      <c r="H4" s="11" t="s">
        <v>805</v>
      </c>
      <c r="I4" s="20" t="s">
        <v>38</v>
      </c>
      <c r="J4" s="11" t="s">
        <v>29</v>
      </c>
      <c r="K4" s="12" t="s">
        <v>30</v>
      </c>
      <c r="L4" s="21" t="s">
        <v>39</v>
      </c>
      <c r="M4" s="11" t="s">
        <v>805</v>
      </c>
      <c r="N4" s="145" t="s">
        <v>40</v>
      </c>
      <c r="O4" s="11"/>
      <c r="P4" s="11" t="s">
        <v>41</v>
      </c>
      <c r="Q4" s="16" t="s">
        <v>42</v>
      </c>
      <c r="R4" s="11" t="s">
        <v>805</v>
      </c>
      <c r="S4" s="11" t="s">
        <v>33</v>
      </c>
    </row>
    <row r="5" spans="1:19" ht="34.5" thickBot="1">
      <c r="A5" s="22" t="s">
        <v>43</v>
      </c>
      <c r="B5" s="22" t="s">
        <v>44</v>
      </c>
      <c r="C5" s="104" t="s">
        <v>45</v>
      </c>
      <c r="D5" s="23" t="s">
        <v>46</v>
      </c>
      <c r="E5" s="24" t="s">
        <v>801</v>
      </c>
      <c r="F5" s="25" t="s">
        <v>802</v>
      </c>
      <c r="G5" s="26" t="s">
        <v>27</v>
      </c>
      <c r="H5" s="24" t="s">
        <v>804</v>
      </c>
      <c r="I5" s="23" t="s">
        <v>46</v>
      </c>
      <c r="J5" s="24" t="s">
        <v>801</v>
      </c>
      <c r="K5" s="25" t="s">
        <v>806</v>
      </c>
      <c r="L5" s="26" t="s">
        <v>27</v>
      </c>
      <c r="M5" s="24" t="s">
        <v>807</v>
      </c>
      <c r="N5" s="146" t="s">
        <v>47</v>
      </c>
      <c r="O5" s="24"/>
      <c r="P5" s="24"/>
      <c r="Q5" s="27" t="s">
        <v>27</v>
      </c>
      <c r="R5" s="24" t="s">
        <v>808</v>
      </c>
      <c r="S5" s="27" t="s">
        <v>27</v>
      </c>
    </row>
    <row r="6" spans="1:19">
      <c r="A6" s="28"/>
      <c r="B6" s="28"/>
      <c r="C6" s="105"/>
      <c r="D6" s="119"/>
      <c r="E6" s="29"/>
      <c r="F6" s="30" t="s">
        <v>48</v>
      </c>
      <c r="G6" s="31" t="s">
        <v>49</v>
      </c>
      <c r="H6" s="120" t="s">
        <v>50</v>
      </c>
      <c r="I6" s="155"/>
      <c r="J6" s="32"/>
      <c r="K6" s="33" t="s">
        <v>51</v>
      </c>
      <c r="L6" s="34" t="s">
        <v>52</v>
      </c>
      <c r="M6" s="156" t="s">
        <v>53</v>
      </c>
      <c r="N6" s="147" t="s">
        <v>54</v>
      </c>
      <c r="O6" s="35"/>
      <c r="P6" s="35" t="s">
        <v>55</v>
      </c>
      <c r="Q6" s="35" t="s">
        <v>56</v>
      </c>
      <c r="R6" s="35" t="s">
        <v>57</v>
      </c>
      <c r="S6" s="35" t="s">
        <v>58</v>
      </c>
    </row>
    <row r="7" spans="1:19">
      <c r="A7" s="36"/>
      <c r="B7" s="36"/>
      <c r="C7" s="106"/>
      <c r="D7" s="121"/>
      <c r="E7" s="37"/>
      <c r="F7" s="38"/>
      <c r="G7" s="39"/>
      <c r="H7" s="122"/>
      <c r="I7" s="121"/>
      <c r="J7" s="37"/>
      <c r="K7" s="38"/>
      <c r="L7" s="39"/>
      <c r="M7" s="122"/>
      <c r="N7" s="148"/>
      <c r="O7" s="40"/>
      <c r="P7" s="40"/>
      <c r="Q7" s="40"/>
      <c r="R7" s="40"/>
      <c r="S7" s="40"/>
    </row>
    <row r="8" spans="1:19">
      <c r="A8" s="41" t="s">
        <v>59</v>
      </c>
      <c r="B8" s="42" t="s">
        <v>60</v>
      </c>
      <c r="C8" s="107" t="s">
        <v>61</v>
      </c>
      <c r="D8" s="123">
        <v>74224</v>
      </c>
      <c r="E8" s="44">
        <v>1.8800000000000001E-2</v>
      </c>
      <c r="F8" s="45">
        <v>1395</v>
      </c>
      <c r="G8" s="46">
        <v>72829</v>
      </c>
      <c r="H8" s="124">
        <v>11134</v>
      </c>
      <c r="I8" s="157">
        <v>202955</v>
      </c>
      <c r="J8" s="48">
        <v>1.8800000000000001E-2</v>
      </c>
      <c r="K8" s="49">
        <v>3816</v>
      </c>
      <c r="L8" s="50">
        <v>199139</v>
      </c>
      <c r="M8" s="158">
        <v>30443</v>
      </c>
      <c r="N8" s="149">
        <v>277179</v>
      </c>
      <c r="O8" s="51">
        <v>74826</v>
      </c>
      <c r="P8" s="51">
        <v>202353</v>
      </c>
      <c r="Q8" s="51">
        <v>101177</v>
      </c>
      <c r="R8" s="51">
        <v>41577</v>
      </c>
      <c r="S8" s="139">
        <v>271968</v>
      </c>
    </row>
    <row r="9" spans="1:19">
      <c r="A9" s="41" t="s">
        <v>59</v>
      </c>
      <c r="B9" s="42" t="s">
        <v>62</v>
      </c>
      <c r="C9" s="107" t="s">
        <v>63</v>
      </c>
      <c r="D9" s="123">
        <v>27318</v>
      </c>
      <c r="E9" s="44">
        <v>1.8800000000000001E-2</v>
      </c>
      <c r="F9" s="45">
        <v>514</v>
      </c>
      <c r="G9" s="46">
        <v>26804</v>
      </c>
      <c r="H9" s="124">
        <v>4098</v>
      </c>
      <c r="I9" s="157">
        <v>74698</v>
      </c>
      <c r="J9" s="48">
        <v>1.8800000000000001E-2</v>
      </c>
      <c r="K9" s="49">
        <v>1404</v>
      </c>
      <c r="L9" s="50">
        <v>73294</v>
      </c>
      <c r="M9" s="158">
        <v>11205</v>
      </c>
      <c r="N9" s="149">
        <v>102016</v>
      </c>
      <c r="O9" s="51">
        <v>27983</v>
      </c>
      <c r="P9" s="51">
        <v>74033</v>
      </c>
      <c r="Q9" s="51">
        <v>37017</v>
      </c>
      <c r="R9" s="51">
        <v>15303</v>
      </c>
      <c r="S9" s="139">
        <v>100098</v>
      </c>
    </row>
    <row r="10" spans="1:19">
      <c r="A10" s="41" t="s">
        <v>59</v>
      </c>
      <c r="B10" s="42" t="s">
        <v>64</v>
      </c>
      <c r="C10" s="107" t="s">
        <v>65</v>
      </c>
      <c r="D10" s="123">
        <v>76309</v>
      </c>
      <c r="E10" s="44">
        <v>1.8800000000000001E-2</v>
      </c>
      <c r="F10" s="45">
        <v>1435</v>
      </c>
      <c r="G10" s="46">
        <v>74874</v>
      </c>
      <c r="H10" s="124">
        <v>11446</v>
      </c>
      <c r="I10" s="157">
        <v>208657</v>
      </c>
      <c r="J10" s="48">
        <v>1.8800000000000001E-2</v>
      </c>
      <c r="K10" s="49">
        <v>3923</v>
      </c>
      <c r="L10" s="50">
        <v>204734</v>
      </c>
      <c r="M10" s="158">
        <v>31299</v>
      </c>
      <c r="N10" s="149">
        <v>284966</v>
      </c>
      <c r="O10" s="51">
        <v>74727</v>
      </c>
      <c r="P10" s="51">
        <v>210239</v>
      </c>
      <c r="Q10" s="51">
        <v>105120</v>
      </c>
      <c r="R10" s="51">
        <v>42745</v>
      </c>
      <c r="S10" s="139">
        <v>279608</v>
      </c>
    </row>
    <row r="11" spans="1:19">
      <c r="A11" s="41" t="s">
        <v>59</v>
      </c>
      <c r="B11" s="42" t="s">
        <v>66</v>
      </c>
      <c r="C11" s="107" t="s">
        <v>67</v>
      </c>
      <c r="D11" s="123">
        <v>650865</v>
      </c>
      <c r="E11" s="44">
        <v>1.8800000000000001E-2</v>
      </c>
      <c r="F11" s="45">
        <v>12236</v>
      </c>
      <c r="G11" s="46">
        <v>638629</v>
      </c>
      <c r="H11" s="124">
        <v>97630</v>
      </c>
      <c r="I11" s="157">
        <v>1779697</v>
      </c>
      <c r="J11" s="48">
        <v>1.8800000000000001E-2</v>
      </c>
      <c r="K11" s="49">
        <v>33458</v>
      </c>
      <c r="L11" s="50">
        <v>1746239</v>
      </c>
      <c r="M11" s="158">
        <v>266955</v>
      </c>
      <c r="N11" s="149">
        <v>2430562</v>
      </c>
      <c r="O11" s="51">
        <v>635580</v>
      </c>
      <c r="P11" s="51">
        <v>1794982</v>
      </c>
      <c r="Q11" s="51">
        <v>897491</v>
      </c>
      <c r="R11" s="51">
        <v>364585</v>
      </c>
      <c r="S11" s="139">
        <v>2384868</v>
      </c>
    </row>
    <row r="12" spans="1:19">
      <c r="A12" s="41" t="s">
        <v>59</v>
      </c>
      <c r="B12" s="42" t="s">
        <v>68</v>
      </c>
      <c r="C12" s="107" t="s">
        <v>69</v>
      </c>
      <c r="D12" s="123">
        <v>22689</v>
      </c>
      <c r="E12" s="44">
        <v>1.8800000000000001E-2</v>
      </c>
      <c r="F12" s="45">
        <v>427</v>
      </c>
      <c r="G12" s="46">
        <v>22262</v>
      </c>
      <c r="H12" s="124">
        <v>3403</v>
      </c>
      <c r="I12" s="157">
        <v>62040</v>
      </c>
      <c r="J12" s="48">
        <v>1.8800000000000001E-2</v>
      </c>
      <c r="K12" s="49">
        <v>1166</v>
      </c>
      <c r="L12" s="50">
        <v>60874</v>
      </c>
      <c r="M12" s="158">
        <v>9306</v>
      </c>
      <c r="N12" s="149">
        <v>84729</v>
      </c>
      <c r="O12" s="51">
        <v>23260</v>
      </c>
      <c r="P12" s="51">
        <v>61469</v>
      </c>
      <c r="Q12" s="51">
        <v>30735</v>
      </c>
      <c r="R12" s="51">
        <v>12709</v>
      </c>
      <c r="S12" s="139">
        <v>83136</v>
      </c>
    </row>
    <row r="13" spans="1:19">
      <c r="A13" s="41" t="s">
        <v>59</v>
      </c>
      <c r="B13" s="42" t="s">
        <v>70</v>
      </c>
      <c r="C13" s="107" t="s">
        <v>71</v>
      </c>
      <c r="D13" s="123">
        <v>27516</v>
      </c>
      <c r="E13" s="44">
        <v>1.8800000000000001E-2</v>
      </c>
      <c r="F13" s="45">
        <v>517</v>
      </c>
      <c r="G13" s="46">
        <v>26999</v>
      </c>
      <c r="H13" s="124">
        <v>4127</v>
      </c>
      <c r="I13" s="157">
        <v>75237</v>
      </c>
      <c r="J13" s="48">
        <v>1.8800000000000001E-2</v>
      </c>
      <c r="K13" s="49">
        <v>1414</v>
      </c>
      <c r="L13" s="50">
        <v>73823</v>
      </c>
      <c r="M13" s="158">
        <v>11286</v>
      </c>
      <c r="N13" s="149">
        <v>102753</v>
      </c>
      <c r="O13" s="51">
        <v>27036</v>
      </c>
      <c r="P13" s="51">
        <v>75717</v>
      </c>
      <c r="Q13" s="51">
        <v>37859</v>
      </c>
      <c r="R13" s="51">
        <v>15413</v>
      </c>
      <c r="S13" s="139">
        <v>100822</v>
      </c>
    </row>
    <row r="14" spans="1:19">
      <c r="A14" s="41" t="s">
        <v>59</v>
      </c>
      <c r="B14" s="42" t="s">
        <v>72</v>
      </c>
      <c r="C14" s="107" t="s">
        <v>73</v>
      </c>
      <c r="D14" s="123">
        <v>14715</v>
      </c>
      <c r="E14" s="44">
        <v>1.8800000000000001E-2</v>
      </c>
      <c r="F14" s="45">
        <v>277</v>
      </c>
      <c r="G14" s="46">
        <v>14438</v>
      </c>
      <c r="H14" s="124">
        <v>2207</v>
      </c>
      <c r="I14" s="157">
        <v>40236</v>
      </c>
      <c r="J14" s="48">
        <v>1.8800000000000001E-2</v>
      </c>
      <c r="K14" s="49">
        <v>756</v>
      </c>
      <c r="L14" s="50">
        <v>39480</v>
      </c>
      <c r="M14" s="158">
        <v>6035</v>
      </c>
      <c r="N14" s="149">
        <v>54951</v>
      </c>
      <c r="O14" s="51">
        <v>13551</v>
      </c>
      <c r="P14" s="51">
        <v>41400</v>
      </c>
      <c r="Q14" s="51">
        <v>20700</v>
      </c>
      <c r="R14" s="51">
        <v>8242</v>
      </c>
      <c r="S14" s="139">
        <v>53918</v>
      </c>
    </row>
    <row r="15" spans="1:19">
      <c r="A15" s="41" t="s">
        <v>59</v>
      </c>
      <c r="B15" s="42" t="s">
        <v>74</v>
      </c>
      <c r="C15" s="107" t="s">
        <v>75</v>
      </c>
      <c r="D15" s="123">
        <v>38310</v>
      </c>
      <c r="E15" s="44">
        <v>1.8800000000000001E-2</v>
      </c>
      <c r="F15" s="45">
        <v>720</v>
      </c>
      <c r="G15" s="46">
        <v>37590</v>
      </c>
      <c r="H15" s="124">
        <v>5747</v>
      </c>
      <c r="I15" s="157">
        <v>104753</v>
      </c>
      <c r="J15" s="48">
        <v>1.8800000000000001E-2</v>
      </c>
      <c r="K15" s="49">
        <v>1969</v>
      </c>
      <c r="L15" s="50">
        <v>102784</v>
      </c>
      <c r="M15" s="158">
        <v>15713</v>
      </c>
      <c r="N15" s="149">
        <v>143063</v>
      </c>
      <c r="O15" s="51">
        <v>39014</v>
      </c>
      <c r="P15" s="51">
        <v>104049</v>
      </c>
      <c r="Q15" s="51">
        <v>52025</v>
      </c>
      <c r="R15" s="51">
        <v>21460</v>
      </c>
      <c r="S15" s="139">
        <v>140374</v>
      </c>
    </row>
    <row r="16" spans="1:19">
      <c r="A16" s="41" t="s">
        <v>59</v>
      </c>
      <c r="B16" s="42" t="s">
        <v>76</v>
      </c>
      <c r="C16" s="107" t="s">
        <v>77</v>
      </c>
      <c r="D16" s="123">
        <v>78109</v>
      </c>
      <c r="E16" s="44">
        <v>1.8800000000000001E-2</v>
      </c>
      <c r="F16" s="45">
        <v>1468</v>
      </c>
      <c r="G16" s="46">
        <v>76641</v>
      </c>
      <c r="H16" s="124">
        <v>11716</v>
      </c>
      <c r="I16" s="157">
        <v>213578</v>
      </c>
      <c r="J16" s="48">
        <v>1.8800000000000001E-2</v>
      </c>
      <c r="K16" s="49">
        <v>4015</v>
      </c>
      <c r="L16" s="50">
        <v>209563</v>
      </c>
      <c r="M16" s="158">
        <v>32037</v>
      </c>
      <c r="N16" s="149">
        <v>291687</v>
      </c>
      <c r="O16" s="51">
        <v>77603</v>
      </c>
      <c r="P16" s="51">
        <v>214084</v>
      </c>
      <c r="Q16" s="51">
        <v>107042</v>
      </c>
      <c r="R16" s="51">
        <v>43753</v>
      </c>
      <c r="S16" s="139">
        <v>286204</v>
      </c>
    </row>
    <row r="17" spans="1:19">
      <c r="A17" s="41" t="s">
        <v>59</v>
      </c>
      <c r="B17" s="42" t="s">
        <v>78</v>
      </c>
      <c r="C17" s="107" t="s">
        <v>79</v>
      </c>
      <c r="D17" s="123">
        <v>42380</v>
      </c>
      <c r="E17" s="44">
        <v>1.8800000000000001E-2</v>
      </c>
      <c r="F17" s="45">
        <v>797</v>
      </c>
      <c r="G17" s="46">
        <v>41583</v>
      </c>
      <c r="H17" s="124">
        <v>6357</v>
      </c>
      <c r="I17" s="157">
        <v>115882</v>
      </c>
      <c r="J17" s="48">
        <v>1.8800000000000001E-2</v>
      </c>
      <c r="K17" s="49">
        <v>2179</v>
      </c>
      <c r="L17" s="50">
        <v>113703</v>
      </c>
      <c r="M17" s="158">
        <v>17382</v>
      </c>
      <c r="N17" s="149">
        <v>158262</v>
      </c>
      <c r="O17" s="51">
        <v>43204</v>
      </c>
      <c r="P17" s="51">
        <v>115058</v>
      </c>
      <c r="Q17" s="51">
        <v>57529</v>
      </c>
      <c r="R17" s="51">
        <v>23739</v>
      </c>
      <c r="S17" s="139">
        <v>155286</v>
      </c>
    </row>
    <row r="18" spans="1:19">
      <c r="A18" s="41" t="s">
        <v>59</v>
      </c>
      <c r="B18" s="42" t="s">
        <v>80</v>
      </c>
      <c r="C18" s="107" t="s">
        <v>81</v>
      </c>
      <c r="D18" s="123">
        <v>47319</v>
      </c>
      <c r="E18" s="44">
        <v>1.8800000000000001E-2</v>
      </c>
      <c r="F18" s="45">
        <v>890</v>
      </c>
      <c r="G18" s="46">
        <v>46429</v>
      </c>
      <c r="H18" s="124">
        <v>7098</v>
      </c>
      <c r="I18" s="157">
        <v>129386</v>
      </c>
      <c r="J18" s="48">
        <v>1.8800000000000001E-2</v>
      </c>
      <c r="K18" s="49">
        <v>2432</v>
      </c>
      <c r="L18" s="50">
        <v>126954</v>
      </c>
      <c r="M18" s="158">
        <v>19408</v>
      </c>
      <c r="N18" s="149">
        <v>176705</v>
      </c>
      <c r="O18" s="51">
        <v>45633</v>
      </c>
      <c r="P18" s="51">
        <v>131072</v>
      </c>
      <c r="Q18" s="51">
        <v>65536</v>
      </c>
      <c r="R18" s="51">
        <v>26506</v>
      </c>
      <c r="S18" s="139">
        <v>173383</v>
      </c>
    </row>
    <row r="19" spans="1:19">
      <c r="A19" s="41" t="s">
        <v>59</v>
      </c>
      <c r="B19" s="42" t="s">
        <v>82</v>
      </c>
      <c r="C19" s="107" t="s">
        <v>83</v>
      </c>
      <c r="D19" s="123">
        <v>60454</v>
      </c>
      <c r="E19" s="44">
        <v>1.8800000000000001E-2</v>
      </c>
      <c r="F19" s="45">
        <v>1137</v>
      </c>
      <c r="G19" s="46">
        <v>59317</v>
      </c>
      <c r="H19" s="124">
        <v>9068</v>
      </c>
      <c r="I19" s="157">
        <v>165305</v>
      </c>
      <c r="J19" s="48">
        <v>1.8800000000000001E-2</v>
      </c>
      <c r="K19" s="49">
        <v>3108</v>
      </c>
      <c r="L19" s="50">
        <v>162197</v>
      </c>
      <c r="M19" s="158">
        <v>24796</v>
      </c>
      <c r="N19" s="149">
        <v>225759</v>
      </c>
      <c r="O19" s="51">
        <v>60605</v>
      </c>
      <c r="P19" s="51">
        <v>165154</v>
      </c>
      <c r="Q19" s="51">
        <v>82577</v>
      </c>
      <c r="R19" s="51">
        <v>33864</v>
      </c>
      <c r="S19" s="139">
        <v>221514</v>
      </c>
    </row>
    <row r="20" spans="1:19">
      <c r="A20" s="41" t="s">
        <v>59</v>
      </c>
      <c r="B20" s="42" t="s">
        <v>84</v>
      </c>
      <c r="C20" s="107" t="s">
        <v>85</v>
      </c>
      <c r="D20" s="123">
        <v>46158</v>
      </c>
      <c r="E20" s="44">
        <v>1.8800000000000001E-2</v>
      </c>
      <c r="F20" s="45">
        <v>868</v>
      </c>
      <c r="G20" s="46">
        <v>45290</v>
      </c>
      <c r="H20" s="124">
        <v>6924</v>
      </c>
      <c r="I20" s="157">
        <v>126212</v>
      </c>
      <c r="J20" s="48">
        <v>1.8800000000000001E-2</v>
      </c>
      <c r="K20" s="49">
        <v>2373</v>
      </c>
      <c r="L20" s="50">
        <v>123839</v>
      </c>
      <c r="M20" s="158">
        <v>18932</v>
      </c>
      <c r="N20" s="149">
        <v>172370</v>
      </c>
      <c r="O20" s="51">
        <v>49098</v>
      </c>
      <c r="P20" s="51">
        <v>123272</v>
      </c>
      <c r="Q20" s="51">
        <v>61636</v>
      </c>
      <c r="R20" s="51">
        <v>25856</v>
      </c>
      <c r="S20" s="139">
        <v>169129</v>
      </c>
    </row>
    <row r="21" spans="1:19">
      <c r="A21" s="41" t="s">
        <v>59</v>
      </c>
      <c r="B21" s="42" t="s">
        <v>86</v>
      </c>
      <c r="C21" s="107" t="s">
        <v>87</v>
      </c>
      <c r="D21" s="123">
        <v>15334</v>
      </c>
      <c r="E21" s="44">
        <v>1.8800000000000001E-2</v>
      </c>
      <c r="F21" s="45">
        <v>288</v>
      </c>
      <c r="G21" s="46">
        <v>15046</v>
      </c>
      <c r="H21" s="124">
        <v>2300</v>
      </c>
      <c r="I21" s="157">
        <v>41928</v>
      </c>
      <c r="J21" s="48">
        <v>1.8800000000000001E-2</v>
      </c>
      <c r="K21" s="49">
        <v>788</v>
      </c>
      <c r="L21" s="50">
        <v>41140</v>
      </c>
      <c r="M21" s="158">
        <v>6289</v>
      </c>
      <c r="N21" s="149">
        <v>57262</v>
      </c>
      <c r="O21" s="51">
        <v>16246</v>
      </c>
      <c r="P21" s="51">
        <v>41016</v>
      </c>
      <c r="Q21" s="51">
        <v>20508</v>
      </c>
      <c r="R21" s="51">
        <v>8589</v>
      </c>
      <c r="S21" s="139">
        <v>56186</v>
      </c>
    </row>
    <row r="22" spans="1:19">
      <c r="A22" s="53" t="s">
        <v>59</v>
      </c>
      <c r="B22" s="54" t="s">
        <v>88</v>
      </c>
      <c r="C22" s="108" t="s">
        <v>89</v>
      </c>
      <c r="D22" s="125">
        <v>80185</v>
      </c>
      <c r="E22" s="55">
        <v>1.8800000000000001E-2</v>
      </c>
      <c r="F22" s="56">
        <v>1507</v>
      </c>
      <c r="G22" s="46">
        <v>78678</v>
      </c>
      <c r="H22" s="126">
        <v>12028</v>
      </c>
      <c r="I22" s="159">
        <v>219253</v>
      </c>
      <c r="J22" s="57">
        <v>1.8800000000000001E-2</v>
      </c>
      <c r="K22" s="58">
        <v>4122</v>
      </c>
      <c r="L22" s="50">
        <v>215131</v>
      </c>
      <c r="M22" s="160">
        <v>32888</v>
      </c>
      <c r="N22" s="149">
        <v>299438</v>
      </c>
      <c r="O22" s="51">
        <v>79850</v>
      </c>
      <c r="P22" s="51">
        <v>219588</v>
      </c>
      <c r="Q22" s="59">
        <f>109794-109794</f>
        <v>0</v>
      </c>
      <c r="R22" s="52">
        <v>44916</v>
      </c>
      <c r="S22" s="139">
        <v>293809</v>
      </c>
    </row>
    <row r="23" spans="1:19">
      <c r="A23" s="41" t="s">
        <v>59</v>
      </c>
      <c r="B23" s="42" t="s">
        <v>90</v>
      </c>
      <c r="C23" s="107" t="s">
        <v>91</v>
      </c>
      <c r="D23" s="123">
        <v>36344</v>
      </c>
      <c r="E23" s="44">
        <v>1.8800000000000001E-2</v>
      </c>
      <c r="F23" s="45">
        <v>683</v>
      </c>
      <c r="G23" s="46">
        <v>35661</v>
      </c>
      <c r="H23" s="124">
        <v>5452</v>
      </c>
      <c r="I23" s="157">
        <v>99377</v>
      </c>
      <c r="J23" s="48">
        <v>1.8800000000000001E-2</v>
      </c>
      <c r="K23" s="49">
        <v>1868</v>
      </c>
      <c r="L23" s="50">
        <v>97509</v>
      </c>
      <c r="M23" s="158">
        <v>14907</v>
      </c>
      <c r="N23" s="149">
        <v>135721</v>
      </c>
      <c r="O23" s="51">
        <v>37093</v>
      </c>
      <c r="P23" s="51">
        <v>98628</v>
      </c>
      <c r="Q23" s="51">
        <v>49314</v>
      </c>
      <c r="R23" s="51">
        <v>20359</v>
      </c>
      <c r="S23" s="139">
        <v>133170</v>
      </c>
    </row>
    <row r="24" spans="1:19">
      <c r="A24" s="41" t="s">
        <v>59</v>
      </c>
      <c r="B24" s="42" t="s">
        <v>92</v>
      </c>
      <c r="C24" s="107" t="s">
        <v>93</v>
      </c>
      <c r="D24" s="123">
        <v>14313</v>
      </c>
      <c r="E24" s="44">
        <v>1.8800000000000001E-2</v>
      </c>
      <c r="F24" s="45">
        <v>269</v>
      </c>
      <c r="G24" s="46">
        <v>14044</v>
      </c>
      <c r="H24" s="124">
        <v>2147</v>
      </c>
      <c r="I24" s="157">
        <v>39137</v>
      </c>
      <c r="J24" s="48">
        <v>1.8800000000000001E-2</v>
      </c>
      <c r="K24" s="49">
        <v>736</v>
      </c>
      <c r="L24" s="50">
        <v>38401</v>
      </c>
      <c r="M24" s="158">
        <v>5871</v>
      </c>
      <c r="N24" s="149">
        <v>53450</v>
      </c>
      <c r="O24" s="51">
        <v>16066</v>
      </c>
      <c r="P24" s="51">
        <v>37384</v>
      </c>
      <c r="Q24" s="51">
        <v>18692</v>
      </c>
      <c r="R24" s="51">
        <v>8018</v>
      </c>
      <c r="S24" s="139">
        <v>52445</v>
      </c>
    </row>
    <row r="25" spans="1:19">
      <c r="A25" s="41" t="s">
        <v>59</v>
      </c>
      <c r="B25" s="42" t="s">
        <v>94</v>
      </c>
      <c r="C25" s="107" t="s">
        <v>95</v>
      </c>
      <c r="D25" s="123">
        <v>38679</v>
      </c>
      <c r="E25" s="44">
        <v>1.8800000000000001E-2</v>
      </c>
      <c r="F25" s="45">
        <v>727</v>
      </c>
      <c r="G25" s="46">
        <v>37952</v>
      </c>
      <c r="H25" s="124">
        <v>5802</v>
      </c>
      <c r="I25" s="157">
        <v>105762</v>
      </c>
      <c r="J25" s="48">
        <v>1.8800000000000001E-2</v>
      </c>
      <c r="K25" s="49">
        <v>1988</v>
      </c>
      <c r="L25" s="50">
        <v>103774</v>
      </c>
      <c r="M25" s="158">
        <v>15864</v>
      </c>
      <c r="N25" s="149">
        <v>144441</v>
      </c>
      <c r="O25" s="51">
        <v>39583</v>
      </c>
      <c r="P25" s="51">
        <v>104858</v>
      </c>
      <c r="Q25" s="51">
        <v>52429</v>
      </c>
      <c r="R25" s="51">
        <v>21666</v>
      </c>
      <c r="S25" s="139">
        <v>141726</v>
      </c>
    </row>
    <row r="26" spans="1:19">
      <c r="A26" s="41" t="s">
        <v>59</v>
      </c>
      <c r="B26" s="42" t="s">
        <v>96</v>
      </c>
      <c r="C26" s="107" t="s">
        <v>97</v>
      </c>
      <c r="D26" s="123">
        <v>35515</v>
      </c>
      <c r="E26" s="44">
        <v>1.8800000000000001E-2</v>
      </c>
      <c r="F26" s="45">
        <v>668</v>
      </c>
      <c r="G26" s="46">
        <v>34847</v>
      </c>
      <c r="H26" s="124">
        <v>5327</v>
      </c>
      <c r="I26" s="157">
        <v>97109</v>
      </c>
      <c r="J26" s="48">
        <v>1.8800000000000001E-2</v>
      </c>
      <c r="K26" s="49">
        <v>1826</v>
      </c>
      <c r="L26" s="50">
        <v>95283</v>
      </c>
      <c r="M26" s="158">
        <v>14566</v>
      </c>
      <c r="N26" s="149">
        <v>132624</v>
      </c>
      <c r="O26" s="51">
        <v>36657</v>
      </c>
      <c r="P26" s="51">
        <v>95967</v>
      </c>
      <c r="Q26" s="51">
        <v>47984</v>
      </c>
      <c r="R26" s="51">
        <v>19893</v>
      </c>
      <c r="S26" s="139">
        <v>130130</v>
      </c>
    </row>
    <row r="27" spans="1:19">
      <c r="A27" s="41" t="s">
        <v>59</v>
      </c>
      <c r="B27" s="42" t="s">
        <v>98</v>
      </c>
      <c r="C27" s="107" t="s">
        <v>99</v>
      </c>
      <c r="D27" s="123">
        <v>23969</v>
      </c>
      <c r="E27" s="44">
        <v>1.8800000000000001E-2</v>
      </c>
      <c r="F27" s="45">
        <v>451</v>
      </c>
      <c r="G27" s="46">
        <v>23518</v>
      </c>
      <c r="H27" s="124">
        <v>3595</v>
      </c>
      <c r="I27" s="157">
        <v>65540</v>
      </c>
      <c r="J27" s="48">
        <v>1.8800000000000001E-2</v>
      </c>
      <c r="K27" s="49">
        <v>1232</v>
      </c>
      <c r="L27" s="50">
        <v>64308</v>
      </c>
      <c r="M27" s="158">
        <v>9831</v>
      </c>
      <c r="N27" s="149">
        <v>89509</v>
      </c>
      <c r="O27" s="51">
        <v>24957</v>
      </c>
      <c r="P27" s="51">
        <v>64552</v>
      </c>
      <c r="Q27" s="51">
        <v>32276</v>
      </c>
      <c r="R27" s="51">
        <v>13426</v>
      </c>
      <c r="S27" s="139">
        <v>87826</v>
      </c>
    </row>
    <row r="28" spans="1:19">
      <c r="A28" s="41" t="s">
        <v>59</v>
      </c>
      <c r="B28" s="42" t="s">
        <v>100</v>
      </c>
      <c r="C28" s="107" t="s">
        <v>101</v>
      </c>
      <c r="D28" s="123">
        <v>24426</v>
      </c>
      <c r="E28" s="44">
        <v>1.8800000000000001E-2</v>
      </c>
      <c r="F28" s="45">
        <v>459</v>
      </c>
      <c r="G28" s="46">
        <v>23967</v>
      </c>
      <c r="H28" s="124">
        <v>3664</v>
      </c>
      <c r="I28" s="157">
        <v>66790</v>
      </c>
      <c r="J28" s="48">
        <v>1.8800000000000001E-2</v>
      </c>
      <c r="K28" s="49">
        <v>1256</v>
      </c>
      <c r="L28" s="50">
        <v>65534</v>
      </c>
      <c r="M28" s="158">
        <v>10019</v>
      </c>
      <c r="N28" s="149">
        <v>91216</v>
      </c>
      <c r="O28" s="51">
        <v>25601</v>
      </c>
      <c r="P28" s="51">
        <v>65615</v>
      </c>
      <c r="Q28" s="51">
        <v>32808</v>
      </c>
      <c r="R28" s="51">
        <v>13683</v>
      </c>
      <c r="S28" s="139">
        <v>89501</v>
      </c>
    </row>
    <row r="29" spans="1:19">
      <c r="A29" s="41" t="s">
        <v>59</v>
      </c>
      <c r="B29" s="42" t="s">
        <v>102</v>
      </c>
      <c r="C29" s="107" t="s">
        <v>103</v>
      </c>
      <c r="D29" s="123">
        <v>15922</v>
      </c>
      <c r="E29" s="44">
        <v>1.8800000000000001E-2</v>
      </c>
      <c r="F29" s="45">
        <v>299</v>
      </c>
      <c r="G29" s="46">
        <v>15623</v>
      </c>
      <c r="H29" s="124">
        <v>2388</v>
      </c>
      <c r="I29" s="157">
        <v>43535</v>
      </c>
      <c r="J29" s="48">
        <v>1.8800000000000001E-2</v>
      </c>
      <c r="K29" s="49">
        <v>818</v>
      </c>
      <c r="L29" s="50">
        <v>42717</v>
      </c>
      <c r="M29" s="158">
        <v>6530</v>
      </c>
      <c r="N29" s="149">
        <v>59457</v>
      </c>
      <c r="O29" s="51">
        <v>16346</v>
      </c>
      <c r="P29" s="51">
        <v>43111</v>
      </c>
      <c r="Q29" s="51">
        <v>21556</v>
      </c>
      <c r="R29" s="51">
        <v>8918</v>
      </c>
      <c r="S29" s="139">
        <v>58340</v>
      </c>
    </row>
    <row r="30" spans="1:19">
      <c r="A30" s="41" t="s">
        <v>59</v>
      </c>
      <c r="B30" s="42" t="s">
        <v>104</v>
      </c>
      <c r="C30" s="107" t="s">
        <v>105</v>
      </c>
      <c r="D30" s="123">
        <v>89625</v>
      </c>
      <c r="E30" s="44">
        <v>1.8800000000000001E-2</v>
      </c>
      <c r="F30" s="45">
        <v>1685</v>
      </c>
      <c r="G30" s="46">
        <v>87940</v>
      </c>
      <c r="H30" s="124">
        <v>13444</v>
      </c>
      <c r="I30" s="157">
        <v>245067</v>
      </c>
      <c r="J30" s="48">
        <v>1.8800000000000001E-2</v>
      </c>
      <c r="K30" s="49">
        <v>4607</v>
      </c>
      <c r="L30" s="50">
        <v>240460</v>
      </c>
      <c r="M30" s="158">
        <v>36760</v>
      </c>
      <c r="N30" s="149">
        <v>334692</v>
      </c>
      <c r="O30" s="51">
        <v>88971</v>
      </c>
      <c r="P30" s="51">
        <v>245721</v>
      </c>
      <c r="Q30" s="51">
        <v>122861</v>
      </c>
      <c r="R30" s="51">
        <v>50204</v>
      </c>
      <c r="S30" s="139">
        <v>328400</v>
      </c>
    </row>
    <row r="31" spans="1:19" ht="15.75" thickBot="1">
      <c r="A31" s="60" t="s">
        <v>59</v>
      </c>
      <c r="B31" s="61" t="s">
        <v>106</v>
      </c>
      <c r="C31" s="109" t="s">
        <v>107</v>
      </c>
      <c r="D31" s="127">
        <v>210125</v>
      </c>
      <c r="E31" s="63">
        <v>1.8800000000000001E-2</v>
      </c>
      <c r="F31" s="64">
        <v>3950</v>
      </c>
      <c r="G31" s="65">
        <v>206175</v>
      </c>
      <c r="H31" s="128">
        <v>31519</v>
      </c>
      <c r="I31" s="161">
        <v>574555</v>
      </c>
      <c r="J31" s="67">
        <v>1.8800000000000001E-2</v>
      </c>
      <c r="K31" s="68">
        <v>10802</v>
      </c>
      <c r="L31" s="69">
        <v>563753</v>
      </c>
      <c r="M31" s="162">
        <v>86183</v>
      </c>
      <c r="N31" s="150">
        <v>784680</v>
      </c>
      <c r="O31" s="70">
        <v>207192</v>
      </c>
      <c r="P31" s="70">
        <v>577488</v>
      </c>
      <c r="Q31" s="70">
        <v>288744</v>
      </c>
      <c r="R31" s="70">
        <v>117702</v>
      </c>
      <c r="S31" s="140">
        <v>769928</v>
      </c>
    </row>
    <row r="32" spans="1:19">
      <c r="A32" s="71" t="s">
        <v>108</v>
      </c>
      <c r="B32" s="72" t="s">
        <v>109</v>
      </c>
      <c r="C32" s="110" t="s">
        <v>110</v>
      </c>
      <c r="D32" s="129">
        <v>34509</v>
      </c>
      <c r="E32" s="73">
        <v>1.18E-2</v>
      </c>
      <c r="F32" s="74">
        <v>407</v>
      </c>
      <c r="G32" s="75">
        <v>34102</v>
      </c>
      <c r="H32" s="130">
        <v>5176</v>
      </c>
      <c r="I32" s="163">
        <v>94360</v>
      </c>
      <c r="J32" s="76">
        <v>1.18E-2</v>
      </c>
      <c r="K32" s="77">
        <v>1113</v>
      </c>
      <c r="L32" s="78">
        <v>93247</v>
      </c>
      <c r="M32" s="164">
        <v>14154</v>
      </c>
      <c r="N32" s="151">
        <v>128869</v>
      </c>
      <c r="O32" s="79">
        <v>35770</v>
      </c>
      <c r="P32" s="79">
        <v>93099</v>
      </c>
      <c r="Q32" s="79">
        <v>46550</v>
      </c>
      <c r="R32" s="79">
        <v>19330</v>
      </c>
      <c r="S32" s="141">
        <v>127349</v>
      </c>
    </row>
    <row r="33" spans="1:19">
      <c r="A33" s="41" t="s">
        <v>108</v>
      </c>
      <c r="B33" s="42" t="s">
        <v>111</v>
      </c>
      <c r="C33" s="107" t="s">
        <v>112</v>
      </c>
      <c r="D33" s="123">
        <v>14962</v>
      </c>
      <c r="E33" s="44">
        <v>1.18E-2</v>
      </c>
      <c r="F33" s="45">
        <v>177</v>
      </c>
      <c r="G33" s="46">
        <v>14785</v>
      </c>
      <c r="H33" s="124">
        <v>2244</v>
      </c>
      <c r="I33" s="157">
        <v>40912</v>
      </c>
      <c r="J33" s="48">
        <v>1.18E-2</v>
      </c>
      <c r="K33" s="49">
        <v>483</v>
      </c>
      <c r="L33" s="50">
        <v>40429</v>
      </c>
      <c r="M33" s="158">
        <v>6137</v>
      </c>
      <c r="N33" s="149">
        <v>55874</v>
      </c>
      <c r="O33" s="51">
        <v>15158</v>
      </c>
      <c r="P33" s="51">
        <v>40716</v>
      </c>
      <c r="Q33" s="51">
        <v>20358</v>
      </c>
      <c r="R33" s="51">
        <v>8381</v>
      </c>
      <c r="S33" s="139">
        <v>55214</v>
      </c>
    </row>
    <row r="34" spans="1:19">
      <c r="A34" s="41" t="s">
        <v>108</v>
      </c>
      <c r="B34" s="42" t="s">
        <v>113</v>
      </c>
      <c r="C34" s="107" t="s">
        <v>114</v>
      </c>
      <c r="D34" s="123">
        <v>16311</v>
      </c>
      <c r="E34" s="44">
        <v>1.18E-2</v>
      </c>
      <c r="F34" s="45">
        <v>192</v>
      </c>
      <c r="G34" s="46">
        <v>16119</v>
      </c>
      <c r="H34" s="124">
        <v>2447</v>
      </c>
      <c r="I34" s="157">
        <v>44600</v>
      </c>
      <c r="J34" s="48">
        <v>1.18E-2</v>
      </c>
      <c r="K34" s="49">
        <v>526</v>
      </c>
      <c r="L34" s="50">
        <v>44074</v>
      </c>
      <c r="M34" s="158">
        <v>6690</v>
      </c>
      <c r="N34" s="149">
        <v>60911</v>
      </c>
      <c r="O34" s="51">
        <v>15058</v>
      </c>
      <c r="P34" s="51">
        <v>45853</v>
      </c>
      <c r="Q34" s="51">
        <v>22927</v>
      </c>
      <c r="R34" s="51">
        <v>9137</v>
      </c>
      <c r="S34" s="139">
        <v>60193</v>
      </c>
    </row>
    <row r="35" spans="1:19">
      <c r="A35" s="41" t="s">
        <v>108</v>
      </c>
      <c r="B35" s="42" t="s">
        <v>115</v>
      </c>
      <c r="C35" s="107" t="s">
        <v>116</v>
      </c>
      <c r="D35" s="123">
        <v>40439</v>
      </c>
      <c r="E35" s="44">
        <v>1.18E-2</v>
      </c>
      <c r="F35" s="45">
        <v>477</v>
      </c>
      <c r="G35" s="46">
        <v>39962</v>
      </c>
      <c r="H35" s="124">
        <v>6066</v>
      </c>
      <c r="I35" s="157">
        <v>110577</v>
      </c>
      <c r="J35" s="48">
        <v>1.18E-2</v>
      </c>
      <c r="K35" s="49">
        <v>1305</v>
      </c>
      <c r="L35" s="50">
        <v>109272</v>
      </c>
      <c r="M35" s="158">
        <v>16587</v>
      </c>
      <c r="N35" s="149">
        <v>151016</v>
      </c>
      <c r="O35" s="51">
        <v>40393</v>
      </c>
      <c r="P35" s="51">
        <v>110623</v>
      </c>
      <c r="Q35" s="51">
        <v>55312</v>
      </c>
      <c r="R35" s="51">
        <v>22653</v>
      </c>
      <c r="S35" s="139">
        <v>149234</v>
      </c>
    </row>
    <row r="36" spans="1:19">
      <c r="A36" s="41" t="s">
        <v>108</v>
      </c>
      <c r="B36" s="42" t="s">
        <v>117</v>
      </c>
      <c r="C36" s="107" t="s">
        <v>118</v>
      </c>
      <c r="D36" s="123">
        <v>31624</v>
      </c>
      <c r="E36" s="44">
        <v>1.18E-2</v>
      </c>
      <c r="F36" s="45">
        <v>373</v>
      </c>
      <c r="G36" s="46">
        <v>31251</v>
      </c>
      <c r="H36" s="124">
        <v>4744</v>
      </c>
      <c r="I36" s="157">
        <v>86471</v>
      </c>
      <c r="J36" s="48">
        <v>1.18E-2</v>
      </c>
      <c r="K36" s="49">
        <v>1020</v>
      </c>
      <c r="L36" s="50">
        <v>85451</v>
      </c>
      <c r="M36" s="158">
        <v>12971</v>
      </c>
      <c r="N36" s="149">
        <v>118095</v>
      </c>
      <c r="O36" s="51">
        <v>31683</v>
      </c>
      <c r="P36" s="51">
        <v>86412</v>
      </c>
      <c r="Q36" s="51">
        <v>43206</v>
      </c>
      <c r="R36" s="51">
        <v>17715</v>
      </c>
      <c r="S36" s="139">
        <v>116702</v>
      </c>
    </row>
    <row r="37" spans="1:19">
      <c r="A37" s="41" t="s">
        <v>108</v>
      </c>
      <c r="B37" s="42" t="s">
        <v>119</v>
      </c>
      <c r="C37" s="107" t="s">
        <v>120</v>
      </c>
      <c r="D37" s="123">
        <v>39202</v>
      </c>
      <c r="E37" s="44">
        <v>1.18E-2</v>
      </c>
      <c r="F37" s="45">
        <v>463</v>
      </c>
      <c r="G37" s="46">
        <v>38739</v>
      </c>
      <c r="H37" s="124">
        <v>5880</v>
      </c>
      <c r="I37" s="157">
        <v>107192</v>
      </c>
      <c r="J37" s="48">
        <v>1.18E-2</v>
      </c>
      <c r="K37" s="49">
        <v>1265</v>
      </c>
      <c r="L37" s="50">
        <v>105927</v>
      </c>
      <c r="M37" s="158">
        <v>16079</v>
      </c>
      <c r="N37" s="149">
        <v>146394</v>
      </c>
      <c r="O37" s="51">
        <v>39005</v>
      </c>
      <c r="P37" s="51">
        <v>107389</v>
      </c>
      <c r="Q37" s="51">
        <v>53695</v>
      </c>
      <c r="R37" s="51">
        <v>21959</v>
      </c>
      <c r="S37" s="139">
        <v>144666</v>
      </c>
    </row>
    <row r="38" spans="1:19">
      <c r="A38" s="41" t="s">
        <v>108</v>
      </c>
      <c r="B38" s="42" t="s">
        <v>121</v>
      </c>
      <c r="C38" s="107" t="s">
        <v>122</v>
      </c>
      <c r="D38" s="123">
        <v>33375</v>
      </c>
      <c r="E38" s="44">
        <v>1.18E-2</v>
      </c>
      <c r="F38" s="45">
        <v>394</v>
      </c>
      <c r="G38" s="46">
        <v>32981</v>
      </c>
      <c r="H38" s="124">
        <v>5006</v>
      </c>
      <c r="I38" s="157">
        <v>91257</v>
      </c>
      <c r="J38" s="48">
        <v>1.18E-2</v>
      </c>
      <c r="K38" s="49">
        <v>1077</v>
      </c>
      <c r="L38" s="50">
        <v>90180</v>
      </c>
      <c r="M38" s="158">
        <v>13689</v>
      </c>
      <c r="N38" s="149">
        <v>124632</v>
      </c>
      <c r="O38" s="51">
        <v>33743</v>
      </c>
      <c r="P38" s="51">
        <v>90889</v>
      </c>
      <c r="Q38" s="51">
        <v>45445</v>
      </c>
      <c r="R38" s="51">
        <v>18695</v>
      </c>
      <c r="S38" s="139">
        <v>123161</v>
      </c>
    </row>
    <row r="39" spans="1:19">
      <c r="A39" s="41" t="s">
        <v>108</v>
      </c>
      <c r="B39" s="42" t="s">
        <v>123</v>
      </c>
      <c r="C39" s="107" t="s">
        <v>124</v>
      </c>
      <c r="D39" s="123">
        <v>27876</v>
      </c>
      <c r="E39" s="44">
        <v>1.18E-2</v>
      </c>
      <c r="F39" s="45">
        <v>329</v>
      </c>
      <c r="G39" s="46">
        <v>27547</v>
      </c>
      <c r="H39" s="124">
        <v>4181</v>
      </c>
      <c r="I39" s="157">
        <v>76224</v>
      </c>
      <c r="J39" s="48">
        <v>1.18E-2</v>
      </c>
      <c r="K39" s="49">
        <v>899</v>
      </c>
      <c r="L39" s="50">
        <v>75325</v>
      </c>
      <c r="M39" s="158">
        <v>11434</v>
      </c>
      <c r="N39" s="149">
        <v>104100</v>
      </c>
      <c r="O39" s="51">
        <v>28765</v>
      </c>
      <c r="P39" s="51">
        <v>75335</v>
      </c>
      <c r="Q39" s="51">
        <v>37668</v>
      </c>
      <c r="R39" s="51">
        <v>15615</v>
      </c>
      <c r="S39" s="139">
        <v>102872</v>
      </c>
    </row>
    <row r="40" spans="1:19">
      <c r="A40" s="41" t="s">
        <v>108</v>
      </c>
      <c r="B40" s="42" t="s">
        <v>125</v>
      </c>
      <c r="C40" s="107" t="s">
        <v>126</v>
      </c>
      <c r="D40" s="123">
        <v>28481</v>
      </c>
      <c r="E40" s="44">
        <v>1.18E-2</v>
      </c>
      <c r="F40" s="45">
        <v>336</v>
      </c>
      <c r="G40" s="46">
        <v>28145</v>
      </c>
      <c r="H40" s="124">
        <v>4272</v>
      </c>
      <c r="I40" s="157">
        <v>77878</v>
      </c>
      <c r="J40" s="48">
        <v>1.18E-2</v>
      </c>
      <c r="K40" s="49">
        <v>919</v>
      </c>
      <c r="L40" s="50">
        <v>76959</v>
      </c>
      <c r="M40" s="158">
        <v>11682</v>
      </c>
      <c r="N40" s="149">
        <v>106359</v>
      </c>
      <c r="O40" s="51">
        <v>29120</v>
      </c>
      <c r="P40" s="51">
        <v>77239</v>
      </c>
      <c r="Q40" s="51">
        <v>38620</v>
      </c>
      <c r="R40" s="51">
        <v>15954</v>
      </c>
      <c r="S40" s="139">
        <v>105104</v>
      </c>
    </row>
    <row r="41" spans="1:19">
      <c r="A41" s="41" t="s">
        <v>108</v>
      </c>
      <c r="B41" s="42" t="s">
        <v>127</v>
      </c>
      <c r="C41" s="107" t="s">
        <v>128</v>
      </c>
      <c r="D41" s="123">
        <v>15654</v>
      </c>
      <c r="E41" s="44">
        <v>1.18E-2</v>
      </c>
      <c r="F41" s="45">
        <v>185</v>
      </c>
      <c r="G41" s="46">
        <v>15469</v>
      </c>
      <c r="H41" s="124">
        <v>2348</v>
      </c>
      <c r="I41" s="157">
        <v>42802</v>
      </c>
      <c r="J41" s="48">
        <v>1.18E-2</v>
      </c>
      <c r="K41" s="49">
        <v>505</v>
      </c>
      <c r="L41" s="50">
        <v>42297</v>
      </c>
      <c r="M41" s="158">
        <v>6420</v>
      </c>
      <c r="N41" s="149">
        <v>58456</v>
      </c>
      <c r="O41" s="51">
        <v>15524</v>
      </c>
      <c r="P41" s="51">
        <v>42932</v>
      </c>
      <c r="Q41" s="51">
        <v>21466</v>
      </c>
      <c r="R41" s="51">
        <v>8768</v>
      </c>
      <c r="S41" s="139">
        <v>57766</v>
      </c>
    </row>
    <row r="42" spans="1:19">
      <c r="A42" s="41" t="s">
        <v>108</v>
      </c>
      <c r="B42" s="42" t="s">
        <v>129</v>
      </c>
      <c r="C42" s="107" t="s">
        <v>130</v>
      </c>
      <c r="D42" s="123">
        <v>226306</v>
      </c>
      <c r="E42" s="44">
        <v>1.18E-2</v>
      </c>
      <c r="F42" s="45">
        <v>2670</v>
      </c>
      <c r="G42" s="46">
        <v>223636</v>
      </c>
      <c r="H42" s="124">
        <v>33946</v>
      </c>
      <c r="I42" s="157">
        <v>618800</v>
      </c>
      <c r="J42" s="48">
        <v>1.18E-2</v>
      </c>
      <c r="K42" s="49">
        <v>7302</v>
      </c>
      <c r="L42" s="50">
        <v>611498</v>
      </c>
      <c r="M42" s="158">
        <v>92820</v>
      </c>
      <c r="N42" s="149">
        <v>845106</v>
      </c>
      <c r="O42" s="51">
        <v>218829</v>
      </c>
      <c r="P42" s="51">
        <v>626277</v>
      </c>
      <c r="Q42" s="51">
        <v>313139</v>
      </c>
      <c r="R42" s="51">
        <v>126766</v>
      </c>
      <c r="S42" s="139">
        <v>835134</v>
      </c>
    </row>
    <row r="43" spans="1:19">
      <c r="A43" s="41" t="s">
        <v>108</v>
      </c>
      <c r="B43" s="42" t="s">
        <v>131</v>
      </c>
      <c r="C43" s="107" t="s">
        <v>132</v>
      </c>
      <c r="D43" s="123">
        <v>93674</v>
      </c>
      <c r="E43" s="44">
        <v>1.18E-2</v>
      </c>
      <c r="F43" s="45">
        <v>1105</v>
      </c>
      <c r="G43" s="46">
        <v>92569</v>
      </c>
      <c r="H43" s="124">
        <v>14051</v>
      </c>
      <c r="I43" s="157">
        <v>256137</v>
      </c>
      <c r="J43" s="48">
        <v>1.18E-2</v>
      </c>
      <c r="K43" s="49">
        <v>3022</v>
      </c>
      <c r="L43" s="50">
        <v>253115</v>
      </c>
      <c r="M43" s="158">
        <v>38421</v>
      </c>
      <c r="N43" s="149">
        <v>349811</v>
      </c>
      <c r="O43" s="51">
        <v>99925</v>
      </c>
      <c r="P43" s="51">
        <v>249886</v>
      </c>
      <c r="Q43" s="51">
        <v>124943</v>
      </c>
      <c r="R43" s="51">
        <v>52472</v>
      </c>
      <c r="S43" s="139">
        <v>345684</v>
      </c>
    </row>
    <row r="44" spans="1:19">
      <c r="A44" s="41" t="s">
        <v>108</v>
      </c>
      <c r="B44" s="42" t="s">
        <v>133</v>
      </c>
      <c r="C44" s="107" t="s">
        <v>134</v>
      </c>
      <c r="D44" s="123">
        <v>19609</v>
      </c>
      <c r="E44" s="44">
        <v>1.18E-2</v>
      </c>
      <c r="F44" s="45">
        <v>231</v>
      </c>
      <c r="G44" s="46">
        <v>19378</v>
      </c>
      <c r="H44" s="124">
        <v>2941</v>
      </c>
      <c r="I44" s="157">
        <v>53620</v>
      </c>
      <c r="J44" s="48">
        <v>1.18E-2</v>
      </c>
      <c r="K44" s="49">
        <v>633</v>
      </c>
      <c r="L44" s="50">
        <v>52987</v>
      </c>
      <c r="M44" s="158">
        <v>8043</v>
      </c>
      <c r="N44" s="149">
        <v>73229</v>
      </c>
      <c r="O44" s="51">
        <v>19900</v>
      </c>
      <c r="P44" s="51">
        <v>53329</v>
      </c>
      <c r="Q44" s="51">
        <v>26665</v>
      </c>
      <c r="R44" s="51">
        <v>10984</v>
      </c>
      <c r="S44" s="139">
        <v>72365</v>
      </c>
    </row>
    <row r="45" spans="1:19">
      <c r="A45" s="41" t="s">
        <v>108</v>
      </c>
      <c r="B45" s="42" t="s">
        <v>135</v>
      </c>
      <c r="C45" s="107" t="s">
        <v>136</v>
      </c>
      <c r="D45" s="123">
        <v>73004</v>
      </c>
      <c r="E45" s="44">
        <v>1.18E-2</v>
      </c>
      <c r="F45" s="45">
        <v>861</v>
      </c>
      <c r="G45" s="46">
        <v>72143</v>
      </c>
      <c r="H45" s="124">
        <v>10951</v>
      </c>
      <c r="I45" s="157">
        <v>199618</v>
      </c>
      <c r="J45" s="48">
        <v>1.18E-2</v>
      </c>
      <c r="K45" s="49">
        <v>2355</v>
      </c>
      <c r="L45" s="50">
        <v>197263</v>
      </c>
      <c r="M45" s="158">
        <v>29943</v>
      </c>
      <c r="N45" s="149">
        <v>272622</v>
      </c>
      <c r="O45" s="51">
        <v>70477</v>
      </c>
      <c r="P45" s="51">
        <v>202145</v>
      </c>
      <c r="Q45" s="51">
        <v>101073</v>
      </c>
      <c r="R45" s="51">
        <v>40894</v>
      </c>
      <c r="S45" s="139">
        <v>269406</v>
      </c>
    </row>
    <row r="46" spans="1:19">
      <c r="A46" s="80" t="s">
        <v>108</v>
      </c>
      <c r="B46" s="81" t="s">
        <v>137</v>
      </c>
      <c r="C46" s="111" t="s">
        <v>138</v>
      </c>
      <c r="D46" s="123">
        <v>8796</v>
      </c>
      <c r="E46" s="44">
        <v>1.18E-2</v>
      </c>
      <c r="F46" s="45">
        <v>104</v>
      </c>
      <c r="G46" s="46">
        <v>8692</v>
      </c>
      <c r="H46" s="124">
        <v>1319</v>
      </c>
      <c r="I46" s="157">
        <v>24051</v>
      </c>
      <c r="J46" s="48">
        <v>1.18E-2</v>
      </c>
      <c r="K46" s="49">
        <v>284</v>
      </c>
      <c r="L46" s="50">
        <v>23767</v>
      </c>
      <c r="M46" s="158">
        <v>3608</v>
      </c>
      <c r="N46" s="149">
        <v>32847</v>
      </c>
      <c r="O46" s="51">
        <v>9743</v>
      </c>
      <c r="P46" s="51">
        <v>23104</v>
      </c>
      <c r="Q46" s="51">
        <v>11552</v>
      </c>
      <c r="R46" s="51">
        <v>4927</v>
      </c>
      <c r="S46" s="139">
        <v>32459</v>
      </c>
    </row>
    <row r="47" spans="1:19">
      <c r="A47" s="41" t="s">
        <v>108</v>
      </c>
      <c r="B47" s="42" t="s">
        <v>139</v>
      </c>
      <c r="C47" s="107" t="s">
        <v>140</v>
      </c>
      <c r="D47" s="123">
        <v>35341</v>
      </c>
      <c r="E47" s="44">
        <v>1.18E-2</v>
      </c>
      <c r="F47" s="45">
        <v>417</v>
      </c>
      <c r="G47" s="46">
        <v>34924</v>
      </c>
      <c r="H47" s="124">
        <v>5301</v>
      </c>
      <c r="I47" s="157">
        <v>96634</v>
      </c>
      <c r="J47" s="48">
        <v>1.18E-2</v>
      </c>
      <c r="K47" s="49">
        <v>1140</v>
      </c>
      <c r="L47" s="50">
        <v>95494</v>
      </c>
      <c r="M47" s="158">
        <v>14495</v>
      </c>
      <c r="N47" s="149">
        <v>131975</v>
      </c>
      <c r="O47" s="51">
        <v>34108</v>
      </c>
      <c r="P47" s="51">
        <v>97867</v>
      </c>
      <c r="Q47" s="51">
        <v>48934</v>
      </c>
      <c r="R47" s="51">
        <v>19796</v>
      </c>
      <c r="S47" s="139">
        <v>130418</v>
      </c>
    </row>
    <row r="48" spans="1:19">
      <c r="A48" s="41" t="s">
        <v>108</v>
      </c>
      <c r="B48" s="42" t="s">
        <v>141</v>
      </c>
      <c r="C48" s="107" t="s">
        <v>142</v>
      </c>
      <c r="D48" s="123">
        <v>38598</v>
      </c>
      <c r="E48" s="44">
        <v>1.18E-2</v>
      </c>
      <c r="F48" s="45">
        <v>455</v>
      </c>
      <c r="G48" s="46">
        <v>38143</v>
      </c>
      <c r="H48" s="124">
        <v>5790</v>
      </c>
      <c r="I48" s="157">
        <v>105541</v>
      </c>
      <c r="J48" s="48">
        <v>1.18E-2</v>
      </c>
      <c r="K48" s="49">
        <v>1245</v>
      </c>
      <c r="L48" s="50">
        <v>104296</v>
      </c>
      <c r="M48" s="158">
        <v>15831</v>
      </c>
      <c r="N48" s="149">
        <v>144139</v>
      </c>
      <c r="O48" s="51">
        <v>38671</v>
      </c>
      <c r="P48" s="51">
        <v>105468</v>
      </c>
      <c r="Q48" s="51">
        <v>52734</v>
      </c>
      <c r="R48" s="51">
        <v>21621</v>
      </c>
      <c r="S48" s="139">
        <v>142439</v>
      </c>
    </row>
    <row r="49" spans="1:19">
      <c r="A49" s="80" t="s">
        <v>108</v>
      </c>
      <c r="B49" s="81" t="s">
        <v>143</v>
      </c>
      <c r="C49" s="111" t="s">
        <v>144</v>
      </c>
      <c r="D49" s="123">
        <v>8164</v>
      </c>
      <c r="E49" s="44">
        <v>1.18E-2</v>
      </c>
      <c r="F49" s="45">
        <v>96</v>
      </c>
      <c r="G49" s="46">
        <v>8068</v>
      </c>
      <c r="H49" s="124">
        <v>1225</v>
      </c>
      <c r="I49" s="157">
        <v>22322</v>
      </c>
      <c r="J49" s="48">
        <v>1.18E-2</v>
      </c>
      <c r="K49" s="49">
        <v>263</v>
      </c>
      <c r="L49" s="50">
        <v>22059</v>
      </c>
      <c r="M49" s="158">
        <v>3348</v>
      </c>
      <c r="N49" s="149">
        <v>30486</v>
      </c>
      <c r="O49" s="51">
        <v>7161</v>
      </c>
      <c r="P49" s="51">
        <v>23325</v>
      </c>
      <c r="Q49" s="51">
        <v>11663</v>
      </c>
      <c r="R49" s="51">
        <v>4573</v>
      </c>
      <c r="S49" s="139">
        <v>30127</v>
      </c>
    </row>
    <row r="50" spans="1:19">
      <c r="A50" s="41" t="s">
        <v>108</v>
      </c>
      <c r="B50" s="42" t="s">
        <v>145</v>
      </c>
      <c r="C50" s="107" t="s">
        <v>146</v>
      </c>
      <c r="D50" s="123">
        <v>25084</v>
      </c>
      <c r="E50" s="44">
        <v>1.18E-2</v>
      </c>
      <c r="F50" s="45">
        <v>296</v>
      </c>
      <c r="G50" s="46">
        <v>24788</v>
      </c>
      <c r="H50" s="124">
        <v>3763</v>
      </c>
      <c r="I50" s="157">
        <v>68588</v>
      </c>
      <c r="J50" s="48">
        <v>1.18E-2</v>
      </c>
      <c r="K50" s="49">
        <v>809</v>
      </c>
      <c r="L50" s="50">
        <v>67779</v>
      </c>
      <c r="M50" s="158">
        <v>10288</v>
      </c>
      <c r="N50" s="149">
        <v>93672</v>
      </c>
      <c r="O50" s="51">
        <v>24616</v>
      </c>
      <c r="P50" s="51">
        <v>69056</v>
      </c>
      <c r="Q50" s="51">
        <v>34528</v>
      </c>
      <c r="R50" s="51">
        <v>14051</v>
      </c>
      <c r="S50" s="139">
        <v>92567</v>
      </c>
    </row>
    <row r="51" spans="1:19">
      <c r="A51" s="41" t="s">
        <v>108</v>
      </c>
      <c r="B51" s="42" t="s">
        <v>147</v>
      </c>
      <c r="C51" s="107" t="s">
        <v>148</v>
      </c>
      <c r="D51" s="123">
        <v>28807</v>
      </c>
      <c r="E51" s="44">
        <v>1.18E-2</v>
      </c>
      <c r="F51" s="45">
        <v>340</v>
      </c>
      <c r="G51" s="46">
        <v>28467</v>
      </c>
      <c r="H51" s="124">
        <v>4321</v>
      </c>
      <c r="I51" s="157">
        <v>78768</v>
      </c>
      <c r="J51" s="48">
        <v>1.18E-2</v>
      </c>
      <c r="K51" s="49">
        <v>929</v>
      </c>
      <c r="L51" s="50">
        <v>77839</v>
      </c>
      <c r="M51" s="158">
        <v>11815</v>
      </c>
      <c r="N51" s="149">
        <v>107575</v>
      </c>
      <c r="O51" s="51">
        <v>28828</v>
      </c>
      <c r="P51" s="51">
        <v>78747</v>
      </c>
      <c r="Q51" s="51">
        <v>39374</v>
      </c>
      <c r="R51" s="51">
        <v>16136</v>
      </c>
      <c r="S51" s="139">
        <v>106306</v>
      </c>
    </row>
    <row r="52" spans="1:19">
      <c r="A52" s="41" t="s">
        <v>108</v>
      </c>
      <c r="B52" s="42" t="s">
        <v>149</v>
      </c>
      <c r="C52" s="107" t="s">
        <v>150</v>
      </c>
      <c r="D52" s="123">
        <v>38504</v>
      </c>
      <c r="E52" s="44">
        <v>1.18E-2</v>
      </c>
      <c r="F52" s="45">
        <v>454</v>
      </c>
      <c r="G52" s="46">
        <v>38050</v>
      </c>
      <c r="H52" s="124">
        <v>5776</v>
      </c>
      <c r="I52" s="157">
        <v>105282</v>
      </c>
      <c r="J52" s="48">
        <v>1.18E-2</v>
      </c>
      <c r="K52" s="49">
        <v>1242</v>
      </c>
      <c r="L52" s="50">
        <v>104040</v>
      </c>
      <c r="M52" s="158">
        <v>15792</v>
      </c>
      <c r="N52" s="149">
        <v>143786</v>
      </c>
      <c r="O52" s="51">
        <v>36104</v>
      </c>
      <c r="P52" s="51">
        <v>107682</v>
      </c>
      <c r="Q52" s="51">
        <v>53841</v>
      </c>
      <c r="R52" s="51">
        <v>21568</v>
      </c>
      <c r="S52" s="139">
        <v>142090</v>
      </c>
    </row>
    <row r="53" spans="1:19">
      <c r="A53" s="41" t="s">
        <v>108</v>
      </c>
      <c r="B53" s="42" t="s">
        <v>151</v>
      </c>
      <c r="C53" s="107" t="s">
        <v>152</v>
      </c>
      <c r="D53" s="123">
        <v>34229</v>
      </c>
      <c r="E53" s="44">
        <v>1.18E-2</v>
      </c>
      <c r="F53" s="45">
        <v>404</v>
      </c>
      <c r="G53" s="46">
        <v>33825</v>
      </c>
      <c r="H53" s="124">
        <v>5134</v>
      </c>
      <c r="I53" s="157">
        <v>93594</v>
      </c>
      <c r="J53" s="48">
        <v>1.18E-2</v>
      </c>
      <c r="K53" s="49">
        <v>1104</v>
      </c>
      <c r="L53" s="50">
        <v>92490</v>
      </c>
      <c r="M53" s="158">
        <v>14039</v>
      </c>
      <c r="N53" s="149">
        <v>127823</v>
      </c>
      <c r="O53" s="51">
        <v>33739</v>
      </c>
      <c r="P53" s="51">
        <v>94084</v>
      </c>
      <c r="Q53" s="51">
        <v>47042</v>
      </c>
      <c r="R53" s="51">
        <v>19173</v>
      </c>
      <c r="S53" s="139">
        <v>126315</v>
      </c>
    </row>
    <row r="54" spans="1:19">
      <c r="A54" s="41" t="s">
        <v>108</v>
      </c>
      <c r="B54" s="42" t="s">
        <v>153</v>
      </c>
      <c r="C54" s="107" t="s">
        <v>154</v>
      </c>
      <c r="D54" s="123">
        <v>63950</v>
      </c>
      <c r="E54" s="44">
        <v>1.18E-2</v>
      </c>
      <c r="F54" s="45">
        <v>755</v>
      </c>
      <c r="G54" s="46">
        <v>63195</v>
      </c>
      <c r="H54" s="124">
        <v>9593</v>
      </c>
      <c r="I54" s="157">
        <v>174862</v>
      </c>
      <c r="J54" s="48">
        <v>1.18E-2</v>
      </c>
      <c r="K54" s="49">
        <v>2063</v>
      </c>
      <c r="L54" s="50">
        <v>172799</v>
      </c>
      <c r="M54" s="158">
        <v>26229</v>
      </c>
      <c r="N54" s="149">
        <v>238812</v>
      </c>
      <c r="O54" s="51">
        <v>64099</v>
      </c>
      <c r="P54" s="51">
        <v>174713</v>
      </c>
      <c r="Q54" s="51">
        <v>87357</v>
      </c>
      <c r="R54" s="51">
        <v>35822</v>
      </c>
      <c r="S54" s="139">
        <v>235994</v>
      </c>
    </row>
    <row r="55" spans="1:19">
      <c r="A55" s="41" t="s">
        <v>108</v>
      </c>
      <c r="B55" s="42" t="s">
        <v>155</v>
      </c>
      <c r="C55" s="107" t="s">
        <v>156</v>
      </c>
      <c r="D55" s="123">
        <v>39345</v>
      </c>
      <c r="E55" s="44">
        <v>1.18E-2</v>
      </c>
      <c r="F55" s="45">
        <v>464</v>
      </c>
      <c r="G55" s="46">
        <v>38881</v>
      </c>
      <c r="H55" s="124">
        <v>5902</v>
      </c>
      <c r="I55" s="157">
        <v>107583</v>
      </c>
      <c r="J55" s="48">
        <v>1.18E-2</v>
      </c>
      <c r="K55" s="49">
        <v>1269</v>
      </c>
      <c r="L55" s="50">
        <v>106314</v>
      </c>
      <c r="M55" s="158">
        <v>16137</v>
      </c>
      <c r="N55" s="149">
        <v>146928</v>
      </c>
      <c r="O55" s="51">
        <v>39146</v>
      </c>
      <c r="P55" s="51">
        <v>107782</v>
      </c>
      <c r="Q55" s="51">
        <v>53891</v>
      </c>
      <c r="R55" s="51">
        <v>22039</v>
      </c>
      <c r="S55" s="139">
        <v>145195</v>
      </c>
    </row>
    <row r="56" spans="1:19">
      <c r="A56" s="41" t="s">
        <v>108</v>
      </c>
      <c r="B56" s="42" t="s">
        <v>157</v>
      </c>
      <c r="C56" s="107" t="s">
        <v>158</v>
      </c>
      <c r="D56" s="123">
        <v>34059</v>
      </c>
      <c r="E56" s="44">
        <v>1.18E-2</v>
      </c>
      <c r="F56" s="45">
        <v>402</v>
      </c>
      <c r="G56" s="46">
        <v>33657</v>
      </c>
      <c r="H56" s="124">
        <v>5109</v>
      </c>
      <c r="I56" s="157">
        <v>93130</v>
      </c>
      <c r="J56" s="48">
        <v>1.18E-2</v>
      </c>
      <c r="K56" s="49">
        <v>1099</v>
      </c>
      <c r="L56" s="50">
        <v>92031</v>
      </c>
      <c r="M56" s="158">
        <v>13970</v>
      </c>
      <c r="N56" s="149">
        <v>127189</v>
      </c>
      <c r="O56" s="51">
        <v>35144</v>
      </c>
      <c r="P56" s="51">
        <v>92045</v>
      </c>
      <c r="Q56" s="51">
        <v>46023</v>
      </c>
      <c r="R56" s="51">
        <v>19079</v>
      </c>
      <c r="S56" s="139">
        <v>125688</v>
      </c>
    </row>
    <row r="57" spans="1:19">
      <c r="A57" s="41" t="s">
        <v>108</v>
      </c>
      <c r="B57" s="42" t="s">
        <v>159</v>
      </c>
      <c r="C57" s="107" t="s">
        <v>160</v>
      </c>
      <c r="D57" s="123">
        <v>13866</v>
      </c>
      <c r="E57" s="44">
        <v>1.18E-2</v>
      </c>
      <c r="F57" s="45">
        <v>164</v>
      </c>
      <c r="G57" s="46">
        <v>13702</v>
      </c>
      <c r="H57" s="124">
        <v>2080</v>
      </c>
      <c r="I57" s="157">
        <v>37916</v>
      </c>
      <c r="J57" s="48">
        <v>1.18E-2</v>
      </c>
      <c r="K57" s="49">
        <v>447</v>
      </c>
      <c r="L57" s="50">
        <v>37469</v>
      </c>
      <c r="M57" s="158">
        <v>5687</v>
      </c>
      <c r="N57" s="149">
        <v>51782</v>
      </c>
      <c r="O57" s="51">
        <v>14285</v>
      </c>
      <c r="P57" s="51">
        <v>37497</v>
      </c>
      <c r="Q57" s="51">
        <v>18749</v>
      </c>
      <c r="R57" s="51">
        <v>7767</v>
      </c>
      <c r="S57" s="139">
        <v>51171</v>
      </c>
    </row>
    <row r="58" spans="1:19">
      <c r="A58" s="41" t="s">
        <v>108</v>
      </c>
      <c r="B58" s="42" t="s">
        <v>161</v>
      </c>
      <c r="C58" s="107" t="s">
        <v>162</v>
      </c>
      <c r="D58" s="123">
        <v>19435</v>
      </c>
      <c r="E58" s="44">
        <v>1.18E-2</v>
      </c>
      <c r="F58" s="45">
        <v>229</v>
      </c>
      <c r="G58" s="46">
        <v>19206</v>
      </c>
      <c r="H58" s="124">
        <v>2915</v>
      </c>
      <c r="I58" s="157">
        <v>53142</v>
      </c>
      <c r="J58" s="48">
        <v>1.18E-2</v>
      </c>
      <c r="K58" s="49">
        <v>627</v>
      </c>
      <c r="L58" s="50">
        <v>52515</v>
      </c>
      <c r="M58" s="158">
        <v>7971</v>
      </c>
      <c r="N58" s="149">
        <v>72577</v>
      </c>
      <c r="O58" s="51">
        <v>18262</v>
      </c>
      <c r="P58" s="51">
        <v>54315</v>
      </c>
      <c r="Q58" s="51">
        <v>27158</v>
      </c>
      <c r="R58" s="51">
        <v>10886</v>
      </c>
      <c r="S58" s="139">
        <v>71721</v>
      </c>
    </row>
    <row r="59" spans="1:19">
      <c r="A59" s="41" t="s">
        <v>108</v>
      </c>
      <c r="B59" s="42" t="s">
        <v>163</v>
      </c>
      <c r="C59" s="107" t="s">
        <v>164</v>
      </c>
      <c r="D59" s="123">
        <v>91181</v>
      </c>
      <c r="E59" s="44">
        <v>1.18E-2</v>
      </c>
      <c r="F59" s="45">
        <v>1076</v>
      </c>
      <c r="G59" s="46">
        <v>90105</v>
      </c>
      <c r="H59" s="124">
        <v>13677</v>
      </c>
      <c r="I59" s="157">
        <v>249324</v>
      </c>
      <c r="J59" s="48">
        <v>1.18E-2</v>
      </c>
      <c r="K59" s="49">
        <v>2942</v>
      </c>
      <c r="L59" s="50">
        <v>246382</v>
      </c>
      <c r="M59" s="158">
        <v>37399</v>
      </c>
      <c r="N59" s="149">
        <v>340505</v>
      </c>
      <c r="O59" s="51">
        <v>88837</v>
      </c>
      <c r="P59" s="51">
        <v>251668</v>
      </c>
      <c r="Q59" s="51">
        <v>125834</v>
      </c>
      <c r="R59" s="51">
        <v>51076</v>
      </c>
      <c r="S59" s="139">
        <v>336487</v>
      </c>
    </row>
    <row r="60" spans="1:19">
      <c r="A60" s="41" t="s">
        <v>108</v>
      </c>
      <c r="B60" s="42" t="s">
        <v>165</v>
      </c>
      <c r="C60" s="107" t="s">
        <v>166</v>
      </c>
      <c r="D60" s="123">
        <v>31250</v>
      </c>
      <c r="E60" s="44">
        <v>1.18E-2</v>
      </c>
      <c r="F60" s="45">
        <v>369</v>
      </c>
      <c r="G60" s="46">
        <v>30881</v>
      </c>
      <c r="H60" s="124">
        <v>4688</v>
      </c>
      <c r="I60" s="157">
        <v>85451</v>
      </c>
      <c r="J60" s="48">
        <v>1.18E-2</v>
      </c>
      <c r="K60" s="49">
        <v>1008</v>
      </c>
      <c r="L60" s="50">
        <v>84443</v>
      </c>
      <c r="M60" s="158">
        <v>12818</v>
      </c>
      <c r="N60" s="149">
        <v>116701</v>
      </c>
      <c r="O60" s="51">
        <v>30612</v>
      </c>
      <c r="P60" s="51">
        <v>86089</v>
      </c>
      <c r="Q60" s="51">
        <v>43045</v>
      </c>
      <c r="R60" s="51">
        <v>17506</v>
      </c>
      <c r="S60" s="139">
        <v>115324</v>
      </c>
    </row>
    <row r="61" spans="1:19">
      <c r="A61" s="41" t="s">
        <v>108</v>
      </c>
      <c r="B61" s="42" t="s">
        <v>167</v>
      </c>
      <c r="C61" s="107" t="s">
        <v>168</v>
      </c>
      <c r="D61" s="123">
        <v>65588</v>
      </c>
      <c r="E61" s="44">
        <v>1.18E-2</v>
      </c>
      <c r="F61" s="45">
        <v>774</v>
      </c>
      <c r="G61" s="46">
        <v>64814</v>
      </c>
      <c r="H61" s="124">
        <v>9838</v>
      </c>
      <c r="I61" s="157">
        <v>179341</v>
      </c>
      <c r="J61" s="48">
        <v>1.18E-2</v>
      </c>
      <c r="K61" s="49">
        <v>2116</v>
      </c>
      <c r="L61" s="50">
        <v>177225</v>
      </c>
      <c r="M61" s="158">
        <v>26901</v>
      </c>
      <c r="N61" s="149">
        <v>244929</v>
      </c>
      <c r="O61" s="51">
        <v>66091</v>
      </c>
      <c r="P61" s="51">
        <v>178838</v>
      </c>
      <c r="Q61" s="51">
        <v>89419</v>
      </c>
      <c r="R61" s="51">
        <v>36739</v>
      </c>
      <c r="S61" s="139">
        <v>242039</v>
      </c>
    </row>
    <row r="62" spans="1:19">
      <c r="A62" s="41" t="s">
        <v>108</v>
      </c>
      <c r="B62" s="42" t="s">
        <v>169</v>
      </c>
      <c r="C62" s="107" t="s">
        <v>170</v>
      </c>
      <c r="D62" s="123">
        <v>22273</v>
      </c>
      <c r="E62" s="44">
        <v>1.18E-2</v>
      </c>
      <c r="F62" s="45">
        <v>263</v>
      </c>
      <c r="G62" s="46">
        <v>22010</v>
      </c>
      <c r="H62" s="124">
        <v>3341</v>
      </c>
      <c r="I62" s="157">
        <v>60901</v>
      </c>
      <c r="J62" s="48">
        <v>1.18E-2</v>
      </c>
      <c r="K62" s="49">
        <v>719</v>
      </c>
      <c r="L62" s="50">
        <v>60182</v>
      </c>
      <c r="M62" s="158">
        <v>9135</v>
      </c>
      <c r="N62" s="149">
        <v>83174</v>
      </c>
      <c r="O62" s="51">
        <v>23641</v>
      </c>
      <c r="P62" s="51">
        <v>59533</v>
      </c>
      <c r="Q62" s="51">
        <v>29767</v>
      </c>
      <c r="R62" s="51">
        <v>12476</v>
      </c>
      <c r="S62" s="139">
        <v>82192</v>
      </c>
    </row>
    <row r="63" spans="1:19">
      <c r="A63" s="41" t="s">
        <v>108</v>
      </c>
      <c r="B63" s="42" t="s">
        <v>171</v>
      </c>
      <c r="C63" s="107" t="s">
        <v>172</v>
      </c>
      <c r="D63" s="123">
        <v>34124</v>
      </c>
      <c r="E63" s="44">
        <v>1.18E-2</v>
      </c>
      <c r="F63" s="45">
        <v>403</v>
      </c>
      <c r="G63" s="46">
        <v>33721</v>
      </c>
      <c r="H63" s="124">
        <v>5119</v>
      </c>
      <c r="I63" s="157">
        <v>93308</v>
      </c>
      <c r="J63" s="48">
        <v>1.18E-2</v>
      </c>
      <c r="K63" s="49">
        <v>1101</v>
      </c>
      <c r="L63" s="50">
        <v>92207</v>
      </c>
      <c r="M63" s="158">
        <v>13996</v>
      </c>
      <c r="N63" s="149">
        <v>127432</v>
      </c>
      <c r="O63" s="51">
        <v>40676</v>
      </c>
      <c r="P63" s="51">
        <v>86756</v>
      </c>
      <c r="Q63" s="51">
        <v>43378</v>
      </c>
      <c r="R63" s="51">
        <v>19115</v>
      </c>
      <c r="S63" s="139">
        <v>125928</v>
      </c>
    </row>
    <row r="64" spans="1:19">
      <c r="A64" s="41" t="s">
        <v>108</v>
      </c>
      <c r="B64" s="42" t="s">
        <v>173</v>
      </c>
      <c r="C64" s="107" t="s">
        <v>174</v>
      </c>
      <c r="D64" s="123">
        <v>77593</v>
      </c>
      <c r="E64" s="44">
        <v>1.18E-2</v>
      </c>
      <c r="F64" s="45">
        <v>916</v>
      </c>
      <c r="G64" s="46">
        <v>76677</v>
      </c>
      <c r="H64" s="124">
        <v>11639</v>
      </c>
      <c r="I64" s="157">
        <v>212168</v>
      </c>
      <c r="J64" s="48">
        <v>1.18E-2</v>
      </c>
      <c r="K64" s="49">
        <v>2504</v>
      </c>
      <c r="L64" s="50">
        <v>209664</v>
      </c>
      <c r="M64" s="158">
        <v>31825</v>
      </c>
      <c r="N64" s="149">
        <v>289761</v>
      </c>
      <c r="O64" s="51">
        <v>71998</v>
      </c>
      <c r="P64" s="51">
        <v>217763</v>
      </c>
      <c r="Q64" s="51">
        <v>108882</v>
      </c>
      <c r="R64" s="51">
        <v>43464</v>
      </c>
      <c r="S64" s="139">
        <v>286341</v>
      </c>
    </row>
    <row r="65" spans="1:19">
      <c r="A65" s="41" t="s">
        <v>108</v>
      </c>
      <c r="B65" s="42" t="s">
        <v>175</v>
      </c>
      <c r="C65" s="107" t="s">
        <v>176</v>
      </c>
      <c r="D65" s="123">
        <v>54829</v>
      </c>
      <c r="E65" s="44">
        <v>1.18E-2</v>
      </c>
      <c r="F65" s="45">
        <v>647</v>
      </c>
      <c r="G65" s="46">
        <v>54182</v>
      </c>
      <c r="H65" s="124">
        <v>8224</v>
      </c>
      <c r="I65" s="157">
        <v>149923</v>
      </c>
      <c r="J65" s="48">
        <v>1.18E-2</v>
      </c>
      <c r="K65" s="49">
        <v>1769</v>
      </c>
      <c r="L65" s="50">
        <v>148154</v>
      </c>
      <c r="M65" s="158">
        <v>22488</v>
      </c>
      <c r="N65" s="149">
        <v>204752</v>
      </c>
      <c r="O65" s="51">
        <v>53985</v>
      </c>
      <c r="P65" s="51">
        <v>150767</v>
      </c>
      <c r="Q65" s="51">
        <v>75384</v>
      </c>
      <c r="R65" s="51">
        <v>30712</v>
      </c>
      <c r="S65" s="139">
        <v>202336</v>
      </c>
    </row>
    <row r="66" spans="1:19">
      <c r="A66" s="41" t="s">
        <v>108</v>
      </c>
      <c r="B66" s="42" t="s">
        <v>177</v>
      </c>
      <c r="C66" s="107" t="s">
        <v>178</v>
      </c>
      <c r="D66" s="123">
        <v>16633</v>
      </c>
      <c r="E66" s="44">
        <v>1.18E-2</v>
      </c>
      <c r="F66" s="45">
        <v>196</v>
      </c>
      <c r="G66" s="46">
        <v>16437</v>
      </c>
      <c r="H66" s="124">
        <v>2495</v>
      </c>
      <c r="I66" s="157">
        <v>45479</v>
      </c>
      <c r="J66" s="48">
        <v>1.18E-2</v>
      </c>
      <c r="K66" s="49">
        <v>537</v>
      </c>
      <c r="L66" s="50">
        <v>44942</v>
      </c>
      <c r="M66" s="158">
        <v>6822</v>
      </c>
      <c r="N66" s="149">
        <v>62112</v>
      </c>
      <c r="O66" s="51">
        <v>17260</v>
      </c>
      <c r="P66" s="51">
        <v>44852</v>
      </c>
      <c r="Q66" s="51">
        <v>22426</v>
      </c>
      <c r="R66" s="51">
        <v>9317</v>
      </c>
      <c r="S66" s="139">
        <v>61379</v>
      </c>
    </row>
    <row r="67" spans="1:19">
      <c r="A67" s="41" t="s">
        <v>108</v>
      </c>
      <c r="B67" s="42" t="s">
        <v>179</v>
      </c>
      <c r="C67" s="107" t="s">
        <v>180</v>
      </c>
      <c r="D67" s="123">
        <v>53535</v>
      </c>
      <c r="E67" s="44">
        <v>1.18E-2</v>
      </c>
      <c r="F67" s="45">
        <v>632</v>
      </c>
      <c r="G67" s="46">
        <v>52903</v>
      </c>
      <c r="H67" s="124">
        <v>8030</v>
      </c>
      <c r="I67" s="157">
        <v>146383</v>
      </c>
      <c r="J67" s="48">
        <v>1.18E-2</v>
      </c>
      <c r="K67" s="49">
        <v>1727</v>
      </c>
      <c r="L67" s="50">
        <v>144656</v>
      </c>
      <c r="M67" s="158">
        <v>21957</v>
      </c>
      <c r="N67" s="149">
        <v>199918</v>
      </c>
      <c r="O67" s="51">
        <v>50921</v>
      </c>
      <c r="P67" s="51">
        <v>148997</v>
      </c>
      <c r="Q67" s="51">
        <v>74499</v>
      </c>
      <c r="R67" s="51">
        <v>29987</v>
      </c>
      <c r="S67" s="139">
        <v>197559</v>
      </c>
    </row>
    <row r="68" spans="1:19">
      <c r="A68" s="41" t="s">
        <v>108</v>
      </c>
      <c r="B68" s="42" t="s">
        <v>181</v>
      </c>
      <c r="C68" s="107" t="s">
        <v>182</v>
      </c>
      <c r="D68" s="123">
        <v>31885</v>
      </c>
      <c r="E68" s="44">
        <v>1.18E-2</v>
      </c>
      <c r="F68" s="45">
        <v>376</v>
      </c>
      <c r="G68" s="46">
        <v>31509</v>
      </c>
      <c r="H68" s="124">
        <v>4783</v>
      </c>
      <c r="I68" s="157">
        <v>87184</v>
      </c>
      <c r="J68" s="48">
        <v>1.18E-2</v>
      </c>
      <c r="K68" s="49">
        <v>1029</v>
      </c>
      <c r="L68" s="50">
        <v>86155</v>
      </c>
      <c r="M68" s="158">
        <v>13078</v>
      </c>
      <c r="N68" s="149">
        <v>119069</v>
      </c>
      <c r="O68" s="51">
        <v>32259</v>
      </c>
      <c r="P68" s="51">
        <v>86810</v>
      </c>
      <c r="Q68" s="51">
        <v>43405</v>
      </c>
      <c r="R68" s="51">
        <v>17861</v>
      </c>
      <c r="S68" s="139">
        <v>117664</v>
      </c>
    </row>
    <row r="69" spans="1:19">
      <c r="A69" s="41" t="s">
        <v>108</v>
      </c>
      <c r="B69" s="42" t="s">
        <v>183</v>
      </c>
      <c r="C69" s="107" t="s">
        <v>184</v>
      </c>
      <c r="D69" s="123">
        <v>308260</v>
      </c>
      <c r="E69" s="44">
        <v>1.18E-2</v>
      </c>
      <c r="F69" s="45">
        <v>3637</v>
      </c>
      <c r="G69" s="46">
        <v>304623</v>
      </c>
      <c r="H69" s="124">
        <v>46239</v>
      </c>
      <c r="I69" s="157">
        <v>842891</v>
      </c>
      <c r="J69" s="48">
        <v>1.18E-2</v>
      </c>
      <c r="K69" s="49">
        <v>9946</v>
      </c>
      <c r="L69" s="50">
        <v>832945</v>
      </c>
      <c r="M69" s="158">
        <v>126434</v>
      </c>
      <c r="N69" s="149">
        <v>1151151</v>
      </c>
      <c r="O69" s="51">
        <v>314322</v>
      </c>
      <c r="P69" s="51">
        <v>836829</v>
      </c>
      <c r="Q69" s="51">
        <v>418415</v>
      </c>
      <c r="R69" s="51">
        <v>172673</v>
      </c>
      <c r="S69" s="139">
        <v>1137568</v>
      </c>
    </row>
    <row r="70" spans="1:19">
      <c r="A70" s="41" t="s">
        <v>108</v>
      </c>
      <c r="B70" s="42" t="s">
        <v>185</v>
      </c>
      <c r="C70" s="107" t="s">
        <v>186</v>
      </c>
      <c r="D70" s="123">
        <v>239486</v>
      </c>
      <c r="E70" s="44">
        <v>1.18E-2</v>
      </c>
      <c r="F70" s="45">
        <v>2826</v>
      </c>
      <c r="G70" s="46">
        <v>236660</v>
      </c>
      <c r="H70" s="124">
        <v>35923</v>
      </c>
      <c r="I70" s="157">
        <v>654840</v>
      </c>
      <c r="J70" s="48">
        <v>1.18E-2</v>
      </c>
      <c r="K70" s="49">
        <v>7727</v>
      </c>
      <c r="L70" s="50">
        <v>647113</v>
      </c>
      <c r="M70" s="158">
        <v>98226</v>
      </c>
      <c r="N70" s="149">
        <v>894326</v>
      </c>
      <c r="O70" s="51">
        <v>235868</v>
      </c>
      <c r="P70" s="51">
        <v>658458</v>
      </c>
      <c r="Q70" s="51">
        <v>329229</v>
      </c>
      <c r="R70" s="51">
        <v>134149</v>
      </c>
      <c r="S70" s="139">
        <v>883773</v>
      </c>
    </row>
    <row r="71" spans="1:19">
      <c r="A71" s="41" t="s">
        <v>108</v>
      </c>
      <c r="B71" s="42" t="s">
        <v>187</v>
      </c>
      <c r="C71" s="107" t="s">
        <v>188</v>
      </c>
      <c r="D71" s="123">
        <v>25148</v>
      </c>
      <c r="E71" s="44">
        <v>1.18E-2</v>
      </c>
      <c r="F71" s="45">
        <v>297</v>
      </c>
      <c r="G71" s="46">
        <v>24851</v>
      </c>
      <c r="H71" s="124">
        <v>3772</v>
      </c>
      <c r="I71" s="157">
        <v>68764</v>
      </c>
      <c r="J71" s="48">
        <v>1.18E-2</v>
      </c>
      <c r="K71" s="49">
        <v>811</v>
      </c>
      <c r="L71" s="50">
        <v>67953</v>
      </c>
      <c r="M71" s="158">
        <v>10315</v>
      </c>
      <c r="N71" s="149">
        <v>93912</v>
      </c>
      <c r="O71" s="51">
        <v>24873</v>
      </c>
      <c r="P71" s="51">
        <v>69039</v>
      </c>
      <c r="Q71" s="51">
        <v>34520</v>
      </c>
      <c r="R71" s="51">
        <v>14087</v>
      </c>
      <c r="S71" s="139">
        <v>92804</v>
      </c>
    </row>
    <row r="72" spans="1:19">
      <c r="A72" s="41" t="s">
        <v>108</v>
      </c>
      <c r="B72" s="42" t="s">
        <v>189</v>
      </c>
      <c r="C72" s="107" t="s">
        <v>190</v>
      </c>
      <c r="D72" s="123">
        <v>36311</v>
      </c>
      <c r="E72" s="44">
        <v>1.18E-2</v>
      </c>
      <c r="F72" s="45">
        <v>428</v>
      </c>
      <c r="G72" s="46">
        <v>35883</v>
      </c>
      <c r="H72" s="124">
        <v>5447</v>
      </c>
      <c r="I72" s="157">
        <v>99288</v>
      </c>
      <c r="J72" s="48">
        <v>1.18E-2</v>
      </c>
      <c r="K72" s="49">
        <v>1172</v>
      </c>
      <c r="L72" s="50">
        <v>98116</v>
      </c>
      <c r="M72" s="158">
        <v>14893</v>
      </c>
      <c r="N72" s="149">
        <v>135599</v>
      </c>
      <c r="O72" s="51">
        <v>36293</v>
      </c>
      <c r="P72" s="51">
        <v>99306</v>
      </c>
      <c r="Q72" s="51">
        <v>49653</v>
      </c>
      <c r="R72" s="51">
        <v>20340</v>
      </c>
      <c r="S72" s="139">
        <v>133999</v>
      </c>
    </row>
    <row r="73" spans="1:19">
      <c r="A73" s="41" t="s">
        <v>108</v>
      </c>
      <c r="B73" s="42" t="s">
        <v>191</v>
      </c>
      <c r="C73" s="107" t="s">
        <v>192</v>
      </c>
      <c r="D73" s="123">
        <v>23461</v>
      </c>
      <c r="E73" s="44">
        <v>1.18E-2</v>
      </c>
      <c r="F73" s="45">
        <v>277</v>
      </c>
      <c r="G73" s="46">
        <v>23184</v>
      </c>
      <c r="H73" s="124">
        <v>3519</v>
      </c>
      <c r="I73" s="157">
        <v>64151</v>
      </c>
      <c r="J73" s="48">
        <v>1.18E-2</v>
      </c>
      <c r="K73" s="49">
        <v>757</v>
      </c>
      <c r="L73" s="50">
        <v>63394</v>
      </c>
      <c r="M73" s="158">
        <v>9623</v>
      </c>
      <c r="N73" s="149">
        <v>87612</v>
      </c>
      <c r="O73" s="51">
        <v>22876</v>
      </c>
      <c r="P73" s="51">
        <v>64736</v>
      </c>
      <c r="Q73" s="51">
        <v>32368</v>
      </c>
      <c r="R73" s="51">
        <v>13142</v>
      </c>
      <c r="S73" s="139">
        <v>86578</v>
      </c>
    </row>
    <row r="74" spans="1:19">
      <c r="A74" s="41" t="s">
        <v>108</v>
      </c>
      <c r="B74" s="42" t="s">
        <v>193</v>
      </c>
      <c r="C74" s="107" t="s">
        <v>194</v>
      </c>
      <c r="D74" s="123">
        <v>25425</v>
      </c>
      <c r="E74" s="44">
        <v>1.18E-2</v>
      </c>
      <c r="F74" s="45">
        <v>300</v>
      </c>
      <c r="G74" s="46">
        <v>25125</v>
      </c>
      <c r="H74" s="124">
        <v>3814</v>
      </c>
      <c r="I74" s="157">
        <v>69521</v>
      </c>
      <c r="J74" s="48">
        <v>1.18E-2</v>
      </c>
      <c r="K74" s="49">
        <v>820</v>
      </c>
      <c r="L74" s="50">
        <v>68701</v>
      </c>
      <c r="M74" s="158">
        <v>10428</v>
      </c>
      <c r="N74" s="149">
        <v>94946</v>
      </c>
      <c r="O74" s="51">
        <v>27129</v>
      </c>
      <c r="P74" s="51">
        <v>67817</v>
      </c>
      <c r="Q74" s="51">
        <v>33909</v>
      </c>
      <c r="R74" s="51">
        <v>14242</v>
      </c>
      <c r="S74" s="139">
        <v>93826</v>
      </c>
    </row>
    <row r="75" spans="1:19">
      <c r="A75" s="41" t="s">
        <v>108</v>
      </c>
      <c r="B75" s="42" t="s">
        <v>195</v>
      </c>
      <c r="C75" s="107" t="s">
        <v>196</v>
      </c>
      <c r="D75" s="123">
        <v>26964</v>
      </c>
      <c r="E75" s="44">
        <v>1.18E-2</v>
      </c>
      <c r="F75" s="45">
        <v>318</v>
      </c>
      <c r="G75" s="46">
        <v>26646</v>
      </c>
      <c r="H75" s="124">
        <v>4045</v>
      </c>
      <c r="I75" s="157">
        <v>73728</v>
      </c>
      <c r="J75" s="48">
        <v>1.18E-2</v>
      </c>
      <c r="K75" s="49">
        <v>870</v>
      </c>
      <c r="L75" s="50">
        <v>72858</v>
      </c>
      <c r="M75" s="158">
        <v>11059</v>
      </c>
      <c r="N75" s="149">
        <v>100692</v>
      </c>
      <c r="O75" s="51">
        <v>27045</v>
      </c>
      <c r="P75" s="51">
        <v>73647</v>
      </c>
      <c r="Q75" s="51">
        <v>36824</v>
      </c>
      <c r="R75" s="51">
        <v>15104</v>
      </c>
      <c r="S75" s="139">
        <v>99504</v>
      </c>
    </row>
    <row r="76" spans="1:19">
      <c r="A76" s="41" t="s">
        <v>108</v>
      </c>
      <c r="B76" s="42" t="s">
        <v>197</v>
      </c>
      <c r="C76" s="107" t="s">
        <v>198</v>
      </c>
      <c r="D76" s="123">
        <v>25884</v>
      </c>
      <c r="E76" s="44">
        <v>1.18E-2</v>
      </c>
      <c r="F76" s="45">
        <v>305</v>
      </c>
      <c r="G76" s="46">
        <v>25579</v>
      </c>
      <c r="H76" s="124">
        <v>3883</v>
      </c>
      <c r="I76" s="157">
        <v>70775</v>
      </c>
      <c r="J76" s="48">
        <v>1.18E-2</v>
      </c>
      <c r="K76" s="49">
        <v>835</v>
      </c>
      <c r="L76" s="50">
        <v>69940</v>
      </c>
      <c r="M76" s="158">
        <v>10616</v>
      </c>
      <c r="N76" s="149">
        <v>96659</v>
      </c>
      <c r="O76" s="51">
        <v>25493</v>
      </c>
      <c r="P76" s="51">
        <v>71166</v>
      </c>
      <c r="Q76" s="51">
        <v>35583</v>
      </c>
      <c r="R76" s="51">
        <v>14499</v>
      </c>
      <c r="S76" s="139">
        <v>95519</v>
      </c>
    </row>
    <row r="77" spans="1:19">
      <c r="A77" s="41" t="s">
        <v>108</v>
      </c>
      <c r="B77" s="42" t="s">
        <v>199</v>
      </c>
      <c r="C77" s="107" t="s">
        <v>200</v>
      </c>
      <c r="D77" s="123">
        <v>50073</v>
      </c>
      <c r="E77" s="44">
        <v>1.18E-2</v>
      </c>
      <c r="F77" s="45">
        <v>591</v>
      </c>
      <c r="G77" s="46">
        <v>49482</v>
      </c>
      <c r="H77" s="124">
        <v>7511</v>
      </c>
      <c r="I77" s="157">
        <v>136916</v>
      </c>
      <c r="J77" s="48">
        <v>1.18E-2</v>
      </c>
      <c r="K77" s="49">
        <v>1616</v>
      </c>
      <c r="L77" s="50">
        <v>135300</v>
      </c>
      <c r="M77" s="158">
        <v>20537</v>
      </c>
      <c r="N77" s="149">
        <v>186989</v>
      </c>
      <c r="O77" s="51">
        <v>50634</v>
      </c>
      <c r="P77" s="51">
        <v>136355</v>
      </c>
      <c r="Q77" s="51">
        <v>68178</v>
      </c>
      <c r="R77" s="51">
        <v>28048</v>
      </c>
      <c r="S77" s="139">
        <v>184782</v>
      </c>
    </row>
    <row r="78" spans="1:19">
      <c r="A78" s="41" t="s">
        <v>108</v>
      </c>
      <c r="B78" s="42" t="s">
        <v>201</v>
      </c>
      <c r="C78" s="107" t="s">
        <v>202</v>
      </c>
      <c r="D78" s="123">
        <v>17366</v>
      </c>
      <c r="E78" s="44">
        <v>1.18E-2</v>
      </c>
      <c r="F78" s="45">
        <v>205</v>
      </c>
      <c r="G78" s="46">
        <v>17161</v>
      </c>
      <c r="H78" s="124">
        <v>2605</v>
      </c>
      <c r="I78" s="157">
        <v>47484</v>
      </c>
      <c r="J78" s="48">
        <v>1.18E-2</v>
      </c>
      <c r="K78" s="49">
        <v>560</v>
      </c>
      <c r="L78" s="50">
        <v>46924</v>
      </c>
      <c r="M78" s="158">
        <v>7123</v>
      </c>
      <c r="N78" s="149">
        <v>64850</v>
      </c>
      <c r="O78" s="51">
        <v>16392</v>
      </c>
      <c r="P78" s="51">
        <v>48458</v>
      </c>
      <c r="Q78" s="51">
        <v>24229</v>
      </c>
      <c r="R78" s="51">
        <v>9728</v>
      </c>
      <c r="S78" s="139">
        <v>64085</v>
      </c>
    </row>
    <row r="79" spans="1:19">
      <c r="A79" s="41" t="s">
        <v>108</v>
      </c>
      <c r="B79" s="42" t="s">
        <v>203</v>
      </c>
      <c r="C79" s="107" t="s">
        <v>204</v>
      </c>
      <c r="D79" s="123">
        <v>27676</v>
      </c>
      <c r="E79" s="44">
        <v>1.18E-2</v>
      </c>
      <c r="F79" s="45">
        <v>327</v>
      </c>
      <c r="G79" s="46">
        <v>27349</v>
      </c>
      <c r="H79" s="124">
        <v>4151</v>
      </c>
      <c r="I79" s="157">
        <v>75676</v>
      </c>
      <c r="J79" s="48">
        <v>1.18E-2</v>
      </c>
      <c r="K79" s="49">
        <v>893</v>
      </c>
      <c r="L79" s="50">
        <v>74783</v>
      </c>
      <c r="M79" s="158">
        <v>11351</v>
      </c>
      <c r="N79" s="149">
        <v>103352</v>
      </c>
      <c r="O79" s="51">
        <v>28372</v>
      </c>
      <c r="P79" s="51">
        <v>74980</v>
      </c>
      <c r="Q79" s="51">
        <v>37490</v>
      </c>
      <c r="R79" s="51">
        <v>15502</v>
      </c>
      <c r="S79" s="139">
        <v>102132</v>
      </c>
    </row>
    <row r="80" spans="1:19">
      <c r="A80" s="41" t="s">
        <v>108</v>
      </c>
      <c r="B80" s="42" t="s">
        <v>205</v>
      </c>
      <c r="C80" s="107" t="s">
        <v>206</v>
      </c>
      <c r="D80" s="123">
        <v>34582</v>
      </c>
      <c r="E80" s="44">
        <v>1.18E-2</v>
      </c>
      <c r="F80" s="45">
        <v>408</v>
      </c>
      <c r="G80" s="46">
        <v>34174</v>
      </c>
      <c r="H80" s="124">
        <v>5187</v>
      </c>
      <c r="I80" s="157">
        <v>94559</v>
      </c>
      <c r="J80" s="48">
        <v>1.18E-2</v>
      </c>
      <c r="K80" s="49">
        <v>1116</v>
      </c>
      <c r="L80" s="50">
        <v>93443</v>
      </c>
      <c r="M80" s="158">
        <v>14184</v>
      </c>
      <c r="N80" s="149">
        <v>129141</v>
      </c>
      <c r="O80" s="51">
        <v>34544</v>
      </c>
      <c r="P80" s="51">
        <v>94597</v>
      </c>
      <c r="Q80" s="51">
        <v>47299</v>
      </c>
      <c r="R80" s="51">
        <v>19371</v>
      </c>
      <c r="S80" s="139">
        <v>127617</v>
      </c>
    </row>
    <row r="81" spans="1:19">
      <c r="A81" s="41" t="s">
        <v>108</v>
      </c>
      <c r="B81" s="42" t="s">
        <v>207</v>
      </c>
      <c r="C81" s="107" t="s">
        <v>208</v>
      </c>
      <c r="D81" s="123">
        <v>21401</v>
      </c>
      <c r="E81" s="44">
        <v>1.18E-2</v>
      </c>
      <c r="F81" s="45">
        <v>253</v>
      </c>
      <c r="G81" s="46">
        <v>21148</v>
      </c>
      <c r="H81" s="124">
        <v>3210</v>
      </c>
      <c r="I81" s="157">
        <v>58520</v>
      </c>
      <c r="J81" s="48">
        <v>1.18E-2</v>
      </c>
      <c r="K81" s="49">
        <v>691</v>
      </c>
      <c r="L81" s="50">
        <v>57829</v>
      </c>
      <c r="M81" s="158">
        <v>8778</v>
      </c>
      <c r="N81" s="149">
        <v>79921</v>
      </c>
      <c r="O81" s="51">
        <v>23375</v>
      </c>
      <c r="P81" s="51">
        <v>56546</v>
      </c>
      <c r="Q81" s="51">
        <v>28273</v>
      </c>
      <c r="R81" s="51">
        <v>11988</v>
      </c>
      <c r="S81" s="139">
        <v>78977</v>
      </c>
    </row>
    <row r="82" spans="1:19">
      <c r="A82" s="41" t="s">
        <v>108</v>
      </c>
      <c r="B82" s="42" t="s">
        <v>209</v>
      </c>
      <c r="C82" s="107" t="s">
        <v>210</v>
      </c>
      <c r="D82" s="123">
        <v>87025</v>
      </c>
      <c r="E82" s="44">
        <v>1.18E-2</v>
      </c>
      <c r="F82" s="45">
        <v>1027</v>
      </c>
      <c r="G82" s="46">
        <v>85998</v>
      </c>
      <c r="H82" s="124">
        <v>13054</v>
      </c>
      <c r="I82" s="157">
        <v>237957</v>
      </c>
      <c r="J82" s="48">
        <v>1.18E-2</v>
      </c>
      <c r="K82" s="49">
        <v>2808</v>
      </c>
      <c r="L82" s="50">
        <v>235149</v>
      </c>
      <c r="M82" s="158">
        <v>35694</v>
      </c>
      <c r="N82" s="149">
        <v>324982</v>
      </c>
      <c r="O82" s="51">
        <v>90145</v>
      </c>
      <c r="P82" s="51">
        <v>234837</v>
      </c>
      <c r="Q82" s="51">
        <v>117419</v>
      </c>
      <c r="R82" s="51">
        <v>48748</v>
      </c>
      <c r="S82" s="139">
        <v>321147</v>
      </c>
    </row>
    <row r="83" spans="1:19">
      <c r="A83" s="41" t="s">
        <v>108</v>
      </c>
      <c r="B83" s="42" t="s">
        <v>211</v>
      </c>
      <c r="C83" s="107" t="s">
        <v>212</v>
      </c>
      <c r="D83" s="123">
        <v>27849</v>
      </c>
      <c r="E83" s="44">
        <v>1.18E-2</v>
      </c>
      <c r="F83" s="45">
        <v>329</v>
      </c>
      <c r="G83" s="46">
        <v>27520</v>
      </c>
      <c r="H83" s="124">
        <v>4177</v>
      </c>
      <c r="I83" s="157">
        <v>76149</v>
      </c>
      <c r="J83" s="48">
        <v>1.18E-2</v>
      </c>
      <c r="K83" s="49">
        <v>899</v>
      </c>
      <c r="L83" s="50">
        <v>75250</v>
      </c>
      <c r="M83" s="158">
        <v>11422</v>
      </c>
      <c r="N83" s="149">
        <v>103998</v>
      </c>
      <c r="O83" s="51">
        <v>28298</v>
      </c>
      <c r="P83" s="51">
        <v>75700</v>
      </c>
      <c r="Q83" s="51">
        <v>37850</v>
      </c>
      <c r="R83" s="51">
        <v>15599</v>
      </c>
      <c r="S83" s="139">
        <v>102770</v>
      </c>
    </row>
    <row r="84" spans="1:19">
      <c r="A84" s="41" t="s">
        <v>108</v>
      </c>
      <c r="B84" s="42" t="s">
        <v>213</v>
      </c>
      <c r="C84" s="107" t="s">
        <v>214</v>
      </c>
      <c r="D84" s="123">
        <v>24835</v>
      </c>
      <c r="E84" s="44">
        <v>1.18E-2</v>
      </c>
      <c r="F84" s="45">
        <v>293</v>
      </c>
      <c r="G84" s="46">
        <v>24542</v>
      </c>
      <c r="H84" s="124">
        <v>3725</v>
      </c>
      <c r="I84" s="157">
        <v>67907</v>
      </c>
      <c r="J84" s="48">
        <v>1.18E-2</v>
      </c>
      <c r="K84" s="49">
        <v>801</v>
      </c>
      <c r="L84" s="50">
        <v>67106</v>
      </c>
      <c r="M84" s="158">
        <v>10186</v>
      </c>
      <c r="N84" s="149">
        <v>92742</v>
      </c>
      <c r="O84" s="51">
        <v>25564</v>
      </c>
      <c r="P84" s="51">
        <v>67178</v>
      </c>
      <c r="Q84" s="51">
        <v>33589</v>
      </c>
      <c r="R84" s="51">
        <v>13911</v>
      </c>
      <c r="S84" s="139">
        <v>91648</v>
      </c>
    </row>
    <row r="85" spans="1:19">
      <c r="A85" s="41" t="s">
        <v>108</v>
      </c>
      <c r="B85" s="42" t="s">
        <v>215</v>
      </c>
      <c r="C85" s="107" t="s">
        <v>216</v>
      </c>
      <c r="D85" s="123">
        <v>63956</v>
      </c>
      <c r="E85" s="44">
        <v>1.18E-2</v>
      </c>
      <c r="F85" s="45">
        <v>755</v>
      </c>
      <c r="G85" s="46">
        <v>63201</v>
      </c>
      <c r="H85" s="124">
        <v>9593</v>
      </c>
      <c r="I85" s="157">
        <v>174880</v>
      </c>
      <c r="J85" s="48">
        <v>1.18E-2</v>
      </c>
      <c r="K85" s="49">
        <v>2064</v>
      </c>
      <c r="L85" s="50">
        <v>172816</v>
      </c>
      <c r="M85" s="158">
        <v>26232</v>
      </c>
      <c r="N85" s="149">
        <v>238836</v>
      </c>
      <c r="O85" s="51">
        <v>62147</v>
      </c>
      <c r="P85" s="51">
        <v>176689</v>
      </c>
      <c r="Q85" s="51">
        <v>88345</v>
      </c>
      <c r="R85" s="51">
        <v>35825</v>
      </c>
      <c r="S85" s="139">
        <v>236017</v>
      </c>
    </row>
    <row r="86" spans="1:19">
      <c r="A86" s="41" t="s">
        <v>108</v>
      </c>
      <c r="B86" s="42" t="s">
        <v>217</v>
      </c>
      <c r="C86" s="107" t="s">
        <v>218</v>
      </c>
      <c r="D86" s="123">
        <v>14500</v>
      </c>
      <c r="E86" s="44">
        <v>1.18E-2</v>
      </c>
      <c r="F86" s="45">
        <v>171</v>
      </c>
      <c r="G86" s="46">
        <v>14329</v>
      </c>
      <c r="H86" s="124">
        <v>2175</v>
      </c>
      <c r="I86" s="157">
        <v>39648</v>
      </c>
      <c r="J86" s="48">
        <v>1.18E-2</v>
      </c>
      <c r="K86" s="49">
        <v>468</v>
      </c>
      <c r="L86" s="50">
        <v>39180</v>
      </c>
      <c r="M86" s="158">
        <v>5947</v>
      </c>
      <c r="N86" s="149">
        <v>54148</v>
      </c>
      <c r="O86" s="51">
        <v>13994</v>
      </c>
      <c r="P86" s="51">
        <v>40154</v>
      </c>
      <c r="Q86" s="51">
        <v>20077</v>
      </c>
      <c r="R86" s="51">
        <v>8122</v>
      </c>
      <c r="S86" s="139">
        <v>53509</v>
      </c>
    </row>
    <row r="87" spans="1:19">
      <c r="A87" s="41" t="s">
        <v>108</v>
      </c>
      <c r="B87" s="42" t="s">
        <v>219</v>
      </c>
      <c r="C87" s="107" t="s">
        <v>220</v>
      </c>
      <c r="D87" s="123">
        <v>35304</v>
      </c>
      <c r="E87" s="44">
        <v>1.18E-2</v>
      </c>
      <c r="F87" s="45">
        <v>417</v>
      </c>
      <c r="G87" s="46">
        <v>34887</v>
      </c>
      <c r="H87" s="124">
        <v>5296</v>
      </c>
      <c r="I87" s="157">
        <v>96533</v>
      </c>
      <c r="J87" s="48">
        <v>1.18E-2</v>
      </c>
      <c r="K87" s="49">
        <v>1139</v>
      </c>
      <c r="L87" s="50">
        <v>95394</v>
      </c>
      <c r="M87" s="158">
        <v>14480</v>
      </c>
      <c r="N87" s="149">
        <v>131837</v>
      </c>
      <c r="O87" s="51">
        <v>36019</v>
      </c>
      <c r="P87" s="51">
        <v>95818</v>
      </c>
      <c r="Q87" s="51">
        <v>47909</v>
      </c>
      <c r="R87" s="51">
        <v>19776</v>
      </c>
      <c r="S87" s="139">
        <v>130281</v>
      </c>
    </row>
    <row r="88" spans="1:19">
      <c r="A88" s="82" t="s">
        <v>108</v>
      </c>
      <c r="B88" s="83" t="s">
        <v>221</v>
      </c>
      <c r="C88" s="112" t="s">
        <v>222</v>
      </c>
      <c r="D88" s="125">
        <v>683063</v>
      </c>
      <c r="E88" s="55">
        <v>1.18E-2</v>
      </c>
      <c r="F88" s="56">
        <v>8060</v>
      </c>
      <c r="G88" s="46">
        <v>675003</v>
      </c>
      <c r="H88" s="131">
        <v>102459</v>
      </c>
      <c r="I88" s="165">
        <v>1867738</v>
      </c>
      <c r="J88" s="84">
        <v>1.18E-2</v>
      </c>
      <c r="K88" s="58">
        <v>22039</v>
      </c>
      <c r="L88" s="50">
        <v>1845699</v>
      </c>
      <c r="M88" s="166">
        <v>280161</v>
      </c>
      <c r="N88" s="152">
        <v>2550801</v>
      </c>
      <c r="O88" s="51">
        <v>673268</v>
      </c>
      <c r="P88" s="51">
        <v>1877533</v>
      </c>
      <c r="Q88" s="85">
        <f>938767-938767</f>
        <v>0</v>
      </c>
      <c r="R88" s="86">
        <v>382620</v>
      </c>
      <c r="S88" s="139">
        <v>2520702</v>
      </c>
    </row>
    <row r="89" spans="1:19">
      <c r="A89" s="41" t="s">
        <v>108</v>
      </c>
      <c r="B89" s="42" t="s">
        <v>223</v>
      </c>
      <c r="C89" s="107" t="s">
        <v>224</v>
      </c>
      <c r="D89" s="123">
        <v>99449</v>
      </c>
      <c r="E89" s="44">
        <v>1.18E-2</v>
      </c>
      <c r="F89" s="45">
        <v>1173</v>
      </c>
      <c r="G89" s="46">
        <v>98276</v>
      </c>
      <c r="H89" s="124">
        <v>14917</v>
      </c>
      <c r="I89" s="157">
        <v>271928</v>
      </c>
      <c r="J89" s="48">
        <v>1.18E-2</v>
      </c>
      <c r="K89" s="49">
        <v>3209</v>
      </c>
      <c r="L89" s="50">
        <v>268719</v>
      </c>
      <c r="M89" s="158">
        <v>40789</v>
      </c>
      <c r="N89" s="149">
        <v>371377</v>
      </c>
      <c r="O89" s="51">
        <v>98303</v>
      </c>
      <c r="P89" s="51">
        <v>273074</v>
      </c>
      <c r="Q89" s="51">
        <v>136537</v>
      </c>
      <c r="R89" s="51">
        <v>55706</v>
      </c>
      <c r="S89" s="139">
        <v>366995</v>
      </c>
    </row>
    <row r="90" spans="1:19">
      <c r="A90" s="41" t="s">
        <v>108</v>
      </c>
      <c r="B90" s="42" t="s">
        <v>225</v>
      </c>
      <c r="C90" s="107" t="s">
        <v>226</v>
      </c>
      <c r="D90" s="123">
        <v>45613</v>
      </c>
      <c r="E90" s="44">
        <v>1.18E-2</v>
      </c>
      <c r="F90" s="45">
        <v>538</v>
      </c>
      <c r="G90" s="46">
        <v>45075</v>
      </c>
      <c r="H90" s="124">
        <v>6842</v>
      </c>
      <c r="I90" s="157">
        <v>124724</v>
      </c>
      <c r="J90" s="48">
        <v>1.18E-2</v>
      </c>
      <c r="K90" s="49">
        <v>1472</v>
      </c>
      <c r="L90" s="50">
        <v>123252</v>
      </c>
      <c r="M90" s="158">
        <v>18709</v>
      </c>
      <c r="N90" s="149">
        <v>170337</v>
      </c>
      <c r="O90" s="51">
        <v>46021</v>
      </c>
      <c r="P90" s="51">
        <v>124316</v>
      </c>
      <c r="Q90" s="51">
        <v>62158</v>
      </c>
      <c r="R90" s="51">
        <v>25551</v>
      </c>
      <c r="S90" s="139">
        <v>168327</v>
      </c>
    </row>
    <row r="91" spans="1:19" ht="15.75" thickBot="1">
      <c r="A91" s="60" t="s">
        <v>108</v>
      </c>
      <c r="B91" s="61" t="s">
        <v>227</v>
      </c>
      <c r="C91" s="109" t="s">
        <v>228</v>
      </c>
      <c r="D91" s="127">
        <v>6482</v>
      </c>
      <c r="E91" s="63">
        <v>1.18E-2</v>
      </c>
      <c r="F91" s="64">
        <v>76</v>
      </c>
      <c r="G91" s="65">
        <v>6406</v>
      </c>
      <c r="H91" s="128">
        <v>972</v>
      </c>
      <c r="I91" s="161">
        <v>17723</v>
      </c>
      <c r="J91" s="67">
        <v>1.18E-2</v>
      </c>
      <c r="K91" s="68">
        <v>209</v>
      </c>
      <c r="L91" s="69">
        <v>17514</v>
      </c>
      <c r="M91" s="162">
        <v>2658</v>
      </c>
      <c r="N91" s="150">
        <v>24205</v>
      </c>
      <c r="O91" s="70">
        <v>6802</v>
      </c>
      <c r="P91" s="70">
        <v>17403</v>
      </c>
      <c r="Q91" s="70">
        <v>8702</v>
      </c>
      <c r="R91" s="70">
        <v>3630</v>
      </c>
      <c r="S91" s="140">
        <v>23920</v>
      </c>
    </row>
    <row r="92" spans="1:19">
      <c r="A92" s="41" t="s">
        <v>229</v>
      </c>
      <c r="B92" s="42" t="s">
        <v>230</v>
      </c>
      <c r="C92" s="107" t="s">
        <v>231</v>
      </c>
      <c r="D92" s="123">
        <v>11810</v>
      </c>
      <c r="E92" s="44">
        <v>2.3699999999999999E-2</v>
      </c>
      <c r="F92" s="45">
        <v>280</v>
      </c>
      <c r="G92" s="46">
        <v>11530</v>
      </c>
      <c r="H92" s="124">
        <v>1772</v>
      </c>
      <c r="I92" s="157">
        <v>32293</v>
      </c>
      <c r="J92" s="48">
        <v>2.3699999999999999E-2</v>
      </c>
      <c r="K92" s="49">
        <v>765</v>
      </c>
      <c r="L92" s="50">
        <v>31528</v>
      </c>
      <c r="M92" s="158">
        <v>4844</v>
      </c>
      <c r="N92" s="149">
        <v>44103</v>
      </c>
      <c r="O92" s="51">
        <v>10633</v>
      </c>
      <c r="P92" s="51">
        <v>33470</v>
      </c>
      <c r="Q92" s="51">
        <v>16735</v>
      </c>
      <c r="R92" s="51">
        <v>6616</v>
      </c>
      <c r="S92" s="139">
        <v>43058</v>
      </c>
    </row>
    <row r="93" spans="1:19">
      <c r="A93" s="41" t="s">
        <v>229</v>
      </c>
      <c r="B93" s="42" t="s">
        <v>232</v>
      </c>
      <c r="C93" s="107" t="s">
        <v>233</v>
      </c>
      <c r="D93" s="123">
        <v>80790</v>
      </c>
      <c r="E93" s="44">
        <v>2.3699999999999999E-2</v>
      </c>
      <c r="F93" s="45">
        <v>1915</v>
      </c>
      <c r="G93" s="46">
        <v>78875</v>
      </c>
      <c r="H93" s="124">
        <v>12119</v>
      </c>
      <c r="I93" s="157">
        <v>220909</v>
      </c>
      <c r="J93" s="48">
        <v>2.3699999999999999E-2</v>
      </c>
      <c r="K93" s="49">
        <v>5236</v>
      </c>
      <c r="L93" s="50">
        <v>215673</v>
      </c>
      <c r="M93" s="158">
        <v>33136</v>
      </c>
      <c r="N93" s="149">
        <v>301699</v>
      </c>
      <c r="O93" s="51">
        <v>79550</v>
      </c>
      <c r="P93" s="51">
        <v>222149</v>
      </c>
      <c r="Q93" s="51">
        <v>111075</v>
      </c>
      <c r="R93" s="51">
        <v>45255</v>
      </c>
      <c r="S93" s="139">
        <v>294548</v>
      </c>
    </row>
    <row r="94" spans="1:19">
      <c r="A94" s="82" t="s">
        <v>229</v>
      </c>
      <c r="B94" s="83" t="s">
        <v>234</v>
      </c>
      <c r="C94" s="112" t="s">
        <v>235</v>
      </c>
      <c r="D94" s="125">
        <v>28823</v>
      </c>
      <c r="E94" s="55">
        <v>2.3699999999999999E-2</v>
      </c>
      <c r="F94" s="56">
        <v>683</v>
      </c>
      <c r="G94" s="46">
        <v>28140</v>
      </c>
      <c r="H94" s="131">
        <v>4323</v>
      </c>
      <c r="I94" s="165">
        <v>78813</v>
      </c>
      <c r="J94" s="84">
        <v>2.3699999999999999E-2</v>
      </c>
      <c r="K94" s="58">
        <v>1868</v>
      </c>
      <c r="L94" s="50">
        <v>76945</v>
      </c>
      <c r="M94" s="166">
        <v>11822</v>
      </c>
      <c r="N94" s="152">
        <v>107636</v>
      </c>
      <c r="O94" s="51">
        <v>29289</v>
      </c>
      <c r="P94" s="51">
        <v>78347</v>
      </c>
      <c r="Q94" s="85">
        <f>39174-39174</f>
        <v>0</v>
      </c>
      <c r="R94" s="86">
        <v>16145</v>
      </c>
      <c r="S94" s="139">
        <v>105085</v>
      </c>
    </row>
    <row r="95" spans="1:19">
      <c r="A95" s="41" t="s">
        <v>229</v>
      </c>
      <c r="B95" s="42" t="s">
        <v>236</v>
      </c>
      <c r="C95" s="107" t="s">
        <v>237</v>
      </c>
      <c r="D95" s="123">
        <v>17624</v>
      </c>
      <c r="E95" s="44">
        <v>2.3699999999999999E-2</v>
      </c>
      <c r="F95" s="45">
        <v>418</v>
      </c>
      <c r="G95" s="46">
        <v>17206</v>
      </c>
      <c r="H95" s="124">
        <v>2644</v>
      </c>
      <c r="I95" s="157">
        <v>48190</v>
      </c>
      <c r="J95" s="48">
        <v>2.3699999999999999E-2</v>
      </c>
      <c r="K95" s="49">
        <v>1142</v>
      </c>
      <c r="L95" s="50">
        <v>47048</v>
      </c>
      <c r="M95" s="158">
        <v>7229</v>
      </c>
      <c r="N95" s="149">
        <v>65814</v>
      </c>
      <c r="O95" s="51">
        <v>17746</v>
      </c>
      <c r="P95" s="51">
        <v>48068</v>
      </c>
      <c r="Q95" s="51">
        <v>24034</v>
      </c>
      <c r="R95" s="51">
        <v>9873</v>
      </c>
      <c r="S95" s="139">
        <v>64254</v>
      </c>
    </row>
    <row r="96" spans="1:19">
      <c r="A96" s="41" t="s">
        <v>229</v>
      </c>
      <c r="B96" s="42" t="s">
        <v>238</v>
      </c>
      <c r="C96" s="107" t="s">
        <v>239</v>
      </c>
      <c r="D96" s="123">
        <v>47045</v>
      </c>
      <c r="E96" s="44">
        <v>2.3699999999999999E-2</v>
      </c>
      <c r="F96" s="45">
        <v>1115</v>
      </c>
      <c r="G96" s="46">
        <v>45930</v>
      </c>
      <c r="H96" s="124">
        <v>7057</v>
      </c>
      <c r="I96" s="157">
        <v>128638</v>
      </c>
      <c r="J96" s="48">
        <v>2.3699999999999999E-2</v>
      </c>
      <c r="K96" s="49">
        <v>3049</v>
      </c>
      <c r="L96" s="50">
        <v>125589</v>
      </c>
      <c r="M96" s="158">
        <v>19296</v>
      </c>
      <c r="N96" s="149">
        <v>175683</v>
      </c>
      <c r="O96" s="51">
        <v>45033</v>
      </c>
      <c r="P96" s="51">
        <v>130650</v>
      </c>
      <c r="Q96" s="51">
        <v>65325</v>
      </c>
      <c r="R96" s="51">
        <v>26353</v>
      </c>
      <c r="S96" s="139">
        <v>171519</v>
      </c>
    </row>
    <row r="97" spans="1:19">
      <c r="A97" s="41" t="s">
        <v>229</v>
      </c>
      <c r="B97" s="42" t="s">
        <v>240</v>
      </c>
      <c r="C97" s="107" t="s">
        <v>241</v>
      </c>
      <c r="D97" s="123">
        <v>21032</v>
      </c>
      <c r="E97" s="44">
        <v>2.3699999999999999E-2</v>
      </c>
      <c r="F97" s="45">
        <v>498</v>
      </c>
      <c r="G97" s="46">
        <v>20534</v>
      </c>
      <c r="H97" s="124">
        <v>3155</v>
      </c>
      <c r="I97" s="157">
        <v>57511</v>
      </c>
      <c r="J97" s="48">
        <v>2.3699999999999999E-2</v>
      </c>
      <c r="K97" s="49">
        <v>1363</v>
      </c>
      <c r="L97" s="50">
        <v>56148</v>
      </c>
      <c r="M97" s="158">
        <v>8627</v>
      </c>
      <c r="N97" s="149">
        <v>78543</v>
      </c>
      <c r="O97" s="51">
        <v>21234</v>
      </c>
      <c r="P97" s="51">
        <v>57309</v>
      </c>
      <c r="Q97" s="51">
        <v>28655</v>
      </c>
      <c r="R97" s="51">
        <v>11782</v>
      </c>
      <c r="S97" s="139">
        <v>76682</v>
      </c>
    </row>
    <row r="98" spans="1:19">
      <c r="A98" s="41" t="s">
        <v>229</v>
      </c>
      <c r="B98" s="42" t="s">
        <v>242</v>
      </c>
      <c r="C98" s="107" t="s">
        <v>243</v>
      </c>
      <c r="D98" s="123">
        <v>46899</v>
      </c>
      <c r="E98" s="44">
        <v>2.3699999999999999E-2</v>
      </c>
      <c r="F98" s="45">
        <v>1112</v>
      </c>
      <c r="G98" s="46">
        <v>45787</v>
      </c>
      <c r="H98" s="124">
        <v>7035</v>
      </c>
      <c r="I98" s="157">
        <v>128239</v>
      </c>
      <c r="J98" s="48">
        <v>2.3699999999999999E-2</v>
      </c>
      <c r="K98" s="49">
        <v>3039</v>
      </c>
      <c r="L98" s="50">
        <v>125200</v>
      </c>
      <c r="M98" s="158">
        <v>19236</v>
      </c>
      <c r="N98" s="149">
        <v>175138</v>
      </c>
      <c r="O98" s="51">
        <v>45051</v>
      </c>
      <c r="P98" s="51">
        <v>130087</v>
      </c>
      <c r="Q98" s="51">
        <v>65044</v>
      </c>
      <c r="R98" s="51">
        <v>26271</v>
      </c>
      <c r="S98" s="139">
        <v>170987</v>
      </c>
    </row>
    <row r="99" spans="1:19">
      <c r="A99" s="41" t="s">
        <v>229</v>
      </c>
      <c r="B99" s="42" t="s">
        <v>244</v>
      </c>
      <c r="C99" s="107" t="s">
        <v>245</v>
      </c>
      <c r="D99" s="123">
        <v>20148</v>
      </c>
      <c r="E99" s="44">
        <v>2.3699999999999999E-2</v>
      </c>
      <c r="F99" s="45">
        <v>478</v>
      </c>
      <c r="G99" s="46">
        <v>19670</v>
      </c>
      <c r="H99" s="124">
        <v>3022</v>
      </c>
      <c r="I99" s="157">
        <v>55092</v>
      </c>
      <c r="J99" s="48">
        <v>2.3699999999999999E-2</v>
      </c>
      <c r="K99" s="49">
        <v>1306</v>
      </c>
      <c r="L99" s="50">
        <v>53786</v>
      </c>
      <c r="M99" s="158">
        <v>8264</v>
      </c>
      <c r="N99" s="149">
        <v>75240</v>
      </c>
      <c r="O99" s="51">
        <v>17527</v>
      </c>
      <c r="P99" s="51">
        <v>57713</v>
      </c>
      <c r="Q99" s="51">
        <v>28857</v>
      </c>
      <c r="R99" s="51">
        <v>11286</v>
      </c>
      <c r="S99" s="139">
        <v>73456</v>
      </c>
    </row>
    <row r="100" spans="1:19">
      <c r="A100" s="41" t="s">
        <v>229</v>
      </c>
      <c r="B100" s="42" t="s">
        <v>246</v>
      </c>
      <c r="C100" s="107" t="s">
        <v>247</v>
      </c>
      <c r="D100" s="123">
        <v>41606</v>
      </c>
      <c r="E100" s="44">
        <v>2.3699999999999999E-2</v>
      </c>
      <c r="F100" s="45">
        <v>986</v>
      </c>
      <c r="G100" s="46">
        <v>40620</v>
      </c>
      <c r="H100" s="124">
        <v>6241</v>
      </c>
      <c r="I100" s="157">
        <v>113766</v>
      </c>
      <c r="J100" s="48">
        <v>2.3699999999999999E-2</v>
      </c>
      <c r="K100" s="49">
        <v>2696</v>
      </c>
      <c r="L100" s="50">
        <v>111070</v>
      </c>
      <c r="M100" s="158">
        <v>17065</v>
      </c>
      <c r="N100" s="149">
        <v>155372</v>
      </c>
      <c r="O100" s="51">
        <v>36879</v>
      </c>
      <c r="P100" s="51">
        <v>118493</v>
      </c>
      <c r="Q100" s="51">
        <v>59247</v>
      </c>
      <c r="R100" s="51">
        <v>23306</v>
      </c>
      <c r="S100" s="139">
        <v>151690</v>
      </c>
    </row>
    <row r="101" spans="1:19">
      <c r="A101" s="41" t="s">
        <v>229</v>
      </c>
      <c r="B101" s="42" t="s">
        <v>248</v>
      </c>
      <c r="C101" s="107" t="s">
        <v>249</v>
      </c>
      <c r="D101" s="123">
        <v>74212</v>
      </c>
      <c r="E101" s="44">
        <v>2.3699999999999999E-2</v>
      </c>
      <c r="F101" s="45">
        <v>1759</v>
      </c>
      <c r="G101" s="46">
        <v>72453</v>
      </c>
      <c r="H101" s="124">
        <v>11132</v>
      </c>
      <c r="I101" s="157">
        <v>202924</v>
      </c>
      <c r="J101" s="48">
        <v>2.3699999999999999E-2</v>
      </c>
      <c r="K101" s="49">
        <v>4809</v>
      </c>
      <c r="L101" s="50">
        <v>198115</v>
      </c>
      <c r="M101" s="158">
        <v>30439</v>
      </c>
      <c r="N101" s="149">
        <v>277136</v>
      </c>
      <c r="O101" s="51">
        <v>72259</v>
      </c>
      <c r="P101" s="51">
        <v>204877</v>
      </c>
      <c r="Q101" s="51">
        <v>102439</v>
      </c>
      <c r="R101" s="51">
        <v>41571</v>
      </c>
      <c r="S101" s="139">
        <v>270568</v>
      </c>
    </row>
    <row r="102" spans="1:19">
      <c r="A102" s="41" t="s">
        <v>229</v>
      </c>
      <c r="B102" s="42" t="s">
        <v>250</v>
      </c>
      <c r="C102" s="107" t="s">
        <v>251</v>
      </c>
      <c r="D102" s="123">
        <v>260556</v>
      </c>
      <c r="E102" s="44">
        <v>2.3699999999999999E-2</v>
      </c>
      <c r="F102" s="45">
        <v>6175</v>
      </c>
      <c r="G102" s="46">
        <v>254381</v>
      </c>
      <c r="H102" s="124">
        <v>39083</v>
      </c>
      <c r="I102" s="157">
        <v>712452</v>
      </c>
      <c r="J102" s="48">
        <v>2.3699999999999999E-2</v>
      </c>
      <c r="K102" s="49">
        <v>16885</v>
      </c>
      <c r="L102" s="50">
        <v>695567</v>
      </c>
      <c r="M102" s="158">
        <v>106868</v>
      </c>
      <c r="N102" s="149">
        <v>973008</v>
      </c>
      <c r="O102" s="51">
        <v>256374</v>
      </c>
      <c r="P102" s="51">
        <v>716634</v>
      </c>
      <c r="Q102" s="51">
        <v>358317</v>
      </c>
      <c r="R102" s="51">
        <v>145951</v>
      </c>
      <c r="S102" s="139">
        <v>949948</v>
      </c>
    </row>
    <row r="103" spans="1:19">
      <c r="A103" s="80" t="s">
        <v>229</v>
      </c>
      <c r="B103" s="81" t="s">
        <v>252</v>
      </c>
      <c r="C103" s="111" t="s">
        <v>253</v>
      </c>
      <c r="D103" s="123">
        <v>8880</v>
      </c>
      <c r="E103" s="44">
        <v>2.3699999999999999E-2</v>
      </c>
      <c r="F103" s="45">
        <v>210</v>
      </c>
      <c r="G103" s="46">
        <v>8670</v>
      </c>
      <c r="H103" s="124">
        <v>1332</v>
      </c>
      <c r="I103" s="157">
        <v>24279</v>
      </c>
      <c r="J103" s="48">
        <v>2.3699999999999999E-2</v>
      </c>
      <c r="K103" s="49">
        <v>575</v>
      </c>
      <c r="L103" s="50">
        <v>23704</v>
      </c>
      <c r="M103" s="158">
        <v>3642</v>
      </c>
      <c r="N103" s="149">
        <v>33159</v>
      </c>
      <c r="O103" s="51">
        <v>7786</v>
      </c>
      <c r="P103" s="51">
        <v>25373</v>
      </c>
      <c r="Q103" s="51">
        <v>12687</v>
      </c>
      <c r="R103" s="51">
        <v>4974</v>
      </c>
      <c r="S103" s="139">
        <v>32374</v>
      </c>
    </row>
    <row r="104" spans="1:19">
      <c r="A104" s="41" t="s">
        <v>229</v>
      </c>
      <c r="B104" s="42" t="s">
        <v>254</v>
      </c>
      <c r="C104" s="107" t="s">
        <v>255</v>
      </c>
      <c r="D104" s="123">
        <v>11837</v>
      </c>
      <c r="E104" s="44">
        <v>2.3699999999999999E-2</v>
      </c>
      <c r="F104" s="45">
        <v>281</v>
      </c>
      <c r="G104" s="46">
        <v>11556</v>
      </c>
      <c r="H104" s="124">
        <v>1776</v>
      </c>
      <c r="I104" s="157">
        <v>32366</v>
      </c>
      <c r="J104" s="48">
        <v>2.3699999999999999E-2</v>
      </c>
      <c r="K104" s="49">
        <v>767</v>
      </c>
      <c r="L104" s="50">
        <v>31599</v>
      </c>
      <c r="M104" s="158">
        <v>4855</v>
      </c>
      <c r="N104" s="149">
        <v>44203</v>
      </c>
      <c r="O104" s="51">
        <v>11814</v>
      </c>
      <c r="P104" s="51">
        <v>32389</v>
      </c>
      <c r="Q104" s="51">
        <v>16195</v>
      </c>
      <c r="R104" s="51">
        <v>6631</v>
      </c>
      <c r="S104" s="139">
        <v>43155</v>
      </c>
    </row>
    <row r="105" spans="1:19">
      <c r="A105" s="41" t="s">
        <v>229</v>
      </c>
      <c r="B105" s="42" t="s">
        <v>256</v>
      </c>
      <c r="C105" s="107" t="s">
        <v>257</v>
      </c>
      <c r="D105" s="123">
        <v>15418</v>
      </c>
      <c r="E105" s="44">
        <v>2.3699999999999999E-2</v>
      </c>
      <c r="F105" s="45">
        <v>365</v>
      </c>
      <c r="G105" s="46">
        <v>15053</v>
      </c>
      <c r="H105" s="124">
        <v>2313</v>
      </c>
      <c r="I105" s="157">
        <v>42157</v>
      </c>
      <c r="J105" s="48">
        <v>2.3699999999999999E-2</v>
      </c>
      <c r="K105" s="49">
        <v>999</v>
      </c>
      <c r="L105" s="50">
        <v>41158</v>
      </c>
      <c r="M105" s="158">
        <v>6324</v>
      </c>
      <c r="N105" s="149">
        <v>57575</v>
      </c>
      <c r="O105" s="51">
        <v>15348</v>
      </c>
      <c r="P105" s="51">
        <v>42227</v>
      </c>
      <c r="Q105" s="51">
        <v>21114</v>
      </c>
      <c r="R105" s="51">
        <v>8637</v>
      </c>
      <c r="S105" s="139">
        <v>56211</v>
      </c>
    </row>
    <row r="106" spans="1:19">
      <c r="A106" s="41" t="s">
        <v>229</v>
      </c>
      <c r="B106" s="42" t="s">
        <v>258</v>
      </c>
      <c r="C106" s="107" t="s">
        <v>259</v>
      </c>
      <c r="D106" s="123">
        <v>64433</v>
      </c>
      <c r="E106" s="44">
        <v>2.3699999999999999E-2</v>
      </c>
      <c r="F106" s="45">
        <v>1527</v>
      </c>
      <c r="G106" s="46">
        <v>62906</v>
      </c>
      <c r="H106" s="124">
        <v>9665</v>
      </c>
      <c r="I106" s="157">
        <v>176183</v>
      </c>
      <c r="J106" s="48">
        <v>2.3699999999999999E-2</v>
      </c>
      <c r="K106" s="49">
        <v>4176</v>
      </c>
      <c r="L106" s="50">
        <v>172007</v>
      </c>
      <c r="M106" s="158">
        <v>26427</v>
      </c>
      <c r="N106" s="149">
        <v>240616</v>
      </c>
      <c r="O106" s="51">
        <v>63744</v>
      </c>
      <c r="P106" s="51">
        <v>176872</v>
      </c>
      <c r="Q106" s="51">
        <v>88436</v>
      </c>
      <c r="R106" s="51">
        <v>36092</v>
      </c>
      <c r="S106" s="139">
        <v>234913</v>
      </c>
    </row>
    <row r="107" spans="1:19">
      <c r="A107" s="41" t="s">
        <v>229</v>
      </c>
      <c r="B107" s="42" t="s">
        <v>260</v>
      </c>
      <c r="C107" s="107" t="s">
        <v>261</v>
      </c>
      <c r="D107" s="123">
        <v>57948</v>
      </c>
      <c r="E107" s="44">
        <v>2.3699999999999999E-2</v>
      </c>
      <c r="F107" s="45">
        <v>1373</v>
      </c>
      <c r="G107" s="46">
        <v>56575</v>
      </c>
      <c r="H107" s="124">
        <v>8692</v>
      </c>
      <c r="I107" s="157">
        <v>158450</v>
      </c>
      <c r="J107" s="48">
        <v>2.3699999999999999E-2</v>
      </c>
      <c r="K107" s="49">
        <v>3755</v>
      </c>
      <c r="L107" s="50">
        <v>154695</v>
      </c>
      <c r="M107" s="158">
        <v>23768</v>
      </c>
      <c r="N107" s="149">
        <v>216398</v>
      </c>
      <c r="O107" s="51">
        <v>56912</v>
      </c>
      <c r="P107" s="51">
        <v>159486</v>
      </c>
      <c r="Q107" s="51">
        <v>79743</v>
      </c>
      <c r="R107" s="51">
        <v>32460</v>
      </c>
      <c r="S107" s="139">
        <v>211270</v>
      </c>
    </row>
    <row r="108" spans="1:19">
      <c r="A108" s="41" t="s">
        <v>229</v>
      </c>
      <c r="B108" s="42" t="s">
        <v>262</v>
      </c>
      <c r="C108" s="107" t="s">
        <v>263</v>
      </c>
      <c r="D108" s="123">
        <v>19255</v>
      </c>
      <c r="E108" s="44">
        <v>2.3699999999999999E-2</v>
      </c>
      <c r="F108" s="45">
        <v>456</v>
      </c>
      <c r="G108" s="46">
        <v>18799</v>
      </c>
      <c r="H108" s="124">
        <v>2888</v>
      </c>
      <c r="I108" s="157">
        <v>52651</v>
      </c>
      <c r="J108" s="48">
        <v>2.3699999999999999E-2</v>
      </c>
      <c r="K108" s="49">
        <v>1248</v>
      </c>
      <c r="L108" s="50">
        <v>51403</v>
      </c>
      <c r="M108" s="158">
        <v>7898</v>
      </c>
      <c r="N108" s="149">
        <v>71906</v>
      </c>
      <c r="O108" s="51">
        <v>20439</v>
      </c>
      <c r="P108" s="51">
        <v>51467</v>
      </c>
      <c r="Q108" s="51">
        <v>25734</v>
      </c>
      <c r="R108" s="51">
        <v>10786</v>
      </c>
      <c r="S108" s="139">
        <v>70202</v>
      </c>
    </row>
    <row r="109" spans="1:19">
      <c r="A109" s="80" t="s">
        <v>229</v>
      </c>
      <c r="B109" s="81" t="s">
        <v>264</v>
      </c>
      <c r="C109" s="111" t="s">
        <v>265</v>
      </c>
      <c r="D109" s="123">
        <v>4361</v>
      </c>
      <c r="E109" s="44">
        <v>2.3699999999999999E-2</v>
      </c>
      <c r="F109" s="45">
        <v>103</v>
      </c>
      <c r="G109" s="46">
        <v>4258</v>
      </c>
      <c r="H109" s="124">
        <v>654</v>
      </c>
      <c r="I109" s="157">
        <v>11923</v>
      </c>
      <c r="J109" s="48">
        <v>2.3699999999999999E-2</v>
      </c>
      <c r="K109" s="49">
        <v>283</v>
      </c>
      <c r="L109" s="50">
        <v>11640</v>
      </c>
      <c r="M109" s="158">
        <v>1788</v>
      </c>
      <c r="N109" s="149">
        <v>16284</v>
      </c>
      <c r="O109" s="51">
        <v>4410</v>
      </c>
      <c r="P109" s="51">
        <v>11874</v>
      </c>
      <c r="Q109" s="51">
        <v>5937</v>
      </c>
      <c r="R109" s="51">
        <v>2442</v>
      </c>
      <c r="S109" s="139">
        <v>15898</v>
      </c>
    </row>
    <row r="110" spans="1:19">
      <c r="A110" s="41" t="s">
        <v>229</v>
      </c>
      <c r="B110" s="42" t="s">
        <v>266</v>
      </c>
      <c r="C110" s="107" t="s">
        <v>267</v>
      </c>
      <c r="D110" s="123">
        <v>35581</v>
      </c>
      <c r="E110" s="44">
        <v>2.3699999999999999E-2</v>
      </c>
      <c r="F110" s="45">
        <v>843</v>
      </c>
      <c r="G110" s="46">
        <v>34738</v>
      </c>
      <c r="H110" s="124">
        <v>5337</v>
      </c>
      <c r="I110" s="157">
        <v>97289</v>
      </c>
      <c r="J110" s="48">
        <v>2.3699999999999999E-2</v>
      </c>
      <c r="K110" s="49">
        <v>2306</v>
      </c>
      <c r="L110" s="50">
        <v>94983</v>
      </c>
      <c r="M110" s="158">
        <v>14593</v>
      </c>
      <c r="N110" s="149">
        <v>132870</v>
      </c>
      <c r="O110" s="51">
        <v>34600</v>
      </c>
      <c r="P110" s="51">
        <v>98270</v>
      </c>
      <c r="Q110" s="51">
        <v>49135</v>
      </c>
      <c r="R110" s="51">
        <v>19930</v>
      </c>
      <c r="S110" s="139">
        <v>129721</v>
      </c>
    </row>
    <row r="111" spans="1:19">
      <c r="A111" s="41" t="s">
        <v>229</v>
      </c>
      <c r="B111" s="42" t="s">
        <v>268</v>
      </c>
      <c r="C111" s="107" t="s">
        <v>269</v>
      </c>
      <c r="D111" s="123">
        <v>22985</v>
      </c>
      <c r="E111" s="44">
        <v>2.3699999999999999E-2</v>
      </c>
      <c r="F111" s="45">
        <v>545</v>
      </c>
      <c r="G111" s="46">
        <v>22440</v>
      </c>
      <c r="H111" s="124">
        <v>3448</v>
      </c>
      <c r="I111" s="157">
        <v>62850</v>
      </c>
      <c r="J111" s="48">
        <v>2.3699999999999999E-2</v>
      </c>
      <c r="K111" s="49">
        <v>1490</v>
      </c>
      <c r="L111" s="50">
        <v>61360</v>
      </c>
      <c r="M111" s="158">
        <v>9428</v>
      </c>
      <c r="N111" s="149">
        <v>85835</v>
      </c>
      <c r="O111" s="51">
        <v>23390</v>
      </c>
      <c r="P111" s="51">
        <v>62445</v>
      </c>
      <c r="Q111" s="51">
        <v>31223</v>
      </c>
      <c r="R111" s="51">
        <v>12876</v>
      </c>
      <c r="S111" s="139">
        <v>83800</v>
      </c>
    </row>
    <row r="112" spans="1:19">
      <c r="A112" s="41" t="s">
        <v>229</v>
      </c>
      <c r="B112" s="42" t="s">
        <v>270</v>
      </c>
      <c r="C112" s="107" t="s">
        <v>271</v>
      </c>
      <c r="D112" s="123">
        <v>13423</v>
      </c>
      <c r="E112" s="44">
        <v>2.3699999999999999E-2</v>
      </c>
      <c r="F112" s="45">
        <v>318</v>
      </c>
      <c r="G112" s="46">
        <v>13105</v>
      </c>
      <c r="H112" s="124">
        <v>2013</v>
      </c>
      <c r="I112" s="157">
        <v>36704</v>
      </c>
      <c r="J112" s="48">
        <v>2.3699999999999999E-2</v>
      </c>
      <c r="K112" s="49">
        <v>870</v>
      </c>
      <c r="L112" s="50">
        <v>35834</v>
      </c>
      <c r="M112" s="158">
        <v>5506</v>
      </c>
      <c r="N112" s="149">
        <v>50127</v>
      </c>
      <c r="O112" s="51">
        <v>13208</v>
      </c>
      <c r="P112" s="51">
        <v>36919</v>
      </c>
      <c r="Q112" s="51">
        <v>18460</v>
      </c>
      <c r="R112" s="51">
        <v>7519</v>
      </c>
      <c r="S112" s="139">
        <v>48939</v>
      </c>
    </row>
    <row r="113" spans="1:19">
      <c r="A113" s="41" t="s">
        <v>229</v>
      </c>
      <c r="B113" s="42" t="s">
        <v>272</v>
      </c>
      <c r="C113" s="107" t="s">
        <v>273</v>
      </c>
      <c r="D113" s="123">
        <v>19640</v>
      </c>
      <c r="E113" s="44">
        <v>2.3699999999999999E-2</v>
      </c>
      <c r="F113" s="45">
        <v>465</v>
      </c>
      <c r="G113" s="46">
        <v>19175</v>
      </c>
      <c r="H113" s="124">
        <v>2946</v>
      </c>
      <c r="I113" s="157">
        <v>53705</v>
      </c>
      <c r="J113" s="48">
        <v>2.3699999999999999E-2</v>
      </c>
      <c r="K113" s="49">
        <v>1273</v>
      </c>
      <c r="L113" s="50">
        <v>52432</v>
      </c>
      <c r="M113" s="158">
        <v>8056</v>
      </c>
      <c r="N113" s="149">
        <v>73345</v>
      </c>
      <c r="O113" s="51">
        <v>18470</v>
      </c>
      <c r="P113" s="51">
        <v>54875</v>
      </c>
      <c r="Q113" s="51">
        <v>27438</v>
      </c>
      <c r="R113" s="51">
        <v>11002</v>
      </c>
      <c r="S113" s="139">
        <v>71607</v>
      </c>
    </row>
    <row r="114" spans="1:19">
      <c r="A114" s="41" t="s">
        <v>229</v>
      </c>
      <c r="B114" s="42" t="s">
        <v>274</v>
      </c>
      <c r="C114" s="107" t="s">
        <v>275</v>
      </c>
      <c r="D114" s="123">
        <v>18009</v>
      </c>
      <c r="E114" s="44">
        <v>2.3699999999999999E-2</v>
      </c>
      <c r="F114" s="45">
        <v>427</v>
      </c>
      <c r="G114" s="46">
        <v>17582</v>
      </c>
      <c r="H114" s="124">
        <v>2701</v>
      </c>
      <c r="I114" s="157">
        <v>49244</v>
      </c>
      <c r="J114" s="48">
        <v>2.3699999999999999E-2</v>
      </c>
      <c r="K114" s="49">
        <v>1167</v>
      </c>
      <c r="L114" s="50">
        <v>48077</v>
      </c>
      <c r="M114" s="158">
        <v>7387</v>
      </c>
      <c r="N114" s="149">
        <v>67253</v>
      </c>
      <c r="O114" s="51">
        <v>17567</v>
      </c>
      <c r="P114" s="51">
        <v>49686</v>
      </c>
      <c r="Q114" s="51">
        <v>24843</v>
      </c>
      <c r="R114" s="51">
        <v>10088</v>
      </c>
      <c r="S114" s="139">
        <v>65659</v>
      </c>
    </row>
    <row r="115" spans="1:19">
      <c r="A115" s="41" t="s">
        <v>229</v>
      </c>
      <c r="B115" s="42" t="s">
        <v>276</v>
      </c>
      <c r="C115" s="107" t="s">
        <v>277</v>
      </c>
      <c r="D115" s="123">
        <v>44528</v>
      </c>
      <c r="E115" s="44">
        <v>2.3699999999999999E-2</v>
      </c>
      <c r="F115" s="45">
        <v>1055</v>
      </c>
      <c r="G115" s="46">
        <v>43473</v>
      </c>
      <c r="H115" s="124">
        <v>6679</v>
      </c>
      <c r="I115" s="157">
        <v>121756</v>
      </c>
      <c r="J115" s="48">
        <v>2.3699999999999999E-2</v>
      </c>
      <c r="K115" s="49">
        <v>2886</v>
      </c>
      <c r="L115" s="50">
        <v>118870</v>
      </c>
      <c r="M115" s="158">
        <v>18263</v>
      </c>
      <c r="N115" s="149">
        <v>166284</v>
      </c>
      <c r="O115" s="51">
        <v>44036</v>
      </c>
      <c r="P115" s="51">
        <v>122248</v>
      </c>
      <c r="Q115" s="51">
        <v>61124</v>
      </c>
      <c r="R115" s="51">
        <v>24942</v>
      </c>
      <c r="S115" s="139">
        <v>162343</v>
      </c>
    </row>
    <row r="116" spans="1:19">
      <c r="A116" s="41" t="s">
        <v>229</v>
      </c>
      <c r="B116" s="42" t="s">
        <v>278</v>
      </c>
      <c r="C116" s="107" t="s">
        <v>279</v>
      </c>
      <c r="D116" s="123">
        <v>10380</v>
      </c>
      <c r="E116" s="44">
        <v>2.3699999999999999E-2</v>
      </c>
      <c r="F116" s="45">
        <v>246</v>
      </c>
      <c r="G116" s="46">
        <v>10134</v>
      </c>
      <c r="H116" s="124">
        <v>1557</v>
      </c>
      <c r="I116" s="157">
        <v>28383</v>
      </c>
      <c r="J116" s="48">
        <v>2.3699999999999999E-2</v>
      </c>
      <c r="K116" s="49">
        <v>673</v>
      </c>
      <c r="L116" s="50">
        <v>27710</v>
      </c>
      <c r="M116" s="158">
        <v>4257</v>
      </c>
      <c r="N116" s="149">
        <v>38763</v>
      </c>
      <c r="O116" s="51">
        <v>10629</v>
      </c>
      <c r="P116" s="51">
        <v>28134</v>
      </c>
      <c r="Q116" s="51">
        <v>14067</v>
      </c>
      <c r="R116" s="51">
        <v>5814</v>
      </c>
      <c r="S116" s="139">
        <v>37844</v>
      </c>
    </row>
    <row r="117" spans="1:19">
      <c r="A117" s="41" t="s">
        <v>229</v>
      </c>
      <c r="B117" s="42" t="s">
        <v>280</v>
      </c>
      <c r="C117" s="107" t="s">
        <v>281</v>
      </c>
      <c r="D117" s="123">
        <v>29961</v>
      </c>
      <c r="E117" s="44">
        <v>2.3699999999999999E-2</v>
      </c>
      <c r="F117" s="45">
        <v>710</v>
      </c>
      <c r="G117" s="46">
        <v>29251</v>
      </c>
      <c r="H117" s="124">
        <v>4494</v>
      </c>
      <c r="I117" s="157">
        <v>81926</v>
      </c>
      <c r="J117" s="48">
        <v>2.3699999999999999E-2</v>
      </c>
      <c r="K117" s="49">
        <v>1942</v>
      </c>
      <c r="L117" s="50">
        <v>79984</v>
      </c>
      <c r="M117" s="158">
        <v>12289</v>
      </c>
      <c r="N117" s="149">
        <v>111887</v>
      </c>
      <c r="O117" s="51">
        <v>30962</v>
      </c>
      <c r="P117" s="51">
        <v>80925</v>
      </c>
      <c r="Q117" s="51">
        <v>40463</v>
      </c>
      <c r="R117" s="51">
        <v>16783</v>
      </c>
      <c r="S117" s="139">
        <v>109235</v>
      </c>
    </row>
    <row r="118" spans="1:19">
      <c r="A118" s="41" t="s">
        <v>229</v>
      </c>
      <c r="B118" s="42" t="s">
        <v>282</v>
      </c>
      <c r="C118" s="107" t="s">
        <v>283</v>
      </c>
      <c r="D118" s="123">
        <v>11254</v>
      </c>
      <c r="E118" s="44">
        <v>2.3699999999999999E-2</v>
      </c>
      <c r="F118" s="45">
        <v>267</v>
      </c>
      <c r="G118" s="46">
        <v>10987</v>
      </c>
      <c r="H118" s="124">
        <v>1688</v>
      </c>
      <c r="I118" s="157">
        <v>30773</v>
      </c>
      <c r="J118" s="48">
        <v>2.3699999999999999E-2</v>
      </c>
      <c r="K118" s="49">
        <v>729</v>
      </c>
      <c r="L118" s="50">
        <v>30044</v>
      </c>
      <c r="M118" s="158">
        <v>4616</v>
      </c>
      <c r="N118" s="149">
        <v>42027</v>
      </c>
      <c r="O118" s="51">
        <v>11402</v>
      </c>
      <c r="P118" s="51">
        <v>30625</v>
      </c>
      <c r="Q118" s="51">
        <v>15313</v>
      </c>
      <c r="R118" s="51">
        <v>6304</v>
      </c>
      <c r="S118" s="139">
        <v>41031</v>
      </c>
    </row>
    <row r="119" spans="1:19">
      <c r="A119" s="41" t="s">
        <v>229</v>
      </c>
      <c r="B119" s="42" t="s">
        <v>284</v>
      </c>
      <c r="C119" s="107" t="s">
        <v>285</v>
      </c>
      <c r="D119" s="123">
        <v>35595</v>
      </c>
      <c r="E119" s="44">
        <v>2.3699999999999999E-2</v>
      </c>
      <c r="F119" s="45">
        <v>844</v>
      </c>
      <c r="G119" s="46">
        <v>34751</v>
      </c>
      <c r="H119" s="124">
        <v>5339</v>
      </c>
      <c r="I119" s="157">
        <v>97330</v>
      </c>
      <c r="J119" s="48">
        <v>2.3699999999999999E-2</v>
      </c>
      <c r="K119" s="49">
        <v>2307</v>
      </c>
      <c r="L119" s="50">
        <v>95023</v>
      </c>
      <c r="M119" s="158">
        <v>14600</v>
      </c>
      <c r="N119" s="149">
        <v>132925</v>
      </c>
      <c r="O119" s="51">
        <v>36196</v>
      </c>
      <c r="P119" s="51">
        <v>96729</v>
      </c>
      <c r="Q119" s="51">
        <v>48365</v>
      </c>
      <c r="R119" s="51">
        <v>19939</v>
      </c>
      <c r="S119" s="139">
        <v>129774</v>
      </c>
    </row>
    <row r="120" spans="1:19">
      <c r="A120" s="41" t="s">
        <v>229</v>
      </c>
      <c r="B120" s="42" t="s">
        <v>286</v>
      </c>
      <c r="C120" s="107" t="s">
        <v>287</v>
      </c>
      <c r="D120" s="123">
        <v>25403</v>
      </c>
      <c r="E120" s="44">
        <v>2.3699999999999999E-2</v>
      </c>
      <c r="F120" s="45">
        <v>602</v>
      </c>
      <c r="G120" s="46">
        <v>24801</v>
      </c>
      <c r="H120" s="124">
        <v>3810</v>
      </c>
      <c r="I120" s="157">
        <v>69462</v>
      </c>
      <c r="J120" s="48">
        <v>2.3699999999999999E-2</v>
      </c>
      <c r="K120" s="49">
        <v>1646</v>
      </c>
      <c r="L120" s="50">
        <v>67816</v>
      </c>
      <c r="M120" s="158">
        <v>10419</v>
      </c>
      <c r="N120" s="149">
        <v>94865</v>
      </c>
      <c r="O120" s="51">
        <v>25740</v>
      </c>
      <c r="P120" s="51">
        <v>69125</v>
      </c>
      <c r="Q120" s="51">
        <v>34563</v>
      </c>
      <c r="R120" s="51">
        <v>14229</v>
      </c>
      <c r="S120" s="139">
        <v>92617</v>
      </c>
    </row>
    <row r="121" spans="1:19">
      <c r="A121" s="41" t="s">
        <v>229</v>
      </c>
      <c r="B121" s="42" t="s">
        <v>288</v>
      </c>
      <c r="C121" s="107" t="s">
        <v>289</v>
      </c>
      <c r="D121" s="123">
        <v>13479</v>
      </c>
      <c r="E121" s="44">
        <v>2.3699999999999999E-2</v>
      </c>
      <c r="F121" s="45">
        <v>319</v>
      </c>
      <c r="G121" s="46">
        <v>13160</v>
      </c>
      <c r="H121" s="124">
        <v>2022</v>
      </c>
      <c r="I121" s="157">
        <v>36856</v>
      </c>
      <c r="J121" s="48">
        <v>2.3699999999999999E-2</v>
      </c>
      <c r="K121" s="49">
        <v>873</v>
      </c>
      <c r="L121" s="50">
        <v>35983</v>
      </c>
      <c r="M121" s="158">
        <v>5528</v>
      </c>
      <c r="N121" s="149">
        <v>50335</v>
      </c>
      <c r="O121" s="51">
        <v>13645</v>
      </c>
      <c r="P121" s="51">
        <v>36690</v>
      </c>
      <c r="Q121" s="51">
        <v>18345</v>
      </c>
      <c r="R121" s="51">
        <v>7550</v>
      </c>
      <c r="S121" s="139">
        <v>49143</v>
      </c>
    </row>
    <row r="122" spans="1:19">
      <c r="A122" s="41" t="s">
        <v>229</v>
      </c>
      <c r="B122" s="42" t="s">
        <v>290</v>
      </c>
      <c r="C122" s="107" t="s">
        <v>291</v>
      </c>
      <c r="D122" s="123">
        <v>25657</v>
      </c>
      <c r="E122" s="44">
        <v>2.3699999999999999E-2</v>
      </c>
      <c r="F122" s="45">
        <v>608</v>
      </c>
      <c r="G122" s="46">
        <v>25049</v>
      </c>
      <c r="H122" s="124">
        <v>3849</v>
      </c>
      <c r="I122" s="157">
        <v>70155</v>
      </c>
      <c r="J122" s="48">
        <v>2.3699999999999999E-2</v>
      </c>
      <c r="K122" s="49">
        <v>1663</v>
      </c>
      <c r="L122" s="50">
        <v>68492</v>
      </c>
      <c r="M122" s="158">
        <v>10523</v>
      </c>
      <c r="N122" s="149">
        <v>95812</v>
      </c>
      <c r="O122" s="51">
        <v>25958</v>
      </c>
      <c r="P122" s="51">
        <v>69854</v>
      </c>
      <c r="Q122" s="51">
        <v>34927</v>
      </c>
      <c r="R122" s="51">
        <v>14372</v>
      </c>
      <c r="S122" s="139">
        <v>93541</v>
      </c>
    </row>
    <row r="123" spans="1:19">
      <c r="A123" s="41" t="s">
        <v>229</v>
      </c>
      <c r="B123" s="42" t="s">
        <v>292</v>
      </c>
      <c r="C123" s="107" t="s">
        <v>293</v>
      </c>
      <c r="D123" s="123">
        <v>20981</v>
      </c>
      <c r="E123" s="44">
        <v>2.3699999999999999E-2</v>
      </c>
      <c r="F123" s="45">
        <v>497</v>
      </c>
      <c r="G123" s="46">
        <v>20484</v>
      </c>
      <c r="H123" s="124">
        <v>3147</v>
      </c>
      <c r="I123" s="157">
        <v>57370</v>
      </c>
      <c r="J123" s="48">
        <v>2.3699999999999999E-2</v>
      </c>
      <c r="K123" s="49">
        <v>1360</v>
      </c>
      <c r="L123" s="50">
        <v>56010</v>
      </c>
      <c r="M123" s="158">
        <v>8606</v>
      </c>
      <c r="N123" s="149">
        <v>78351</v>
      </c>
      <c r="O123" s="51">
        <v>21343</v>
      </c>
      <c r="P123" s="51">
        <v>57008</v>
      </c>
      <c r="Q123" s="51">
        <v>28504</v>
      </c>
      <c r="R123" s="51">
        <v>11753</v>
      </c>
      <c r="S123" s="139">
        <v>76494</v>
      </c>
    </row>
    <row r="124" spans="1:19">
      <c r="A124" s="41" t="s">
        <v>229</v>
      </c>
      <c r="B124" s="42" t="s">
        <v>294</v>
      </c>
      <c r="C124" s="107" t="s">
        <v>295</v>
      </c>
      <c r="D124" s="123">
        <v>10156</v>
      </c>
      <c r="E124" s="44">
        <v>2.3699999999999999E-2</v>
      </c>
      <c r="F124" s="45">
        <v>241</v>
      </c>
      <c r="G124" s="46">
        <v>9915</v>
      </c>
      <c r="H124" s="124">
        <v>1523</v>
      </c>
      <c r="I124" s="157">
        <v>27769</v>
      </c>
      <c r="J124" s="48">
        <v>2.3699999999999999E-2</v>
      </c>
      <c r="K124" s="49">
        <v>658</v>
      </c>
      <c r="L124" s="50">
        <v>27111</v>
      </c>
      <c r="M124" s="158">
        <v>4165</v>
      </c>
      <c r="N124" s="149">
        <v>37925</v>
      </c>
      <c r="O124" s="51">
        <v>10542</v>
      </c>
      <c r="P124" s="51">
        <v>27383</v>
      </c>
      <c r="Q124" s="51">
        <v>13692</v>
      </c>
      <c r="R124" s="51">
        <v>5688</v>
      </c>
      <c r="S124" s="139">
        <v>37026</v>
      </c>
    </row>
    <row r="125" spans="1:19">
      <c r="A125" s="41" t="s">
        <v>229</v>
      </c>
      <c r="B125" s="42" t="s">
        <v>296</v>
      </c>
      <c r="C125" s="107" t="s">
        <v>297</v>
      </c>
      <c r="D125" s="123">
        <v>23173</v>
      </c>
      <c r="E125" s="44">
        <v>2.3699999999999999E-2</v>
      </c>
      <c r="F125" s="45">
        <v>549</v>
      </c>
      <c r="G125" s="46">
        <v>22624</v>
      </c>
      <c r="H125" s="124">
        <v>3476</v>
      </c>
      <c r="I125" s="157">
        <v>63363</v>
      </c>
      <c r="J125" s="48">
        <v>2.3699999999999999E-2</v>
      </c>
      <c r="K125" s="49">
        <v>1502</v>
      </c>
      <c r="L125" s="50">
        <v>61861</v>
      </c>
      <c r="M125" s="158">
        <v>9504</v>
      </c>
      <c r="N125" s="149">
        <v>86536</v>
      </c>
      <c r="O125" s="51">
        <v>22187</v>
      </c>
      <c r="P125" s="51">
        <v>64349</v>
      </c>
      <c r="Q125" s="51">
        <v>32175</v>
      </c>
      <c r="R125" s="51">
        <v>12980</v>
      </c>
      <c r="S125" s="139">
        <v>84485</v>
      </c>
    </row>
    <row r="126" spans="1:19">
      <c r="A126" s="41" t="s">
        <v>229</v>
      </c>
      <c r="B126" s="42" t="s">
        <v>298</v>
      </c>
      <c r="C126" s="107" t="s">
        <v>299</v>
      </c>
      <c r="D126" s="123">
        <v>26908</v>
      </c>
      <c r="E126" s="44">
        <v>2.3699999999999999E-2</v>
      </c>
      <c r="F126" s="45">
        <v>638</v>
      </c>
      <c r="G126" s="46">
        <v>26270</v>
      </c>
      <c r="H126" s="124">
        <v>4036</v>
      </c>
      <c r="I126" s="157">
        <v>73577</v>
      </c>
      <c r="J126" s="48">
        <v>2.3699999999999999E-2</v>
      </c>
      <c r="K126" s="49">
        <v>1744</v>
      </c>
      <c r="L126" s="50">
        <v>71833</v>
      </c>
      <c r="M126" s="158">
        <v>11037</v>
      </c>
      <c r="N126" s="149">
        <v>100485</v>
      </c>
      <c r="O126" s="51">
        <v>26901</v>
      </c>
      <c r="P126" s="51">
        <v>73584</v>
      </c>
      <c r="Q126" s="51">
        <v>36792</v>
      </c>
      <c r="R126" s="51">
        <v>15073</v>
      </c>
      <c r="S126" s="139">
        <v>98103</v>
      </c>
    </row>
    <row r="127" spans="1:19">
      <c r="A127" s="80" t="s">
        <v>229</v>
      </c>
      <c r="B127" s="81" t="s">
        <v>300</v>
      </c>
      <c r="C127" s="111" t="s">
        <v>301</v>
      </c>
      <c r="D127" s="123">
        <v>8097</v>
      </c>
      <c r="E127" s="44">
        <v>2.3699999999999999E-2</v>
      </c>
      <c r="F127" s="45">
        <v>192</v>
      </c>
      <c r="G127" s="46">
        <v>7905</v>
      </c>
      <c r="H127" s="124">
        <v>1215</v>
      </c>
      <c r="I127" s="157">
        <v>22140</v>
      </c>
      <c r="J127" s="48">
        <v>2.3699999999999999E-2</v>
      </c>
      <c r="K127" s="49">
        <v>525</v>
      </c>
      <c r="L127" s="50">
        <v>21615</v>
      </c>
      <c r="M127" s="158">
        <v>3321</v>
      </c>
      <c r="N127" s="149">
        <v>30237</v>
      </c>
      <c r="O127" s="51">
        <v>8075</v>
      </c>
      <c r="P127" s="51">
        <v>22162</v>
      </c>
      <c r="Q127" s="51">
        <v>11081</v>
      </c>
      <c r="R127" s="51">
        <v>4536</v>
      </c>
      <c r="S127" s="139">
        <v>29520</v>
      </c>
    </row>
    <row r="128" spans="1:19">
      <c r="A128" s="41" t="s">
        <v>229</v>
      </c>
      <c r="B128" s="42" t="s">
        <v>302</v>
      </c>
      <c r="C128" s="107" t="s">
        <v>303</v>
      </c>
      <c r="D128" s="123">
        <v>36130</v>
      </c>
      <c r="E128" s="44">
        <v>2.3699999999999999E-2</v>
      </c>
      <c r="F128" s="45">
        <v>856</v>
      </c>
      <c r="G128" s="46">
        <v>35274</v>
      </c>
      <c r="H128" s="124">
        <v>5420</v>
      </c>
      <c r="I128" s="157">
        <v>98794</v>
      </c>
      <c r="J128" s="48">
        <v>2.3699999999999999E-2</v>
      </c>
      <c r="K128" s="49">
        <v>2341</v>
      </c>
      <c r="L128" s="50">
        <v>96453</v>
      </c>
      <c r="M128" s="158">
        <v>14819</v>
      </c>
      <c r="N128" s="149">
        <v>134924</v>
      </c>
      <c r="O128" s="51">
        <v>37823</v>
      </c>
      <c r="P128" s="51">
        <v>97101</v>
      </c>
      <c r="Q128" s="51">
        <v>48551</v>
      </c>
      <c r="R128" s="51">
        <v>20239</v>
      </c>
      <c r="S128" s="139">
        <v>131727</v>
      </c>
    </row>
    <row r="129" spans="1:19">
      <c r="A129" s="41" t="s">
        <v>229</v>
      </c>
      <c r="B129" s="42" t="s">
        <v>304</v>
      </c>
      <c r="C129" s="107" t="s">
        <v>305</v>
      </c>
      <c r="D129" s="123">
        <v>31184</v>
      </c>
      <c r="E129" s="44">
        <v>2.3699999999999999E-2</v>
      </c>
      <c r="F129" s="45">
        <v>739</v>
      </c>
      <c r="G129" s="46">
        <v>30445</v>
      </c>
      <c r="H129" s="124">
        <v>4678</v>
      </c>
      <c r="I129" s="157">
        <v>85269</v>
      </c>
      <c r="J129" s="48">
        <v>2.3699999999999999E-2</v>
      </c>
      <c r="K129" s="49">
        <v>2021</v>
      </c>
      <c r="L129" s="50">
        <v>83248</v>
      </c>
      <c r="M129" s="158">
        <v>12790</v>
      </c>
      <c r="N129" s="149">
        <v>116453</v>
      </c>
      <c r="O129" s="51">
        <v>31656</v>
      </c>
      <c r="P129" s="51">
        <v>84797</v>
      </c>
      <c r="Q129" s="51">
        <v>42399</v>
      </c>
      <c r="R129" s="51">
        <v>17468</v>
      </c>
      <c r="S129" s="139">
        <v>113693</v>
      </c>
    </row>
    <row r="130" spans="1:19">
      <c r="A130" s="41" t="s">
        <v>229</v>
      </c>
      <c r="B130" s="42" t="s">
        <v>306</v>
      </c>
      <c r="C130" s="107" t="s">
        <v>307</v>
      </c>
      <c r="D130" s="123">
        <v>106609</v>
      </c>
      <c r="E130" s="44">
        <v>2.3699999999999999E-2</v>
      </c>
      <c r="F130" s="45">
        <v>2527</v>
      </c>
      <c r="G130" s="46">
        <v>104082</v>
      </c>
      <c r="H130" s="124">
        <v>15991</v>
      </c>
      <c r="I130" s="157">
        <v>291507</v>
      </c>
      <c r="J130" s="48">
        <v>2.3699999999999999E-2</v>
      </c>
      <c r="K130" s="49">
        <v>6909</v>
      </c>
      <c r="L130" s="50">
        <v>284598</v>
      </c>
      <c r="M130" s="158">
        <v>43726</v>
      </c>
      <c r="N130" s="149">
        <v>398116</v>
      </c>
      <c r="O130" s="51">
        <v>106296</v>
      </c>
      <c r="P130" s="51">
        <v>291820</v>
      </c>
      <c r="Q130" s="51">
        <v>145910</v>
      </c>
      <c r="R130" s="51">
        <v>59717</v>
      </c>
      <c r="S130" s="139">
        <v>388680</v>
      </c>
    </row>
    <row r="131" spans="1:19">
      <c r="A131" s="41" t="s">
        <v>229</v>
      </c>
      <c r="B131" s="42" t="s">
        <v>308</v>
      </c>
      <c r="C131" s="107" t="s">
        <v>309</v>
      </c>
      <c r="D131" s="123">
        <v>61548</v>
      </c>
      <c r="E131" s="44">
        <v>2.3699999999999999E-2</v>
      </c>
      <c r="F131" s="45">
        <v>1459</v>
      </c>
      <c r="G131" s="46">
        <v>60089</v>
      </c>
      <c r="H131" s="124">
        <v>9232</v>
      </c>
      <c r="I131" s="157">
        <v>168293</v>
      </c>
      <c r="J131" s="48">
        <v>2.3699999999999999E-2</v>
      </c>
      <c r="K131" s="49">
        <v>3989</v>
      </c>
      <c r="L131" s="50">
        <v>164304</v>
      </c>
      <c r="M131" s="158">
        <v>25244</v>
      </c>
      <c r="N131" s="149">
        <v>229841</v>
      </c>
      <c r="O131" s="51">
        <v>61096</v>
      </c>
      <c r="P131" s="51">
        <v>168745</v>
      </c>
      <c r="Q131" s="51">
        <v>84373</v>
      </c>
      <c r="R131" s="51">
        <v>34476</v>
      </c>
      <c r="S131" s="139">
        <v>224393</v>
      </c>
    </row>
    <row r="132" spans="1:19">
      <c r="A132" s="41" t="s">
        <v>229</v>
      </c>
      <c r="B132" s="42" t="s">
        <v>310</v>
      </c>
      <c r="C132" s="107" t="s">
        <v>311</v>
      </c>
      <c r="D132" s="123">
        <v>130274</v>
      </c>
      <c r="E132" s="44">
        <v>2.3699999999999999E-2</v>
      </c>
      <c r="F132" s="45">
        <v>3087</v>
      </c>
      <c r="G132" s="46">
        <v>127187</v>
      </c>
      <c r="H132" s="124">
        <v>19541</v>
      </c>
      <c r="I132" s="157">
        <v>356218</v>
      </c>
      <c r="J132" s="48">
        <v>2.3699999999999999E-2</v>
      </c>
      <c r="K132" s="49">
        <v>8442</v>
      </c>
      <c r="L132" s="50">
        <v>347776</v>
      </c>
      <c r="M132" s="158">
        <v>53433</v>
      </c>
      <c r="N132" s="149">
        <v>486492</v>
      </c>
      <c r="O132" s="51">
        <v>123751</v>
      </c>
      <c r="P132" s="51">
        <v>362741</v>
      </c>
      <c r="Q132" s="51">
        <v>181371</v>
      </c>
      <c r="R132" s="51">
        <v>72974</v>
      </c>
      <c r="S132" s="139">
        <v>474963</v>
      </c>
    </row>
    <row r="133" spans="1:19">
      <c r="A133" s="41" t="s">
        <v>229</v>
      </c>
      <c r="B133" s="42" t="s">
        <v>312</v>
      </c>
      <c r="C133" s="107" t="s">
        <v>313</v>
      </c>
      <c r="D133" s="123">
        <v>10550</v>
      </c>
      <c r="E133" s="44">
        <v>2.3699999999999999E-2</v>
      </c>
      <c r="F133" s="45">
        <v>250</v>
      </c>
      <c r="G133" s="46">
        <v>10300</v>
      </c>
      <c r="H133" s="124">
        <v>1583</v>
      </c>
      <c r="I133" s="157">
        <v>28849</v>
      </c>
      <c r="J133" s="48">
        <v>2.3699999999999999E-2</v>
      </c>
      <c r="K133" s="49">
        <v>684</v>
      </c>
      <c r="L133" s="50">
        <v>28165</v>
      </c>
      <c r="M133" s="158">
        <v>4327</v>
      </c>
      <c r="N133" s="149">
        <v>39399</v>
      </c>
      <c r="O133" s="51">
        <v>10812</v>
      </c>
      <c r="P133" s="51">
        <v>28587</v>
      </c>
      <c r="Q133" s="51">
        <v>14294</v>
      </c>
      <c r="R133" s="51">
        <v>5910</v>
      </c>
      <c r="S133" s="139">
        <v>38465</v>
      </c>
    </row>
    <row r="134" spans="1:19">
      <c r="A134" s="80" t="s">
        <v>229</v>
      </c>
      <c r="B134" s="81" t="s">
        <v>314</v>
      </c>
      <c r="C134" s="111" t="s">
        <v>315</v>
      </c>
      <c r="D134" s="123">
        <v>8948</v>
      </c>
      <c r="E134" s="44">
        <v>2.3699999999999999E-2</v>
      </c>
      <c r="F134" s="45">
        <v>212</v>
      </c>
      <c r="G134" s="46">
        <v>8736</v>
      </c>
      <c r="H134" s="124">
        <v>1342</v>
      </c>
      <c r="I134" s="157">
        <v>24467</v>
      </c>
      <c r="J134" s="48">
        <v>2.3699999999999999E-2</v>
      </c>
      <c r="K134" s="49">
        <v>580</v>
      </c>
      <c r="L134" s="50">
        <v>23887</v>
      </c>
      <c r="M134" s="158">
        <v>3670</v>
      </c>
      <c r="N134" s="149">
        <v>33415</v>
      </c>
      <c r="O134" s="51">
        <v>9832</v>
      </c>
      <c r="P134" s="51">
        <v>23583</v>
      </c>
      <c r="Q134" s="51">
        <v>11792</v>
      </c>
      <c r="R134" s="51">
        <v>5012</v>
      </c>
      <c r="S134" s="139">
        <v>32623</v>
      </c>
    </row>
    <row r="135" spans="1:19">
      <c r="A135" s="41" t="s">
        <v>229</v>
      </c>
      <c r="B135" s="42" t="s">
        <v>316</v>
      </c>
      <c r="C135" s="107" t="s">
        <v>317</v>
      </c>
      <c r="D135" s="123">
        <v>9766</v>
      </c>
      <c r="E135" s="44">
        <v>2.3699999999999999E-2</v>
      </c>
      <c r="F135" s="45">
        <v>231</v>
      </c>
      <c r="G135" s="46">
        <v>9535</v>
      </c>
      <c r="H135" s="124">
        <v>1465</v>
      </c>
      <c r="I135" s="157">
        <v>26702</v>
      </c>
      <c r="J135" s="48">
        <v>2.3699999999999999E-2</v>
      </c>
      <c r="K135" s="49">
        <v>633</v>
      </c>
      <c r="L135" s="50">
        <v>26069</v>
      </c>
      <c r="M135" s="158">
        <v>4005</v>
      </c>
      <c r="N135" s="149">
        <v>36468</v>
      </c>
      <c r="O135" s="51">
        <v>9697</v>
      </c>
      <c r="P135" s="51">
        <v>26771</v>
      </c>
      <c r="Q135" s="51">
        <v>13386</v>
      </c>
      <c r="R135" s="51">
        <v>5470</v>
      </c>
      <c r="S135" s="139">
        <v>35604</v>
      </c>
    </row>
    <row r="136" spans="1:19">
      <c r="A136" s="41" t="s">
        <v>229</v>
      </c>
      <c r="B136" s="42" t="s">
        <v>318</v>
      </c>
      <c r="C136" s="107" t="s">
        <v>319</v>
      </c>
      <c r="D136" s="123">
        <v>9254</v>
      </c>
      <c r="E136" s="44">
        <v>2.3699999999999999E-2</v>
      </c>
      <c r="F136" s="45">
        <v>219</v>
      </c>
      <c r="G136" s="46">
        <v>9035</v>
      </c>
      <c r="H136" s="124">
        <v>1388</v>
      </c>
      <c r="I136" s="157">
        <v>25302</v>
      </c>
      <c r="J136" s="48">
        <v>2.3699999999999999E-2</v>
      </c>
      <c r="K136" s="49">
        <v>600</v>
      </c>
      <c r="L136" s="50">
        <v>24702</v>
      </c>
      <c r="M136" s="158">
        <v>3795</v>
      </c>
      <c r="N136" s="149">
        <v>34556</v>
      </c>
      <c r="O136" s="51">
        <v>9601</v>
      </c>
      <c r="P136" s="51">
        <v>24955</v>
      </c>
      <c r="Q136" s="51">
        <v>12478</v>
      </c>
      <c r="R136" s="51">
        <v>5183</v>
      </c>
      <c r="S136" s="139">
        <v>33737</v>
      </c>
    </row>
    <row r="137" spans="1:19">
      <c r="A137" s="41" t="s">
        <v>229</v>
      </c>
      <c r="B137" s="42" t="s">
        <v>320</v>
      </c>
      <c r="C137" s="107" t="s">
        <v>321</v>
      </c>
      <c r="D137" s="123">
        <v>26728</v>
      </c>
      <c r="E137" s="44">
        <v>2.3699999999999999E-2</v>
      </c>
      <c r="F137" s="45">
        <v>633</v>
      </c>
      <c r="G137" s="46">
        <v>26095</v>
      </c>
      <c r="H137" s="124">
        <v>4009</v>
      </c>
      <c r="I137" s="157">
        <v>73084</v>
      </c>
      <c r="J137" s="48">
        <v>2.3699999999999999E-2</v>
      </c>
      <c r="K137" s="49">
        <v>1732</v>
      </c>
      <c r="L137" s="50">
        <v>71352</v>
      </c>
      <c r="M137" s="158">
        <v>10963</v>
      </c>
      <c r="N137" s="149">
        <v>99812</v>
      </c>
      <c r="O137" s="51">
        <v>27156</v>
      </c>
      <c r="P137" s="51">
        <v>72656</v>
      </c>
      <c r="Q137" s="51">
        <v>36328</v>
      </c>
      <c r="R137" s="51">
        <v>14972</v>
      </c>
      <c r="S137" s="139">
        <v>97447</v>
      </c>
    </row>
    <row r="138" spans="1:19">
      <c r="A138" s="41" t="s">
        <v>229</v>
      </c>
      <c r="B138" s="42" t="s">
        <v>322</v>
      </c>
      <c r="C138" s="107" t="s">
        <v>323</v>
      </c>
      <c r="D138" s="123">
        <v>86884</v>
      </c>
      <c r="E138" s="44">
        <v>2.3699999999999999E-2</v>
      </c>
      <c r="F138" s="45">
        <v>2059</v>
      </c>
      <c r="G138" s="46">
        <v>84825</v>
      </c>
      <c r="H138" s="124">
        <v>13033</v>
      </c>
      <c r="I138" s="157">
        <v>237571</v>
      </c>
      <c r="J138" s="48">
        <v>2.3699999999999999E-2</v>
      </c>
      <c r="K138" s="49">
        <v>5630</v>
      </c>
      <c r="L138" s="50">
        <v>231941</v>
      </c>
      <c r="M138" s="158">
        <v>35636</v>
      </c>
      <c r="N138" s="149">
        <v>324455</v>
      </c>
      <c r="O138" s="51">
        <v>87319</v>
      </c>
      <c r="P138" s="51">
        <v>237136</v>
      </c>
      <c r="Q138" s="51">
        <v>118568</v>
      </c>
      <c r="R138" s="51">
        <v>48669</v>
      </c>
      <c r="S138" s="139">
        <v>316766</v>
      </c>
    </row>
    <row r="139" spans="1:19" ht="15.75" thickBot="1">
      <c r="A139" s="60" t="s">
        <v>229</v>
      </c>
      <c r="B139" s="61" t="s">
        <v>324</v>
      </c>
      <c r="C139" s="109" t="s">
        <v>325</v>
      </c>
      <c r="D139" s="127">
        <v>18376</v>
      </c>
      <c r="E139" s="63">
        <v>2.3699999999999999E-2</v>
      </c>
      <c r="F139" s="64">
        <v>436</v>
      </c>
      <c r="G139" s="65">
        <v>17940</v>
      </c>
      <c r="H139" s="128">
        <v>2756</v>
      </c>
      <c r="I139" s="161">
        <v>50247</v>
      </c>
      <c r="J139" s="67">
        <v>2.3699999999999999E-2</v>
      </c>
      <c r="K139" s="68">
        <v>1191</v>
      </c>
      <c r="L139" s="69">
        <v>49056</v>
      </c>
      <c r="M139" s="162">
        <v>7537</v>
      </c>
      <c r="N139" s="150">
        <v>68623</v>
      </c>
      <c r="O139" s="70">
        <v>17687</v>
      </c>
      <c r="P139" s="70">
        <v>50936</v>
      </c>
      <c r="Q139" s="70">
        <v>25468</v>
      </c>
      <c r="R139" s="70">
        <v>10293</v>
      </c>
      <c r="S139" s="140">
        <v>66996</v>
      </c>
    </row>
    <row r="140" spans="1:19">
      <c r="A140" s="41" t="s">
        <v>326</v>
      </c>
      <c r="B140" s="42" t="s">
        <v>327</v>
      </c>
      <c r="C140" s="107" t="s">
        <v>328</v>
      </c>
      <c r="D140" s="123">
        <v>16367</v>
      </c>
      <c r="E140" s="44">
        <v>6.6E-3</v>
      </c>
      <c r="F140" s="45">
        <v>108</v>
      </c>
      <c r="G140" s="46">
        <v>16259</v>
      </c>
      <c r="H140" s="124">
        <v>2455</v>
      </c>
      <c r="I140" s="157">
        <v>44750</v>
      </c>
      <c r="J140" s="48">
        <v>6.6E-3</v>
      </c>
      <c r="K140" s="49">
        <v>295</v>
      </c>
      <c r="L140" s="50">
        <v>44455</v>
      </c>
      <c r="M140" s="158">
        <v>6713</v>
      </c>
      <c r="N140" s="149">
        <v>61117</v>
      </c>
      <c r="O140" s="51">
        <v>17345</v>
      </c>
      <c r="P140" s="51">
        <v>43772</v>
      </c>
      <c r="Q140" s="51">
        <v>21886</v>
      </c>
      <c r="R140" s="51">
        <v>9168</v>
      </c>
      <c r="S140" s="139">
        <v>60714</v>
      </c>
    </row>
    <row r="141" spans="1:19">
      <c r="A141" s="41" t="s">
        <v>326</v>
      </c>
      <c r="B141" s="42" t="s">
        <v>329</v>
      </c>
      <c r="C141" s="107" t="s">
        <v>330</v>
      </c>
      <c r="D141" s="123">
        <v>39156</v>
      </c>
      <c r="E141" s="44">
        <v>6.6E-3</v>
      </c>
      <c r="F141" s="45">
        <v>258</v>
      </c>
      <c r="G141" s="46">
        <v>38898</v>
      </c>
      <c r="H141" s="124">
        <v>5873</v>
      </c>
      <c r="I141" s="157">
        <v>107066</v>
      </c>
      <c r="J141" s="48">
        <v>6.6E-3</v>
      </c>
      <c r="K141" s="49">
        <v>707</v>
      </c>
      <c r="L141" s="50">
        <v>106359</v>
      </c>
      <c r="M141" s="158">
        <v>16060</v>
      </c>
      <c r="N141" s="149">
        <v>146222</v>
      </c>
      <c r="O141" s="51">
        <v>40229</v>
      </c>
      <c r="P141" s="51">
        <v>105993</v>
      </c>
      <c r="Q141" s="51">
        <v>52997</v>
      </c>
      <c r="R141" s="51">
        <v>21933</v>
      </c>
      <c r="S141" s="139">
        <v>145257</v>
      </c>
    </row>
    <row r="142" spans="1:19">
      <c r="A142" s="41" t="s">
        <v>326</v>
      </c>
      <c r="B142" s="42" t="s">
        <v>331</v>
      </c>
      <c r="C142" s="107" t="s">
        <v>332</v>
      </c>
      <c r="D142" s="123">
        <v>9878</v>
      </c>
      <c r="E142" s="44">
        <v>6.6E-3</v>
      </c>
      <c r="F142" s="45">
        <v>65</v>
      </c>
      <c r="G142" s="46">
        <v>9813</v>
      </c>
      <c r="H142" s="124">
        <v>1482</v>
      </c>
      <c r="I142" s="157">
        <v>27009</v>
      </c>
      <c r="J142" s="48">
        <v>6.6E-3</v>
      </c>
      <c r="K142" s="49">
        <v>178</v>
      </c>
      <c r="L142" s="50">
        <v>26831</v>
      </c>
      <c r="M142" s="158">
        <v>4051</v>
      </c>
      <c r="N142" s="149">
        <v>36887</v>
      </c>
      <c r="O142" s="51">
        <v>10822</v>
      </c>
      <c r="P142" s="51">
        <v>26065</v>
      </c>
      <c r="Q142" s="51">
        <v>13033</v>
      </c>
      <c r="R142" s="51">
        <v>5533</v>
      </c>
      <c r="S142" s="139">
        <v>36644</v>
      </c>
    </row>
    <row r="143" spans="1:19">
      <c r="A143" s="41" t="s">
        <v>326</v>
      </c>
      <c r="B143" s="42" t="s">
        <v>333</v>
      </c>
      <c r="C143" s="107" t="s">
        <v>334</v>
      </c>
      <c r="D143" s="123">
        <v>215171</v>
      </c>
      <c r="E143" s="44">
        <v>6.6E-3</v>
      </c>
      <c r="F143" s="45">
        <v>1420</v>
      </c>
      <c r="G143" s="46">
        <v>213751</v>
      </c>
      <c r="H143" s="124">
        <v>32276</v>
      </c>
      <c r="I143" s="157">
        <v>588354</v>
      </c>
      <c r="J143" s="48">
        <v>6.6E-3</v>
      </c>
      <c r="K143" s="49">
        <v>3883</v>
      </c>
      <c r="L143" s="50">
        <v>584471</v>
      </c>
      <c r="M143" s="158">
        <v>88253</v>
      </c>
      <c r="N143" s="149">
        <v>803525</v>
      </c>
      <c r="O143" s="51">
        <v>211835</v>
      </c>
      <c r="P143" s="51">
        <v>591690</v>
      </c>
      <c r="Q143" s="51">
        <v>295845</v>
      </c>
      <c r="R143" s="51">
        <v>120529</v>
      </c>
      <c r="S143" s="139">
        <v>798222</v>
      </c>
    </row>
    <row r="144" spans="1:19">
      <c r="A144" s="41" t="s">
        <v>326</v>
      </c>
      <c r="B144" s="42" t="s">
        <v>335</v>
      </c>
      <c r="C144" s="107" t="s">
        <v>336</v>
      </c>
      <c r="D144" s="123">
        <v>25655</v>
      </c>
      <c r="E144" s="44">
        <v>6.6E-3</v>
      </c>
      <c r="F144" s="45">
        <v>169</v>
      </c>
      <c r="G144" s="46">
        <v>25486</v>
      </c>
      <c r="H144" s="124">
        <v>3848</v>
      </c>
      <c r="I144" s="157">
        <v>70150</v>
      </c>
      <c r="J144" s="48">
        <v>6.6E-3</v>
      </c>
      <c r="K144" s="49">
        <v>463</v>
      </c>
      <c r="L144" s="50">
        <v>69687</v>
      </c>
      <c r="M144" s="158">
        <v>10523</v>
      </c>
      <c r="N144" s="149">
        <v>95805</v>
      </c>
      <c r="O144" s="51">
        <v>26883</v>
      </c>
      <c r="P144" s="51">
        <v>68922</v>
      </c>
      <c r="Q144" s="51">
        <v>34461</v>
      </c>
      <c r="R144" s="51">
        <v>14371</v>
      </c>
      <c r="S144" s="139">
        <v>95173</v>
      </c>
    </row>
    <row r="145" spans="1:19">
      <c r="A145" s="41" t="s">
        <v>326</v>
      </c>
      <c r="B145" s="42" t="s">
        <v>337</v>
      </c>
      <c r="C145" s="107" t="s">
        <v>338</v>
      </c>
      <c r="D145" s="123">
        <v>51062</v>
      </c>
      <c r="E145" s="44">
        <v>6.6E-3</v>
      </c>
      <c r="F145" s="45">
        <v>337</v>
      </c>
      <c r="G145" s="46">
        <v>50725</v>
      </c>
      <c r="H145" s="124">
        <v>7659</v>
      </c>
      <c r="I145" s="157">
        <v>139623</v>
      </c>
      <c r="J145" s="48">
        <v>6.6E-3</v>
      </c>
      <c r="K145" s="49">
        <v>922</v>
      </c>
      <c r="L145" s="50">
        <v>138701</v>
      </c>
      <c r="M145" s="158">
        <v>20943</v>
      </c>
      <c r="N145" s="149">
        <v>190685</v>
      </c>
      <c r="O145" s="51">
        <v>50000</v>
      </c>
      <c r="P145" s="51">
        <v>140685</v>
      </c>
      <c r="Q145" s="51">
        <v>70343</v>
      </c>
      <c r="R145" s="51">
        <v>28602</v>
      </c>
      <c r="S145" s="139">
        <v>189426</v>
      </c>
    </row>
    <row r="146" spans="1:19">
      <c r="A146" s="41" t="s">
        <v>326</v>
      </c>
      <c r="B146" s="42" t="s">
        <v>339</v>
      </c>
      <c r="C146" s="107" t="s">
        <v>340</v>
      </c>
      <c r="D146" s="123">
        <v>83285</v>
      </c>
      <c r="E146" s="44">
        <v>6.6E-3</v>
      </c>
      <c r="F146" s="45">
        <v>550</v>
      </c>
      <c r="G146" s="46">
        <v>82735</v>
      </c>
      <c r="H146" s="124">
        <v>12493</v>
      </c>
      <c r="I146" s="157">
        <v>227730</v>
      </c>
      <c r="J146" s="48">
        <v>6.6E-3</v>
      </c>
      <c r="K146" s="49">
        <v>1503</v>
      </c>
      <c r="L146" s="50">
        <v>226227</v>
      </c>
      <c r="M146" s="158">
        <v>34160</v>
      </c>
      <c r="N146" s="149">
        <v>311015</v>
      </c>
      <c r="O146" s="51">
        <v>85651</v>
      </c>
      <c r="P146" s="51">
        <v>225364</v>
      </c>
      <c r="Q146" s="51">
        <v>112682</v>
      </c>
      <c r="R146" s="51">
        <v>46653</v>
      </c>
      <c r="S146" s="139">
        <v>308962</v>
      </c>
    </row>
    <row r="147" spans="1:19">
      <c r="A147" s="53" t="s">
        <v>326</v>
      </c>
      <c r="B147" s="54" t="s">
        <v>341</v>
      </c>
      <c r="C147" s="108" t="s">
        <v>342</v>
      </c>
      <c r="D147" s="125">
        <v>247648</v>
      </c>
      <c r="E147" s="55">
        <v>6.6E-3</v>
      </c>
      <c r="F147" s="56">
        <v>1634</v>
      </c>
      <c r="G147" s="46">
        <v>246014</v>
      </c>
      <c r="H147" s="126">
        <v>37147</v>
      </c>
      <c r="I147" s="159">
        <v>677158</v>
      </c>
      <c r="J147" s="57">
        <v>6.6E-3</v>
      </c>
      <c r="K147" s="58">
        <v>4469</v>
      </c>
      <c r="L147" s="50">
        <v>672689</v>
      </c>
      <c r="M147" s="160">
        <v>101574</v>
      </c>
      <c r="N147" s="149">
        <v>924806</v>
      </c>
      <c r="O147" s="51">
        <v>248975</v>
      </c>
      <c r="P147" s="51">
        <v>675831</v>
      </c>
      <c r="Q147" s="59">
        <f>337916-337916</f>
        <v>0</v>
      </c>
      <c r="R147" s="52">
        <v>138721</v>
      </c>
      <c r="S147" s="139">
        <v>918703</v>
      </c>
    </row>
    <row r="148" spans="1:19">
      <c r="A148" s="41" t="s">
        <v>326</v>
      </c>
      <c r="B148" s="42" t="s">
        <v>343</v>
      </c>
      <c r="C148" s="107" t="s">
        <v>344</v>
      </c>
      <c r="D148" s="123">
        <v>56949</v>
      </c>
      <c r="E148" s="44">
        <v>6.6E-3</v>
      </c>
      <c r="F148" s="45">
        <v>376</v>
      </c>
      <c r="G148" s="46">
        <v>56573</v>
      </c>
      <c r="H148" s="124">
        <v>8542</v>
      </c>
      <c r="I148" s="157">
        <v>155718</v>
      </c>
      <c r="J148" s="48">
        <v>6.6E-3</v>
      </c>
      <c r="K148" s="49">
        <v>1028</v>
      </c>
      <c r="L148" s="50">
        <v>154690</v>
      </c>
      <c r="M148" s="158">
        <v>23358</v>
      </c>
      <c r="N148" s="149">
        <v>212667</v>
      </c>
      <c r="O148" s="51">
        <v>58146</v>
      </c>
      <c r="P148" s="51">
        <v>154521</v>
      </c>
      <c r="Q148" s="51">
        <v>77261</v>
      </c>
      <c r="R148" s="51">
        <v>31900</v>
      </c>
      <c r="S148" s="139">
        <v>211263</v>
      </c>
    </row>
    <row r="149" spans="1:19">
      <c r="A149" s="41" t="s">
        <v>326</v>
      </c>
      <c r="B149" s="42" t="s">
        <v>345</v>
      </c>
      <c r="C149" s="107" t="s">
        <v>346</v>
      </c>
      <c r="D149" s="123">
        <v>1001548</v>
      </c>
      <c r="E149" s="44">
        <v>6.6E-3</v>
      </c>
      <c r="F149" s="45">
        <v>6610</v>
      </c>
      <c r="G149" s="46">
        <v>994938</v>
      </c>
      <c r="H149" s="124">
        <v>150232</v>
      </c>
      <c r="I149" s="157">
        <v>2738592</v>
      </c>
      <c r="J149" s="48">
        <v>6.6E-3</v>
      </c>
      <c r="K149" s="49">
        <v>18075</v>
      </c>
      <c r="L149" s="50">
        <v>2720517</v>
      </c>
      <c r="M149" s="158">
        <v>410789</v>
      </c>
      <c r="N149" s="149">
        <v>3740140</v>
      </c>
      <c r="O149" s="51">
        <v>981076</v>
      </c>
      <c r="P149" s="51">
        <v>2759064</v>
      </c>
      <c r="Q149" s="51">
        <v>1379532</v>
      </c>
      <c r="R149" s="51">
        <v>561021</v>
      </c>
      <c r="S149" s="139">
        <v>3715455</v>
      </c>
    </row>
    <row r="150" spans="1:19">
      <c r="A150" s="41" t="s">
        <v>326</v>
      </c>
      <c r="B150" s="42" t="s">
        <v>347</v>
      </c>
      <c r="C150" s="107" t="s">
        <v>348</v>
      </c>
      <c r="D150" s="123">
        <v>11888</v>
      </c>
      <c r="E150" s="44">
        <v>6.6E-3</v>
      </c>
      <c r="F150" s="45">
        <v>78</v>
      </c>
      <c r="G150" s="46">
        <v>11810</v>
      </c>
      <c r="H150" s="124">
        <v>1783</v>
      </c>
      <c r="I150" s="157">
        <v>32504</v>
      </c>
      <c r="J150" s="48">
        <v>6.6E-3</v>
      </c>
      <c r="K150" s="49">
        <v>215</v>
      </c>
      <c r="L150" s="50">
        <v>32289</v>
      </c>
      <c r="M150" s="158">
        <v>4876</v>
      </c>
      <c r="N150" s="149">
        <v>44392</v>
      </c>
      <c r="O150" s="51">
        <v>11886</v>
      </c>
      <c r="P150" s="51">
        <v>32506</v>
      </c>
      <c r="Q150" s="51">
        <v>16253</v>
      </c>
      <c r="R150" s="51">
        <v>6659</v>
      </c>
      <c r="S150" s="139">
        <v>44099</v>
      </c>
    </row>
    <row r="151" spans="1:19">
      <c r="A151" s="41" t="s">
        <v>326</v>
      </c>
      <c r="B151" s="42" t="s">
        <v>349</v>
      </c>
      <c r="C151" s="107" t="s">
        <v>350</v>
      </c>
      <c r="D151" s="123">
        <v>28798</v>
      </c>
      <c r="E151" s="44">
        <v>6.6E-3</v>
      </c>
      <c r="F151" s="45">
        <v>190</v>
      </c>
      <c r="G151" s="46">
        <v>28608</v>
      </c>
      <c r="H151" s="124">
        <v>4320</v>
      </c>
      <c r="I151" s="157">
        <v>78744</v>
      </c>
      <c r="J151" s="48">
        <v>6.6E-3</v>
      </c>
      <c r="K151" s="49">
        <v>520</v>
      </c>
      <c r="L151" s="50">
        <v>78224</v>
      </c>
      <c r="M151" s="158">
        <v>11812</v>
      </c>
      <c r="N151" s="149">
        <v>107542</v>
      </c>
      <c r="O151" s="51">
        <v>29058</v>
      </c>
      <c r="P151" s="51">
        <v>78484</v>
      </c>
      <c r="Q151" s="51">
        <v>39242</v>
      </c>
      <c r="R151" s="51">
        <v>16132</v>
      </c>
      <c r="S151" s="139">
        <v>106832</v>
      </c>
    </row>
    <row r="152" spans="1:19">
      <c r="A152" s="41" t="s">
        <v>326</v>
      </c>
      <c r="B152" s="42" t="s">
        <v>351</v>
      </c>
      <c r="C152" s="107" t="s">
        <v>352</v>
      </c>
      <c r="D152" s="123">
        <v>20104</v>
      </c>
      <c r="E152" s="44">
        <v>6.6E-3</v>
      </c>
      <c r="F152" s="45">
        <v>133</v>
      </c>
      <c r="G152" s="46">
        <v>19971</v>
      </c>
      <c r="H152" s="124">
        <v>3016</v>
      </c>
      <c r="I152" s="157">
        <v>54972</v>
      </c>
      <c r="J152" s="48">
        <v>6.6E-3</v>
      </c>
      <c r="K152" s="49">
        <v>363</v>
      </c>
      <c r="L152" s="50">
        <v>54609</v>
      </c>
      <c r="M152" s="158">
        <v>8246</v>
      </c>
      <c r="N152" s="149">
        <v>75076</v>
      </c>
      <c r="O152" s="51">
        <v>19204</v>
      </c>
      <c r="P152" s="51">
        <v>55872</v>
      </c>
      <c r="Q152" s="51">
        <v>27936</v>
      </c>
      <c r="R152" s="51">
        <v>11262</v>
      </c>
      <c r="S152" s="139">
        <v>74580</v>
      </c>
    </row>
    <row r="153" spans="1:19">
      <c r="A153" s="41" t="s">
        <v>326</v>
      </c>
      <c r="B153" s="42" t="s">
        <v>353</v>
      </c>
      <c r="C153" s="107" t="s">
        <v>354</v>
      </c>
      <c r="D153" s="123">
        <v>43965</v>
      </c>
      <c r="E153" s="44">
        <v>6.6E-3</v>
      </c>
      <c r="F153" s="45">
        <v>290</v>
      </c>
      <c r="G153" s="46">
        <v>43675</v>
      </c>
      <c r="H153" s="124">
        <v>6595</v>
      </c>
      <c r="I153" s="157">
        <v>120214</v>
      </c>
      <c r="J153" s="48">
        <v>6.6E-3</v>
      </c>
      <c r="K153" s="49">
        <v>793</v>
      </c>
      <c r="L153" s="50">
        <v>119421</v>
      </c>
      <c r="M153" s="158">
        <v>18032</v>
      </c>
      <c r="N153" s="149">
        <v>164179</v>
      </c>
      <c r="O153" s="51">
        <v>44333</v>
      </c>
      <c r="P153" s="51">
        <v>119846</v>
      </c>
      <c r="Q153" s="51">
        <v>59923</v>
      </c>
      <c r="R153" s="51">
        <v>24627</v>
      </c>
      <c r="S153" s="139">
        <v>163096</v>
      </c>
    </row>
    <row r="154" spans="1:19">
      <c r="A154" s="41" t="s">
        <v>326</v>
      </c>
      <c r="B154" s="42" t="s">
        <v>355</v>
      </c>
      <c r="C154" s="107" t="s">
        <v>356</v>
      </c>
      <c r="D154" s="123">
        <v>88392</v>
      </c>
      <c r="E154" s="44">
        <v>6.6E-3</v>
      </c>
      <c r="F154" s="45">
        <v>583</v>
      </c>
      <c r="G154" s="46">
        <v>87809</v>
      </c>
      <c r="H154" s="124">
        <v>13259</v>
      </c>
      <c r="I154" s="157">
        <v>241696</v>
      </c>
      <c r="J154" s="48">
        <v>6.6E-3</v>
      </c>
      <c r="K154" s="49">
        <v>1595</v>
      </c>
      <c r="L154" s="50">
        <v>240101</v>
      </c>
      <c r="M154" s="158">
        <v>36254</v>
      </c>
      <c r="N154" s="149">
        <v>330088</v>
      </c>
      <c r="O154" s="51">
        <v>87838</v>
      </c>
      <c r="P154" s="51">
        <v>242250</v>
      </c>
      <c r="Q154" s="51">
        <v>121125</v>
      </c>
      <c r="R154" s="51">
        <v>49513</v>
      </c>
      <c r="S154" s="139">
        <v>327910</v>
      </c>
    </row>
    <row r="155" spans="1:19">
      <c r="A155" s="41" t="s">
        <v>326</v>
      </c>
      <c r="B155" s="42" t="s">
        <v>357</v>
      </c>
      <c r="C155" s="107" t="s">
        <v>358</v>
      </c>
      <c r="D155" s="123">
        <v>305138</v>
      </c>
      <c r="E155" s="44">
        <v>6.6E-3</v>
      </c>
      <c r="F155" s="45">
        <v>2014</v>
      </c>
      <c r="G155" s="46">
        <v>303124</v>
      </c>
      <c r="H155" s="124">
        <v>45771</v>
      </c>
      <c r="I155" s="157">
        <v>834356</v>
      </c>
      <c r="J155" s="48">
        <v>6.6E-3</v>
      </c>
      <c r="K155" s="49">
        <v>5507</v>
      </c>
      <c r="L155" s="50">
        <v>828849</v>
      </c>
      <c r="M155" s="158">
        <v>125153</v>
      </c>
      <c r="N155" s="149">
        <v>1139494</v>
      </c>
      <c r="O155" s="51">
        <v>299704</v>
      </c>
      <c r="P155" s="51">
        <v>839790</v>
      </c>
      <c r="Q155" s="51">
        <v>419895</v>
      </c>
      <c r="R155" s="51">
        <v>170924</v>
      </c>
      <c r="S155" s="139">
        <v>1131973</v>
      </c>
    </row>
    <row r="156" spans="1:19">
      <c r="A156" s="41" t="s">
        <v>326</v>
      </c>
      <c r="B156" s="42" t="s">
        <v>359</v>
      </c>
      <c r="C156" s="107" t="s">
        <v>360</v>
      </c>
      <c r="D156" s="123">
        <v>29231</v>
      </c>
      <c r="E156" s="44">
        <v>6.6E-3</v>
      </c>
      <c r="F156" s="45">
        <v>193</v>
      </c>
      <c r="G156" s="46">
        <v>29038</v>
      </c>
      <c r="H156" s="124">
        <v>4385</v>
      </c>
      <c r="I156" s="157">
        <v>79928</v>
      </c>
      <c r="J156" s="48">
        <v>6.6E-3</v>
      </c>
      <c r="K156" s="49">
        <v>528</v>
      </c>
      <c r="L156" s="50">
        <v>79400</v>
      </c>
      <c r="M156" s="158">
        <v>11989</v>
      </c>
      <c r="N156" s="149">
        <v>109159</v>
      </c>
      <c r="O156" s="51">
        <v>28700</v>
      </c>
      <c r="P156" s="51">
        <v>80459</v>
      </c>
      <c r="Q156" s="51">
        <v>40230</v>
      </c>
      <c r="R156" s="51">
        <v>16374</v>
      </c>
      <c r="S156" s="139">
        <v>108438</v>
      </c>
    </row>
    <row r="157" spans="1:19">
      <c r="A157" s="41" t="s">
        <v>326</v>
      </c>
      <c r="B157" s="42" t="s">
        <v>361</v>
      </c>
      <c r="C157" s="107" t="s">
        <v>362</v>
      </c>
      <c r="D157" s="123">
        <v>148129</v>
      </c>
      <c r="E157" s="44">
        <v>6.6E-3</v>
      </c>
      <c r="F157" s="45">
        <v>978</v>
      </c>
      <c r="G157" s="46">
        <v>147151</v>
      </c>
      <c r="H157" s="124">
        <v>22219</v>
      </c>
      <c r="I157" s="157">
        <v>405039</v>
      </c>
      <c r="J157" s="48">
        <v>6.6E-3</v>
      </c>
      <c r="K157" s="49">
        <v>2673</v>
      </c>
      <c r="L157" s="50">
        <v>402366</v>
      </c>
      <c r="M157" s="158">
        <v>60756</v>
      </c>
      <c r="N157" s="149">
        <v>553168</v>
      </c>
      <c r="O157" s="51">
        <v>147666</v>
      </c>
      <c r="P157" s="51">
        <v>405502</v>
      </c>
      <c r="Q157" s="51">
        <v>202751</v>
      </c>
      <c r="R157" s="51">
        <v>82975</v>
      </c>
      <c r="S157" s="139">
        <v>549517</v>
      </c>
    </row>
    <row r="158" spans="1:19">
      <c r="A158" s="41" t="s">
        <v>326</v>
      </c>
      <c r="B158" s="42" t="s">
        <v>363</v>
      </c>
      <c r="C158" s="107" t="s">
        <v>364</v>
      </c>
      <c r="D158" s="123">
        <v>173068</v>
      </c>
      <c r="E158" s="44">
        <v>6.6E-3</v>
      </c>
      <c r="F158" s="45">
        <v>1142</v>
      </c>
      <c r="G158" s="46">
        <v>171926</v>
      </c>
      <c r="H158" s="124">
        <v>25960</v>
      </c>
      <c r="I158" s="157">
        <v>473230</v>
      </c>
      <c r="J158" s="48">
        <v>6.6E-3</v>
      </c>
      <c r="K158" s="49">
        <v>3123</v>
      </c>
      <c r="L158" s="50">
        <v>470107</v>
      </c>
      <c r="M158" s="158">
        <v>70985</v>
      </c>
      <c r="N158" s="149">
        <v>646298</v>
      </c>
      <c r="O158" s="51">
        <v>167471</v>
      </c>
      <c r="P158" s="51">
        <v>478827</v>
      </c>
      <c r="Q158" s="51">
        <v>239414</v>
      </c>
      <c r="R158" s="51">
        <v>96945</v>
      </c>
      <c r="S158" s="139">
        <v>642033</v>
      </c>
    </row>
    <row r="159" spans="1:19">
      <c r="A159" s="41" t="s">
        <v>326</v>
      </c>
      <c r="B159" s="42" t="s">
        <v>365</v>
      </c>
      <c r="C159" s="107" t="s">
        <v>366</v>
      </c>
      <c r="D159" s="123">
        <v>17322</v>
      </c>
      <c r="E159" s="44">
        <v>6.6E-3</v>
      </c>
      <c r="F159" s="45">
        <v>114</v>
      </c>
      <c r="G159" s="46">
        <v>17208</v>
      </c>
      <c r="H159" s="124">
        <v>2598</v>
      </c>
      <c r="I159" s="157">
        <v>47364</v>
      </c>
      <c r="J159" s="48">
        <v>6.6E-3</v>
      </c>
      <c r="K159" s="49">
        <v>313</v>
      </c>
      <c r="L159" s="50">
        <v>47051</v>
      </c>
      <c r="M159" s="158">
        <v>7105</v>
      </c>
      <c r="N159" s="149">
        <v>64686</v>
      </c>
      <c r="O159" s="51">
        <v>16411</v>
      </c>
      <c r="P159" s="51">
        <v>48275</v>
      </c>
      <c r="Q159" s="51">
        <v>24138</v>
      </c>
      <c r="R159" s="51">
        <v>9703</v>
      </c>
      <c r="S159" s="139">
        <v>64259</v>
      </c>
    </row>
    <row r="160" spans="1:19">
      <c r="A160" s="41" t="s">
        <v>326</v>
      </c>
      <c r="B160" s="42" t="s">
        <v>367</v>
      </c>
      <c r="C160" s="107" t="s">
        <v>368</v>
      </c>
      <c r="D160" s="123">
        <v>66443</v>
      </c>
      <c r="E160" s="44">
        <v>6.6E-3</v>
      </c>
      <c r="F160" s="45">
        <v>439</v>
      </c>
      <c r="G160" s="46">
        <v>66004</v>
      </c>
      <c r="H160" s="124">
        <v>9966</v>
      </c>
      <c r="I160" s="157">
        <v>181679</v>
      </c>
      <c r="J160" s="48">
        <v>6.6E-3</v>
      </c>
      <c r="K160" s="49">
        <v>1199</v>
      </c>
      <c r="L160" s="50">
        <v>180480</v>
      </c>
      <c r="M160" s="158">
        <v>27252</v>
      </c>
      <c r="N160" s="149">
        <v>248122</v>
      </c>
      <c r="O160" s="51">
        <v>64739</v>
      </c>
      <c r="P160" s="51">
        <v>183383</v>
      </c>
      <c r="Q160" s="51">
        <v>91692</v>
      </c>
      <c r="R160" s="51">
        <v>37218</v>
      </c>
      <c r="S160" s="139">
        <v>246484</v>
      </c>
    </row>
    <row r="161" spans="1:19" ht="15.75" thickBot="1">
      <c r="A161" s="60" t="s">
        <v>326</v>
      </c>
      <c r="B161" s="61" t="s">
        <v>369</v>
      </c>
      <c r="C161" s="109" t="s">
        <v>370</v>
      </c>
      <c r="D161" s="127">
        <v>45015</v>
      </c>
      <c r="E161" s="63">
        <v>6.6E-3</v>
      </c>
      <c r="F161" s="64">
        <v>297</v>
      </c>
      <c r="G161" s="65">
        <v>44718</v>
      </c>
      <c r="H161" s="128">
        <v>6752</v>
      </c>
      <c r="I161" s="161">
        <v>123086</v>
      </c>
      <c r="J161" s="67">
        <v>6.6E-3</v>
      </c>
      <c r="K161" s="68">
        <v>812</v>
      </c>
      <c r="L161" s="69">
        <v>122274</v>
      </c>
      <c r="M161" s="162">
        <v>18463</v>
      </c>
      <c r="N161" s="150">
        <v>168101</v>
      </c>
      <c r="O161" s="70">
        <v>46440</v>
      </c>
      <c r="P161" s="70">
        <v>121661</v>
      </c>
      <c r="Q161" s="70">
        <v>60831</v>
      </c>
      <c r="R161" s="70">
        <v>25215</v>
      </c>
      <c r="S161" s="140">
        <v>166992</v>
      </c>
    </row>
    <row r="162" spans="1:19">
      <c r="A162" s="41" t="s">
        <v>371</v>
      </c>
      <c r="B162" s="42" t="s">
        <v>372</v>
      </c>
      <c r="C162" s="107" t="s">
        <v>373</v>
      </c>
      <c r="D162" s="123">
        <v>29608</v>
      </c>
      <c r="E162" s="44">
        <v>8.8999999999999999E-3</v>
      </c>
      <c r="F162" s="45">
        <v>264</v>
      </c>
      <c r="G162" s="46">
        <v>29344</v>
      </c>
      <c r="H162" s="124">
        <v>4441</v>
      </c>
      <c r="I162" s="157">
        <v>80959</v>
      </c>
      <c r="J162" s="48">
        <v>8.8999999999999999E-3</v>
      </c>
      <c r="K162" s="49">
        <v>721</v>
      </c>
      <c r="L162" s="50">
        <v>80238</v>
      </c>
      <c r="M162" s="158">
        <v>12144</v>
      </c>
      <c r="N162" s="149">
        <v>110567</v>
      </c>
      <c r="O162" s="51">
        <v>29128</v>
      </c>
      <c r="P162" s="51">
        <v>81439</v>
      </c>
      <c r="Q162" s="51">
        <v>40720</v>
      </c>
      <c r="R162" s="51">
        <v>16585</v>
      </c>
      <c r="S162" s="139">
        <v>109582</v>
      </c>
    </row>
    <row r="163" spans="1:19">
      <c r="A163" s="41" t="s">
        <v>371</v>
      </c>
      <c r="B163" s="42" t="s">
        <v>374</v>
      </c>
      <c r="C163" s="107" t="s">
        <v>375</v>
      </c>
      <c r="D163" s="123">
        <v>71946</v>
      </c>
      <c r="E163" s="44">
        <v>8.8999999999999999E-3</v>
      </c>
      <c r="F163" s="45">
        <v>640</v>
      </c>
      <c r="G163" s="46">
        <v>71306</v>
      </c>
      <c r="H163" s="124">
        <v>10792</v>
      </c>
      <c r="I163" s="157">
        <v>196726</v>
      </c>
      <c r="J163" s="48">
        <v>8.8999999999999999E-3</v>
      </c>
      <c r="K163" s="49">
        <v>1751</v>
      </c>
      <c r="L163" s="50">
        <v>194975</v>
      </c>
      <c r="M163" s="158">
        <v>29509</v>
      </c>
      <c r="N163" s="149">
        <v>268672</v>
      </c>
      <c r="O163" s="51">
        <v>74391</v>
      </c>
      <c r="P163" s="51">
        <v>194281</v>
      </c>
      <c r="Q163" s="51">
        <v>97141</v>
      </c>
      <c r="R163" s="51">
        <v>40301</v>
      </c>
      <c r="S163" s="139">
        <v>266281</v>
      </c>
    </row>
    <row r="164" spans="1:19">
      <c r="A164" s="41" t="s">
        <v>371</v>
      </c>
      <c r="B164" s="42" t="s">
        <v>376</v>
      </c>
      <c r="C164" s="107" t="s">
        <v>377</v>
      </c>
      <c r="D164" s="123">
        <v>31440</v>
      </c>
      <c r="E164" s="44">
        <v>8.8999999999999999E-3</v>
      </c>
      <c r="F164" s="45">
        <v>280</v>
      </c>
      <c r="G164" s="46">
        <v>31160</v>
      </c>
      <c r="H164" s="124">
        <v>4716</v>
      </c>
      <c r="I164" s="157">
        <v>85968</v>
      </c>
      <c r="J164" s="48">
        <v>8.8999999999999999E-3</v>
      </c>
      <c r="K164" s="49">
        <v>765</v>
      </c>
      <c r="L164" s="50">
        <v>85203</v>
      </c>
      <c r="M164" s="158">
        <v>12895</v>
      </c>
      <c r="N164" s="149">
        <v>117408</v>
      </c>
      <c r="O164" s="51">
        <v>29581</v>
      </c>
      <c r="P164" s="51">
        <v>87827</v>
      </c>
      <c r="Q164" s="51">
        <v>43914</v>
      </c>
      <c r="R164" s="51">
        <v>17611</v>
      </c>
      <c r="S164" s="139">
        <v>116363</v>
      </c>
    </row>
    <row r="165" spans="1:19">
      <c r="A165" s="41" t="s">
        <v>371</v>
      </c>
      <c r="B165" s="42" t="s">
        <v>378</v>
      </c>
      <c r="C165" s="107" t="s">
        <v>379</v>
      </c>
      <c r="D165" s="123">
        <v>86472</v>
      </c>
      <c r="E165" s="44">
        <v>8.8999999999999999E-3</v>
      </c>
      <c r="F165" s="45">
        <v>770</v>
      </c>
      <c r="G165" s="46">
        <v>85702</v>
      </c>
      <c r="H165" s="124">
        <v>12971</v>
      </c>
      <c r="I165" s="157">
        <v>236445</v>
      </c>
      <c r="J165" s="48">
        <v>8.8999999999999999E-3</v>
      </c>
      <c r="K165" s="49">
        <v>2104</v>
      </c>
      <c r="L165" s="50">
        <v>234341</v>
      </c>
      <c r="M165" s="158">
        <v>35467</v>
      </c>
      <c r="N165" s="149">
        <v>322917</v>
      </c>
      <c r="O165" s="51">
        <v>83244</v>
      </c>
      <c r="P165" s="51">
        <v>239673</v>
      </c>
      <c r="Q165" s="51">
        <v>119837</v>
      </c>
      <c r="R165" s="51">
        <v>48438</v>
      </c>
      <c r="S165" s="139">
        <v>320043</v>
      </c>
    </row>
    <row r="166" spans="1:19">
      <c r="A166" s="41" t="s">
        <v>371</v>
      </c>
      <c r="B166" s="42" t="s">
        <v>380</v>
      </c>
      <c r="C166" s="107" t="s">
        <v>381</v>
      </c>
      <c r="D166" s="123">
        <v>1041146</v>
      </c>
      <c r="E166" s="44">
        <v>8.8999999999999999E-3</v>
      </c>
      <c r="F166" s="45">
        <v>9266</v>
      </c>
      <c r="G166" s="46">
        <v>1031880</v>
      </c>
      <c r="H166" s="124">
        <v>156172</v>
      </c>
      <c r="I166" s="157">
        <v>2846866</v>
      </c>
      <c r="J166" s="48">
        <v>8.8999999999999999E-3</v>
      </c>
      <c r="K166" s="49">
        <v>25337</v>
      </c>
      <c r="L166" s="50">
        <v>2821529</v>
      </c>
      <c r="M166" s="158">
        <v>427030</v>
      </c>
      <c r="N166" s="149">
        <v>3888012</v>
      </c>
      <c r="O166" s="51">
        <v>1037795</v>
      </c>
      <c r="P166" s="51">
        <v>2850217</v>
      </c>
      <c r="Q166" s="51">
        <v>1425109</v>
      </c>
      <c r="R166" s="51">
        <v>583202</v>
      </c>
      <c r="S166" s="139">
        <v>3853409</v>
      </c>
    </row>
    <row r="167" spans="1:19">
      <c r="A167" s="41" t="s">
        <v>371</v>
      </c>
      <c r="B167" s="42" t="s">
        <v>382</v>
      </c>
      <c r="C167" s="107" t="s">
        <v>383</v>
      </c>
      <c r="D167" s="123">
        <v>62395</v>
      </c>
      <c r="E167" s="44">
        <v>8.8999999999999999E-3</v>
      </c>
      <c r="F167" s="45">
        <v>555</v>
      </c>
      <c r="G167" s="46">
        <v>61840</v>
      </c>
      <c r="H167" s="124">
        <v>9359</v>
      </c>
      <c r="I167" s="157">
        <v>170611</v>
      </c>
      <c r="J167" s="48">
        <v>8.8999999999999999E-3</v>
      </c>
      <c r="K167" s="49">
        <v>1518</v>
      </c>
      <c r="L167" s="50">
        <v>169093</v>
      </c>
      <c r="M167" s="158">
        <v>25592</v>
      </c>
      <c r="N167" s="149">
        <v>233006</v>
      </c>
      <c r="O167" s="51">
        <v>59290</v>
      </c>
      <c r="P167" s="51">
        <v>173716</v>
      </c>
      <c r="Q167" s="51">
        <v>86858</v>
      </c>
      <c r="R167" s="51">
        <v>34951</v>
      </c>
      <c r="S167" s="139">
        <v>230933</v>
      </c>
    </row>
    <row r="168" spans="1:19">
      <c r="A168" s="41" t="s">
        <v>371</v>
      </c>
      <c r="B168" s="42" t="s">
        <v>384</v>
      </c>
      <c r="C168" s="107" t="s">
        <v>385</v>
      </c>
      <c r="D168" s="123">
        <v>24790</v>
      </c>
      <c r="E168" s="44">
        <v>8.8999999999999999E-3</v>
      </c>
      <c r="F168" s="45">
        <v>221</v>
      </c>
      <c r="G168" s="46">
        <v>24569</v>
      </c>
      <c r="H168" s="124">
        <v>3719</v>
      </c>
      <c r="I168" s="157">
        <v>67783</v>
      </c>
      <c r="J168" s="48">
        <v>8.8999999999999999E-3</v>
      </c>
      <c r="K168" s="49">
        <v>603</v>
      </c>
      <c r="L168" s="50">
        <v>67180</v>
      </c>
      <c r="M168" s="158">
        <v>10167</v>
      </c>
      <c r="N168" s="149">
        <v>92573</v>
      </c>
      <c r="O168" s="51">
        <v>24531</v>
      </c>
      <c r="P168" s="51">
        <v>68042</v>
      </c>
      <c r="Q168" s="51">
        <v>34021</v>
      </c>
      <c r="R168" s="51">
        <v>13886</v>
      </c>
      <c r="S168" s="139">
        <v>91749</v>
      </c>
    </row>
    <row r="169" spans="1:19">
      <c r="A169" s="41" t="s">
        <v>371</v>
      </c>
      <c r="B169" s="42" t="s">
        <v>386</v>
      </c>
      <c r="C169" s="107" t="s">
        <v>387</v>
      </c>
      <c r="D169" s="123">
        <v>72370</v>
      </c>
      <c r="E169" s="44">
        <v>8.8999999999999999E-3</v>
      </c>
      <c r="F169" s="45">
        <v>644</v>
      </c>
      <c r="G169" s="46">
        <v>71726</v>
      </c>
      <c r="H169" s="124">
        <v>10856</v>
      </c>
      <c r="I169" s="157">
        <v>197884</v>
      </c>
      <c r="J169" s="48">
        <v>8.8999999999999999E-3</v>
      </c>
      <c r="K169" s="49">
        <v>1761</v>
      </c>
      <c r="L169" s="50">
        <v>196123</v>
      </c>
      <c r="M169" s="158">
        <v>29683</v>
      </c>
      <c r="N169" s="149">
        <v>270254</v>
      </c>
      <c r="O169" s="51">
        <v>69703</v>
      </c>
      <c r="P169" s="51">
        <v>200551</v>
      </c>
      <c r="Q169" s="51">
        <v>100276</v>
      </c>
      <c r="R169" s="51">
        <v>40539</v>
      </c>
      <c r="S169" s="139">
        <v>267849</v>
      </c>
    </row>
    <row r="170" spans="1:19">
      <c r="A170" s="41" t="s">
        <v>371</v>
      </c>
      <c r="B170" s="42" t="s">
        <v>388</v>
      </c>
      <c r="C170" s="107" t="s">
        <v>389</v>
      </c>
      <c r="D170" s="123">
        <v>217051</v>
      </c>
      <c r="E170" s="44">
        <v>8.8999999999999999E-3</v>
      </c>
      <c r="F170" s="45">
        <v>1932</v>
      </c>
      <c r="G170" s="46">
        <v>215119</v>
      </c>
      <c r="H170" s="124">
        <v>32558</v>
      </c>
      <c r="I170" s="157">
        <v>593496</v>
      </c>
      <c r="J170" s="48">
        <v>8.8999999999999999E-3</v>
      </c>
      <c r="K170" s="49">
        <v>5282</v>
      </c>
      <c r="L170" s="50">
        <v>588214</v>
      </c>
      <c r="M170" s="158">
        <v>89024</v>
      </c>
      <c r="N170" s="149">
        <v>810547</v>
      </c>
      <c r="O170" s="51">
        <v>204744</v>
      </c>
      <c r="P170" s="51">
        <v>605803</v>
      </c>
      <c r="Q170" s="51">
        <v>302902</v>
      </c>
      <c r="R170" s="51">
        <v>121582</v>
      </c>
      <c r="S170" s="139">
        <v>803333</v>
      </c>
    </row>
    <row r="171" spans="1:19">
      <c r="A171" s="80" t="s">
        <v>371</v>
      </c>
      <c r="B171" s="81" t="s">
        <v>390</v>
      </c>
      <c r="C171" s="111" t="s">
        <v>391</v>
      </c>
      <c r="D171" s="123">
        <v>8424</v>
      </c>
      <c r="E171" s="44">
        <v>8.8999999999999999E-3</v>
      </c>
      <c r="F171" s="45">
        <v>75</v>
      </c>
      <c r="G171" s="46">
        <v>8349</v>
      </c>
      <c r="H171" s="124">
        <v>1264</v>
      </c>
      <c r="I171" s="157">
        <v>23035</v>
      </c>
      <c r="J171" s="48">
        <v>8.8999999999999999E-3</v>
      </c>
      <c r="K171" s="49">
        <v>205</v>
      </c>
      <c r="L171" s="50">
        <v>22830</v>
      </c>
      <c r="M171" s="158">
        <v>3455</v>
      </c>
      <c r="N171" s="149">
        <v>31459</v>
      </c>
      <c r="O171" s="51">
        <v>8690</v>
      </c>
      <c r="P171" s="51">
        <v>22769</v>
      </c>
      <c r="Q171" s="51">
        <v>11385</v>
      </c>
      <c r="R171" s="51">
        <v>4719</v>
      </c>
      <c r="S171" s="139">
        <v>31179</v>
      </c>
    </row>
    <row r="172" spans="1:19">
      <c r="A172" s="80" t="s">
        <v>371</v>
      </c>
      <c r="B172" s="42" t="s">
        <v>392</v>
      </c>
      <c r="C172" s="107" t="s">
        <v>393</v>
      </c>
      <c r="D172" s="123">
        <v>21811</v>
      </c>
      <c r="E172" s="44">
        <v>8.8999999999999999E-3</v>
      </c>
      <c r="F172" s="45">
        <v>194</v>
      </c>
      <c r="G172" s="46">
        <v>21617</v>
      </c>
      <c r="H172" s="124">
        <v>3272</v>
      </c>
      <c r="I172" s="157">
        <v>59640</v>
      </c>
      <c r="J172" s="48">
        <v>8.8999999999999999E-3</v>
      </c>
      <c r="K172" s="49">
        <v>531</v>
      </c>
      <c r="L172" s="50">
        <v>59109</v>
      </c>
      <c r="M172" s="158">
        <v>8946</v>
      </c>
      <c r="N172" s="149">
        <v>81451</v>
      </c>
      <c r="O172" s="51">
        <v>23180</v>
      </c>
      <c r="P172" s="51">
        <v>58271</v>
      </c>
      <c r="Q172" s="51">
        <v>29136</v>
      </c>
      <c r="R172" s="51">
        <v>12218</v>
      </c>
      <c r="S172" s="139">
        <v>80726</v>
      </c>
    </row>
    <row r="173" spans="1:19">
      <c r="A173" s="41" t="s">
        <v>371</v>
      </c>
      <c r="B173" s="42" t="s">
        <v>394</v>
      </c>
      <c r="C173" s="107" t="s">
        <v>395</v>
      </c>
      <c r="D173" s="123">
        <v>18903</v>
      </c>
      <c r="E173" s="44">
        <v>8.8999999999999999E-3</v>
      </c>
      <c r="F173" s="45">
        <v>168</v>
      </c>
      <c r="G173" s="46">
        <v>18735</v>
      </c>
      <c r="H173" s="124">
        <v>2835</v>
      </c>
      <c r="I173" s="157">
        <v>51688</v>
      </c>
      <c r="J173" s="48">
        <v>8.8999999999999999E-3</v>
      </c>
      <c r="K173" s="49">
        <v>460</v>
      </c>
      <c r="L173" s="50">
        <v>51228</v>
      </c>
      <c r="M173" s="158">
        <v>7753</v>
      </c>
      <c r="N173" s="149">
        <v>70591</v>
      </c>
      <c r="O173" s="51">
        <v>19789</v>
      </c>
      <c r="P173" s="51">
        <v>50802</v>
      </c>
      <c r="Q173" s="51">
        <v>25401</v>
      </c>
      <c r="R173" s="51">
        <v>10588</v>
      </c>
      <c r="S173" s="139">
        <v>69963</v>
      </c>
    </row>
    <row r="174" spans="1:19">
      <c r="A174" s="41" t="s">
        <v>371</v>
      </c>
      <c r="B174" s="42" t="s">
        <v>396</v>
      </c>
      <c r="C174" s="107" t="s">
        <v>397</v>
      </c>
      <c r="D174" s="123">
        <v>33307</v>
      </c>
      <c r="E174" s="44">
        <v>8.8999999999999999E-3</v>
      </c>
      <c r="F174" s="45">
        <v>296</v>
      </c>
      <c r="G174" s="46">
        <v>33011</v>
      </c>
      <c r="H174" s="124">
        <v>4996</v>
      </c>
      <c r="I174" s="157">
        <v>91074</v>
      </c>
      <c r="J174" s="48">
        <v>8.8999999999999999E-3</v>
      </c>
      <c r="K174" s="49">
        <v>811</v>
      </c>
      <c r="L174" s="50">
        <v>90263</v>
      </c>
      <c r="M174" s="158">
        <v>13661</v>
      </c>
      <c r="N174" s="149">
        <v>124381</v>
      </c>
      <c r="O174" s="51">
        <v>32264</v>
      </c>
      <c r="P174" s="51">
        <v>92117</v>
      </c>
      <c r="Q174" s="51">
        <v>46059</v>
      </c>
      <c r="R174" s="51">
        <v>18657</v>
      </c>
      <c r="S174" s="139">
        <v>123274</v>
      </c>
    </row>
    <row r="175" spans="1:19">
      <c r="A175" s="82" t="s">
        <v>371</v>
      </c>
      <c r="B175" s="83" t="s">
        <v>398</v>
      </c>
      <c r="C175" s="112" t="s">
        <v>399</v>
      </c>
      <c r="D175" s="125">
        <v>645501</v>
      </c>
      <c r="E175" s="55">
        <v>8.8999999999999999E-3</v>
      </c>
      <c r="F175" s="56">
        <v>5745</v>
      </c>
      <c r="G175" s="46">
        <v>639756</v>
      </c>
      <c r="H175" s="131">
        <v>96825</v>
      </c>
      <c r="I175" s="165">
        <v>1765030</v>
      </c>
      <c r="J175" s="84">
        <v>8.8999999999999999E-3</v>
      </c>
      <c r="K175" s="58">
        <v>15709</v>
      </c>
      <c r="L175" s="50">
        <v>1749321</v>
      </c>
      <c r="M175" s="166">
        <v>264755</v>
      </c>
      <c r="N175" s="152">
        <v>2410531</v>
      </c>
      <c r="O175" s="51">
        <v>628550</v>
      </c>
      <c r="P175" s="51">
        <v>1781981</v>
      </c>
      <c r="Q175" s="85">
        <f>890991-890991</f>
        <v>0</v>
      </c>
      <c r="R175" s="86">
        <v>361580</v>
      </c>
      <c r="S175" s="139">
        <v>2389077</v>
      </c>
    </row>
    <row r="176" spans="1:19">
      <c r="A176" s="41" t="s">
        <v>371</v>
      </c>
      <c r="B176" s="42" t="s">
        <v>400</v>
      </c>
      <c r="C176" s="107" t="s">
        <v>401</v>
      </c>
      <c r="D176" s="123">
        <v>33433</v>
      </c>
      <c r="E176" s="44">
        <v>8.8999999999999999E-3</v>
      </c>
      <c r="F176" s="45">
        <v>298</v>
      </c>
      <c r="G176" s="46">
        <v>33135</v>
      </c>
      <c r="H176" s="124">
        <v>5015</v>
      </c>
      <c r="I176" s="157">
        <v>91419</v>
      </c>
      <c r="J176" s="48">
        <v>8.8999999999999999E-3</v>
      </c>
      <c r="K176" s="49">
        <v>814</v>
      </c>
      <c r="L176" s="50">
        <v>90605</v>
      </c>
      <c r="M176" s="158">
        <v>13713</v>
      </c>
      <c r="N176" s="149">
        <v>124852</v>
      </c>
      <c r="O176" s="51">
        <v>32349</v>
      </c>
      <c r="P176" s="51">
        <v>92503</v>
      </c>
      <c r="Q176" s="51">
        <v>46252</v>
      </c>
      <c r="R176" s="51">
        <v>18728</v>
      </c>
      <c r="S176" s="139">
        <v>123740</v>
      </c>
    </row>
    <row r="177" spans="1:19">
      <c r="A177" s="41" t="s">
        <v>371</v>
      </c>
      <c r="B177" s="42" t="s">
        <v>402</v>
      </c>
      <c r="C177" s="107" t="s">
        <v>403</v>
      </c>
      <c r="D177" s="123">
        <v>47057</v>
      </c>
      <c r="E177" s="44">
        <v>8.8999999999999999E-3</v>
      </c>
      <c r="F177" s="45">
        <v>419</v>
      </c>
      <c r="G177" s="46">
        <v>46638</v>
      </c>
      <c r="H177" s="124">
        <v>7059</v>
      </c>
      <c r="I177" s="157">
        <v>128672</v>
      </c>
      <c r="J177" s="48">
        <v>8.8999999999999999E-3</v>
      </c>
      <c r="K177" s="49">
        <v>1145</v>
      </c>
      <c r="L177" s="50">
        <v>127527</v>
      </c>
      <c r="M177" s="158">
        <v>19301</v>
      </c>
      <c r="N177" s="149">
        <v>175729</v>
      </c>
      <c r="O177" s="51">
        <v>47401</v>
      </c>
      <c r="P177" s="51">
        <v>128328</v>
      </c>
      <c r="Q177" s="51">
        <v>64164</v>
      </c>
      <c r="R177" s="51">
        <v>26360</v>
      </c>
      <c r="S177" s="139">
        <v>174165</v>
      </c>
    </row>
    <row r="178" spans="1:19">
      <c r="A178" s="82" t="s">
        <v>371</v>
      </c>
      <c r="B178" s="83" t="s">
        <v>404</v>
      </c>
      <c r="C178" s="112" t="s">
        <v>405</v>
      </c>
      <c r="D178" s="125">
        <v>339419</v>
      </c>
      <c r="E178" s="55">
        <v>8.8999999999999999E-3</v>
      </c>
      <c r="F178" s="56">
        <v>3021</v>
      </c>
      <c r="G178" s="46">
        <v>336398</v>
      </c>
      <c r="H178" s="131">
        <v>50913</v>
      </c>
      <c r="I178" s="165">
        <v>928092</v>
      </c>
      <c r="J178" s="84">
        <v>8.8999999999999999E-3</v>
      </c>
      <c r="K178" s="58">
        <v>8260</v>
      </c>
      <c r="L178" s="50">
        <v>919832</v>
      </c>
      <c r="M178" s="166">
        <v>139214</v>
      </c>
      <c r="N178" s="152">
        <v>1267511</v>
      </c>
      <c r="O178" s="51">
        <v>324989</v>
      </c>
      <c r="P178" s="51">
        <v>942522</v>
      </c>
      <c r="Q178" s="85">
        <f>471261-471261</f>
        <v>0</v>
      </c>
      <c r="R178" s="86">
        <v>190127</v>
      </c>
      <c r="S178" s="139">
        <v>1256230</v>
      </c>
    </row>
    <row r="179" spans="1:19">
      <c r="A179" s="41" t="s">
        <v>371</v>
      </c>
      <c r="B179" s="42" t="s">
        <v>406</v>
      </c>
      <c r="C179" s="107" t="s">
        <v>407</v>
      </c>
      <c r="D179" s="123">
        <v>33121</v>
      </c>
      <c r="E179" s="44">
        <v>8.8999999999999999E-3</v>
      </c>
      <c r="F179" s="45">
        <v>295</v>
      </c>
      <c r="G179" s="46">
        <v>32826</v>
      </c>
      <c r="H179" s="124">
        <v>4968</v>
      </c>
      <c r="I179" s="157">
        <v>90564</v>
      </c>
      <c r="J179" s="48">
        <v>8.8999999999999999E-3</v>
      </c>
      <c r="K179" s="49">
        <v>806</v>
      </c>
      <c r="L179" s="50">
        <v>89758</v>
      </c>
      <c r="M179" s="158">
        <v>13585</v>
      </c>
      <c r="N179" s="149">
        <v>123685</v>
      </c>
      <c r="O179" s="51">
        <v>31076</v>
      </c>
      <c r="P179" s="51">
        <v>92609</v>
      </c>
      <c r="Q179" s="51">
        <v>46305</v>
      </c>
      <c r="R179" s="51">
        <v>18553</v>
      </c>
      <c r="S179" s="139">
        <v>122584</v>
      </c>
    </row>
    <row r="180" spans="1:19">
      <c r="A180" s="41" t="s">
        <v>371</v>
      </c>
      <c r="B180" s="42" t="s">
        <v>408</v>
      </c>
      <c r="C180" s="107" t="s">
        <v>409</v>
      </c>
      <c r="D180" s="123">
        <v>20183</v>
      </c>
      <c r="E180" s="44">
        <v>8.8999999999999999E-3</v>
      </c>
      <c r="F180" s="45">
        <v>180</v>
      </c>
      <c r="G180" s="46">
        <v>20003</v>
      </c>
      <c r="H180" s="124">
        <v>3027</v>
      </c>
      <c r="I180" s="157">
        <v>55187</v>
      </c>
      <c r="J180" s="48">
        <v>8.8999999999999999E-3</v>
      </c>
      <c r="K180" s="49">
        <v>491</v>
      </c>
      <c r="L180" s="50">
        <v>54696</v>
      </c>
      <c r="M180" s="158">
        <v>8278</v>
      </c>
      <c r="N180" s="149">
        <v>75370</v>
      </c>
      <c r="O180" s="51">
        <v>20543</v>
      </c>
      <c r="P180" s="51">
        <v>54827</v>
      </c>
      <c r="Q180" s="51">
        <v>27414</v>
      </c>
      <c r="R180" s="51">
        <v>11305</v>
      </c>
      <c r="S180" s="139">
        <v>74699</v>
      </c>
    </row>
    <row r="181" spans="1:19">
      <c r="A181" s="82" t="s">
        <v>371</v>
      </c>
      <c r="B181" s="83" t="s">
        <v>410</v>
      </c>
      <c r="C181" s="112" t="s">
        <v>411</v>
      </c>
      <c r="D181" s="125">
        <v>100857</v>
      </c>
      <c r="E181" s="55">
        <v>8.8999999999999999E-3</v>
      </c>
      <c r="F181" s="56">
        <v>898</v>
      </c>
      <c r="G181" s="46">
        <v>99959</v>
      </c>
      <c r="H181" s="131">
        <v>15129</v>
      </c>
      <c r="I181" s="165">
        <v>275779</v>
      </c>
      <c r="J181" s="84">
        <v>8.8999999999999999E-3</v>
      </c>
      <c r="K181" s="58">
        <v>2454</v>
      </c>
      <c r="L181" s="50">
        <v>273325</v>
      </c>
      <c r="M181" s="166">
        <v>41367</v>
      </c>
      <c r="N181" s="152">
        <v>376636</v>
      </c>
      <c r="O181" s="51">
        <v>99559</v>
      </c>
      <c r="P181" s="51">
        <v>277077</v>
      </c>
      <c r="Q181" s="85">
        <f>138539-138539</f>
        <v>0</v>
      </c>
      <c r="R181" s="86">
        <v>56496</v>
      </c>
      <c r="S181" s="139">
        <v>373284</v>
      </c>
    </row>
    <row r="182" spans="1:19">
      <c r="A182" s="53" t="s">
        <v>371</v>
      </c>
      <c r="B182" s="54" t="s">
        <v>412</v>
      </c>
      <c r="C182" s="108" t="s">
        <v>413</v>
      </c>
      <c r="D182" s="125">
        <v>31033</v>
      </c>
      <c r="E182" s="55">
        <v>8.8999999999999999E-3</v>
      </c>
      <c r="F182" s="56">
        <v>276</v>
      </c>
      <c r="G182" s="46">
        <v>30757</v>
      </c>
      <c r="H182" s="126">
        <v>4655</v>
      </c>
      <c r="I182" s="159">
        <v>84856</v>
      </c>
      <c r="J182" s="57">
        <v>8.8999999999999999E-3</v>
      </c>
      <c r="K182" s="58">
        <v>755</v>
      </c>
      <c r="L182" s="50">
        <v>84101</v>
      </c>
      <c r="M182" s="160">
        <v>12728</v>
      </c>
      <c r="N182" s="149">
        <v>115889</v>
      </c>
      <c r="O182" s="51">
        <v>30854</v>
      </c>
      <c r="P182" s="51">
        <v>85035</v>
      </c>
      <c r="Q182" s="59">
        <f>42518-42518</f>
        <v>0</v>
      </c>
      <c r="R182" s="52">
        <v>17383</v>
      </c>
      <c r="S182" s="139">
        <v>114858</v>
      </c>
    </row>
    <row r="183" spans="1:19">
      <c r="A183" s="41" t="s">
        <v>371</v>
      </c>
      <c r="B183" s="42" t="s">
        <v>414</v>
      </c>
      <c r="C183" s="107" t="s">
        <v>415</v>
      </c>
      <c r="D183" s="123">
        <v>65818</v>
      </c>
      <c r="E183" s="44">
        <v>8.8999999999999999E-3</v>
      </c>
      <c r="F183" s="45">
        <v>586</v>
      </c>
      <c r="G183" s="46">
        <v>65232</v>
      </c>
      <c r="H183" s="124">
        <v>9873</v>
      </c>
      <c r="I183" s="157">
        <v>179969</v>
      </c>
      <c r="J183" s="48">
        <v>8.8999999999999999E-3</v>
      </c>
      <c r="K183" s="49">
        <v>1602</v>
      </c>
      <c r="L183" s="50">
        <v>178367</v>
      </c>
      <c r="M183" s="158">
        <v>26995</v>
      </c>
      <c r="N183" s="149">
        <v>245787</v>
      </c>
      <c r="O183" s="51">
        <v>66852</v>
      </c>
      <c r="P183" s="51">
        <v>178935</v>
      </c>
      <c r="Q183" s="51">
        <v>89468</v>
      </c>
      <c r="R183" s="51">
        <v>36868</v>
      </c>
      <c r="S183" s="139">
        <v>243599</v>
      </c>
    </row>
    <row r="184" spans="1:19">
      <c r="A184" s="41" t="s">
        <v>371</v>
      </c>
      <c r="B184" s="42" t="s">
        <v>416</v>
      </c>
      <c r="C184" s="107" t="s">
        <v>417</v>
      </c>
      <c r="D184" s="123">
        <v>53795</v>
      </c>
      <c r="E184" s="44">
        <v>8.8999999999999999E-3</v>
      </c>
      <c r="F184" s="45">
        <v>479</v>
      </c>
      <c r="G184" s="46">
        <v>53316</v>
      </c>
      <c r="H184" s="124">
        <v>8069</v>
      </c>
      <c r="I184" s="157">
        <v>147095</v>
      </c>
      <c r="J184" s="48">
        <v>8.8999999999999999E-3</v>
      </c>
      <c r="K184" s="49">
        <v>1309</v>
      </c>
      <c r="L184" s="50">
        <v>145786</v>
      </c>
      <c r="M184" s="158">
        <v>22064</v>
      </c>
      <c r="N184" s="149">
        <v>200890</v>
      </c>
      <c r="O184" s="51">
        <v>55831</v>
      </c>
      <c r="P184" s="51">
        <v>145059</v>
      </c>
      <c r="Q184" s="51">
        <v>72530</v>
      </c>
      <c r="R184" s="51">
        <v>30133</v>
      </c>
      <c r="S184" s="139">
        <v>199102</v>
      </c>
    </row>
    <row r="185" spans="1:19">
      <c r="A185" s="41" t="s">
        <v>371</v>
      </c>
      <c r="B185" s="42" t="s">
        <v>418</v>
      </c>
      <c r="C185" s="107" t="s">
        <v>419</v>
      </c>
      <c r="D185" s="123">
        <v>52479</v>
      </c>
      <c r="E185" s="44">
        <v>8.8999999999999999E-3</v>
      </c>
      <c r="F185" s="45">
        <v>467</v>
      </c>
      <c r="G185" s="46">
        <v>52012</v>
      </c>
      <c r="H185" s="124">
        <v>7872</v>
      </c>
      <c r="I185" s="157">
        <v>143498</v>
      </c>
      <c r="J185" s="48">
        <v>8.8999999999999999E-3</v>
      </c>
      <c r="K185" s="49">
        <v>1277</v>
      </c>
      <c r="L185" s="50">
        <v>142221</v>
      </c>
      <c r="M185" s="158">
        <v>21525</v>
      </c>
      <c r="N185" s="149">
        <v>195977</v>
      </c>
      <c r="O185" s="51">
        <v>52343</v>
      </c>
      <c r="P185" s="51">
        <v>143634</v>
      </c>
      <c r="Q185" s="51">
        <v>71817</v>
      </c>
      <c r="R185" s="51">
        <v>29397</v>
      </c>
      <c r="S185" s="139">
        <v>194233</v>
      </c>
    </row>
    <row r="186" spans="1:19">
      <c r="A186" s="41" t="s">
        <v>371</v>
      </c>
      <c r="B186" s="42" t="s">
        <v>420</v>
      </c>
      <c r="C186" s="107" t="s">
        <v>421</v>
      </c>
      <c r="D186" s="123">
        <v>38001</v>
      </c>
      <c r="E186" s="44">
        <v>8.8999999999999999E-3</v>
      </c>
      <c r="F186" s="45">
        <v>338</v>
      </c>
      <c r="G186" s="46">
        <v>37663</v>
      </c>
      <c r="H186" s="124">
        <v>5700</v>
      </c>
      <c r="I186" s="157">
        <v>103908</v>
      </c>
      <c r="J186" s="48">
        <v>8.8999999999999999E-3</v>
      </c>
      <c r="K186" s="49">
        <v>925</v>
      </c>
      <c r="L186" s="50">
        <v>102983</v>
      </c>
      <c r="M186" s="158">
        <v>15586</v>
      </c>
      <c r="N186" s="149">
        <v>141909</v>
      </c>
      <c r="O186" s="51">
        <v>37438</v>
      </c>
      <c r="P186" s="51">
        <v>104471</v>
      </c>
      <c r="Q186" s="51">
        <v>52236</v>
      </c>
      <c r="R186" s="51">
        <v>21286</v>
      </c>
      <c r="S186" s="139">
        <v>140646</v>
      </c>
    </row>
    <row r="187" spans="1:19">
      <c r="A187" s="41" t="s">
        <v>371</v>
      </c>
      <c r="B187" s="42" t="s">
        <v>422</v>
      </c>
      <c r="C187" s="107" t="s">
        <v>423</v>
      </c>
      <c r="D187" s="123">
        <v>12635</v>
      </c>
      <c r="E187" s="44">
        <v>8.8999999999999999E-3</v>
      </c>
      <c r="F187" s="45">
        <v>112</v>
      </c>
      <c r="G187" s="46">
        <v>12523</v>
      </c>
      <c r="H187" s="124">
        <v>1895</v>
      </c>
      <c r="I187" s="157">
        <v>34549</v>
      </c>
      <c r="J187" s="48">
        <v>8.8999999999999999E-3</v>
      </c>
      <c r="K187" s="49">
        <v>307</v>
      </c>
      <c r="L187" s="50">
        <v>34242</v>
      </c>
      <c r="M187" s="158">
        <v>5182</v>
      </c>
      <c r="N187" s="149">
        <v>47184</v>
      </c>
      <c r="O187" s="51">
        <v>13999</v>
      </c>
      <c r="P187" s="51">
        <v>33185</v>
      </c>
      <c r="Q187" s="51">
        <v>16593</v>
      </c>
      <c r="R187" s="51">
        <v>7077</v>
      </c>
      <c r="S187" s="139">
        <v>46765</v>
      </c>
    </row>
    <row r="188" spans="1:19">
      <c r="A188" s="41" t="s">
        <v>371</v>
      </c>
      <c r="B188" s="42" t="s">
        <v>424</v>
      </c>
      <c r="C188" s="107" t="s">
        <v>425</v>
      </c>
      <c r="D188" s="123">
        <v>57209</v>
      </c>
      <c r="E188" s="44">
        <v>8.8999999999999999E-3</v>
      </c>
      <c r="F188" s="45">
        <v>509</v>
      </c>
      <c r="G188" s="46">
        <v>56700</v>
      </c>
      <c r="H188" s="124">
        <v>8581</v>
      </c>
      <c r="I188" s="157">
        <v>156431</v>
      </c>
      <c r="J188" s="48">
        <v>8.8999999999999999E-3</v>
      </c>
      <c r="K188" s="49">
        <v>1392</v>
      </c>
      <c r="L188" s="50">
        <v>155039</v>
      </c>
      <c r="M188" s="158">
        <v>23465</v>
      </c>
      <c r="N188" s="149">
        <v>213640</v>
      </c>
      <c r="O188" s="51">
        <v>56665</v>
      </c>
      <c r="P188" s="51">
        <v>156975</v>
      </c>
      <c r="Q188" s="51">
        <v>78488</v>
      </c>
      <c r="R188" s="51">
        <v>32046</v>
      </c>
      <c r="S188" s="139">
        <v>211739</v>
      </c>
    </row>
    <row r="189" spans="1:19">
      <c r="A189" s="41" t="s">
        <v>371</v>
      </c>
      <c r="B189" s="42" t="s">
        <v>426</v>
      </c>
      <c r="C189" s="107" t="s">
        <v>427</v>
      </c>
      <c r="D189" s="123">
        <v>21380</v>
      </c>
      <c r="E189" s="44">
        <v>8.8999999999999999E-3</v>
      </c>
      <c r="F189" s="45">
        <v>190</v>
      </c>
      <c r="G189" s="46">
        <v>21190</v>
      </c>
      <c r="H189" s="124">
        <v>3207</v>
      </c>
      <c r="I189" s="157">
        <v>58461</v>
      </c>
      <c r="J189" s="48">
        <v>8.8999999999999999E-3</v>
      </c>
      <c r="K189" s="49">
        <v>520</v>
      </c>
      <c r="L189" s="50">
        <v>57941</v>
      </c>
      <c r="M189" s="158">
        <v>8769</v>
      </c>
      <c r="N189" s="149">
        <v>79841</v>
      </c>
      <c r="O189" s="51">
        <v>22514</v>
      </c>
      <c r="P189" s="51">
        <v>57327</v>
      </c>
      <c r="Q189" s="51">
        <v>28664</v>
      </c>
      <c r="R189" s="51">
        <v>11976</v>
      </c>
      <c r="S189" s="139">
        <v>79131</v>
      </c>
    </row>
    <row r="190" spans="1:19">
      <c r="A190" s="41" t="s">
        <v>371</v>
      </c>
      <c r="B190" s="42" t="s">
        <v>428</v>
      </c>
      <c r="C190" s="107" t="s">
        <v>429</v>
      </c>
      <c r="D190" s="123">
        <v>42805</v>
      </c>
      <c r="E190" s="44">
        <v>8.8999999999999999E-3</v>
      </c>
      <c r="F190" s="45">
        <v>381</v>
      </c>
      <c r="G190" s="46">
        <v>42424</v>
      </c>
      <c r="H190" s="124">
        <v>6421</v>
      </c>
      <c r="I190" s="157">
        <v>117045</v>
      </c>
      <c r="J190" s="48">
        <v>8.8999999999999999E-3</v>
      </c>
      <c r="K190" s="49">
        <v>1042</v>
      </c>
      <c r="L190" s="50">
        <v>116003</v>
      </c>
      <c r="M190" s="158">
        <v>17557</v>
      </c>
      <c r="N190" s="149">
        <v>159850</v>
      </c>
      <c r="O190" s="51">
        <v>40806</v>
      </c>
      <c r="P190" s="51">
        <v>119044</v>
      </c>
      <c r="Q190" s="51">
        <v>59522</v>
      </c>
      <c r="R190" s="51">
        <v>23978</v>
      </c>
      <c r="S190" s="139">
        <v>158427</v>
      </c>
    </row>
    <row r="191" spans="1:19">
      <c r="A191" s="53" t="s">
        <v>371</v>
      </c>
      <c r="B191" s="54" t="s">
        <v>430</v>
      </c>
      <c r="C191" s="108" t="s">
        <v>431</v>
      </c>
      <c r="D191" s="125">
        <v>93005</v>
      </c>
      <c r="E191" s="55">
        <v>8.8999999999999999E-3</v>
      </c>
      <c r="F191" s="56">
        <v>828</v>
      </c>
      <c r="G191" s="46">
        <v>92177</v>
      </c>
      <c r="H191" s="126">
        <v>13951</v>
      </c>
      <c r="I191" s="159">
        <v>254308</v>
      </c>
      <c r="J191" s="57">
        <v>8.8999999999999999E-3</v>
      </c>
      <c r="K191" s="58">
        <v>2263</v>
      </c>
      <c r="L191" s="50">
        <v>252045</v>
      </c>
      <c r="M191" s="160">
        <v>38146</v>
      </c>
      <c r="N191" s="149">
        <v>347313</v>
      </c>
      <c r="O191" s="51">
        <v>95992</v>
      </c>
      <c r="P191" s="51">
        <v>251321</v>
      </c>
      <c r="Q191" s="59">
        <f>125661-125661</f>
        <v>0</v>
      </c>
      <c r="R191" s="52">
        <v>52097</v>
      </c>
      <c r="S191" s="139">
        <v>344222</v>
      </c>
    </row>
    <row r="192" spans="1:19">
      <c r="A192" s="41" t="s">
        <v>371</v>
      </c>
      <c r="B192" s="42" t="s">
        <v>432</v>
      </c>
      <c r="C192" s="107" t="s">
        <v>433</v>
      </c>
      <c r="D192" s="123">
        <v>99868</v>
      </c>
      <c r="E192" s="44">
        <v>8.8999999999999999E-3</v>
      </c>
      <c r="F192" s="45">
        <v>889</v>
      </c>
      <c r="G192" s="46">
        <v>98979</v>
      </c>
      <c r="H192" s="124">
        <v>14980</v>
      </c>
      <c r="I192" s="157">
        <v>273077</v>
      </c>
      <c r="J192" s="48">
        <v>8.8999999999999999E-3</v>
      </c>
      <c r="K192" s="49">
        <v>2430</v>
      </c>
      <c r="L192" s="50">
        <v>270647</v>
      </c>
      <c r="M192" s="158">
        <v>40962</v>
      </c>
      <c r="N192" s="149">
        <v>372945</v>
      </c>
      <c r="O192" s="51">
        <v>97791</v>
      </c>
      <c r="P192" s="51">
        <v>275154</v>
      </c>
      <c r="Q192" s="51">
        <v>137577</v>
      </c>
      <c r="R192" s="51">
        <v>55942</v>
      </c>
      <c r="S192" s="139">
        <v>369626</v>
      </c>
    </row>
    <row r="193" spans="1:19">
      <c r="A193" s="41" t="s">
        <v>371</v>
      </c>
      <c r="B193" s="42" t="s">
        <v>434</v>
      </c>
      <c r="C193" s="107" t="s">
        <v>435</v>
      </c>
      <c r="D193" s="123">
        <v>39628</v>
      </c>
      <c r="E193" s="44">
        <v>8.8999999999999999E-3</v>
      </c>
      <c r="F193" s="45">
        <v>353</v>
      </c>
      <c r="G193" s="46">
        <v>39275</v>
      </c>
      <c r="H193" s="124">
        <v>5944</v>
      </c>
      <c r="I193" s="157">
        <v>108357</v>
      </c>
      <c r="J193" s="48">
        <v>8.8999999999999999E-3</v>
      </c>
      <c r="K193" s="49">
        <v>964</v>
      </c>
      <c r="L193" s="50">
        <v>107393</v>
      </c>
      <c r="M193" s="158">
        <v>16254</v>
      </c>
      <c r="N193" s="149">
        <v>147985</v>
      </c>
      <c r="O193" s="51">
        <v>38275</v>
      </c>
      <c r="P193" s="51">
        <v>109710</v>
      </c>
      <c r="Q193" s="51">
        <v>54855</v>
      </c>
      <c r="R193" s="51">
        <v>22198</v>
      </c>
      <c r="S193" s="139">
        <v>146668</v>
      </c>
    </row>
    <row r="194" spans="1:19" ht="15.75" thickBot="1">
      <c r="A194" s="60" t="s">
        <v>371</v>
      </c>
      <c r="B194" s="61" t="s">
        <v>436</v>
      </c>
      <c r="C194" s="109" t="s">
        <v>437</v>
      </c>
      <c r="D194" s="127">
        <v>59352</v>
      </c>
      <c r="E194" s="63">
        <v>8.8999999999999999E-3</v>
      </c>
      <c r="F194" s="64">
        <v>528</v>
      </c>
      <c r="G194" s="65">
        <v>58824</v>
      </c>
      <c r="H194" s="128">
        <v>8903</v>
      </c>
      <c r="I194" s="161">
        <v>162291</v>
      </c>
      <c r="J194" s="67">
        <v>8.8999999999999999E-3</v>
      </c>
      <c r="K194" s="68">
        <v>1444</v>
      </c>
      <c r="L194" s="69">
        <v>160847</v>
      </c>
      <c r="M194" s="162">
        <v>24344</v>
      </c>
      <c r="N194" s="150">
        <v>221643</v>
      </c>
      <c r="O194" s="70">
        <v>57747</v>
      </c>
      <c r="P194" s="70">
        <v>163896</v>
      </c>
      <c r="Q194" s="70">
        <v>81948</v>
      </c>
      <c r="R194" s="70">
        <v>33247</v>
      </c>
      <c r="S194" s="140">
        <v>219671</v>
      </c>
    </row>
    <row r="195" spans="1:19">
      <c r="A195" s="41" t="s">
        <v>438</v>
      </c>
      <c r="B195" s="42" t="s">
        <v>439</v>
      </c>
      <c r="C195" s="107" t="s">
        <v>440</v>
      </c>
      <c r="D195" s="123">
        <v>18324</v>
      </c>
      <c r="E195" s="44">
        <v>9.2999999999999992E-3</v>
      </c>
      <c r="F195" s="45">
        <v>170</v>
      </c>
      <c r="G195" s="46">
        <v>18154</v>
      </c>
      <c r="H195" s="124">
        <v>2749</v>
      </c>
      <c r="I195" s="157">
        <v>50105</v>
      </c>
      <c r="J195" s="48">
        <v>9.2999999999999992E-3</v>
      </c>
      <c r="K195" s="49">
        <v>466</v>
      </c>
      <c r="L195" s="50">
        <v>49639</v>
      </c>
      <c r="M195" s="158">
        <v>7516</v>
      </c>
      <c r="N195" s="149">
        <v>68429</v>
      </c>
      <c r="O195" s="51">
        <v>18838</v>
      </c>
      <c r="P195" s="51">
        <v>49591</v>
      </c>
      <c r="Q195" s="51">
        <v>24796</v>
      </c>
      <c r="R195" s="51">
        <v>10265</v>
      </c>
      <c r="S195" s="139">
        <v>67793</v>
      </c>
    </row>
    <row r="196" spans="1:19">
      <c r="A196" s="41" t="s">
        <v>438</v>
      </c>
      <c r="B196" s="42" t="s">
        <v>441</v>
      </c>
      <c r="C196" s="107" t="s">
        <v>442</v>
      </c>
      <c r="D196" s="123">
        <v>70640</v>
      </c>
      <c r="E196" s="44">
        <v>9.2999999999999992E-3</v>
      </c>
      <c r="F196" s="45">
        <v>657</v>
      </c>
      <c r="G196" s="46">
        <v>69983</v>
      </c>
      <c r="H196" s="124">
        <v>10596</v>
      </c>
      <c r="I196" s="157">
        <v>193158</v>
      </c>
      <c r="J196" s="48">
        <v>9.2999999999999992E-3</v>
      </c>
      <c r="K196" s="49">
        <v>1796</v>
      </c>
      <c r="L196" s="50">
        <v>191362</v>
      </c>
      <c r="M196" s="158">
        <v>28974</v>
      </c>
      <c r="N196" s="149">
        <v>263798</v>
      </c>
      <c r="O196" s="51">
        <v>70541</v>
      </c>
      <c r="P196" s="51">
        <v>193257</v>
      </c>
      <c r="Q196" s="51">
        <v>96629</v>
      </c>
      <c r="R196" s="51">
        <v>39570</v>
      </c>
      <c r="S196" s="139">
        <v>261345</v>
      </c>
    </row>
    <row r="197" spans="1:19">
      <c r="A197" s="41" t="s">
        <v>438</v>
      </c>
      <c r="B197" s="42" t="s">
        <v>443</v>
      </c>
      <c r="C197" s="107" t="s">
        <v>444</v>
      </c>
      <c r="D197" s="123">
        <v>228483</v>
      </c>
      <c r="E197" s="44">
        <v>9.2999999999999992E-3</v>
      </c>
      <c r="F197" s="45">
        <v>2125</v>
      </c>
      <c r="G197" s="46">
        <v>226358</v>
      </c>
      <c r="H197" s="124">
        <v>34272</v>
      </c>
      <c r="I197" s="157">
        <v>624755</v>
      </c>
      <c r="J197" s="48">
        <v>9.2999999999999992E-3</v>
      </c>
      <c r="K197" s="49">
        <v>5810</v>
      </c>
      <c r="L197" s="50">
        <v>618945</v>
      </c>
      <c r="M197" s="158">
        <v>93713</v>
      </c>
      <c r="N197" s="149">
        <v>853238</v>
      </c>
      <c r="O197" s="51">
        <v>220498</v>
      </c>
      <c r="P197" s="51">
        <v>632740</v>
      </c>
      <c r="Q197" s="51">
        <v>316370</v>
      </c>
      <c r="R197" s="51">
        <v>127985</v>
      </c>
      <c r="S197" s="139">
        <v>845303</v>
      </c>
    </row>
    <row r="198" spans="1:19">
      <c r="A198" s="82" t="s">
        <v>438</v>
      </c>
      <c r="B198" s="83" t="s">
        <v>445</v>
      </c>
      <c r="C198" s="112" t="s">
        <v>446</v>
      </c>
      <c r="D198" s="125">
        <v>382785</v>
      </c>
      <c r="E198" s="55">
        <v>9.2999999999999992E-3</v>
      </c>
      <c r="F198" s="56">
        <v>3560</v>
      </c>
      <c r="G198" s="46">
        <v>379225</v>
      </c>
      <c r="H198" s="131">
        <v>57418</v>
      </c>
      <c r="I198" s="165">
        <v>1046671</v>
      </c>
      <c r="J198" s="84">
        <v>9.2999999999999992E-3</v>
      </c>
      <c r="K198" s="58">
        <v>9734</v>
      </c>
      <c r="L198" s="50">
        <v>1036937</v>
      </c>
      <c r="M198" s="166">
        <v>157001</v>
      </c>
      <c r="N198" s="152">
        <v>1429456</v>
      </c>
      <c r="O198" s="51">
        <v>360492</v>
      </c>
      <c r="P198" s="51">
        <v>1068964</v>
      </c>
      <c r="Q198" s="85">
        <f>534482-534482</f>
        <v>0</v>
      </c>
      <c r="R198" s="86">
        <v>214419</v>
      </c>
      <c r="S198" s="139">
        <v>1416162</v>
      </c>
    </row>
    <row r="199" spans="1:19">
      <c r="A199" s="41" t="s">
        <v>438</v>
      </c>
      <c r="B199" s="42" t="s">
        <v>447</v>
      </c>
      <c r="C199" s="107" t="s">
        <v>448</v>
      </c>
      <c r="D199" s="123">
        <v>33238</v>
      </c>
      <c r="E199" s="44">
        <v>9.2999999999999992E-3</v>
      </c>
      <c r="F199" s="45">
        <v>309</v>
      </c>
      <c r="G199" s="46">
        <v>32929</v>
      </c>
      <c r="H199" s="124">
        <v>4986</v>
      </c>
      <c r="I199" s="157">
        <v>90886</v>
      </c>
      <c r="J199" s="48">
        <v>9.2999999999999992E-3</v>
      </c>
      <c r="K199" s="49">
        <v>845</v>
      </c>
      <c r="L199" s="50">
        <v>90041</v>
      </c>
      <c r="M199" s="158">
        <v>13633</v>
      </c>
      <c r="N199" s="149">
        <v>124124</v>
      </c>
      <c r="O199" s="51">
        <v>30243</v>
      </c>
      <c r="P199" s="51">
        <v>93881</v>
      </c>
      <c r="Q199" s="51">
        <v>46941</v>
      </c>
      <c r="R199" s="51">
        <v>18619</v>
      </c>
      <c r="S199" s="139">
        <v>122970</v>
      </c>
    </row>
    <row r="200" spans="1:19">
      <c r="A200" s="41" t="s">
        <v>438</v>
      </c>
      <c r="B200" s="42" t="s">
        <v>449</v>
      </c>
      <c r="C200" s="107" t="s">
        <v>450</v>
      </c>
      <c r="D200" s="123">
        <v>73040</v>
      </c>
      <c r="E200" s="44">
        <v>9.2999999999999992E-3</v>
      </c>
      <c r="F200" s="45">
        <v>679</v>
      </c>
      <c r="G200" s="46">
        <v>72361</v>
      </c>
      <c r="H200" s="124">
        <v>10956</v>
      </c>
      <c r="I200" s="157">
        <v>199719</v>
      </c>
      <c r="J200" s="48">
        <v>9.2999999999999992E-3</v>
      </c>
      <c r="K200" s="49">
        <v>1857</v>
      </c>
      <c r="L200" s="50">
        <v>197862</v>
      </c>
      <c r="M200" s="158">
        <v>29958</v>
      </c>
      <c r="N200" s="149">
        <v>272759</v>
      </c>
      <c r="O200" s="51">
        <v>68606</v>
      </c>
      <c r="P200" s="51">
        <v>204153</v>
      </c>
      <c r="Q200" s="51">
        <v>102077</v>
      </c>
      <c r="R200" s="51">
        <v>40914</v>
      </c>
      <c r="S200" s="139">
        <v>270223</v>
      </c>
    </row>
    <row r="201" spans="1:19">
      <c r="A201" s="41" t="s">
        <v>438</v>
      </c>
      <c r="B201" s="42" t="s">
        <v>451</v>
      </c>
      <c r="C201" s="107" t="s">
        <v>452</v>
      </c>
      <c r="D201" s="123">
        <v>19893</v>
      </c>
      <c r="E201" s="44">
        <v>9.2999999999999992E-3</v>
      </c>
      <c r="F201" s="45">
        <v>185</v>
      </c>
      <c r="G201" s="46">
        <v>19708</v>
      </c>
      <c r="H201" s="124">
        <v>2984</v>
      </c>
      <c r="I201" s="157">
        <v>54393</v>
      </c>
      <c r="J201" s="48">
        <v>9.2999999999999992E-3</v>
      </c>
      <c r="K201" s="49">
        <v>506</v>
      </c>
      <c r="L201" s="50">
        <v>53887</v>
      </c>
      <c r="M201" s="158">
        <v>8159</v>
      </c>
      <c r="N201" s="149">
        <v>74286</v>
      </c>
      <c r="O201" s="51">
        <v>32515</v>
      </c>
      <c r="P201" s="51">
        <v>41771</v>
      </c>
      <c r="Q201" s="51">
        <v>20886</v>
      </c>
      <c r="R201" s="51">
        <v>11143</v>
      </c>
      <c r="S201" s="139">
        <v>73595</v>
      </c>
    </row>
    <row r="202" spans="1:19">
      <c r="A202" s="41" t="s">
        <v>438</v>
      </c>
      <c r="B202" s="42" t="s">
        <v>453</v>
      </c>
      <c r="C202" s="107" t="s">
        <v>454</v>
      </c>
      <c r="D202" s="123">
        <v>59646</v>
      </c>
      <c r="E202" s="44">
        <v>9.2999999999999992E-3</v>
      </c>
      <c r="F202" s="45">
        <v>555</v>
      </c>
      <c r="G202" s="46">
        <v>59091</v>
      </c>
      <c r="H202" s="124">
        <v>8947</v>
      </c>
      <c r="I202" s="157">
        <v>163092</v>
      </c>
      <c r="J202" s="48">
        <v>9.2999999999999992E-3</v>
      </c>
      <c r="K202" s="49">
        <v>1517</v>
      </c>
      <c r="L202" s="50">
        <v>161575</v>
      </c>
      <c r="M202" s="158">
        <v>24464</v>
      </c>
      <c r="N202" s="149">
        <v>222738</v>
      </c>
      <c r="O202" s="51">
        <v>62179</v>
      </c>
      <c r="P202" s="51">
        <v>160559</v>
      </c>
      <c r="Q202" s="51">
        <v>80280</v>
      </c>
      <c r="R202" s="51">
        <v>33411</v>
      </c>
      <c r="S202" s="139">
        <v>220666</v>
      </c>
    </row>
    <row r="203" spans="1:19">
      <c r="A203" s="41" t="s">
        <v>438</v>
      </c>
      <c r="B203" s="42" t="s">
        <v>455</v>
      </c>
      <c r="C203" s="107" t="s">
        <v>456</v>
      </c>
      <c r="D203" s="123">
        <v>121374</v>
      </c>
      <c r="E203" s="44">
        <v>9.2999999999999992E-3</v>
      </c>
      <c r="F203" s="45">
        <v>1129</v>
      </c>
      <c r="G203" s="46">
        <v>120245</v>
      </c>
      <c r="H203" s="124">
        <v>18206</v>
      </c>
      <c r="I203" s="157">
        <v>331880</v>
      </c>
      <c r="J203" s="48">
        <v>9.2999999999999992E-3</v>
      </c>
      <c r="K203" s="49">
        <v>3086</v>
      </c>
      <c r="L203" s="50">
        <v>328794</v>
      </c>
      <c r="M203" s="158">
        <v>49782</v>
      </c>
      <c r="N203" s="149">
        <v>453254</v>
      </c>
      <c r="O203" s="51">
        <v>117551</v>
      </c>
      <c r="P203" s="51">
        <v>335703</v>
      </c>
      <c r="Q203" s="51">
        <v>167852</v>
      </c>
      <c r="R203" s="51">
        <v>67988</v>
      </c>
      <c r="S203" s="139">
        <v>449039</v>
      </c>
    </row>
    <row r="204" spans="1:19">
      <c r="A204" s="41" t="s">
        <v>438</v>
      </c>
      <c r="B204" s="42" t="s">
        <v>457</v>
      </c>
      <c r="C204" s="107" t="s">
        <v>458</v>
      </c>
      <c r="D204" s="123">
        <v>89664</v>
      </c>
      <c r="E204" s="44">
        <v>9.2999999999999992E-3</v>
      </c>
      <c r="F204" s="45">
        <v>834</v>
      </c>
      <c r="G204" s="46">
        <v>88830</v>
      </c>
      <c r="H204" s="124">
        <v>13450</v>
      </c>
      <c r="I204" s="157">
        <v>245174</v>
      </c>
      <c r="J204" s="48">
        <v>9.2999999999999992E-3</v>
      </c>
      <c r="K204" s="49">
        <v>2280</v>
      </c>
      <c r="L204" s="50">
        <v>242894</v>
      </c>
      <c r="M204" s="158">
        <v>36776</v>
      </c>
      <c r="N204" s="149">
        <v>334838</v>
      </c>
      <c r="O204" s="51">
        <v>83681</v>
      </c>
      <c r="P204" s="51">
        <v>251157</v>
      </c>
      <c r="Q204" s="51">
        <v>125579</v>
      </c>
      <c r="R204" s="51">
        <v>50226</v>
      </c>
      <c r="S204" s="139">
        <v>331724</v>
      </c>
    </row>
    <row r="205" spans="1:19">
      <c r="A205" s="41" t="s">
        <v>438</v>
      </c>
      <c r="B205" s="42" t="s">
        <v>459</v>
      </c>
      <c r="C205" s="107" t="s">
        <v>460</v>
      </c>
      <c r="D205" s="123">
        <v>130181</v>
      </c>
      <c r="E205" s="44">
        <v>9.2999999999999992E-3</v>
      </c>
      <c r="F205" s="45">
        <v>1211</v>
      </c>
      <c r="G205" s="46">
        <v>128970</v>
      </c>
      <c r="H205" s="124">
        <v>19527</v>
      </c>
      <c r="I205" s="157">
        <v>355960</v>
      </c>
      <c r="J205" s="48">
        <v>9.2999999999999992E-3</v>
      </c>
      <c r="K205" s="49">
        <v>3310</v>
      </c>
      <c r="L205" s="50">
        <v>352650</v>
      </c>
      <c r="M205" s="158">
        <v>53394</v>
      </c>
      <c r="N205" s="149">
        <v>486141</v>
      </c>
      <c r="O205" s="51">
        <v>120916</v>
      </c>
      <c r="P205" s="51">
        <v>365225</v>
      </c>
      <c r="Q205" s="51">
        <v>182613</v>
      </c>
      <c r="R205" s="51">
        <v>72921</v>
      </c>
      <c r="S205" s="139">
        <v>481620</v>
      </c>
    </row>
    <row r="206" spans="1:19">
      <c r="A206" s="41" t="s">
        <v>438</v>
      </c>
      <c r="B206" s="42" t="s">
        <v>461</v>
      </c>
      <c r="C206" s="107" t="s">
        <v>462</v>
      </c>
      <c r="D206" s="123">
        <v>45695</v>
      </c>
      <c r="E206" s="44">
        <v>9.2999999999999992E-3</v>
      </c>
      <c r="F206" s="45">
        <v>425</v>
      </c>
      <c r="G206" s="46">
        <v>45270</v>
      </c>
      <c r="H206" s="124">
        <v>6854</v>
      </c>
      <c r="I206" s="157">
        <v>124946</v>
      </c>
      <c r="J206" s="48">
        <v>9.2999999999999992E-3</v>
      </c>
      <c r="K206" s="49">
        <v>1162</v>
      </c>
      <c r="L206" s="50">
        <v>123784</v>
      </c>
      <c r="M206" s="158">
        <v>18742</v>
      </c>
      <c r="N206" s="149">
        <v>170641</v>
      </c>
      <c r="O206" s="51">
        <v>44855</v>
      </c>
      <c r="P206" s="51">
        <v>125786</v>
      </c>
      <c r="Q206" s="51">
        <v>62893</v>
      </c>
      <c r="R206" s="51">
        <v>25596</v>
      </c>
      <c r="S206" s="139">
        <v>169054</v>
      </c>
    </row>
    <row r="207" spans="1:19">
      <c r="A207" s="41" t="s">
        <v>438</v>
      </c>
      <c r="B207" s="42" t="s">
        <v>463</v>
      </c>
      <c r="C207" s="107" t="s">
        <v>464</v>
      </c>
      <c r="D207" s="123">
        <v>26480</v>
      </c>
      <c r="E207" s="44">
        <v>9.2999999999999992E-3</v>
      </c>
      <c r="F207" s="45">
        <v>246</v>
      </c>
      <c r="G207" s="46">
        <v>26234</v>
      </c>
      <c r="H207" s="124">
        <v>3972</v>
      </c>
      <c r="I207" s="157">
        <v>72405</v>
      </c>
      <c r="J207" s="48">
        <v>9.2999999999999992E-3</v>
      </c>
      <c r="K207" s="49">
        <v>673</v>
      </c>
      <c r="L207" s="50">
        <v>71732</v>
      </c>
      <c r="M207" s="158">
        <v>10861</v>
      </c>
      <c r="N207" s="149">
        <v>98885</v>
      </c>
      <c r="O207" s="51">
        <v>26089</v>
      </c>
      <c r="P207" s="51">
        <v>72796</v>
      </c>
      <c r="Q207" s="51">
        <v>36398</v>
      </c>
      <c r="R207" s="51">
        <v>14833</v>
      </c>
      <c r="S207" s="139">
        <v>97966</v>
      </c>
    </row>
    <row r="208" spans="1:19">
      <c r="A208" s="41" t="s">
        <v>438</v>
      </c>
      <c r="B208" s="42" t="s">
        <v>465</v>
      </c>
      <c r="C208" s="107" t="s">
        <v>466</v>
      </c>
      <c r="D208" s="123">
        <v>24356</v>
      </c>
      <c r="E208" s="44">
        <v>9.2999999999999992E-3</v>
      </c>
      <c r="F208" s="45">
        <v>227</v>
      </c>
      <c r="G208" s="46">
        <v>24129</v>
      </c>
      <c r="H208" s="124">
        <v>3653</v>
      </c>
      <c r="I208" s="157">
        <v>66599</v>
      </c>
      <c r="J208" s="48">
        <v>9.2999999999999992E-3</v>
      </c>
      <c r="K208" s="49">
        <v>619</v>
      </c>
      <c r="L208" s="50">
        <v>65980</v>
      </c>
      <c r="M208" s="158">
        <v>9990</v>
      </c>
      <c r="N208" s="149">
        <v>90955</v>
      </c>
      <c r="O208" s="51">
        <v>25901</v>
      </c>
      <c r="P208" s="51">
        <v>65054</v>
      </c>
      <c r="Q208" s="51">
        <v>32527</v>
      </c>
      <c r="R208" s="51">
        <v>13643</v>
      </c>
      <c r="S208" s="139">
        <v>90109</v>
      </c>
    </row>
    <row r="209" spans="1:19">
      <c r="A209" s="41" t="s">
        <v>438</v>
      </c>
      <c r="B209" s="42" t="s">
        <v>467</v>
      </c>
      <c r="C209" s="107" t="s">
        <v>468</v>
      </c>
      <c r="D209" s="123">
        <v>24542</v>
      </c>
      <c r="E209" s="44">
        <v>9.2999999999999992E-3</v>
      </c>
      <c r="F209" s="45">
        <v>228</v>
      </c>
      <c r="G209" s="46">
        <v>24314</v>
      </c>
      <c r="H209" s="124">
        <v>3681</v>
      </c>
      <c r="I209" s="157">
        <v>67108</v>
      </c>
      <c r="J209" s="48">
        <v>9.2999999999999992E-3</v>
      </c>
      <c r="K209" s="49">
        <v>624</v>
      </c>
      <c r="L209" s="50">
        <v>66484</v>
      </c>
      <c r="M209" s="158">
        <v>10066</v>
      </c>
      <c r="N209" s="149">
        <v>91650</v>
      </c>
      <c r="O209" s="51">
        <v>25813</v>
      </c>
      <c r="P209" s="51">
        <v>65837</v>
      </c>
      <c r="Q209" s="51">
        <v>32919</v>
      </c>
      <c r="R209" s="51">
        <v>13747</v>
      </c>
      <c r="S209" s="139">
        <v>90798</v>
      </c>
    </row>
    <row r="210" spans="1:19">
      <c r="A210" s="41" t="s">
        <v>438</v>
      </c>
      <c r="B210" s="42" t="s">
        <v>469</v>
      </c>
      <c r="C210" s="107" t="s">
        <v>470</v>
      </c>
      <c r="D210" s="123">
        <v>90003</v>
      </c>
      <c r="E210" s="44">
        <v>9.2999999999999992E-3</v>
      </c>
      <c r="F210" s="45">
        <v>837</v>
      </c>
      <c r="G210" s="46">
        <v>89166</v>
      </c>
      <c r="H210" s="124">
        <v>13500</v>
      </c>
      <c r="I210" s="157">
        <v>246102</v>
      </c>
      <c r="J210" s="48">
        <v>9.2999999999999992E-3</v>
      </c>
      <c r="K210" s="49">
        <v>2289</v>
      </c>
      <c r="L210" s="50">
        <v>243813</v>
      </c>
      <c r="M210" s="158">
        <v>36915</v>
      </c>
      <c r="N210" s="149">
        <v>336105</v>
      </c>
      <c r="O210" s="51">
        <v>84552</v>
      </c>
      <c r="P210" s="51">
        <v>251553</v>
      </c>
      <c r="Q210" s="51">
        <v>125777</v>
      </c>
      <c r="R210" s="51">
        <v>50415</v>
      </c>
      <c r="S210" s="139">
        <v>332979</v>
      </c>
    </row>
    <row r="211" spans="1:19">
      <c r="A211" s="41" t="s">
        <v>438</v>
      </c>
      <c r="B211" s="42" t="s">
        <v>471</v>
      </c>
      <c r="C211" s="107" t="s">
        <v>472</v>
      </c>
      <c r="D211" s="123">
        <v>1895893</v>
      </c>
      <c r="E211" s="44">
        <v>9.2999999999999992E-3</v>
      </c>
      <c r="F211" s="45">
        <v>17632</v>
      </c>
      <c r="G211" s="46">
        <v>1878261</v>
      </c>
      <c r="H211" s="124">
        <v>284384</v>
      </c>
      <c r="I211" s="157">
        <v>5184048</v>
      </c>
      <c r="J211" s="48">
        <v>9.2999999999999992E-3</v>
      </c>
      <c r="K211" s="49">
        <v>48212</v>
      </c>
      <c r="L211" s="50">
        <v>5135836</v>
      </c>
      <c r="M211" s="158">
        <v>777607</v>
      </c>
      <c r="N211" s="149">
        <v>7079941</v>
      </c>
      <c r="O211" s="51">
        <v>1925247</v>
      </c>
      <c r="P211" s="51">
        <v>5154694</v>
      </c>
      <c r="Q211" s="51">
        <v>2577347</v>
      </c>
      <c r="R211" s="51">
        <v>1061991</v>
      </c>
      <c r="S211" s="139">
        <v>7014097</v>
      </c>
    </row>
    <row r="212" spans="1:19">
      <c r="A212" s="41" t="s">
        <v>438</v>
      </c>
      <c r="B212" s="42" t="s">
        <v>473</v>
      </c>
      <c r="C212" s="107" t="s">
        <v>474</v>
      </c>
      <c r="D212" s="123">
        <v>31461</v>
      </c>
      <c r="E212" s="44">
        <v>9.2999999999999992E-3</v>
      </c>
      <c r="F212" s="45">
        <v>293</v>
      </c>
      <c r="G212" s="46">
        <v>31168</v>
      </c>
      <c r="H212" s="124">
        <v>4719</v>
      </c>
      <c r="I212" s="157">
        <v>86025</v>
      </c>
      <c r="J212" s="48">
        <v>9.2999999999999992E-3</v>
      </c>
      <c r="K212" s="49">
        <v>800</v>
      </c>
      <c r="L212" s="50">
        <v>85225</v>
      </c>
      <c r="M212" s="158">
        <v>12904</v>
      </c>
      <c r="N212" s="149">
        <v>117486</v>
      </c>
      <c r="O212" s="51">
        <v>31489</v>
      </c>
      <c r="P212" s="51">
        <v>85997</v>
      </c>
      <c r="Q212" s="51">
        <v>42999</v>
      </c>
      <c r="R212" s="51">
        <v>17623</v>
      </c>
      <c r="S212" s="139">
        <v>116393</v>
      </c>
    </row>
    <row r="213" spans="1:19">
      <c r="A213" s="41" t="s">
        <v>438</v>
      </c>
      <c r="B213" s="42" t="s">
        <v>475</v>
      </c>
      <c r="C213" s="107" t="s">
        <v>476</v>
      </c>
      <c r="D213" s="123">
        <v>13675</v>
      </c>
      <c r="E213" s="44">
        <v>9.2999999999999992E-3</v>
      </c>
      <c r="F213" s="45">
        <v>127</v>
      </c>
      <c r="G213" s="46">
        <v>13548</v>
      </c>
      <c r="H213" s="124">
        <v>2051</v>
      </c>
      <c r="I213" s="157">
        <v>37393</v>
      </c>
      <c r="J213" s="48">
        <v>9.2999999999999992E-3</v>
      </c>
      <c r="K213" s="49">
        <v>348</v>
      </c>
      <c r="L213" s="50">
        <v>37045</v>
      </c>
      <c r="M213" s="158">
        <v>5609</v>
      </c>
      <c r="N213" s="149">
        <v>51068</v>
      </c>
      <c r="O213" s="51">
        <v>15804</v>
      </c>
      <c r="P213" s="51">
        <v>35264</v>
      </c>
      <c r="Q213" s="51">
        <v>17632</v>
      </c>
      <c r="R213" s="51">
        <v>7660</v>
      </c>
      <c r="S213" s="139">
        <v>50593</v>
      </c>
    </row>
    <row r="214" spans="1:19">
      <c r="A214" s="41" t="s">
        <v>438</v>
      </c>
      <c r="B214" s="42" t="s">
        <v>477</v>
      </c>
      <c r="C214" s="107" t="s">
        <v>478</v>
      </c>
      <c r="D214" s="123">
        <v>55042</v>
      </c>
      <c r="E214" s="44">
        <v>9.2999999999999992E-3</v>
      </c>
      <c r="F214" s="45">
        <v>512</v>
      </c>
      <c r="G214" s="46">
        <v>54530</v>
      </c>
      <c r="H214" s="124">
        <v>8256</v>
      </c>
      <c r="I214" s="157">
        <v>150503</v>
      </c>
      <c r="J214" s="48">
        <v>9.2999999999999992E-3</v>
      </c>
      <c r="K214" s="49">
        <v>1400</v>
      </c>
      <c r="L214" s="50">
        <v>149103</v>
      </c>
      <c r="M214" s="158">
        <v>22575</v>
      </c>
      <c r="N214" s="149">
        <v>205545</v>
      </c>
      <c r="O214" s="51">
        <v>52236</v>
      </c>
      <c r="P214" s="51">
        <v>153309</v>
      </c>
      <c r="Q214" s="51">
        <v>76655</v>
      </c>
      <c r="R214" s="51">
        <v>30831</v>
      </c>
      <c r="S214" s="139">
        <v>203633</v>
      </c>
    </row>
    <row r="215" spans="1:19">
      <c r="A215" s="41" t="s">
        <v>438</v>
      </c>
      <c r="B215" s="42" t="s">
        <v>479</v>
      </c>
      <c r="C215" s="107" t="s">
        <v>480</v>
      </c>
      <c r="D215" s="123">
        <v>18441</v>
      </c>
      <c r="E215" s="44">
        <v>9.2999999999999992E-3</v>
      </c>
      <c r="F215" s="45">
        <v>172</v>
      </c>
      <c r="G215" s="46">
        <v>18269</v>
      </c>
      <c r="H215" s="124">
        <v>2766</v>
      </c>
      <c r="I215" s="157">
        <v>50424</v>
      </c>
      <c r="J215" s="48">
        <v>9.2999999999999992E-3</v>
      </c>
      <c r="K215" s="49">
        <v>469</v>
      </c>
      <c r="L215" s="50">
        <v>49955</v>
      </c>
      <c r="M215" s="158">
        <v>7564</v>
      </c>
      <c r="N215" s="149">
        <v>68865</v>
      </c>
      <c r="O215" s="51">
        <v>19246</v>
      </c>
      <c r="P215" s="51">
        <v>49619</v>
      </c>
      <c r="Q215" s="51">
        <v>24810</v>
      </c>
      <c r="R215" s="51">
        <v>10330</v>
      </c>
      <c r="S215" s="139">
        <v>68224</v>
      </c>
    </row>
    <row r="216" spans="1:19">
      <c r="A216" s="41" t="s">
        <v>438</v>
      </c>
      <c r="B216" s="42" t="s">
        <v>481</v>
      </c>
      <c r="C216" s="107" t="s">
        <v>482</v>
      </c>
      <c r="D216" s="123">
        <v>29153</v>
      </c>
      <c r="E216" s="44">
        <v>9.2999999999999992E-3</v>
      </c>
      <c r="F216" s="45">
        <v>271</v>
      </c>
      <c r="G216" s="46">
        <v>28882</v>
      </c>
      <c r="H216" s="124">
        <v>4373</v>
      </c>
      <c r="I216" s="157">
        <v>79713</v>
      </c>
      <c r="J216" s="48">
        <v>9.2999999999999992E-3</v>
      </c>
      <c r="K216" s="49">
        <v>741</v>
      </c>
      <c r="L216" s="50">
        <v>78972</v>
      </c>
      <c r="M216" s="158">
        <v>11957</v>
      </c>
      <c r="N216" s="149">
        <v>108866</v>
      </c>
      <c r="O216" s="51">
        <v>28833</v>
      </c>
      <c r="P216" s="51">
        <v>80033</v>
      </c>
      <c r="Q216" s="51">
        <v>40017</v>
      </c>
      <c r="R216" s="51">
        <v>16330</v>
      </c>
      <c r="S216" s="139">
        <v>107854</v>
      </c>
    </row>
    <row r="217" spans="1:19">
      <c r="A217" s="41" t="s">
        <v>438</v>
      </c>
      <c r="B217" s="42" t="s">
        <v>483</v>
      </c>
      <c r="C217" s="107" t="s">
        <v>484</v>
      </c>
      <c r="D217" s="123">
        <v>169026</v>
      </c>
      <c r="E217" s="44">
        <v>9.2999999999999992E-3</v>
      </c>
      <c r="F217" s="45">
        <v>1572</v>
      </c>
      <c r="G217" s="46">
        <v>167454</v>
      </c>
      <c r="H217" s="124">
        <v>25354</v>
      </c>
      <c r="I217" s="157">
        <v>462179</v>
      </c>
      <c r="J217" s="48">
        <v>9.2999999999999992E-3</v>
      </c>
      <c r="K217" s="49">
        <v>4298</v>
      </c>
      <c r="L217" s="50">
        <v>457881</v>
      </c>
      <c r="M217" s="158">
        <v>69327</v>
      </c>
      <c r="N217" s="149">
        <v>631205</v>
      </c>
      <c r="O217" s="51">
        <v>162867</v>
      </c>
      <c r="P217" s="51">
        <v>468338</v>
      </c>
      <c r="Q217" s="51">
        <v>234169</v>
      </c>
      <c r="R217" s="51">
        <v>94681</v>
      </c>
      <c r="S217" s="139">
        <v>625335</v>
      </c>
    </row>
    <row r="218" spans="1:19">
      <c r="A218" s="41" t="s">
        <v>438</v>
      </c>
      <c r="B218" s="42" t="s">
        <v>485</v>
      </c>
      <c r="C218" s="107" t="s">
        <v>486</v>
      </c>
      <c r="D218" s="123">
        <v>43622</v>
      </c>
      <c r="E218" s="44">
        <v>9.2999999999999992E-3</v>
      </c>
      <c r="F218" s="45">
        <v>406</v>
      </c>
      <c r="G218" s="46">
        <v>43216</v>
      </c>
      <c r="H218" s="124">
        <v>6543</v>
      </c>
      <c r="I218" s="157">
        <v>119277</v>
      </c>
      <c r="J218" s="48">
        <v>9.2999999999999992E-3</v>
      </c>
      <c r="K218" s="49">
        <v>1109</v>
      </c>
      <c r="L218" s="50">
        <v>118168</v>
      </c>
      <c r="M218" s="158">
        <v>17892</v>
      </c>
      <c r="N218" s="149">
        <v>162899</v>
      </c>
      <c r="O218" s="51">
        <v>43554</v>
      </c>
      <c r="P218" s="51">
        <v>119345</v>
      </c>
      <c r="Q218" s="51">
        <v>59673</v>
      </c>
      <c r="R218" s="51">
        <v>24435</v>
      </c>
      <c r="S218" s="139">
        <v>161384</v>
      </c>
    </row>
    <row r="219" spans="1:19">
      <c r="A219" s="82" t="s">
        <v>438</v>
      </c>
      <c r="B219" s="83" t="s">
        <v>487</v>
      </c>
      <c r="C219" s="112" t="s">
        <v>488</v>
      </c>
      <c r="D219" s="125">
        <v>294184</v>
      </c>
      <c r="E219" s="55">
        <v>9.2999999999999992E-3</v>
      </c>
      <c r="F219" s="56">
        <v>2736</v>
      </c>
      <c r="G219" s="46">
        <v>291448</v>
      </c>
      <c r="H219" s="131">
        <v>44128</v>
      </c>
      <c r="I219" s="165">
        <v>804404</v>
      </c>
      <c r="J219" s="84">
        <v>9.2999999999999992E-3</v>
      </c>
      <c r="K219" s="58">
        <v>7481</v>
      </c>
      <c r="L219" s="50">
        <v>796923</v>
      </c>
      <c r="M219" s="166">
        <v>120661</v>
      </c>
      <c r="N219" s="152">
        <v>1098588</v>
      </c>
      <c r="O219" s="51">
        <v>281375</v>
      </c>
      <c r="P219" s="51">
        <v>817213</v>
      </c>
      <c r="Q219" s="85">
        <f>408607-408607</f>
        <v>0</v>
      </c>
      <c r="R219" s="86">
        <v>164789</v>
      </c>
      <c r="S219" s="139">
        <v>1088371</v>
      </c>
    </row>
    <row r="220" spans="1:19">
      <c r="A220" s="41" t="s">
        <v>438</v>
      </c>
      <c r="B220" s="42" t="s">
        <v>489</v>
      </c>
      <c r="C220" s="107" t="s">
        <v>490</v>
      </c>
      <c r="D220" s="123">
        <v>103979</v>
      </c>
      <c r="E220" s="44">
        <v>9.2999999999999992E-3</v>
      </c>
      <c r="F220" s="45">
        <v>967</v>
      </c>
      <c r="G220" s="46">
        <v>103012</v>
      </c>
      <c r="H220" s="124">
        <v>15597</v>
      </c>
      <c r="I220" s="157">
        <v>284317</v>
      </c>
      <c r="J220" s="48">
        <v>9.2999999999999992E-3</v>
      </c>
      <c r="K220" s="49">
        <v>2644</v>
      </c>
      <c r="L220" s="50">
        <v>281673</v>
      </c>
      <c r="M220" s="158">
        <v>42648</v>
      </c>
      <c r="N220" s="149">
        <v>388296</v>
      </c>
      <c r="O220" s="51">
        <v>105502</v>
      </c>
      <c r="P220" s="51">
        <v>282794</v>
      </c>
      <c r="Q220" s="51">
        <v>141397</v>
      </c>
      <c r="R220" s="51">
        <v>58245</v>
      </c>
      <c r="S220" s="139">
        <v>384685</v>
      </c>
    </row>
    <row r="221" spans="1:19">
      <c r="A221" s="41" t="s">
        <v>438</v>
      </c>
      <c r="B221" s="42" t="s">
        <v>491</v>
      </c>
      <c r="C221" s="107" t="s">
        <v>492</v>
      </c>
      <c r="D221" s="123">
        <v>27014</v>
      </c>
      <c r="E221" s="44">
        <v>9.2999999999999992E-3</v>
      </c>
      <c r="F221" s="45">
        <v>251</v>
      </c>
      <c r="G221" s="46">
        <v>26763</v>
      </c>
      <c r="H221" s="124">
        <v>4052</v>
      </c>
      <c r="I221" s="157">
        <v>73868</v>
      </c>
      <c r="J221" s="48">
        <v>9.2999999999999992E-3</v>
      </c>
      <c r="K221" s="49">
        <v>687</v>
      </c>
      <c r="L221" s="50">
        <v>73181</v>
      </c>
      <c r="M221" s="158">
        <v>11080</v>
      </c>
      <c r="N221" s="149">
        <v>100882</v>
      </c>
      <c r="O221" s="51">
        <v>26340</v>
      </c>
      <c r="P221" s="51">
        <v>74542</v>
      </c>
      <c r="Q221" s="51">
        <v>37271</v>
      </c>
      <c r="R221" s="51">
        <v>15132</v>
      </c>
      <c r="S221" s="139">
        <v>99944</v>
      </c>
    </row>
    <row r="222" spans="1:19">
      <c r="A222" s="41" t="s">
        <v>438</v>
      </c>
      <c r="B222" s="42" t="s">
        <v>493</v>
      </c>
      <c r="C222" s="107" t="s">
        <v>494</v>
      </c>
      <c r="D222" s="123">
        <v>30811</v>
      </c>
      <c r="E222" s="44">
        <v>9.2999999999999992E-3</v>
      </c>
      <c r="F222" s="45">
        <v>287</v>
      </c>
      <c r="G222" s="46">
        <v>30524</v>
      </c>
      <c r="H222" s="124">
        <v>4622</v>
      </c>
      <c r="I222" s="157">
        <v>84249</v>
      </c>
      <c r="J222" s="48">
        <v>9.2999999999999992E-3</v>
      </c>
      <c r="K222" s="49">
        <v>784</v>
      </c>
      <c r="L222" s="50">
        <v>83465</v>
      </c>
      <c r="M222" s="158">
        <v>12637</v>
      </c>
      <c r="N222" s="149">
        <v>115060</v>
      </c>
      <c r="O222" s="51">
        <v>30048</v>
      </c>
      <c r="P222" s="51">
        <v>85012</v>
      </c>
      <c r="Q222" s="51">
        <v>42506</v>
      </c>
      <c r="R222" s="51">
        <v>17259</v>
      </c>
      <c r="S222" s="139">
        <v>113989</v>
      </c>
    </row>
    <row r="223" spans="1:19">
      <c r="A223" s="41" t="s">
        <v>438</v>
      </c>
      <c r="B223" s="42" t="s">
        <v>495</v>
      </c>
      <c r="C223" s="107" t="s">
        <v>496</v>
      </c>
      <c r="D223" s="123">
        <v>20530</v>
      </c>
      <c r="E223" s="44">
        <v>9.2999999999999992E-3</v>
      </c>
      <c r="F223" s="45">
        <v>191</v>
      </c>
      <c r="G223" s="46">
        <v>20339</v>
      </c>
      <c r="H223" s="124">
        <v>3080</v>
      </c>
      <c r="I223" s="157">
        <v>56135</v>
      </c>
      <c r="J223" s="48">
        <v>9.2999999999999992E-3</v>
      </c>
      <c r="K223" s="49">
        <v>522</v>
      </c>
      <c r="L223" s="50">
        <v>55613</v>
      </c>
      <c r="M223" s="158">
        <v>8420</v>
      </c>
      <c r="N223" s="149">
        <v>76665</v>
      </c>
      <c r="O223" s="51">
        <v>21392</v>
      </c>
      <c r="P223" s="51">
        <v>55273</v>
      </c>
      <c r="Q223" s="51">
        <v>27637</v>
      </c>
      <c r="R223" s="51">
        <v>11500</v>
      </c>
      <c r="S223" s="139">
        <v>75952</v>
      </c>
    </row>
    <row r="224" spans="1:19">
      <c r="A224" s="41" t="s">
        <v>438</v>
      </c>
      <c r="B224" s="42" t="s">
        <v>497</v>
      </c>
      <c r="C224" s="107" t="s">
        <v>498</v>
      </c>
      <c r="D224" s="123">
        <v>25932</v>
      </c>
      <c r="E224" s="44">
        <v>9.2999999999999992E-3</v>
      </c>
      <c r="F224" s="45">
        <v>241</v>
      </c>
      <c r="G224" s="46">
        <v>25691</v>
      </c>
      <c r="H224" s="124">
        <v>3890</v>
      </c>
      <c r="I224" s="157">
        <v>70907</v>
      </c>
      <c r="J224" s="48">
        <v>9.2999999999999992E-3</v>
      </c>
      <c r="K224" s="49">
        <v>659</v>
      </c>
      <c r="L224" s="50">
        <v>70248</v>
      </c>
      <c r="M224" s="158">
        <v>10636</v>
      </c>
      <c r="N224" s="149">
        <v>96839</v>
      </c>
      <c r="O224" s="51">
        <v>25428</v>
      </c>
      <c r="P224" s="51">
        <v>71411</v>
      </c>
      <c r="Q224" s="51">
        <v>35706</v>
      </c>
      <c r="R224" s="51">
        <v>14526</v>
      </c>
      <c r="S224" s="139">
        <v>95939</v>
      </c>
    </row>
    <row r="225" spans="1:19">
      <c r="A225" s="41" t="s">
        <v>438</v>
      </c>
      <c r="B225" s="42" t="s">
        <v>499</v>
      </c>
      <c r="C225" s="107" t="s">
        <v>500</v>
      </c>
      <c r="D225" s="123">
        <v>17975</v>
      </c>
      <c r="E225" s="44">
        <v>9.2999999999999992E-3</v>
      </c>
      <c r="F225" s="45">
        <v>167</v>
      </c>
      <c r="G225" s="46">
        <v>17808</v>
      </c>
      <c r="H225" s="124">
        <v>2696</v>
      </c>
      <c r="I225" s="157">
        <v>49149</v>
      </c>
      <c r="J225" s="48">
        <v>9.2999999999999992E-3</v>
      </c>
      <c r="K225" s="49">
        <v>457</v>
      </c>
      <c r="L225" s="50">
        <v>48692</v>
      </c>
      <c r="M225" s="158">
        <v>7372</v>
      </c>
      <c r="N225" s="149">
        <v>67124</v>
      </c>
      <c r="O225" s="51">
        <v>20806</v>
      </c>
      <c r="P225" s="51">
        <v>46318</v>
      </c>
      <c r="Q225" s="51">
        <v>23159</v>
      </c>
      <c r="R225" s="51">
        <v>10068</v>
      </c>
      <c r="S225" s="139">
        <v>66500</v>
      </c>
    </row>
    <row r="226" spans="1:19">
      <c r="A226" s="41" t="s">
        <v>438</v>
      </c>
      <c r="B226" s="42" t="s">
        <v>501</v>
      </c>
      <c r="C226" s="107" t="s">
        <v>502</v>
      </c>
      <c r="D226" s="123">
        <v>77339</v>
      </c>
      <c r="E226" s="44">
        <v>9.2999999999999992E-3</v>
      </c>
      <c r="F226" s="45">
        <v>719</v>
      </c>
      <c r="G226" s="46">
        <v>76620</v>
      </c>
      <c r="H226" s="124">
        <v>11601</v>
      </c>
      <c r="I226" s="157">
        <v>211474</v>
      </c>
      <c r="J226" s="48">
        <v>9.2999999999999992E-3</v>
      </c>
      <c r="K226" s="49">
        <v>1967</v>
      </c>
      <c r="L226" s="50">
        <v>209507</v>
      </c>
      <c r="M226" s="158">
        <v>31721</v>
      </c>
      <c r="N226" s="149">
        <v>288813</v>
      </c>
      <c r="O226" s="51">
        <v>79305</v>
      </c>
      <c r="P226" s="51">
        <v>209508</v>
      </c>
      <c r="Q226" s="51">
        <v>104754</v>
      </c>
      <c r="R226" s="51">
        <v>43322</v>
      </c>
      <c r="S226" s="139">
        <v>286127</v>
      </c>
    </row>
    <row r="227" spans="1:19">
      <c r="A227" s="41" t="s">
        <v>438</v>
      </c>
      <c r="B227" s="42" t="s">
        <v>503</v>
      </c>
      <c r="C227" s="107" t="s">
        <v>504</v>
      </c>
      <c r="D227" s="123">
        <v>177748</v>
      </c>
      <c r="E227" s="44">
        <v>9.2999999999999992E-3</v>
      </c>
      <c r="F227" s="45">
        <v>1653</v>
      </c>
      <c r="G227" s="46">
        <v>176095</v>
      </c>
      <c r="H227" s="124">
        <v>26662</v>
      </c>
      <c r="I227" s="157">
        <v>486027</v>
      </c>
      <c r="J227" s="48">
        <v>9.2999999999999992E-3</v>
      </c>
      <c r="K227" s="49">
        <v>4520</v>
      </c>
      <c r="L227" s="50">
        <v>481507</v>
      </c>
      <c r="M227" s="158">
        <v>72904</v>
      </c>
      <c r="N227" s="149">
        <v>663775</v>
      </c>
      <c r="O227" s="51">
        <v>177705</v>
      </c>
      <c r="P227" s="51">
        <v>486070</v>
      </c>
      <c r="Q227" s="51">
        <v>243035</v>
      </c>
      <c r="R227" s="51">
        <v>99566</v>
      </c>
      <c r="S227" s="139">
        <v>657602</v>
      </c>
    </row>
    <row r="228" spans="1:19">
      <c r="A228" s="41" t="s">
        <v>438</v>
      </c>
      <c r="B228" s="42" t="s">
        <v>505</v>
      </c>
      <c r="C228" s="107" t="s">
        <v>506</v>
      </c>
      <c r="D228" s="123">
        <v>55448</v>
      </c>
      <c r="E228" s="44">
        <v>9.2999999999999992E-3</v>
      </c>
      <c r="F228" s="45">
        <v>516</v>
      </c>
      <c r="G228" s="46">
        <v>54932</v>
      </c>
      <c r="H228" s="124">
        <v>8317</v>
      </c>
      <c r="I228" s="157">
        <v>151615</v>
      </c>
      <c r="J228" s="48">
        <v>9.2999999999999992E-3</v>
      </c>
      <c r="K228" s="49">
        <v>1410</v>
      </c>
      <c r="L228" s="50">
        <v>150205</v>
      </c>
      <c r="M228" s="158">
        <v>22742</v>
      </c>
      <c r="N228" s="149">
        <v>207063</v>
      </c>
      <c r="O228" s="51">
        <v>51179</v>
      </c>
      <c r="P228" s="51">
        <v>155884</v>
      </c>
      <c r="Q228" s="51">
        <v>77942</v>
      </c>
      <c r="R228" s="51">
        <v>31059</v>
      </c>
      <c r="S228" s="139">
        <v>205137</v>
      </c>
    </row>
    <row r="229" spans="1:19">
      <c r="A229" s="41" t="s">
        <v>438</v>
      </c>
      <c r="B229" s="42" t="s">
        <v>507</v>
      </c>
      <c r="C229" s="107" t="s">
        <v>508</v>
      </c>
      <c r="D229" s="123">
        <v>115707</v>
      </c>
      <c r="E229" s="44">
        <v>9.2999999999999992E-3</v>
      </c>
      <c r="F229" s="45">
        <v>1076</v>
      </c>
      <c r="G229" s="46">
        <v>114631</v>
      </c>
      <c r="H229" s="124">
        <v>17356</v>
      </c>
      <c r="I229" s="157">
        <v>316385</v>
      </c>
      <c r="J229" s="48">
        <v>9.2999999999999992E-3</v>
      </c>
      <c r="K229" s="49">
        <v>2942</v>
      </c>
      <c r="L229" s="50">
        <v>313443</v>
      </c>
      <c r="M229" s="158">
        <v>47458</v>
      </c>
      <c r="N229" s="149">
        <v>432092</v>
      </c>
      <c r="O229" s="51">
        <v>112570</v>
      </c>
      <c r="P229" s="51">
        <v>319522</v>
      </c>
      <c r="Q229" s="51">
        <v>159761</v>
      </c>
      <c r="R229" s="51">
        <v>64814</v>
      </c>
      <c r="S229" s="139">
        <v>428074</v>
      </c>
    </row>
    <row r="230" spans="1:19">
      <c r="A230" s="41" t="s">
        <v>438</v>
      </c>
      <c r="B230" s="42" t="s">
        <v>509</v>
      </c>
      <c r="C230" s="107" t="s">
        <v>510</v>
      </c>
      <c r="D230" s="123">
        <v>35284</v>
      </c>
      <c r="E230" s="44">
        <v>9.2999999999999992E-3</v>
      </c>
      <c r="F230" s="45">
        <v>328</v>
      </c>
      <c r="G230" s="46">
        <v>34956</v>
      </c>
      <c r="H230" s="124">
        <v>5293</v>
      </c>
      <c r="I230" s="157">
        <v>96477</v>
      </c>
      <c r="J230" s="48">
        <v>9.2999999999999992E-3</v>
      </c>
      <c r="K230" s="49">
        <v>897</v>
      </c>
      <c r="L230" s="50">
        <v>95580</v>
      </c>
      <c r="M230" s="158">
        <v>14472</v>
      </c>
      <c r="N230" s="149">
        <v>131761</v>
      </c>
      <c r="O230" s="51">
        <v>36567</v>
      </c>
      <c r="P230" s="51">
        <v>95194</v>
      </c>
      <c r="Q230" s="51">
        <v>47597</v>
      </c>
      <c r="R230" s="51">
        <v>19765</v>
      </c>
      <c r="S230" s="139">
        <v>130536</v>
      </c>
    </row>
    <row r="231" spans="1:19">
      <c r="A231" s="41" t="s">
        <v>438</v>
      </c>
      <c r="B231" s="42" t="s">
        <v>511</v>
      </c>
      <c r="C231" s="107" t="s">
        <v>512</v>
      </c>
      <c r="D231" s="123">
        <v>41914</v>
      </c>
      <c r="E231" s="44">
        <v>9.2999999999999992E-3</v>
      </c>
      <c r="F231" s="45">
        <v>390</v>
      </c>
      <c r="G231" s="46">
        <v>41524</v>
      </c>
      <c r="H231" s="124">
        <v>6287</v>
      </c>
      <c r="I231" s="157">
        <v>114607</v>
      </c>
      <c r="J231" s="48">
        <v>9.2999999999999992E-3</v>
      </c>
      <c r="K231" s="49">
        <v>1066</v>
      </c>
      <c r="L231" s="50">
        <v>113541</v>
      </c>
      <c r="M231" s="158">
        <v>17191</v>
      </c>
      <c r="N231" s="149">
        <v>156521</v>
      </c>
      <c r="O231" s="51">
        <v>40679</v>
      </c>
      <c r="P231" s="51">
        <v>115842</v>
      </c>
      <c r="Q231" s="51">
        <v>57921</v>
      </c>
      <c r="R231" s="51">
        <v>23478</v>
      </c>
      <c r="S231" s="139">
        <v>155065</v>
      </c>
    </row>
    <row r="232" spans="1:19">
      <c r="A232" s="41" t="s">
        <v>438</v>
      </c>
      <c r="B232" s="42" t="s">
        <v>513</v>
      </c>
      <c r="C232" s="107" t="s">
        <v>514</v>
      </c>
      <c r="D232" s="123">
        <v>51397</v>
      </c>
      <c r="E232" s="44">
        <v>9.2999999999999992E-3</v>
      </c>
      <c r="F232" s="45">
        <v>478</v>
      </c>
      <c r="G232" s="46">
        <v>50919</v>
      </c>
      <c r="H232" s="124">
        <v>7710</v>
      </c>
      <c r="I232" s="157">
        <v>140537</v>
      </c>
      <c r="J232" s="48">
        <v>9.2999999999999992E-3</v>
      </c>
      <c r="K232" s="49">
        <v>1307</v>
      </c>
      <c r="L232" s="50">
        <v>139230</v>
      </c>
      <c r="M232" s="158">
        <v>21081</v>
      </c>
      <c r="N232" s="149">
        <v>191934</v>
      </c>
      <c r="O232" s="51">
        <v>49085</v>
      </c>
      <c r="P232" s="51">
        <v>142849</v>
      </c>
      <c r="Q232" s="51">
        <v>71425</v>
      </c>
      <c r="R232" s="51">
        <v>28791</v>
      </c>
      <c r="S232" s="139">
        <v>190149</v>
      </c>
    </row>
    <row r="233" spans="1:19">
      <c r="A233" s="41" t="s">
        <v>438</v>
      </c>
      <c r="B233" s="42" t="s">
        <v>515</v>
      </c>
      <c r="C233" s="107" t="s">
        <v>516</v>
      </c>
      <c r="D233" s="123">
        <v>128386</v>
      </c>
      <c r="E233" s="44">
        <v>9.2999999999999992E-3</v>
      </c>
      <c r="F233" s="45">
        <v>1194</v>
      </c>
      <c r="G233" s="46">
        <v>127192</v>
      </c>
      <c r="H233" s="124">
        <v>19258</v>
      </c>
      <c r="I233" s="157">
        <v>351054</v>
      </c>
      <c r="J233" s="48">
        <v>9.2999999999999992E-3</v>
      </c>
      <c r="K233" s="49">
        <v>3265</v>
      </c>
      <c r="L233" s="50">
        <v>347789</v>
      </c>
      <c r="M233" s="158">
        <v>52658</v>
      </c>
      <c r="N233" s="149">
        <v>479440</v>
      </c>
      <c r="O233" s="51">
        <v>125254</v>
      </c>
      <c r="P233" s="51">
        <v>354186</v>
      </c>
      <c r="Q233" s="51">
        <v>177093</v>
      </c>
      <c r="R233" s="51">
        <v>71916</v>
      </c>
      <c r="S233" s="139">
        <v>474981</v>
      </c>
    </row>
    <row r="234" spans="1:19">
      <c r="A234" s="41" t="s">
        <v>438</v>
      </c>
      <c r="B234" s="42" t="s">
        <v>517</v>
      </c>
      <c r="C234" s="107" t="s">
        <v>518</v>
      </c>
      <c r="D234" s="123">
        <v>112895</v>
      </c>
      <c r="E234" s="44">
        <v>9.2999999999999992E-3</v>
      </c>
      <c r="F234" s="45">
        <v>1050</v>
      </c>
      <c r="G234" s="46">
        <v>111845</v>
      </c>
      <c r="H234" s="124">
        <v>16934</v>
      </c>
      <c r="I234" s="157">
        <v>308694</v>
      </c>
      <c r="J234" s="48">
        <v>9.2999999999999992E-3</v>
      </c>
      <c r="K234" s="49">
        <v>2871</v>
      </c>
      <c r="L234" s="50">
        <v>305823</v>
      </c>
      <c r="M234" s="158">
        <v>46304</v>
      </c>
      <c r="N234" s="149">
        <v>421589</v>
      </c>
      <c r="O234" s="51">
        <v>113062</v>
      </c>
      <c r="P234" s="51">
        <v>308527</v>
      </c>
      <c r="Q234" s="51">
        <v>154264</v>
      </c>
      <c r="R234" s="51">
        <v>63238</v>
      </c>
      <c r="S234" s="139">
        <v>417668</v>
      </c>
    </row>
    <row r="235" spans="1:19">
      <c r="A235" s="41" t="s">
        <v>438</v>
      </c>
      <c r="B235" s="42" t="s">
        <v>519</v>
      </c>
      <c r="C235" s="107" t="s">
        <v>520</v>
      </c>
      <c r="D235" s="123">
        <v>35781</v>
      </c>
      <c r="E235" s="44">
        <v>9.2999999999999992E-3</v>
      </c>
      <c r="F235" s="45">
        <v>333</v>
      </c>
      <c r="G235" s="46">
        <v>35448</v>
      </c>
      <c r="H235" s="124">
        <v>5367</v>
      </c>
      <c r="I235" s="157">
        <v>97837</v>
      </c>
      <c r="J235" s="48">
        <v>9.2999999999999992E-3</v>
      </c>
      <c r="K235" s="49">
        <v>910</v>
      </c>
      <c r="L235" s="50">
        <v>96927</v>
      </c>
      <c r="M235" s="158">
        <v>14676</v>
      </c>
      <c r="N235" s="149">
        <v>133618</v>
      </c>
      <c r="O235" s="51">
        <v>36191</v>
      </c>
      <c r="P235" s="51">
        <v>97427</v>
      </c>
      <c r="Q235" s="51">
        <v>48714</v>
      </c>
      <c r="R235" s="51">
        <v>20043</v>
      </c>
      <c r="S235" s="139">
        <v>132375</v>
      </c>
    </row>
    <row r="236" spans="1:19">
      <c r="A236" s="41" t="s">
        <v>438</v>
      </c>
      <c r="B236" s="42" t="s">
        <v>521</v>
      </c>
      <c r="C236" s="107" t="s">
        <v>522</v>
      </c>
      <c r="D236" s="123">
        <v>48568</v>
      </c>
      <c r="E236" s="44">
        <v>9.2999999999999992E-3</v>
      </c>
      <c r="F236" s="45">
        <v>452</v>
      </c>
      <c r="G236" s="46">
        <v>48116</v>
      </c>
      <c r="H236" s="124">
        <v>7285</v>
      </c>
      <c r="I236" s="157">
        <v>132803</v>
      </c>
      <c r="J236" s="48">
        <v>9.2999999999999992E-3</v>
      </c>
      <c r="K236" s="49">
        <v>1235</v>
      </c>
      <c r="L236" s="50">
        <v>131568</v>
      </c>
      <c r="M236" s="158">
        <v>19920</v>
      </c>
      <c r="N236" s="149">
        <v>181371</v>
      </c>
      <c r="O236" s="51">
        <v>47321</v>
      </c>
      <c r="P236" s="51">
        <v>134050</v>
      </c>
      <c r="Q236" s="51">
        <v>67025</v>
      </c>
      <c r="R236" s="51">
        <v>27205</v>
      </c>
      <c r="S236" s="139">
        <v>179684</v>
      </c>
    </row>
    <row r="237" spans="1:19">
      <c r="A237" s="41" t="s">
        <v>438</v>
      </c>
      <c r="B237" s="42" t="s">
        <v>523</v>
      </c>
      <c r="C237" s="107" t="s">
        <v>524</v>
      </c>
      <c r="D237" s="123">
        <v>72374</v>
      </c>
      <c r="E237" s="44">
        <v>9.2999999999999992E-3</v>
      </c>
      <c r="F237" s="45">
        <v>673</v>
      </c>
      <c r="G237" s="46">
        <v>71701</v>
      </c>
      <c r="H237" s="124">
        <v>10856</v>
      </c>
      <c r="I237" s="157">
        <v>197895</v>
      </c>
      <c r="J237" s="48">
        <v>9.2999999999999992E-3</v>
      </c>
      <c r="K237" s="49">
        <v>1840</v>
      </c>
      <c r="L237" s="50">
        <v>196055</v>
      </c>
      <c r="M237" s="158">
        <v>29684</v>
      </c>
      <c r="N237" s="149">
        <v>270269</v>
      </c>
      <c r="O237" s="51">
        <v>75929</v>
      </c>
      <c r="P237" s="51">
        <v>194340</v>
      </c>
      <c r="Q237" s="51">
        <v>97170</v>
      </c>
      <c r="R237" s="51">
        <v>40540</v>
      </c>
      <c r="S237" s="139">
        <v>267756</v>
      </c>
    </row>
    <row r="238" spans="1:19">
      <c r="A238" s="41" t="s">
        <v>438</v>
      </c>
      <c r="B238" s="42" t="s">
        <v>525</v>
      </c>
      <c r="C238" s="107" t="s">
        <v>526</v>
      </c>
      <c r="D238" s="123">
        <v>28943</v>
      </c>
      <c r="E238" s="44">
        <v>9.2999999999999992E-3</v>
      </c>
      <c r="F238" s="45">
        <v>269</v>
      </c>
      <c r="G238" s="46">
        <v>28674</v>
      </c>
      <c r="H238" s="124">
        <v>4341</v>
      </c>
      <c r="I238" s="157">
        <v>79141</v>
      </c>
      <c r="J238" s="48">
        <v>9.2999999999999992E-3</v>
      </c>
      <c r="K238" s="49">
        <v>736</v>
      </c>
      <c r="L238" s="50">
        <v>78405</v>
      </c>
      <c r="M238" s="158">
        <v>11871</v>
      </c>
      <c r="N238" s="149">
        <v>108084</v>
      </c>
      <c r="O238" s="51">
        <v>27986</v>
      </c>
      <c r="P238" s="51">
        <v>80098</v>
      </c>
      <c r="Q238" s="51">
        <v>40049</v>
      </c>
      <c r="R238" s="51">
        <v>16212</v>
      </c>
      <c r="S238" s="139">
        <v>107079</v>
      </c>
    </row>
    <row r="239" spans="1:19">
      <c r="A239" s="41" t="s">
        <v>438</v>
      </c>
      <c r="B239" s="42" t="s">
        <v>527</v>
      </c>
      <c r="C239" s="107" t="s">
        <v>528</v>
      </c>
      <c r="D239" s="123">
        <v>310489</v>
      </c>
      <c r="E239" s="44">
        <v>9.2999999999999992E-3</v>
      </c>
      <c r="F239" s="45">
        <v>2888</v>
      </c>
      <c r="G239" s="46">
        <v>307601</v>
      </c>
      <c r="H239" s="124">
        <v>46573</v>
      </c>
      <c r="I239" s="157">
        <v>848986</v>
      </c>
      <c r="J239" s="48">
        <v>9.2999999999999992E-3</v>
      </c>
      <c r="K239" s="49">
        <v>7896</v>
      </c>
      <c r="L239" s="50">
        <v>841090</v>
      </c>
      <c r="M239" s="158">
        <v>127348</v>
      </c>
      <c r="N239" s="149">
        <v>1159475</v>
      </c>
      <c r="O239" s="51">
        <v>289166</v>
      </c>
      <c r="P239" s="51">
        <v>870309</v>
      </c>
      <c r="Q239" s="51">
        <v>435155</v>
      </c>
      <c r="R239" s="51">
        <v>173921</v>
      </c>
      <c r="S239" s="139">
        <v>1148691</v>
      </c>
    </row>
    <row r="240" spans="1:19">
      <c r="A240" s="41" t="s">
        <v>438</v>
      </c>
      <c r="B240" s="42" t="s">
        <v>529</v>
      </c>
      <c r="C240" s="107" t="s">
        <v>530</v>
      </c>
      <c r="D240" s="123">
        <v>50109</v>
      </c>
      <c r="E240" s="44">
        <v>9.2999999999999992E-3</v>
      </c>
      <c r="F240" s="45">
        <v>466</v>
      </c>
      <c r="G240" s="46">
        <v>49643</v>
      </c>
      <c r="H240" s="124">
        <v>7516</v>
      </c>
      <c r="I240" s="157">
        <v>137016</v>
      </c>
      <c r="J240" s="48">
        <v>9.2999999999999992E-3</v>
      </c>
      <c r="K240" s="49">
        <v>1274</v>
      </c>
      <c r="L240" s="50">
        <v>135742</v>
      </c>
      <c r="M240" s="158">
        <v>20552</v>
      </c>
      <c r="N240" s="149">
        <v>187125</v>
      </c>
      <c r="O240" s="51">
        <v>50902</v>
      </c>
      <c r="P240" s="51">
        <v>136223</v>
      </c>
      <c r="Q240" s="51">
        <v>68112</v>
      </c>
      <c r="R240" s="51">
        <v>28068</v>
      </c>
      <c r="S240" s="139">
        <v>185385</v>
      </c>
    </row>
    <row r="241" spans="1:19">
      <c r="A241" s="41" t="s">
        <v>438</v>
      </c>
      <c r="B241" s="42" t="s">
        <v>531</v>
      </c>
      <c r="C241" s="107" t="s">
        <v>532</v>
      </c>
      <c r="D241" s="123">
        <v>22782</v>
      </c>
      <c r="E241" s="44">
        <v>9.2999999999999992E-3</v>
      </c>
      <c r="F241" s="45">
        <v>212</v>
      </c>
      <c r="G241" s="46">
        <v>22570</v>
      </c>
      <c r="H241" s="124">
        <v>3417</v>
      </c>
      <c r="I241" s="157">
        <v>62296</v>
      </c>
      <c r="J241" s="48">
        <v>9.2999999999999992E-3</v>
      </c>
      <c r="K241" s="49">
        <v>579</v>
      </c>
      <c r="L241" s="50">
        <v>61717</v>
      </c>
      <c r="M241" s="158">
        <v>9344</v>
      </c>
      <c r="N241" s="149">
        <v>85078</v>
      </c>
      <c r="O241" s="51">
        <v>23306</v>
      </c>
      <c r="P241" s="51">
        <v>61772</v>
      </c>
      <c r="Q241" s="51">
        <v>30886</v>
      </c>
      <c r="R241" s="51">
        <v>12761</v>
      </c>
      <c r="S241" s="139">
        <v>84287</v>
      </c>
    </row>
    <row r="242" spans="1:19">
      <c r="A242" s="41" t="s">
        <v>438</v>
      </c>
      <c r="B242" s="42" t="s">
        <v>533</v>
      </c>
      <c r="C242" s="107" t="s">
        <v>534</v>
      </c>
      <c r="D242" s="123">
        <v>20578</v>
      </c>
      <c r="E242" s="44">
        <v>9.2999999999999992E-3</v>
      </c>
      <c r="F242" s="45">
        <v>191</v>
      </c>
      <c r="G242" s="46">
        <v>20387</v>
      </c>
      <c r="H242" s="124">
        <v>3087</v>
      </c>
      <c r="I242" s="157">
        <v>56269</v>
      </c>
      <c r="J242" s="48">
        <v>9.2999999999999992E-3</v>
      </c>
      <c r="K242" s="49">
        <v>523</v>
      </c>
      <c r="L242" s="50">
        <v>55746</v>
      </c>
      <c r="M242" s="158">
        <v>8440</v>
      </c>
      <c r="N242" s="149">
        <v>76847</v>
      </c>
      <c r="O242" s="51">
        <v>20496</v>
      </c>
      <c r="P242" s="51">
        <v>56351</v>
      </c>
      <c r="Q242" s="51">
        <v>28176</v>
      </c>
      <c r="R242" s="51">
        <v>11527</v>
      </c>
      <c r="S242" s="139">
        <v>76133</v>
      </c>
    </row>
    <row r="243" spans="1:19">
      <c r="A243" s="41" t="s">
        <v>438</v>
      </c>
      <c r="B243" s="42" t="s">
        <v>535</v>
      </c>
      <c r="C243" s="107" t="s">
        <v>536</v>
      </c>
      <c r="D243" s="123">
        <v>183661</v>
      </c>
      <c r="E243" s="44">
        <v>9.2999999999999992E-3</v>
      </c>
      <c r="F243" s="45">
        <v>1708</v>
      </c>
      <c r="G243" s="46">
        <v>181953</v>
      </c>
      <c r="H243" s="124">
        <v>27549</v>
      </c>
      <c r="I243" s="157">
        <v>502194</v>
      </c>
      <c r="J243" s="48">
        <v>9.2999999999999992E-3</v>
      </c>
      <c r="K243" s="49">
        <v>4670</v>
      </c>
      <c r="L243" s="50">
        <v>497524</v>
      </c>
      <c r="M243" s="158">
        <v>75329</v>
      </c>
      <c r="N243" s="149">
        <v>685855</v>
      </c>
      <c r="O243" s="51">
        <v>175640</v>
      </c>
      <c r="P243" s="51">
        <v>510215</v>
      </c>
      <c r="Q243" s="51">
        <v>255108</v>
      </c>
      <c r="R243" s="51">
        <v>102878</v>
      </c>
      <c r="S243" s="139">
        <v>679477</v>
      </c>
    </row>
    <row r="244" spans="1:19">
      <c r="A244" s="41" t="s">
        <v>438</v>
      </c>
      <c r="B244" s="42" t="s">
        <v>537</v>
      </c>
      <c r="C244" s="107" t="s">
        <v>538</v>
      </c>
      <c r="D244" s="123">
        <v>29327</v>
      </c>
      <c r="E244" s="44">
        <v>9.2999999999999992E-3</v>
      </c>
      <c r="F244" s="45">
        <v>273</v>
      </c>
      <c r="G244" s="46">
        <v>29054</v>
      </c>
      <c r="H244" s="124">
        <v>4399</v>
      </c>
      <c r="I244" s="157">
        <v>80189</v>
      </c>
      <c r="J244" s="48">
        <v>9.2999999999999992E-3</v>
      </c>
      <c r="K244" s="49">
        <v>746</v>
      </c>
      <c r="L244" s="50">
        <v>79443</v>
      </c>
      <c r="M244" s="158">
        <v>12028</v>
      </c>
      <c r="N244" s="149">
        <v>109516</v>
      </c>
      <c r="O244" s="51">
        <v>29552</v>
      </c>
      <c r="P244" s="51">
        <v>79964</v>
      </c>
      <c r="Q244" s="51">
        <v>39982</v>
      </c>
      <c r="R244" s="51">
        <v>16427</v>
      </c>
      <c r="S244" s="139">
        <v>108497</v>
      </c>
    </row>
    <row r="245" spans="1:19">
      <c r="A245" s="41" t="s">
        <v>438</v>
      </c>
      <c r="B245" s="42" t="s">
        <v>539</v>
      </c>
      <c r="C245" s="107" t="s">
        <v>540</v>
      </c>
      <c r="D245" s="123">
        <v>307714</v>
      </c>
      <c r="E245" s="44">
        <v>9.2999999999999992E-3</v>
      </c>
      <c r="F245" s="45">
        <v>2862</v>
      </c>
      <c r="G245" s="46">
        <v>304852</v>
      </c>
      <c r="H245" s="124">
        <v>46157</v>
      </c>
      <c r="I245" s="157">
        <v>841402</v>
      </c>
      <c r="J245" s="48">
        <v>9.2999999999999992E-3</v>
      </c>
      <c r="K245" s="49">
        <v>7825</v>
      </c>
      <c r="L245" s="50">
        <v>833577</v>
      </c>
      <c r="M245" s="158">
        <v>126210</v>
      </c>
      <c r="N245" s="149">
        <v>1149116</v>
      </c>
      <c r="O245" s="51">
        <v>278591</v>
      </c>
      <c r="P245" s="51">
        <v>870525</v>
      </c>
      <c r="Q245" s="51">
        <v>435263</v>
      </c>
      <c r="R245" s="51">
        <v>172367</v>
      </c>
      <c r="S245" s="139">
        <v>1138429</v>
      </c>
    </row>
    <row r="246" spans="1:19">
      <c r="A246" s="41" t="s">
        <v>438</v>
      </c>
      <c r="B246" s="42" t="s">
        <v>541</v>
      </c>
      <c r="C246" s="107" t="s">
        <v>542</v>
      </c>
      <c r="D246" s="123">
        <v>511063</v>
      </c>
      <c r="E246" s="44">
        <v>9.2999999999999992E-3</v>
      </c>
      <c r="F246" s="45">
        <v>4753</v>
      </c>
      <c r="G246" s="46">
        <v>506310</v>
      </c>
      <c r="H246" s="124">
        <v>76659</v>
      </c>
      <c r="I246" s="157">
        <v>1397428</v>
      </c>
      <c r="J246" s="48">
        <v>9.2999999999999992E-3</v>
      </c>
      <c r="K246" s="49">
        <v>12996</v>
      </c>
      <c r="L246" s="50">
        <v>1384432</v>
      </c>
      <c r="M246" s="158">
        <v>209614</v>
      </c>
      <c r="N246" s="149">
        <v>1908491</v>
      </c>
      <c r="O246" s="51">
        <v>503853</v>
      </c>
      <c r="P246" s="51">
        <v>1404638</v>
      </c>
      <c r="Q246" s="51">
        <v>702319</v>
      </c>
      <c r="R246" s="51">
        <v>286273</v>
      </c>
      <c r="S246" s="139">
        <v>1890742</v>
      </c>
    </row>
    <row r="247" spans="1:19">
      <c r="A247" s="41" t="s">
        <v>438</v>
      </c>
      <c r="B247" s="42" t="s">
        <v>543</v>
      </c>
      <c r="C247" s="107" t="s">
        <v>544</v>
      </c>
      <c r="D247" s="123">
        <v>90140</v>
      </c>
      <c r="E247" s="44">
        <v>9.2999999999999992E-3</v>
      </c>
      <c r="F247" s="45">
        <v>838</v>
      </c>
      <c r="G247" s="46">
        <v>89302</v>
      </c>
      <c r="H247" s="124">
        <v>13521</v>
      </c>
      <c r="I247" s="157">
        <v>246474</v>
      </c>
      <c r="J247" s="48">
        <v>9.2999999999999992E-3</v>
      </c>
      <c r="K247" s="49">
        <v>2292</v>
      </c>
      <c r="L247" s="50">
        <v>244182</v>
      </c>
      <c r="M247" s="158">
        <v>36971</v>
      </c>
      <c r="N247" s="149">
        <v>336614</v>
      </c>
      <c r="O247" s="51">
        <v>88949</v>
      </c>
      <c r="P247" s="51">
        <v>247665</v>
      </c>
      <c r="Q247" s="51">
        <v>123833</v>
      </c>
      <c r="R247" s="51">
        <v>50492</v>
      </c>
      <c r="S247" s="139">
        <v>333484</v>
      </c>
    </row>
    <row r="248" spans="1:19" ht="15.75" thickBot="1">
      <c r="A248" s="60" t="s">
        <v>438</v>
      </c>
      <c r="B248" s="61" t="s">
        <v>545</v>
      </c>
      <c r="C248" s="109" t="s">
        <v>546</v>
      </c>
      <c r="D248" s="127">
        <v>42948</v>
      </c>
      <c r="E248" s="63">
        <v>9.2999999999999992E-3</v>
      </c>
      <c r="F248" s="64">
        <v>399</v>
      </c>
      <c r="G248" s="65">
        <v>42549</v>
      </c>
      <c r="H248" s="128">
        <v>6442</v>
      </c>
      <c r="I248" s="161">
        <v>117436</v>
      </c>
      <c r="J248" s="67">
        <v>9.2999999999999992E-3</v>
      </c>
      <c r="K248" s="68">
        <v>1092</v>
      </c>
      <c r="L248" s="69">
        <v>116344</v>
      </c>
      <c r="M248" s="162">
        <v>17615</v>
      </c>
      <c r="N248" s="150">
        <v>160384</v>
      </c>
      <c r="O248" s="70">
        <v>41162</v>
      </c>
      <c r="P248" s="70">
        <v>119222</v>
      </c>
      <c r="Q248" s="70">
        <v>59611</v>
      </c>
      <c r="R248" s="70">
        <v>24057</v>
      </c>
      <c r="S248" s="140">
        <v>158893</v>
      </c>
    </row>
    <row r="249" spans="1:19">
      <c r="A249" s="41" t="s">
        <v>547</v>
      </c>
      <c r="B249" s="42" t="s">
        <v>548</v>
      </c>
      <c r="C249" s="107" t="s">
        <v>549</v>
      </c>
      <c r="D249" s="123">
        <v>27982</v>
      </c>
      <c r="E249" s="44">
        <v>1.2500000000000001E-2</v>
      </c>
      <c r="F249" s="45">
        <v>350</v>
      </c>
      <c r="G249" s="46">
        <v>27632</v>
      </c>
      <c r="H249" s="124">
        <v>4197</v>
      </c>
      <c r="I249" s="157">
        <v>76513</v>
      </c>
      <c r="J249" s="48">
        <v>1.2500000000000001E-2</v>
      </c>
      <c r="K249" s="49">
        <v>956</v>
      </c>
      <c r="L249" s="50">
        <v>75557</v>
      </c>
      <c r="M249" s="158">
        <v>11477</v>
      </c>
      <c r="N249" s="149">
        <v>104495</v>
      </c>
      <c r="O249" s="51">
        <v>26223</v>
      </c>
      <c r="P249" s="51">
        <v>78272</v>
      </c>
      <c r="Q249" s="51">
        <v>39136</v>
      </c>
      <c r="R249" s="51">
        <v>15674</v>
      </c>
      <c r="S249" s="139">
        <v>103189</v>
      </c>
    </row>
    <row r="250" spans="1:19">
      <c r="A250" s="41" t="s">
        <v>547</v>
      </c>
      <c r="B250" s="42" t="s">
        <v>550</v>
      </c>
      <c r="C250" s="107" t="s">
        <v>551</v>
      </c>
      <c r="D250" s="123">
        <v>15352</v>
      </c>
      <c r="E250" s="44">
        <v>1.2500000000000001E-2</v>
      </c>
      <c r="F250" s="45">
        <v>192</v>
      </c>
      <c r="G250" s="46">
        <v>15160</v>
      </c>
      <c r="H250" s="124">
        <v>2303</v>
      </c>
      <c r="I250" s="157">
        <v>41979</v>
      </c>
      <c r="J250" s="48">
        <v>1.2500000000000001E-2</v>
      </c>
      <c r="K250" s="49">
        <v>525</v>
      </c>
      <c r="L250" s="50">
        <v>41454</v>
      </c>
      <c r="M250" s="158">
        <v>6297</v>
      </c>
      <c r="N250" s="149">
        <v>57331</v>
      </c>
      <c r="O250" s="51">
        <v>14721</v>
      </c>
      <c r="P250" s="51">
        <v>42610</v>
      </c>
      <c r="Q250" s="51">
        <v>21305</v>
      </c>
      <c r="R250" s="51">
        <v>8600</v>
      </c>
      <c r="S250" s="139">
        <v>56614</v>
      </c>
    </row>
    <row r="251" spans="1:19">
      <c r="A251" s="41" t="s">
        <v>547</v>
      </c>
      <c r="B251" s="42" t="s">
        <v>552</v>
      </c>
      <c r="C251" s="107" t="s">
        <v>553</v>
      </c>
      <c r="D251" s="123">
        <v>19840</v>
      </c>
      <c r="E251" s="44">
        <v>1.2500000000000001E-2</v>
      </c>
      <c r="F251" s="45">
        <v>248</v>
      </c>
      <c r="G251" s="46">
        <v>19592</v>
      </c>
      <c r="H251" s="124">
        <v>2976</v>
      </c>
      <c r="I251" s="157">
        <v>54248</v>
      </c>
      <c r="J251" s="48">
        <v>1.2500000000000001E-2</v>
      </c>
      <c r="K251" s="49">
        <v>678</v>
      </c>
      <c r="L251" s="50">
        <v>53570</v>
      </c>
      <c r="M251" s="158">
        <v>8137</v>
      </c>
      <c r="N251" s="149">
        <v>74088</v>
      </c>
      <c r="O251" s="51">
        <v>20927</v>
      </c>
      <c r="P251" s="51">
        <v>53161</v>
      </c>
      <c r="Q251" s="51">
        <v>26581</v>
      </c>
      <c r="R251" s="51">
        <v>11113</v>
      </c>
      <c r="S251" s="139">
        <v>73162</v>
      </c>
    </row>
    <row r="252" spans="1:19">
      <c r="A252" s="41" t="s">
        <v>547</v>
      </c>
      <c r="B252" s="42" t="s">
        <v>554</v>
      </c>
      <c r="C252" s="107" t="s">
        <v>555</v>
      </c>
      <c r="D252" s="123">
        <v>14911</v>
      </c>
      <c r="E252" s="44">
        <v>1.2500000000000001E-2</v>
      </c>
      <c r="F252" s="45">
        <v>186</v>
      </c>
      <c r="G252" s="46">
        <v>14725</v>
      </c>
      <c r="H252" s="124">
        <v>2237</v>
      </c>
      <c r="I252" s="157">
        <v>40772</v>
      </c>
      <c r="J252" s="48">
        <v>1.2500000000000001E-2</v>
      </c>
      <c r="K252" s="49">
        <v>510</v>
      </c>
      <c r="L252" s="50">
        <v>40262</v>
      </c>
      <c r="M252" s="158">
        <v>6116</v>
      </c>
      <c r="N252" s="149">
        <v>55683</v>
      </c>
      <c r="O252" s="51">
        <v>17992</v>
      </c>
      <c r="P252" s="51">
        <v>37691</v>
      </c>
      <c r="Q252" s="51">
        <v>18846</v>
      </c>
      <c r="R252" s="51">
        <v>8353</v>
      </c>
      <c r="S252" s="139">
        <v>54987</v>
      </c>
    </row>
    <row r="253" spans="1:19">
      <c r="A253" s="41" t="s">
        <v>547</v>
      </c>
      <c r="B253" s="42" t="s">
        <v>556</v>
      </c>
      <c r="C253" s="107" t="s">
        <v>557</v>
      </c>
      <c r="D253" s="123">
        <v>33948</v>
      </c>
      <c r="E253" s="44">
        <v>1.2500000000000001E-2</v>
      </c>
      <c r="F253" s="45">
        <v>424</v>
      </c>
      <c r="G253" s="46">
        <v>33524</v>
      </c>
      <c r="H253" s="124">
        <v>5092</v>
      </c>
      <c r="I253" s="157">
        <v>92824</v>
      </c>
      <c r="J253" s="48">
        <v>1.2500000000000001E-2</v>
      </c>
      <c r="K253" s="49">
        <v>1160</v>
      </c>
      <c r="L253" s="50">
        <v>91664</v>
      </c>
      <c r="M253" s="158">
        <v>13924</v>
      </c>
      <c r="N253" s="149">
        <v>126772</v>
      </c>
      <c r="O253" s="51">
        <v>34576</v>
      </c>
      <c r="P253" s="51">
        <v>92196</v>
      </c>
      <c r="Q253" s="51">
        <v>46098</v>
      </c>
      <c r="R253" s="51">
        <v>19016</v>
      </c>
      <c r="S253" s="139">
        <v>125188</v>
      </c>
    </row>
    <row r="254" spans="1:19">
      <c r="A254" s="41" t="s">
        <v>547</v>
      </c>
      <c r="B254" s="42" t="s">
        <v>558</v>
      </c>
      <c r="C254" s="107" t="s">
        <v>559</v>
      </c>
      <c r="D254" s="123">
        <v>46974</v>
      </c>
      <c r="E254" s="44">
        <v>1.2500000000000001E-2</v>
      </c>
      <c r="F254" s="45">
        <v>587</v>
      </c>
      <c r="G254" s="46">
        <v>46387</v>
      </c>
      <c r="H254" s="124">
        <v>7046</v>
      </c>
      <c r="I254" s="157">
        <v>128443</v>
      </c>
      <c r="J254" s="48">
        <v>1.2500000000000001E-2</v>
      </c>
      <c r="K254" s="49">
        <v>1606</v>
      </c>
      <c r="L254" s="50">
        <v>126837</v>
      </c>
      <c r="M254" s="158">
        <v>19266</v>
      </c>
      <c r="N254" s="149">
        <v>175417</v>
      </c>
      <c r="O254" s="51">
        <v>44382</v>
      </c>
      <c r="P254" s="51">
        <v>131035</v>
      </c>
      <c r="Q254" s="51">
        <v>65518</v>
      </c>
      <c r="R254" s="51">
        <v>26312</v>
      </c>
      <c r="S254" s="139">
        <v>173224</v>
      </c>
    </row>
    <row r="255" spans="1:19">
      <c r="A255" s="41" t="s">
        <v>547</v>
      </c>
      <c r="B255" s="42" t="s">
        <v>560</v>
      </c>
      <c r="C255" s="107" t="s">
        <v>561</v>
      </c>
      <c r="D255" s="123">
        <v>39250</v>
      </c>
      <c r="E255" s="44">
        <v>1.2500000000000001E-2</v>
      </c>
      <c r="F255" s="45">
        <v>491</v>
      </c>
      <c r="G255" s="46">
        <v>38759</v>
      </c>
      <c r="H255" s="124">
        <v>5888</v>
      </c>
      <c r="I255" s="157">
        <v>107323</v>
      </c>
      <c r="J255" s="48">
        <v>1.2500000000000001E-2</v>
      </c>
      <c r="K255" s="49">
        <v>1342</v>
      </c>
      <c r="L255" s="50">
        <v>105981</v>
      </c>
      <c r="M255" s="158">
        <v>16098</v>
      </c>
      <c r="N255" s="149">
        <v>146573</v>
      </c>
      <c r="O255" s="51">
        <v>37640</v>
      </c>
      <c r="P255" s="51">
        <v>108933</v>
      </c>
      <c r="Q255" s="51">
        <v>54467</v>
      </c>
      <c r="R255" s="51">
        <v>21986</v>
      </c>
      <c r="S255" s="139">
        <v>144740</v>
      </c>
    </row>
    <row r="256" spans="1:19">
      <c r="A256" s="41" t="s">
        <v>547</v>
      </c>
      <c r="B256" s="42" t="s">
        <v>562</v>
      </c>
      <c r="C256" s="107" t="s">
        <v>563</v>
      </c>
      <c r="D256" s="123">
        <v>17673</v>
      </c>
      <c r="E256" s="44">
        <v>1.2500000000000001E-2</v>
      </c>
      <c r="F256" s="45">
        <v>221</v>
      </c>
      <c r="G256" s="46">
        <v>17452</v>
      </c>
      <c r="H256" s="124">
        <v>2651</v>
      </c>
      <c r="I256" s="157">
        <v>48324</v>
      </c>
      <c r="J256" s="48">
        <v>1.2500000000000001E-2</v>
      </c>
      <c r="K256" s="49">
        <v>604</v>
      </c>
      <c r="L256" s="50">
        <v>47720</v>
      </c>
      <c r="M256" s="158">
        <v>7249</v>
      </c>
      <c r="N256" s="149">
        <v>65997</v>
      </c>
      <c r="O256" s="51">
        <v>23611</v>
      </c>
      <c r="P256" s="51">
        <v>42386</v>
      </c>
      <c r="Q256" s="51">
        <v>21193</v>
      </c>
      <c r="R256" s="51">
        <v>9900</v>
      </c>
      <c r="S256" s="139">
        <v>65172</v>
      </c>
    </row>
    <row r="257" spans="1:19">
      <c r="A257" s="41" t="s">
        <v>547</v>
      </c>
      <c r="B257" s="42" t="s">
        <v>564</v>
      </c>
      <c r="C257" s="107" t="s">
        <v>565</v>
      </c>
      <c r="D257" s="123">
        <v>54348</v>
      </c>
      <c r="E257" s="44">
        <v>1.2500000000000001E-2</v>
      </c>
      <c r="F257" s="45">
        <v>679</v>
      </c>
      <c r="G257" s="46">
        <v>53669</v>
      </c>
      <c r="H257" s="124">
        <v>8152</v>
      </c>
      <c r="I257" s="157">
        <v>148607</v>
      </c>
      <c r="J257" s="48">
        <v>1.2500000000000001E-2</v>
      </c>
      <c r="K257" s="49">
        <v>1858</v>
      </c>
      <c r="L257" s="50">
        <v>146749</v>
      </c>
      <c r="M257" s="158">
        <v>22291</v>
      </c>
      <c r="N257" s="149">
        <v>202955</v>
      </c>
      <c r="O257" s="51">
        <v>45527</v>
      </c>
      <c r="P257" s="51">
        <v>157428</v>
      </c>
      <c r="Q257" s="51">
        <v>78714</v>
      </c>
      <c r="R257" s="51">
        <v>30443</v>
      </c>
      <c r="S257" s="139">
        <v>200418</v>
      </c>
    </row>
    <row r="258" spans="1:19">
      <c r="A258" s="41" t="s">
        <v>547</v>
      </c>
      <c r="B258" s="42" t="s">
        <v>566</v>
      </c>
      <c r="C258" s="107" t="s">
        <v>567</v>
      </c>
      <c r="D258" s="123">
        <v>121245</v>
      </c>
      <c r="E258" s="44">
        <v>1.2500000000000001E-2</v>
      </c>
      <c r="F258" s="45">
        <v>1516</v>
      </c>
      <c r="G258" s="46">
        <v>119729</v>
      </c>
      <c r="H258" s="124">
        <v>18187</v>
      </c>
      <c r="I258" s="157">
        <v>331526</v>
      </c>
      <c r="J258" s="48">
        <v>1.2500000000000001E-2</v>
      </c>
      <c r="K258" s="49">
        <v>4144</v>
      </c>
      <c r="L258" s="50">
        <v>327382</v>
      </c>
      <c r="M258" s="158">
        <v>49729</v>
      </c>
      <c r="N258" s="149">
        <v>452771</v>
      </c>
      <c r="O258" s="51">
        <v>115071</v>
      </c>
      <c r="P258" s="51">
        <v>337700</v>
      </c>
      <c r="Q258" s="51">
        <v>168850</v>
      </c>
      <c r="R258" s="51">
        <v>67916</v>
      </c>
      <c r="S258" s="139">
        <v>447111</v>
      </c>
    </row>
    <row r="259" spans="1:19">
      <c r="A259" s="41" t="s">
        <v>547</v>
      </c>
      <c r="B259" s="42" t="s">
        <v>568</v>
      </c>
      <c r="C259" s="107" t="s">
        <v>569</v>
      </c>
      <c r="D259" s="123">
        <v>24978</v>
      </c>
      <c r="E259" s="44">
        <v>1.2500000000000001E-2</v>
      </c>
      <c r="F259" s="45">
        <v>312</v>
      </c>
      <c r="G259" s="46">
        <v>24666</v>
      </c>
      <c r="H259" s="124">
        <v>3747</v>
      </c>
      <c r="I259" s="157">
        <v>68300</v>
      </c>
      <c r="J259" s="48">
        <v>1.2500000000000001E-2</v>
      </c>
      <c r="K259" s="49">
        <v>854</v>
      </c>
      <c r="L259" s="50">
        <v>67446</v>
      </c>
      <c r="M259" s="158">
        <v>10245</v>
      </c>
      <c r="N259" s="149">
        <v>93278</v>
      </c>
      <c r="O259" s="51">
        <v>23638</v>
      </c>
      <c r="P259" s="51">
        <v>69640</v>
      </c>
      <c r="Q259" s="51">
        <v>34820</v>
      </c>
      <c r="R259" s="51">
        <v>13992</v>
      </c>
      <c r="S259" s="139">
        <v>92112</v>
      </c>
    </row>
    <row r="260" spans="1:19">
      <c r="A260" s="41" t="s">
        <v>547</v>
      </c>
      <c r="B260" s="42" t="s">
        <v>570</v>
      </c>
      <c r="C260" s="107" t="s">
        <v>571</v>
      </c>
      <c r="D260" s="123">
        <v>23490</v>
      </c>
      <c r="E260" s="44">
        <v>1.2500000000000001E-2</v>
      </c>
      <c r="F260" s="45">
        <v>294</v>
      </c>
      <c r="G260" s="46">
        <v>23196</v>
      </c>
      <c r="H260" s="124">
        <v>3524</v>
      </c>
      <c r="I260" s="157">
        <v>64230</v>
      </c>
      <c r="J260" s="48">
        <v>1.2500000000000001E-2</v>
      </c>
      <c r="K260" s="49">
        <v>803</v>
      </c>
      <c r="L260" s="50">
        <v>63427</v>
      </c>
      <c r="M260" s="158">
        <v>9635</v>
      </c>
      <c r="N260" s="149">
        <v>87720</v>
      </c>
      <c r="O260" s="51">
        <v>24764</v>
      </c>
      <c r="P260" s="51">
        <v>62956</v>
      </c>
      <c r="Q260" s="51">
        <v>31478</v>
      </c>
      <c r="R260" s="51">
        <v>13159</v>
      </c>
      <c r="S260" s="139">
        <v>86623</v>
      </c>
    </row>
    <row r="261" spans="1:19">
      <c r="A261" s="41" t="s">
        <v>547</v>
      </c>
      <c r="B261" s="42" t="s">
        <v>572</v>
      </c>
      <c r="C261" s="107" t="s">
        <v>573</v>
      </c>
      <c r="D261" s="123">
        <v>25538</v>
      </c>
      <c r="E261" s="44">
        <v>1.2500000000000001E-2</v>
      </c>
      <c r="F261" s="45">
        <v>319</v>
      </c>
      <c r="G261" s="46">
        <v>25219</v>
      </c>
      <c r="H261" s="124">
        <v>3831</v>
      </c>
      <c r="I261" s="157">
        <v>69829</v>
      </c>
      <c r="J261" s="48">
        <v>1.2500000000000001E-2</v>
      </c>
      <c r="K261" s="49">
        <v>873</v>
      </c>
      <c r="L261" s="50">
        <v>68956</v>
      </c>
      <c r="M261" s="158">
        <v>10474</v>
      </c>
      <c r="N261" s="149">
        <v>95367</v>
      </c>
      <c r="O261" s="51">
        <v>26079</v>
      </c>
      <c r="P261" s="51">
        <v>69288</v>
      </c>
      <c r="Q261" s="51">
        <v>34644</v>
      </c>
      <c r="R261" s="51">
        <v>14305</v>
      </c>
      <c r="S261" s="139">
        <v>94175</v>
      </c>
    </row>
    <row r="262" spans="1:19">
      <c r="A262" s="41" t="s">
        <v>547</v>
      </c>
      <c r="B262" s="42" t="s">
        <v>574</v>
      </c>
      <c r="C262" s="107" t="s">
        <v>575</v>
      </c>
      <c r="D262" s="123">
        <v>39434</v>
      </c>
      <c r="E262" s="44">
        <v>1.2500000000000001E-2</v>
      </c>
      <c r="F262" s="45">
        <v>493</v>
      </c>
      <c r="G262" s="46">
        <v>38941</v>
      </c>
      <c r="H262" s="124">
        <v>5915</v>
      </c>
      <c r="I262" s="157">
        <v>107828</v>
      </c>
      <c r="J262" s="48">
        <v>1.2500000000000001E-2</v>
      </c>
      <c r="K262" s="49">
        <v>1348</v>
      </c>
      <c r="L262" s="50">
        <v>106480</v>
      </c>
      <c r="M262" s="158">
        <v>16174</v>
      </c>
      <c r="N262" s="149">
        <v>147262</v>
      </c>
      <c r="O262" s="51">
        <v>39085</v>
      </c>
      <c r="P262" s="51">
        <v>108177</v>
      </c>
      <c r="Q262" s="51">
        <v>54089</v>
      </c>
      <c r="R262" s="51">
        <v>22089</v>
      </c>
      <c r="S262" s="139">
        <v>145421</v>
      </c>
    </row>
    <row r="263" spans="1:19">
      <c r="A263" s="41" t="s">
        <v>547</v>
      </c>
      <c r="B263" s="42" t="s">
        <v>576</v>
      </c>
      <c r="C263" s="107" t="s">
        <v>577</v>
      </c>
      <c r="D263" s="123">
        <v>28581</v>
      </c>
      <c r="E263" s="44">
        <v>1.2500000000000001E-2</v>
      </c>
      <c r="F263" s="45">
        <v>357</v>
      </c>
      <c r="G263" s="46">
        <v>28224</v>
      </c>
      <c r="H263" s="124">
        <v>4287</v>
      </c>
      <c r="I263" s="157">
        <v>78151</v>
      </c>
      <c r="J263" s="48">
        <v>1.2500000000000001E-2</v>
      </c>
      <c r="K263" s="49">
        <v>977</v>
      </c>
      <c r="L263" s="50">
        <v>77174</v>
      </c>
      <c r="M263" s="158">
        <v>11723</v>
      </c>
      <c r="N263" s="149">
        <v>106732</v>
      </c>
      <c r="O263" s="51">
        <v>29153</v>
      </c>
      <c r="P263" s="51">
        <v>77579</v>
      </c>
      <c r="Q263" s="51">
        <v>38790</v>
      </c>
      <c r="R263" s="51">
        <v>16010</v>
      </c>
      <c r="S263" s="139">
        <v>105398</v>
      </c>
    </row>
    <row r="264" spans="1:19">
      <c r="A264" s="41" t="s">
        <v>547</v>
      </c>
      <c r="B264" s="42" t="s">
        <v>578</v>
      </c>
      <c r="C264" s="107" t="s">
        <v>579</v>
      </c>
      <c r="D264" s="123">
        <v>23123</v>
      </c>
      <c r="E264" s="44">
        <v>1.2500000000000001E-2</v>
      </c>
      <c r="F264" s="45">
        <v>289</v>
      </c>
      <c r="G264" s="46">
        <v>22834</v>
      </c>
      <c r="H264" s="124">
        <v>3468</v>
      </c>
      <c r="I264" s="157">
        <v>63228</v>
      </c>
      <c r="J264" s="48">
        <v>1.2500000000000001E-2</v>
      </c>
      <c r="K264" s="49">
        <v>790</v>
      </c>
      <c r="L264" s="50">
        <v>62438</v>
      </c>
      <c r="M264" s="158">
        <v>9484</v>
      </c>
      <c r="N264" s="149">
        <v>86351</v>
      </c>
      <c r="O264" s="51">
        <v>24135</v>
      </c>
      <c r="P264" s="51">
        <v>62216</v>
      </c>
      <c r="Q264" s="51">
        <v>31108</v>
      </c>
      <c r="R264" s="51">
        <v>12952</v>
      </c>
      <c r="S264" s="139">
        <v>85272</v>
      </c>
    </row>
    <row r="265" spans="1:19">
      <c r="A265" s="41" t="s">
        <v>547</v>
      </c>
      <c r="B265" s="42" t="s">
        <v>580</v>
      </c>
      <c r="C265" s="107" t="s">
        <v>581</v>
      </c>
      <c r="D265" s="123">
        <v>30356</v>
      </c>
      <c r="E265" s="44">
        <v>1.2500000000000001E-2</v>
      </c>
      <c r="F265" s="45">
        <v>379</v>
      </c>
      <c r="G265" s="46">
        <v>29977</v>
      </c>
      <c r="H265" s="124">
        <v>4553</v>
      </c>
      <c r="I265" s="157">
        <v>83002</v>
      </c>
      <c r="J265" s="48">
        <v>1.2500000000000001E-2</v>
      </c>
      <c r="K265" s="49">
        <v>1038</v>
      </c>
      <c r="L265" s="50">
        <v>81964</v>
      </c>
      <c r="M265" s="158">
        <v>12450</v>
      </c>
      <c r="N265" s="149">
        <v>113358</v>
      </c>
      <c r="O265" s="51">
        <v>30305</v>
      </c>
      <c r="P265" s="51">
        <v>83053</v>
      </c>
      <c r="Q265" s="51">
        <v>41527</v>
      </c>
      <c r="R265" s="51">
        <v>17003</v>
      </c>
      <c r="S265" s="139">
        <v>111941</v>
      </c>
    </row>
    <row r="266" spans="1:19">
      <c r="A266" s="41" t="s">
        <v>547</v>
      </c>
      <c r="B266" s="42" t="s">
        <v>582</v>
      </c>
      <c r="C266" s="107" t="s">
        <v>583</v>
      </c>
      <c r="D266" s="123">
        <v>127662</v>
      </c>
      <c r="E266" s="44">
        <v>1.2500000000000001E-2</v>
      </c>
      <c r="F266" s="45">
        <v>1596</v>
      </c>
      <c r="G266" s="46">
        <v>126066</v>
      </c>
      <c r="H266" s="124">
        <v>19149</v>
      </c>
      <c r="I266" s="157">
        <v>349074</v>
      </c>
      <c r="J266" s="48">
        <v>1.2500000000000001E-2</v>
      </c>
      <c r="K266" s="49">
        <v>4363</v>
      </c>
      <c r="L266" s="50">
        <v>344711</v>
      </c>
      <c r="M266" s="158">
        <v>52361</v>
      </c>
      <c r="N266" s="149">
        <v>476736</v>
      </c>
      <c r="O266" s="51">
        <v>123907</v>
      </c>
      <c r="P266" s="51">
        <v>352829</v>
      </c>
      <c r="Q266" s="51">
        <v>176415</v>
      </c>
      <c r="R266" s="51">
        <v>71510</v>
      </c>
      <c r="S266" s="139">
        <v>470777</v>
      </c>
    </row>
    <row r="267" spans="1:19">
      <c r="A267" s="41" t="s">
        <v>547</v>
      </c>
      <c r="B267" s="42" t="s">
        <v>584</v>
      </c>
      <c r="C267" s="107" t="s">
        <v>585</v>
      </c>
      <c r="D267" s="123">
        <v>28046</v>
      </c>
      <c r="E267" s="44">
        <v>1.2500000000000001E-2</v>
      </c>
      <c r="F267" s="45">
        <v>351</v>
      </c>
      <c r="G267" s="46">
        <v>27695</v>
      </c>
      <c r="H267" s="124">
        <v>4207</v>
      </c>
      <c r="I267" s="157">
        <v>76686</v>
      </c>
      <c r="J267" s="48">
        <v>1.2500000000000001E-2</v>
      </c>
      <c r="K267" s="49">
        <v>959</v>
      </c>
      <c r="L267" s="50">
        <v>75727</v>
      </c>
      <c r="M267" s="158">
        <v>11503</v>
      </c>
      <c r="N267" s="149">
        <v>104732</v>
      </c>
      <c r="O267" s="51">
        <v>28929</v>
      </c>
      <c r="P267" s="51">
        <v>75803</v>
      </c>
      <c r="Q267" s="51">
        <v>37902</v>
      </c>
      <c r="R267" s="51">
        <v>15710</v>
      </c>
      <c r="S267" s="139">
        <v>103422</v>
      </c>
    </row>
    <row r="268" spans="1:19">
      <c r="A268" s="41" t="s">
        <v>547</v>
      </c>
      <c r="B268" s="42" t="s">
        <v>586</v>
      </c>
      <c r="C268" s="107" t="s">
        <v>587</v>
      </c>
      <c r="D268" s="123">
        <v>22685</v>
      </c>
      <c r="E268" s="44">
        <v>1.2500000000000001E-2</v>
      </c>
      <c r="F268" s="45">
        <v>284</v>
      </c>
      <c r="G268" s="46">
        <v>22401</v>
      </c>
      <c r="H268" s="124">
        <v>3403</v>
      </c>
      <c r="I268" s="157">
        <v>62029</v>
      </c>
      <c r="J268" s="48">
        <v>1.2500000000000001E-2</v>
      </c>
      <c r="K268" s="49">
        <v>775</v>
      </c>
      <c r="L268" s="50">
        <v>61254</v>
      </c>
      <c r="M268" s="158">
        <v>9304</v>
      </c>
      <c r="N268" s="149">
        <v>84714</v>
      </c>
      <c r="O268" s="51">
        <v>23731</v>
      </c>
      <c r="P268" s="51">
        <v>60983</v>
      </c>
      <c r="Q268" s="51">
        <v>30492</v>
      </c>
      <c r="R268" s="51">
        <v>12707</v>
      </c>
      <c r="S268" s="139">
        <v>83655</v>
      </c>
    </row>
    <row r="269" spans="1:19">
      <c r="A269" s="41" t="s">
        <v>547</v>
      </c>
      <c r="B269" s="42" t="s">
        <v>588</v>
      </c>
      <c r="C269" s="107" t="s">
        <v>589</v>
      </c>
      <c r="D269" s="123">
        <v>90990</v>
      </c>
      <c r="E269" s="44">
        <v>1.2500000000000001E-2</v>
      </c>
      <c r="F269" s="45">
        <v>1137</v>
      </c>
      <c r="G269" s="46">
        <v>89853</v>
      </c>
      <c r="H269" s="124">
        <v>13649</v>
      </c>
      <c r="I269" s="157">
        <v>248801</v>
      </c>
      <c r="J269" s="48">
        <v>1.2500000000000001E-2</v>
      </c>
      <c r="K269" s="49">
        <v>3110</v>
      </c>
      <c r="L269" s="50">
        <v>245691</v>
      </c>
      <c r="M269" s="158">
        <v>37320</v>
      </c>
      <c r="N269" s="149">
        <v>339791</v>
      </c>
      <c r="O269" s="51">
        <v>90475</v>
      </c>
      <c r="P269" s="51">
        <v>249316</v>
      </c>
      <c r="Q269" s="51">
        <v>124658</v>
      </c>
      <c r="R269" s="51">
        <v>50969</v>
      </c>
      <c r="S269" s="139">
        <v>335544</v>
      </c>
    </row>
    <row r="270" spans="1:19">
      <c r="A270" s="41" t="s">
        <v>547</v>
      </c>
      <c r="B270" s="42" t="s">
        <v>590</v>
      </c>
      <c r="C270" s="107" t="s">
        <v>591</v>
      </c>
      <c r="D270" s="123">
        <v>30360</v>
      </c>
      <c r="E270" s="44">
        <v>1.2500000000000001E-2</v>
      </c>
      <c r="F270" s="45">
        <v>380</v>
      </c>
      <c r="G270" s="46">
        <v>29980</v>
      </c>
      <c r="H270" s="124">
        <v>4554</v>
      </c>
      <c r="I270" s="157">
        <v>83014</v>
      </c>
      <c r="J270" s="48">
        <v>1.2500000000000001E-2</v>
      </c>
      <c r="K270" s="49">
        <v>1038</v>
      </c>
      <c r="L270" s="50">
        <v>81976</v>
      </c>
      <c r="M270" s="158">
        <v>12452</v>
      </c>
      <c r="N270" s="149">
        <v>113374</v>
      </c>
      <c r="O270" s="51">
        <v>30182</v>
      </c>
      <c r="P270" s="51">
        <v>83192</v>
      </c>
      <c r="Q270" s="51">
        <v>41596</v>
      </c>
      <c r="R270" s="51">
        <v>17006</v>
      </c>
      <c r="S270" s="139">
        <v>111956</v>
      </c>
    </row>
    <row r="271" spans="1:19">
      <c r="A271" s="41" t="s">
        <v>547</v>
      </c>
      <c r="B271" s="42" t="s">
        <v>592</v>
      </c>
      <c r="C271" s="107" t="s">
        <v>593</v>
      </c>
      <c r="D271" s="123">
        <v>46704</v>
      </c>
      <c r="E271" s="44">
        <v>1.2500000000000001E-2</v>
      </c>
      <c r="F271" s="45">
        <v>584</v>
      </c>
      <c r="G271" s="46">
        <v>46120</v>
      </c>
      <c r="H271" s="124">
        <v>7006</v>
      </c>
      <c r="I271" s="157">
        <v>127706</v>
      </c>
      <c r="J271" s="48">
        <v>1.2500000000000001E-2</v>
      </c>
      <c r="K271" s="49">
        <v>1596</v>
      </c>
      <c r="L271" s="50">
        <v>126110</v>
      </c>
      <c r="M271" s="158">
        <v>19156</v>
      </c>
      <c r="N271" s="149">
        <v>174410</v>
      </c>
      <c r="O271" s="51">
        <v>46835</v>
      </c>
      <c r="P271" s="51">
        <v>127575</v>
      </c>
      <c r="Q271" s="51">
        <v>63788</v>
      </c>
      <c r="R271" s="51">
        <v>26162</v>
      </c>
      <c r="S271" s="139">
        <v>172230</v>
      </c>
    </row>
    <row r="272" spans="1:19">
      <c r="A272" s="41" t="s">
        <v>547</v>
      </c>
      <c r="B272" s="42" t="s">
        <v>594</v>
      </c>
      <c r="C272" s="107" t="s">
        <v>595</v>
      </c>
      <c r="D272" s="123">
        <v>16566</v>
      </c>
      <c r="E272" s="44">
        <v>1.2500000000000001E-2</v>
      </c>
      <c r="F272" s="45">
        <v>207</v>
      </c>
      <c r="G272" s="46">
        <v>16359</v>
      </c>
      <c r="H272" s="124">
        <v>2485</v>
      </c>
      <c r="I272" s="157">
        <v>45295</v>
      </c>
      <c r="J272" s="48">
        <v>1.2500000000000001E-2</v>
      </c>
      <c r="K272" s="49">
        <v>566</v>
      </c>
      <c r="L272" s="50">
        <v>44729</v>
      </c>
      <c r="M272" s="158">
        <v>6794</v>
      </c>
      <c r="N272" s="149">
        <v>61861</v>
      </c>
      <c r="O272" s="51">
        <v>15902</v>
      </c>
      <c r="P272" s="51">
        <v>45959</v>
      </c>
      <c r="Q272" s="51">
        <v>22980</v>
      </c>
      <c r="R272" s="51">
        <v>9279</v>
      </c>
      <c r="S272" s="139">
        <v>61088</v>
      </c>
    </row>
    <row r="273" spans="1:19">
      <c r="A273" s="41" t="s">
        <v>547</v>
      </c>
      <c r="B273" s="42" t="s">
        <v>596</v>
      </c>
      <c r="C273" s="107" t="s">
        <v>597</v>
      </c>
      <c r="D273" s="123">
        <v>70548</v>
      </c>
      <c r="E273" s="44">
        <v>1.2500000000000001E-2</v>
      </c>
      <c r="F273" s="45">
        <v>882</v>
      </c>
      <c r="G273" s="46">
        <v>69666</v>
      </c>
      <c r="H273" s="124">
        <v>10582</v>
      </c>
      <c r="I273" s="157">
        <v>192904</v>
      </c>
      <c r="J273" s="48">
        <v>1.2500000000000001E-2</v>
      </c>
      <c r="K273" s="49">
        <v>2411</v>
      </c>
      <c r="L273" s="50">
        <v>190493</v>
      </c>
      <c r="M273" s="158">
        <v>28936</v>
      </c>
      <c r="N273" s="149">
        <v>263452</v>
      </c>
      <c r="O273" s="51">
        <v>70453</v>
      </c>
      <c r="P273" s="51">
        <v>192999</v>
      </c>
      <c r="Q273" s="51">
        <v>96500</v>
      </c>
      <c r="R273" s="51">
        <v>39518</v>
      </c>
      <c r="S273" s="139">
        <v>260159</v>
      </c>
    </row>
    <row r="274" spans="1:19">
      <c r="A274" s="41" t="s">
        <v>547</v>
      </c>
      <c r="B274" s="42" t="s">
        <v>598</v>
      </c>
      <c r="C274" s="107" t="s">
        <v>599</v>
      </c>
      <c r="D274" s="123">
        <v>62227</v>
      </c>
      <c r="E274" s="44">
        <v>1.2500000000000001E-2</v>
      </c>
      <c r="F274" s="45">
        <v>778</v>
      </c>
      <c r="G274" s="46">
        <v>61449</v>
      </c>
      <c r="H274" s="124">
        <v>9334</v>
      </c>
      <c r="I274" s="157">
        <v>170152</v>
      </c>
      <c r="J274" s="48">
        <v>1.2500000000000001E-2</v>
      </c>
      <c r="K274" s="49">
        <v>2127</v>
      </c>
      <c r="L274" s="50">
        <v>168025</v>
      </c>
      <c r="M274" s="158">
        <v>25523</v>
      </c>
      <c r="N274" s="149">
        <v>232379</v>
      </c>
      <c r="O274" s="51">
        <v>63325</v>
      </c>
      <c r="P274" s="51">
        <v>169054</v>
      </c>
      <c r="Q274" s="51">
        <v>84527</v>
      </c>
      <c r="R274" s="51">
        <v>34857</v>
      </c>
      <c r="S274" s="139">
        <v>229474</v>
      </c>
    </row>
    <row r="275" spans="1:19">
      <c r="A275" s="41" t="s">
        <v>547</v>
      </c>
      <c r="B275" s="42" t="s">
        <v>600</v>
      </c>
      <c r="C275" s="107" t="s">
        <v>601</v>
      </c>
      <c r="D275" s="123">
        <v>43100</v>
      </c>
      <c r="E275" s="44">
        <v>1.2500000000000001E-2</v>
      </c>
      <c r="F275" s="45">
        <v>539</v>
      </c>
      <c r="G275" s="46">
        <v>42561</v>
      </c>
      <c r="H275" s="124">
        <v>6465</v>
      </c>
      <c r="I275" s="157">
        <v>117852</v>
      </c>
      <c r="J275" s="48">
        <v>1.2500000000000001E-2</v>
      </c>
      <c r="K275" s="49">
        <v>1473</v>
      </c>
      <c r="L275" s="50">
        <v>116379</v>
      </c>
      <c r="M275" s="158">
        <v>17678</v>
      </c>
      <c r="N275" s="149">
        <v>160952</v>
      </c>
      <c r="O275" s="51">
        <v>45099</v>
      </c>
      <c r="P275" s="51">
        <v>115853</v>
      </c>
      <c r="Q275" s="51">
        <v>57927</v>
      </c>
      <c r="R275" s="51">
        <v>24143</v>
      </c>
      <c r="S275" s="139">
        <v>158940</v>
      </c>
    </row>
    <row r="276" spans="1:19">
      <c r="A276" s="41" t="s">
        <v>547</v>
      </c>
      <c r="B276" s="42" t="s">
        <v>602</v>
      </c>
      <c r="C276" s="107" t="s">
        <v>603</v>
      </c>
      <c r="D276" s="123">
        <v>76991</v>
      </c>
      <c r="E276" s="44">
        <v>1.2500000000000001E-2</v>
      </c>
      <c r="F276" s="45">
        <v>962</v>
      </c>
      <c r="G276" s="46">
        <v>76029</v>
      </c>
      <c r="H276" s="124">
        <v>11549</v>
      </c>
      <c r="I276" s="157">
        <v>210521</v>
      </c>
      <c r="J276" s="48">
        <v>1.2500000000000001E-2</v>
      </c>
      <c r="K276" s="49">
        <v>2632</v>
      </c>
      <c r="L276" s="50">
        <v>207889</v>
      </c>
      <c r="M276" s="158">
        <v>31578</v>
      </c>
      <c r="N276" s="149">
        <v>287512</v>
      </c>
      <c r="O276" s="51">
        <v>74260</v>
      </c>
      <c r="P276" s="51">
        <v>213252</v>
      </c>
      <c r="Q276" s="51">
        <v>106626</v>
      </c>
      <c r="R276" s="51">
        <v>43127</v>
      </c>
      <c r="S276" s="139">
        <v>283918</v>
      </c>
    </row>
    <row r="277" spans="1:19">
      <c r="A277" s="41" t="s">
        <v>547</v>
      </c>
      <c r="B277" s="42" t="s">
        <v>604</v>
      </c>
      <c r="C277" s="107" t="s">
        <v>605</v>
      </c>
      <c r="D277" s="123">
        <v>846172</v>
      </c>
      <c r="E277" s="44">
        <v>1.2500000000000001E-2</v>
      </c>
      <c r="F277" s="45">
        <v>10577</v>
      </c>
      <c r="G277" s="46">
        <v>835595</v>
      </c>
      <c r="H277" s="124">
        <v>126926</v>
      </c>
      <c r="I277" s="157">
        <v>2313734</v>
      </c>
      <c r="J277" s="48">
        <v>1.2500000000000001E-2</v>
      </c>
      <c r="K277" s="49">
        <v>28922</v>
      </c>
      <c r="L277" s="50">
        <v>2284812</v>
      </c>
      <c r="M277" s="158">
        <v>347060</v>
      </c>
      <c r="N277" s="149">
        <v>3159906</v>
      </c>
      <c r="O277" s="51">
        <v>837862</v>
      </c>
      <c r="P277" s="51">
        <v>2322044</v>
      </c>
      <c r="Q277" s="51">
        <v>1161022</v>
      </c>
      <c r="R277" s="51">
        <v>473986</v>
      </c>
      <c r="S277" s="139">
        <v>3120407</v>
      </c>
    </row>
    <row r="278" spans="1:19">
      <c r="A278" s="41" t="s">
        <v>547</v>
      </c>
      <c r="B278" s="42" t="s">
        <v>606</v>
      </c>
      <c r="C278" s="107" t="s">
        <v>607</v>
      </c>
      <c r="D278" s="123">
        <v>37266</v>
      </c>
      <c r="E278" s="44">
        <v>1.2500000000000001E-2</v>
      </c>
      <c r="F278" s="45">
        <v>466</v>
      </c>
      <c r="G278" s="46">
        <v>36800</v>
      </c>
      <c r="H278" s="124">
        <v>5590</v>
      </c>
      <c r="I278" s="157">
        <v>101899</v>
      </c>
      <c r="J278" s="48">
        <v>1.2500000000000001E-2</v>
      </c>
      <c r="K278" s="49">
        <v>1274</v>
      </c>
      <c r="L278" s="50">
        <v>100625</v>
      </c>
      <c r="M278" s="158">
        <v>15285</v>
      </c>
      <c r="N278" s="149">
        <v>139165</v>
      </c>
      <c r="O278" s="51">
        <v>37748</v>
      </c>
      <c r="P278" s="51">
        <v>101417</v>
      </c>
      <c r="Q278" s="51">
        <v>50709</v>
      </c>
      <c r="R278" s="51">
        <v>20875</v>
      </c>
      <c r="S278" s="139">
        <v>137425</v>
      </c>
    </row>
    <row r="279" spans="1:19">
      <c r="A279" s="41" t="s">
        <v>547</v>
      </c>
      <c r="B279" s="42" t="s">
        <v>608</v>
      </c>
      <c r="C279" s="107" t="s">
        <v>609</v>
      </c>
      <c r="D279" s="123">
        <v>42473</v>
      </c>
      <c r="E279" s="44">
        <v>1.2500000000000001E-2</v>
      </c>
      <c r="F279" s="45">
        <v>531</v>
      </c>
      <c r="G279" s="46">
        <v>41942</v>
      </c>
      <c r="H279" s="124">
        <v>6371</v>
      </c>
      <c r="I279" s="157">
        <v>116135</v>
      </c>
      <c r="J279" s="48">
        <v>1.2500000000000001E-2</v>
      </c>
      <c r="K279" s="49">
        <v>1452</v>
      </c>
      <c r="L279" s="50">
        <v>114683</v>
      </c>
      <c r="M279" s="158">
        <v>17420</v>
      </c>
      <c r="N279" s="149">
        <v>158608</v>
      </c>
      <c r="O279" s="51">
        <v>40064</v>
      </c>
      <c r="P279" s="51">
        <v>118544</v>
      </c>
      <c r="Q279" s="51">
        <v>59272</v>
      </c>
      <c r="R279" s="51">
        <v>23791</v>
      </c>
      <c r="S279" s="139">
        <v>156625</v>
      </c>
    </row>
    <row r="280" spans="1:19">
      <c r="A280" s="41" t="s">
        <v>547</v>
      </c>
      <c r="B280" s="42" t="s">
        <v>610</v>
      </c>
      <c r="C280" s="107" t="s">
        <v>611</v>
      </c>
      <c r="D280" s="123">
        <v>35739</v>
      </c>
      <c r="E280" s="44">
        <v>1.2500000000000001E-2</v>
      </c>
      <c r="F280" s="45">
        <v>447</v>
      </c>
      <c r="G280" s="46">
        <v>35292</v>
      </c>
      <c r="H280" s="124">
        <v>5361</v>
      </c>
      <c r="I280" s="157">
        <v>97723</v>
      </c>
      <c r="J280" s="48">
        <v>1.2500000000000001E-2</v>
      </c>
      <c r="K280" s="49">
        <v>1222</v>
      </c>
      <c r="L280" s="50">
        <v>96501</v>
      </c>
      <c r="M280" s="158">
        <v>14658</v>
      </c>
      <c r="N280" s="149">
        <v>133462</v>
      </c>
      <c r="O280" s="51">
        <v>35166</v>
      </c>
      <c r="P280" s="51">
        <v>98296</v>
      </c>
      <c r="Q280" s="51">
        <v>49148</v>
      </c>
      <c r="R280" s="51">
        <v>20019</v>
      </c>
      <c r="S280" s="139">
        <v>131793</v>
      </c>
    </row>
    <row r="281" spans="1:19">
      <c r="A281" s="41" t="s">
        <v>547</v>
      </c>
      <c r="B281" s="42" t="s">
        <v>612</v>
      </c>
      <c r="C281" s="107" t="s">
        <v>613</v>
      </c>
      <c r="D281" s="123">
        <v>43556</v>
      </c>
      <c r="E281" s="44">
        <v>1.2500000000000001E-2</v>
      </c>
      <c r="F281" s="45">
        <v>544</v>
      </c>
      <c r="G281" s="46">
        <v>43012</v>
      </c>
      <c r="H281" s="124">
        <v>6533</v>
      </c>
      <c r="I281" s="157">
        <v>119100</v>
      </c>
      <c r="J281" s="48">
        <v>1.2500000000000001E-2</v>
      </c>
      <c r="K281" s="49">
        <v>1489</v>
      </c>
      <c r="L281" s="50">
        <v>117611</v>
      </c>
      <c r="M281" s="158">
        <v>17865</v>
      </c>
      <c r="N281" s="149">
        <v>162656</v>
      </c>
      <c r="O281" s="51">
        <v>41970</v>
      </c>
      <c r="P281" s="51">
        <v>120686</v>
      </c>
      <c r="Q281" s="51">
        <v>60343</v>
      </c>
      <c r="R281" s="51">
        <v>24398</v>
      </c>
      <c r="S281" s="139">
        <v>160623</v>
      </c>
    </row>
    <row r="282" spans="1:19">
      <c r="A282" s="41" t="s">
        <v>547</v>
      </c>
      <c r="B282" s="42" t="s">
        <v>614</v>
      </c>
      <c r="C282" s="107" t="s">
        <v>615</v>
      </c>
      <c r="D282" s="123">
        <v>30984</v>
      </c>
      <c r="E282" s="44">
        <v>1.2500000000000001E-2</v>
      </c>
      <c r="F282" s="45">
        <v>387</v>
      </c>
      <c r="G282" s="46">
        <v>30597</v>
      </c>
      <c r="H282" s="124">
        <v>4648</v>
      </c>
      <c r="I282" s="157">
        <v>84722</v>
      </c>
      <c r="J282" s="48">
        <v>1.2500000000000001E-2</v>
      </c>
      <c r="K282" s="49">
        <v>1059</v>
      </c>
      <c r="L282" s="50">
        <v>83663</v>
      </c>
      <c r="M282" s="158">
        <v>12708</v>
      </c>
      <c r="N282" s="149">
        <v>115706</v>
      </c>
      <c r="O282" s="51">
        <v>30541</v>
      </c>
      <c r="P282" s="51">
        <v>85165</v>
      </c>
      <c r="Q282" s="51">
        <v>42583</v>
      </c>
      <c r="R282" s="51">
        <v>17356</v>
      </c>
      <c r="S282" s="139">
        <v>114260</v>
      </c>
    </row>
    <row r="283" spans="1:19">
      <c r="A283" s="41" t="s">
        <v>547</v>
      </c>
      <c r="B283" s="42" t="s">
        <v>616</v>
      </c>
      <c r="C283" s="107" t="s">
        <v>617</v>
      </c>
      <c r="D283" s="123">
        <v>11214</v>
      </c>
      <c r="E283" s="44">
        <v>1.2500000000000001E-2</v>
      </c>
      <c r="F283" s="45">
        <v>140</v>
      </c>
      <c r="G283" s="46">
        <v>11074</v>
      </c>
      <c r="H283" s="124">
        <v>1682</v>
      </c>
      <c r="I283" s="157">
        <v>30662</v>
      </c>
      <c r="J283" s="48">
        <v>1.2500000000000001E-2</v>
      </c>
      <c r="K283" s="49">
        <v>383</v>
      </c>
      <c r="L283" s="50">
        <v>30279</v>
      </c>
      <c r="M283" s="158">
        <v>4599</v>
      </c>
      <c r="N283" s="149">
        <v>41876</v>
      </c>
      <c r="O283" s="51">
        <v>11268</v>
      </c>
      <c r="P283" s="51">
        <v>30608</v>
      </c>
      <c r="Q283" s="51">
        <v>15304</v>
      </c>
      <c r="R283" s="51">
        <v>6281</v>
      </c>
      <c r="S283" s="139">
        <v>41353</v>
      </c>
    </row>
    <row r="284" spans="1:19" ht="15.75" thickBot="1">
      <c r="A284" s="60" t="s">
        <v>547</v>
      </c>
      <c r="B284" s="61" t="s">
        <v>618</v>
      </c>
      <c r="C284" s="109" t="s">
        <v>619</v>
      </c>
      <c r="D284" s="127">
        <v>28910</v>
      </c>
      <c r="E284" s="63">
        <v>1.2500000000000001E-2</v>
      </c>
      <c r="F284" s="64">
        <v>361</v>
      </c>
      <c r="G284" s="65">
        <v>28549</v>
      </c>
      <c r="H284" s="128">
        <v>4337</v>
      </c>
      <c r="I284" s="161">
        <v>79051</v>
      </c>
      <c r="J284" s="67">
        <v>1.2500000000000001E-2</v>
      </c>
      <c r="K284" s="68">
        <v>988</v>
      </c>
      <c r="L284" s="69">
        <v>78063</v>
      </c>
      <c r="M284" s="162">
        <v>11858</v>
      </c>
      <c r="N284" s="150">
        <v>107961</v>
      </c>
      <c r="O284" s="70">
        <v>28649</v>
      </c>
      <c r="P284" s="70">
        <v>79312</v>
      </c>
      <c r="Q284" s="70">
        <v>39656</v>
      </c>
      <c r="R284" s="70">
        <v>16195</v>
      </c>
      <c r="S284" s="140">
        <v>106612</v>
      </c>
    </row>
    <row r="285" spans="1:19">
      <c r="A285" s="41" t="s">
        <v>620</v>
      </c>
      <c r="B285" s="42" t="s">
        <v>621</v>
      </c>
      <c r="C285" s="107" t="s">
        <v>622</v>
      </c>
      <c r="D285" s="123">
        <v>13805</v>
      </c>
      <c r="E285" s="44">
        <v>7.6E-3</v>
      </c>
      <c r="F285" s="45">
        <v>105</v>
      </c>
      <c r="G285" s="46">
        <v>13700</v>
      </c>
      <c r="H285" s="124">
        <v>2071</v>
      </c>
      <c r="I285" s="157">
        <v>37748</v>
      </c>
      <c r="J285" s="48">
        <v>7.6E-3</v>
      </c>
      <c r="K285" s="49">
        <v>287</v>
      </c>
      <c r="L285" s="50">
        <v>37461</v>
      </c>
      <c r="M285" s="158">
        <v>5662</v>
      </c>
      <c r="N285" s="149">
        <v>51553</v>
      </c>
      <c r="O285" s="51">
        <v>12916</v>
      </c>
      <c r="P285" s="51">
        <v>38637</v>
      </c>
      <c r="Q285" s="51">
        <v>19319</v>
      </c>
      <c r="R285" s="51">
        <v>7733</v>
      </c>
      <c r="S285" s="139">
        <v>51161</v>
      </c>
    </row>
    <row r="286" spans="1:19">
      <c r="A286" s="41" t="s">
        <v>620</v>
      </c>
      <c r="B286" s="42" t="s">
        <v>623</v>
      </c>
      <c r="C286" s="107" t="s">
        <v>624</v>
      </c>
      <c r="D286" s="123">
        <v>78547</v>
      </c>
      <c r="E286" s="44">
        <v>7.6E-3</v>
      </c>
      <c r="F286" s="45">
        <v>597</v>
      </c>
      <c r="G286" s="46">
        <v>77950</v>
      </c>
      <c r="H286" s="124">
        <v>11782</v>
      </c>
      <c r="I286" s="157">
        <v>214776</v>
      </c>
      <c r="J286" s="48">
        <v>7.6E-3</v>
      </c>
      <c r="K286" s="49">
        <v>1632</v>
      </c>
      <c r="L286" s="50">
        <v>213144</v>
      </c>
      <c r="M286" s="158">
        <v>32216</v>
      </c>
      <c r="N286" s="149">
        <v>293323</v>
      </c>
      <c r="O286" s="51">
        <v>78324</v>
      </c>
      <c r="P286" s="51">
        <v>214999</v>
      </c>
      <c r="Q286" s="51">
        <v>107500</v>
      </c>
      <c r="R286" s="51">
        <v>43998</v>
      </c>
      <c r="S286" s="139">
        <v>291094</v>
      </c>
    </row>
    <row r="287" spans="1:19">
      <c r="A287" s="41" t="s">
        <v>620</v>
      </c>
      <c r="B287" s="42" t="s">
        <v>625</v>
      </c>
      <c r="C287" s="107" t="s">
        <v>626</v>
      </c>
      <c r="D287" s="123">
        <v>34037</v>
      </c>
      <c r="E287" s="44">
        <v>7.6E-3</v>
      </c>
      <c r="F287" s="45">
        <v>259</v>
      </c>
      <c r="G287" s="46">
        <v>33778</v>
      </c>
      <c r="H287" s="124">
        <v>5106</v>
      </c>
      <c r="I287" s="157">
        <v>93069</v>
      </c>
      <c r="J287" s="48">
        <v>7.6E-3</v>
      </c>
      <c r="K287" s="49">
        <v>707</v>
      </c>
      <c r="L287" s="50">
        <v>92362</v>
      </c>
      <c r="M287" s="158">
        <v>13960</v>
      </c>
      <c r="N287" s="149">
        <v>127106</v>
      </c>
      <c r="O287" s="51">
        <v>30750</v>
      </c>
      <c r="P287" s="51">
        <v>96356</v>
      </c>
      <c r="Q287" s="51">
        <v>48178</v>
      </c>
      <c r="R287" s="51">
        <v>19066</v>
      </c>
      <c r="S287" s="139">
        <v>126140</v>
      </c>
    </row>
    <row r="288" spans="1:19">
      <c r="A288" s="41" t="s">
        <v>620</v>
      </c>
      <c r="B288" s="42" t="s">
        <v>627</v>
      </c>
      <c r="C288" s="107" t="s">
        <v>628</v>
      </c>
      <c r="D288" s="123">
        <v>11264</v>
      </c>
      <c r="E288" s="44">
        <v>7.6E-3</v>
      </c>
      <c r="F288" s="45">
        <v>86</v>
      </c>
      <c r="G288" s="46">
        <v>11178</v>
      </c>
      <c r="H288" s="124">
        <v>1690</v>
      </c>
      <c r="I288" s="157">
        <v>30798</v>
      </c>
      <c r="J288" s="48">
        <v>7.6E-3</v>
      </c>
      <c r="K288" s="49">
        <v>234</v>
      </c>
      <c r="L288" s="50">
        <v>30564</v>
      </c>
      <c r="M288" s="158">
        <v>4620</v>
      </c>
      <c r="N288" s="149">
        <v>42062</v>
      </c>
      <c r="O288" s="51">
        <v>16534</v>
      </c>
      <c r="P288" s="51">
        <v>25528</v>
      </c>
      <c r="Q288" s="51">
        <v>12764</v>
      </c>
      <c r="R288" s="51">
        <v>6310</v>
      </c>
      <c r="S288" s="139">
        <v>41742</v>
      </c>
    </row>
    <row r="289" spans="1:19">
      <c r="A289" s="41" t="s">
        <v>620</v>
      </c>
      <c r="B289" s="42" t="s">
        <v>629</v>
      </c>
      <c r="C289" s="107" t="s">
        <v>630</v>
      </c>
      <c r="D289" s="123">
        <v>55734</v>
      </c>
      <c r="E289" s="44">
        <v>7.6E-3</v>
      </c>
      <c r="F289" s="45">
        <v>424</v>
      </c>
      <c r="G289" s="46">
        <v>55310</v>
      </c>
      <c r="H289" s="124">
        <v>8360</v>
      </c>
      <c r="I289" s="157">
        <v>152395</v>
      </c>
      <c r="J289" s="48">
        <v>7.6E-3</v>
      </c>
      <c r="K289" s="49">
        <v>1158</v>
      </c>
      <c r="L289" s="50">
        <v>151237</v>
      </c>
      <c r="M289" s="158">
        <v>22859</v>
      </c>
      <c r="N289" s="149">
        <v>208129</v>
      </c>
      <c r="O289" s="51">
        <v>50437</v>
      </c>
      <c r="P289" s="51">
        <v>157692</v>
      </c>
      <c r="Q289" s="51">
        <v>78846</v>
      </c>
      <c r="R289" s="51">
        <v>31219</v>
      </c>
      <c r="S289" s="139">
        <v>206547</v>
      </c>
    </row>
    <row r="290" spans="1:19">
      <c r="A290" s="41" t="s">
        <v>620</v>
      </c>
      <c r="B290" s="42" t="s">
        <v>631</v>
      </c>
      <c r="C290" s="107" t="s">
        <v>632</v>
      </c>
      <c r="D290" s="123">
        <v>546600</v>
      </c>
      <c r="E290" s="44">
        <v>7.6E-3</v>
      </c>
      <c r="F290" s="45">
        <v>4154</v>
      </c>
      <c r="G290" s="46">
        <v>542446</v>
      </c>
      <c r="H290" s="124">
        <v>81990</v>
      </c>
      <c r="I290" s="157">
        <v>1494602</v>
      </c>
      <c r="J290" s="48">
        <v>7.6E-3</v>
      </c>
      <c r="K290" s="49">
        <v>11359</v>
      </c>
      <c r="L290" s="50">
        <v>1483243</v>
      </c>
      <c r="M290" s="158">
        <v>224190</v>
      </c>
      <c r="N290" s="149">
        <v>2041202</v>
      </c>
      <c r="O290" s="51">
        <v>545314</v>
      </c>
      <c r="P290" s="51">
        <v>1495888</v>
      </c>
      <c r="Q290" s="51">
        <v>747944</v>
      </c>
      <c r="R290" s="51">
        <v>306180</v>
      </c>
      <c r="S290" s="139">
        <v>2025689</v>
      </c>
    </row>
    <row r="291" spans="1:19">
      <c r="A291" s="41" t="s">
        <v>620</v>
      </c>
      <c r="B291" s="42" t="s">
        <v>633</v>
      </c>
      <c r="C291" s="107" t="s">
        <v>634</v>
      </c>
      <c r="D291" s="123">
        <v>23171</v>
      </c>
      <c r="E291" s="44">
        <v>7.6E-3</v>
      </c>
      <c r="F291" s="45">
        <v>176</v>
      </c>
      <c r="G291" s="46">
        <v>22995</v>
      </c>
      <c r="H291" s="124">
        <v>3476</v>
      </c>
      <c r="I291" s="157">
        <v>63356</v>
      </c>
      <c r="J291" s="48">
        <v>7.6E-3</v>
      </c>
      <c r="K291" s="49">
        <v>482</v>
      </c>
      <c r="L291" s="50">
        <v>62874</v>
      </c>
      <c r="M291" s="158">
        <v>9503</v>
      </c>
      <c r="N291" s="149">
        <v>86527</v>
      </c>
      <c r="O291" s="51">
        <v>24459</v>
      </c>
      <c r="P291" s="51">
        <v>62068</v>
      </c>
      <c r="Q291" s="51">
        <v>31034</v>
      </c>
      <c r="R291" s="51">
        <v>12979</v>
      </c>
      <c r="S291" s="139">
        <v>85869</v>
      </c>
    </row>
    <row r="292" spans="1:19">
      <c r="A292" s="41" t="s">
        <v>620</v>
      </c>
      <c r="B292" s="42" t="s">
        <v>635</v>
      </c>
      <c r="C292" s="107" t="s">
        <v>636</v>
      </c>
      <c r="D292" s="123">
        <v>13398</v>
      </c>
      <c r="E292" s="44">
        <v>7.6E-3</v>
      </c>
      <c r="F292" s="45">
        <v>102</v>
      </c>
      <c r="G292" s="46">
        <v>13296</v>
      </c>
      <c r="H292" s="124">
        <v>2010</v>
      </c>
      <c r="I292" s="157">
        <v>36634</v>
      </c>
      <c r="J292" s="48">
        <v>7.6E-3</v>
      </c>
      <c r="K292" s="49">
        <v>278</v>
      </c>
      <c r="L292" s="50">
        <v>36356</v>
      </c>
      <c r="M292" s="158">
        <v>5495</v>
      </c>
      <c r="N292" s="149">
        <v>50032</v>
      </c>
      <c r="O292" s="51">
        <v>14289</v>
      </c>
      <c r="P292" s="51">
        <v>35743</v>
      </c>
      <c r="Q292" s="51">
        <v>17872</v>
      </c>
      <c r="R292" s="51">
        <v>7505</v>
      </c>
      <c r="S292" s="139">
        <v>49652</v>
      </c>
    </row>
    <row r="293" spans="1:19">
      <c r="A293" s="41" t="s">
        <v>620</v>
      </c>
      <c r="B293" s="42" t="s">
        <v>637</v>
      </c>
      <c r="C293" s="107" t="s">
        <v>638</v>
      </c>
      <c r="D293" s="123">
        <v>13267</v>
      </c>
      <c r="E293" s="44">
        <v>7.6E-3</v>
      </c>
      <c r="F293" s="45">
        <v>101</v>
      </c>
      <c r="G293" s="46">
        <v>13166</v>
      </c>
      <c r="H293" s="124">
        <v>1990</v>
      </c>
      <c r="I293" s="157">
        <v>36276</v>
      </c>
      <c r="J293" s="48">
        <v>7.6E-3</v>
      </c>
      <c r="K293" s="49">
        <v>276</v>
      </c>
      <c r="L293" s="50">
        <v>36000</v>
      </c>
      <c r="M293" s="158">
        <v>5441</v>
      </c>
      <c r="N293" s="149">
        <v>49543</v>
      </c>
      <c r="O293" s="51">
        <v>15560</v>
      </c>
      <c r="P293" s="51">
        <v>33983</v>
      </c>
      <c r="Q293" s="51">
        <v>16992</v>
      </c>
      <c r="R293" s="51">
        <v>7431</v>
      </c>
      <c r="S293" s="139">
        <v>49166</v>
      </c>
    </row>
    <row r="294" spans="1:19">
      <c r="A294" s="41" t="s">
        <v>620</v>
      </c>
      <c r="B294" s="42" t="s">
        <v>639</v>
      </c>
      <c r="C294" s="107" t="s">
        <v>640</v>
      </c>
      <c r="D294" s="123">
        <v>13453</v>
      </c>
      <c r="E294" s="44">
        <v>7.6E-3</v>
      </c>
      <c r="F294" s="45">
        <v>102</v>
      </c>
      <c r="G294" s="46">
        <v>13351</v>
      </c>
      <c r="H294" s="124">
        <v>2018</v>
      </c>
      <c r="I294" s="157">
        <v>36787</v>
      </c>
      <c r="J294" s="48">
        <v>7.6E-3</v>
      </c>
      <c r="K294" s="49">
        <v>280</v>
      </c>
      <c r="L294" s="50">
        <v>36507</v>
      </c>
      <c r="M294" s="158">
        <v>5518</v>
      </c>
      <c r="N294" s="149">
        <v>50240</v>
      </c>
      <c r="O294" s="51">
        <v>13510</v>
      </c>
      <c r="P294" s="51">
        <v>36730</v>
      </c>
      <c r="Q294" s="51">
        <v>18365</v>
      </c>
      <c r="R294" s="51">
        <v>7536</v>
      </c>
      <c r="S294" s="139">
        <v>49858</v>
      </c>
    </row>
    <row r="295" spans="1:19">
      <c r="A295" s="41" t="s">
        <v>620</v>
      </c>
      <c r="B295" s="42" t="s">
        <v>641</v>
      </c>
      <c r="C295" s="107" t="s">
        <v>642</v>
      </c>
      <c r="D295" s="123">
        <v>25587</v>
      </c>
      <c r="E295" s="44">
        <v>7.6E-3</v>
      </c>
      <c r="F295" s="45">
        <v>194</v>
      </c>
      <c r="G295" s="46">
        <v>25393</v>
      </c>
      <c r="H295" s="124">
        <v>3838</v>
      </c>
      <c r="I295" s="157">
        <v>69964</v>
      </c>
      <c r="J295" s="48">
        <v>7.6E-3</v>
      </c>
      <c r="K295" s="49">
        <v>532</v>
      </c>
      <c r="L295" s="50">
        <v>69432</v>
      </c>
      <c r="M295" s="158">
        <v>10495</v>
      </c>
      <c r="N295" s="149">
        <v>95551</v>
      </c>
      <c r="O295" s="51">
        <v>25328</v>
      </c>
      <c r="P295" s="51">
        <v>70223</v>
      </c>
      <c r="Q295" s="51">
        <v>35112</v>
      </c>
      <c r="R295" s="51">
        <v>14333</v>
      </c>
      <c r="S295" s="139">
        <v>94825</v>
      </c>
    </row>
    <row r="296" spans="1:19">
      <c r="A296" s="41" t="s">
        <v>620</v>
      </c>
      <c r="B296" s="42" t="s">
        <v>643</v>
      </c>
      <c r="C296" s="107" t="s">
        <v>644</v>
      </c>
      <c r="D296" s="123">
        <v>112212</v>
      </c>
      <c r="E296" s="44">
        <v>7.6E-3</v>
      </c>
      <c r="F296" s="45">
        <v>853</v>
      </c>
      <c r="G296" s="46">
        <v>111359</v>
      </c>
      <c r="H296" s="124">
        <v>16832</v>
      </c>
      <c r="I296" s="157">
        <v>306830</v>
      </c>
      <c r="J296" s="48">
        <v>7.6E-3</v>
      </c>
      <c r="K296" s="49">
        <v>2332</v>
      </c>
      <c r="L296" s="50">
        <v>304498</v>
      </c>
      <c r="M296" s="158">
        <v>46025</v>
      </c>
      <c r="N296" s="149">
        <v>419042</v>
      </c>
      <c r="O296" s="51">
        <v>109554</v>
      </c>
      <c r="P296" s="51">
        <v>309488</v>
      </c>
      <c r="Q296" s="51">
        <v>154744</v>
      </c>
      <c r="R296" s="51">
        <v>62857</v>
      </c>
      <c r="S296" s="139">
        <v>415857</v>
      </c>
    </row>
    <row r="297" spans="1:19">
      <c r="A297" s="41" t="s">
        <v>620</v>
      </c>
      <c r="B297" s="42" t="s">
        <v>645</v>
      </c>
      <c r="C297" s="107" t="s">
        <v>646</v>
      </c>
      <c r="D297" s="123">
        <v>33412</v>
      </c>
      <c r="E297" s="44">
        <v>7.6E-3</v>
      </c>
      <c r="F297" s="45">
        <v>254</v>
      </c>
      <c r="G297" s="46">
        <v>33158</v>
      </c>
      <c r="H297" s="124">
        <v>5012</v>
      </c>
      <c r="I297" s="157">
        <v>91360</v>
      </c>
      <c r="J297" s="48">
        <v>7.6E-3</v>
      </c>
      <c r="K297" s="49">
        <v>694</v>
      </c>
      <c r="L297" s="50">
        <v>90666</v>
      </c>
      <c r="M297" s="158">
        <v>13704</v>
      </c>
      <c r="N297" s="149">
        <v>124772</v>
      </c>
      <c r="O297" s="51">
        <v>31275</v>
      </c>
      <c r="P297" s="51">
        <v>93497</v>
      </c>
      <c r="Q297" s="51">
        <v>46749</v>
      </c>
      <c r="R297" s="51">
        <v>18716</v>
      </c>
      <c r="S297" s="139">
        <v>123824</v>
      </c>
    </row>
    <row r="298" spans="1:19">
      <c r="A298" s="41" t="s">
        <v>620</v>
      </c>
      <c r="B298" s="42" t="s">
        <v>647</v>
      </c>
      <c r="C298" s="107" t="s">
        <v>648</v>
      </c>
      <c r="D298" s="123">
        <v>16815</v>
      </c>
      <c r="E298" s="44">
        <v>7.6E-3</v>
      </c>
      <c r="F298" s="45">
        <v>128</v>
      </c>
      <c r="G298" s="46">
        <v>16687</v>
      </c>
      <c r="H298" s="124">
        <v>2522</v>
      </c>
      <c r="I298" s="157">
        <v>45980</v>
      </c>
      <c r="J298" s="48">
        <v>7.6E-3</v>
      </c>
      <c r="K298" s="49">
        <v>349</v>
      </c>
      <c r="L298" s="50">
        <v>45631</v>
      </c>
      <c r="M298" s="158">
        <v>6897</v>
      </c>
      <c r="N298" s="149">
        <v>62795</v>
      </c>
      <c r="O298" s="51">
        <v>15554</v>
      </c>
      <c r="P298" s="51">
        <v>47241</v>
      </c>
      <c r="Q298" s="51">
        <v>23621</v>
      </c>
      <c r="R298" s="51">
        <v>9419</v>
      </c>
      <c r="S298" s="139">
        <v>62318</v>
      </c>
    </row>
    <row r="299" spans="1:19">
      <c r="A299" s="41" t="s">
        <v>620</v>
      </c>
      <c r="B299" s="42" t="s">
        <v>649</v>
      </c>
      <c r="C299" s="107" t="s">
        <v>650</v>
      </c>
      <c r="D299" s="123">
        <v>85284</v>
      </c>
      <c r="E299" s="44">
        <v>7.6E-3</v>
      </c>
      <c r="F299" s="45">
        <v>648</v>
      </c>
      <c r="G299" s="46">
        <v>84636</v>
      </c>
      <c r="H299" s="124">
        <v>12793</v>
      </c>
      <c r="I299" s="157">
        <v>233199</v>
      </c>
      <c r="J299" s="48">
        <v>7.6E-3</v>
      </c>
      <c r="K299" s="49">
        <v>1772</v>
      </c>
      <c r="L299" s="50">
        <v>231427</v>
      </c>
      <c r="M299" s="158">
        <v>34980</v>
      </c>
      <c r="N299" s="149">
        <v>318483</v>
      </c>
      <c r="O299" s="51">
        <v>85943</v>
      </c>
      <c r="P299" s="51">
        <v>232540</v>
      </c>
      <c r="Q299" s="51">
        <v>116270</v>
      </c>
      <c r="R299" s="51">
        <v>47773</v>
      </c>
      <c r="S299" s="139">
        <v>316063</v>
      </c>
    </row>
    <row r="300" spans="1:19">
      <c r="A300" s="41" t="s">
        <v>620</v>
      </c>
      <c r="B300" s="42" t="s">
        <v>651</v>
      </c>
      <c r="C300" s="107" t="s">
        <v>652</v>
      </c>
      <c r="D300" s="123">
        <v>22442</v>
      </c>
      <c r="E300" s="44">
        <v>7.6E-3</v>
      </c>
      <c r="F300" s="45">
        <v>171</v>
      </c>
      <c r="G300" s="46">
        <v>22271</v>
      </c>
      <c r="H300" s="124">
        <v>3366</v>
      </c>
      <c r="I300" s="157">
        <v>61366</v>
      </c>
      <c r="J300" s="48">
        <v>7.6E-3</v>
      </c>
      <c r="K300" s="49">
        <v>466</v>
      </c>
      <c r="L300" s="50">
        <v>60900</v>
      </c>
      <c r="M300" s="158">
        <v>9205</v>
      </c>
      <c r="N300" s="149">
        <v>83808</v>
      </c>
      <c r="O300" s="51">
        <v>21636</v>
      </c>
      <c r="P300" s="51">
        <v>62172</v>
      </c>
      <c r="Q300" s="51">
        <v>31086</v>
      </c>
      <c r="R300" s="51">
        <v>12571</v>
      </c>
      <c r="S300" s="139">
        <v>83171</v>
      </c>
    </row>
    <row r="301" spans="1:19">
      <c r="A301" s="41" t="s">
        <v>620</v>
      </c>
      <c r="B301" s="42" t="s">
        <v>653</v>
      </c>
      <c r="C301" s="107" t="s">
        <v>654</v>
      </c>
      <c r="D301" s="123">
        <v>153197</v>
      </c>
      <c r="E301" s="44">
        <v>7.6E-3</v>
      </c>
      <c r="F301" s="45">
        <v>1164</v>
      </c>
      <c r="G301" s="46">
        <v>152033</v>
      </c>
      <c r="H301" s="124">
        <v>22980</v>
      </c>
      <c r="I301" s="157">
        <v>418895</v>
      </c>
      <c r="J301" s="48">
        <v>7.6E-3</v>
      </c>
      <c r="K301" s="49">
        <v>3184</v>
      </c>
      <c r="L301" s="50">
        <v>415711</v>
      </c>
      <c r="M301" s="158">
        <v>62834</v>
      </c>
      <c r="N301" s="149">
        <v>572092</v>
      </c>
      <c r="O301" s="51">
        <v>148458</v>
      </c>
      <c r="P301" s="51">
        <v>423634</v>
      </c>
      <c r="Q301" s="51">
        <v>211817</v>
      </c>
      <c r="R301" s="51">
        <v>85814</v>
      </c>
      <c r="S301" s="139">
        <v>567744</v>
      </c>
    </row>
    <row r="302" spans="1:19">
      <c r="A302" s="41" t="s">
        <v>620</v>
      </c>
      <c r="B302" s="42" t="s">
        <v>655</v>
      </c>
      <c r="C302" s="107" t="s">
        <v>656</v>
      </c>
      <c r="D302" s="123">
        <v>32883</v>
      </c>
      <c r="E302" s="44">
        <v>7.6E-3</v>
      </c>
      <c r="F302" s="45">
        <v>250</v>
      </c>
      <c r="G302" s="46">
        <v>32633</v>
      </c>
      <c r="H302" s="124">
        <v>4932</v>
      </c>
      <c r="I302" s="157">
        <v>89913</v>
      </c>
      <c r="J302" s="48">
        <v>7.6E-3</v>
      </c>
      <c r="K302" s="49">
        <v>683</v>
      </c>
      <c r="L302" s="50">
        <v>89230</v>
      </c>
      <c r="M302" s="158">
        <v>13487</v>
      </c>
      <c r="N302" s="149">
        <v>122796</v>
      </c>
      <c r="O302" s="51">
        <v>33234</v>
      </c>
      <c r="P302" s="51">
        <v>89562</v>
      </c>
      <c r="Q302" s="51">
        <v>44781</v>
      </c>
      <c r="R302" s="51">
        <v>18419</v>
      </c>
      <c r="S302" s="139">
        <v>121863</v>
      </c>
    </row>
    <row r="303" spans="1:19">
      <c r="A303" s="41" t="s">
        <v>620</v>
      </c>
      <c r="B303" s="42" t="s">
        <v>657</v>
      </c>
      <c r="C303" s="107" t="s">
        <v>658</v>
      </c>
      <c r="D303" s="123">
        <v>18158</v>
      </c>
      <c r="E303" s="44">
        <v>7.6E-3</v>
      </c>
      <c r="F303" s="45">
        <v>138</v>
      </c>
      <c r="G303" s="46">
        <v>18020</v>
      </c>
      <c r="H303" s="124">
        <v>2724</v>
      </c>
      <c r="I303" s="157">
        <v>49651</v>
      </c>
      <c r="J303" s="48">
        <v>7.6E-3</v>
      </c>
      <c r="K303" s="49">
        <v>377</v>
      </c>
      <c r="L303" s="50">
        <v>49274</v>
      </c>
      <c r="M303" s="158">
        <v>7448</v>
      </c>
      <c r="N303" s="149">
        <v>67809</v>
      </c>
      <c r="O303" s="51">
        <v>15149</v>
      </c>
      <c r="P303" s="51">
        <v>52660</v>
      </c>
      <c r="Q303" s="51">
        <v>26330</v>
      </c>
      <c r="R303" s="51">
        <v>10172</v>
      </c>
      <c r="S303" s="139">
        <v>67294</v>
      </c>
    </row>
    <row r="304" spans="1:19">
      <c r="A304" s="41" t="s">
        <v>620</v>
      </c>
      <c r="B304" s="42" t="s">
        <v>659</v>
      </c>
      <c r="C304" s="107" t="s">
        <v>660</v>
      </c>
      <c r="D304" s="123">
        <v>48930</v>
      </c>
      <c r="E304" s="44">
        <v>7.6E-3</v>
      </c>
      <c r="F304" s="45">
        <v>372</v>
      </c>
      <c r="G304" s="46">
        <v>48558</v>
      </c>
      <c r="H304" s="124">
        <v>7340</v>
      </c>
      <c r="I304" s="157">
        <v>133791</v>
      </c>
      <c r="J304" s="48">
        <v>7.6E-3</v>
      </c>
      <c r="K304" s="49">
        <v>1017</v>
      </c>
      <c r="L304" s="50">
        <v>132774</v>
      </c>
      <c r="M304" s="158">
        <v>20069</v>
      </c>
      <c r="N304" s="149">
        <v>182721</v>
      </c>
      <c r="O304" s="51">
        <v>48726</v>
      </c>
      <c r="P304" s="51">
        <v>133995</v>
      </c>
      <c r="Q304" s="51">
        <v>66998</v>
      </c>
      <c r="R304" s="51">
        <v>27409</v>
      </c>
      <c r="S304" s="139">
        <v>181332</v>
      </c>
    </row>
    <row r="305" spans="1:19">
      <c r="A305" s="53" t="s">
        <v>620</v>
      </c>
      <c r="B305" s="54" t="s">
        <v>661</v>
      </c>
      <c r="C305" s="108" t="s">
        <v>662</v>
      </c>
      <c r="D305" s="125">
        <v>13339</v>
      </c>
      <c r="E305" s="55">
        <v>7.6E-3</v>
      </c>
      <c r="F305" s="56">
        <v>101</v>
      </c>
      <c r="G305" s="46">
        <v>13238</v>
      </c>
      <c r="H305" s="126">
        <v>2001</v>
      </c>
      <c r="I305" s="159">
        <v>36475</v>
      </c>
      <c r="J305" s="57">
        <v>7.6E-3</v>
      </c>
      <c r="K305" s="58">
        <v>277</v>
      </c>
      <c r="L305" s="50">
        <v>36198</v>
      </c>
      <c r="M305" s="160">
        <v>5471</v>
      </c>
      <c r="N305" s="149">
        <v>49814</v>
      </c>
      <c r="O305" s="51">
        <v>13422</v>
      </c>
      <c r="P305" s="51">
        <v>36392</v>
      </c>
      <c r="Q305" s="59">
        <f>18196-18196</f>
        <v>0</v>
      </c>
      <c r="R305" s="52">
        <v>7472</v>
      </c>
      <c r="S305" s="139">
        <v>49436</v>
      </c>
    </row>
    <row r="306" spans="1:19">
      <c r="A306" s="41" t="s">
        <v>620</v>
      </c>
      <c r="B306" s="42" t="s">
        <v>663</v>
      </c>
      <c r="C306" s="107" t="s">
        <v>664</v>
      </c>
      <c r="D306" s="123">
        <v>34036</v>
      </c>
      <c r="E306" s="44">
        <v>7.6E-3</v>
      </c>
      <c r="F306" s="45">
        <v>259</v>
      </c>
      <c r="G306" s="46">
        <v>33777</v>
      </c>
      <c r="H306" s="124">
        <v>5105</v>
      </c>
      <c r="I306" s="157">
        <v>93065</v>
      </c>
      <c r="J306" s="48">
        <v>7.6E-3</v>
      </c>
      <c r="K306" s="49">
        <v>707</v>
      </c>
      <c r="L306" s="50">
        <v>92358</v>
      </c>
      <c r="M306" s="158">
        <v>13960</v>
      </c>
      <c r="N306" s="149">
        <v>127101</v>
      </c>
      <c r="O306" s="51">
        <v>34240</v>
      </c>
      <c r="P306" s="51">
        <v>92861</v>
      </c>
      <c r="Q306" s="51">
        <v>46431</v>
      </c>
      <c r="R306" s="51">
        <v>19065</v>
      </c>
      <c r="S306" s="139">
        <v>126135</v>
      </c>
    </row>
    <row r="307" spans="1:19">
      <c r="A307" s="41" t="s">
        <v>620</v>
      </c>
      <c r="B307" s="42" t="s">
        <v>665</v>
      </c>
      <c r="C307" s="107" t="s">
        <v>666</v>
      </c>
      <c r="D307" s="123">
        <v>55753</v>
      </c>
      <c r="E307" s="44">
        <v>7.6E-3</v>
      </c>
      <c r="F307" s="45">
        <v>424</v>
      </c>
      <c r="G307" s="46">
        <v>55329</v>
      </c>
      <c r="H307" s="124">
        <v>8363</v>
      </c>
      <c r="I307" s="157">
        <v>152448</v>
      </c>
      <c r="J307" s="48">
        <v>7.6E-3</v>
      </c>
      <c r="K307" s="49">
        <v>1159</v>
      </c>
      <c r="L307" s="50">
        <v>151289</v>
      </c>
      <c r="M307" s="158">
        <v>22867</v>
      </c>
      <c r="N307" s="149">
        <v>208201</v>
      </c>
      <c r="O307" s="51">
        <v>58128</v>
      </c>
      <c r="P307" s="51">
        <v>150073</v>
      </c>
      <c r="Q307" s="51">
        <v>75037</v>
      </c>
      <c r="R307" s="51">
        <v>31230</v>
      </c>
      <c r="S307" s="139">
        <v>206618</v>
      </c>
    </row>
    <row r="308" spans="1:19">
      <c r="A308" s="41" t="s">
        <v>620</v>
      </c>
      <c r="B308" s="42" t="s">
        <v>667</v>
      </c>
      <c r="C308" s="107" t="s">
        <v>668</v>
      </c>
      <c r="D308" s="123">
        <v>19964</v>
      </c>
      <c r="E308" s="44">
        <v>7.6E-3</v>
      </c>
      <c r="F308" s="45">
        <v>152</v>
      </c>
      <c r="G308" s="46">
        <v>19812</v>
      </c>
      <c r="H308" s="124">
        <v>2995</v>
      </c>
      <c r="I308" s="157">
        <v>54591</v>
      </c>
      <c r="J308" s="48">
        <v>7.6E-3</v>
      </c>
      <c r="K308" s="49">
        <v>415</v>
      </c>
      <c r="L308" s="50">
        <v>54176</v>
      </c>
      <c r="M308" s="158">
        <v>8189</v>
      </c>
      <c r="N308" s="149">
        <v>74555</v>
      </c>
      <c r="O308" s="51">
        <v>19719</v>
      </c>
      <c r="P308" s="51">
        <v>54836</v>
      </c>
      <c r="Q308" s="51">
        <v>27418</v>
      </c>
      <c r="R308" s="51">
        <v>11184</v>
      </c>
      <c r="S308" s="139">
        <v>73988</v>
      </c>
    </row>
    <row r="309" spans="1:19">
      <c r="A309" s="41" t="s">
        <v>620</v>
      </c>
      <c r="B309" s="42" t="s">
        <v>669</v>
      </c>
      <c r="C309" s="107" t="s">
        <v>670</v>
      </c>
      <c r="D309" s="123">
        <v>12248</v>
      </c>
      <c r="E309" s="44">
        <v>7.6E-3</v>
      </c>
      <c r="F309" s="45">
        <v>93</v>
      </c>
      <c r="G309" s="46">
        <v>12155</v>
      </c>
      <c r="H309" s="124">
        <v>1837</v>
      </c>
      <c r="I309" s="157">
        <v>33491</v>
      </c>
      <c r="J309" s="48">
        <v>7.6E-3</v>
      </c>
      <c r="K309" s="49">
        <v>255</v>
      </c>
      <c r="L309" s="50">
        <v>33236</v>
      </c>
      <c r="M309" s="158">
        <v>5024</v>
      </c>
      <c r="N309" s="149">
        <v>45739</v>
      </c>
      <c r="O309" s="51">
        <v>12821</v>
      </c>
      <c r="P309" s="51">
        <v>32918</v>
      </c>
      <c r="Q309" s="51">
        <v>16459</v>
      </c>
      <c r="R309" s="51">
        <v>6861</v>
      </c>
      <c r="S309" s="139">
        <v>45391</v>
      </c>
    </row>
    <row r="310" spans="1:19">
      <c r="A310" s="41" t="s">
        <v>620</v>
      </c>
      <c r="B310" s="42" t="s">
        <v>671</v>
      </c>
      <c r="C310" s="107" t="s">
        <v>672</v>
      </c>
      <c r="D310" s="123">
        <v>30617</v>
      </c>
      <c r="E310" s="44">
        <v>7.6E-3</v>
      </c>
      <c r="F310" s="45">
        <v>233</v>
      </c>
      <c r="G310" s="46">
        <v>30384</v>
      </c>
      <c r="H310" s="124">
        <v>4593</v>
      </c>
      <c r="I310" s="157">
        <v>83718</v>
      </c>
      <c r="J310" s="48">
        <v>7.6E-3</v>
      </c>
      <c r="K310" s="49">
        <v>636</v>
      </c>
      <c r="L310" s="50">
        <v>83082</v>
      </c>
      <c r="M310" s="158">
        <v>12558</v>
      </c>
      <c r="N310" s="149">
        <v>114335</v>
      </c>
      <c r="O310" s="51">
        <v>30126</v>
      </c>
      <c r="P310" s="51">
        <v>84209</v>
      </c>
      <c r="Q310" s="51">
        <v>42105</v>
      </c>
      <c r="R310" s="51">
        <v>17151</v>
      </c>
      <c r="S310" s="139">
        <v>113466</v>
      </c>
    </row>
    <row r="311" spans="1:19">
      <c r="A311" s="41" t="s">
        <v>620</v>
      </c>
      <c r="B311" s="42" t="s">
        <v>673</v>
      </c>
      <c r="C311" s="107" t="s">
        <v>674</v>
      </c>
      <c r="D311" s="123">
        <v>36368</v>
      </c>
      <c r="E311" s="44">
        <v>7.6E-3</v>
      </c>
      <c r="F311" s="45">
        <v>276</v>
      </c>
      <c r="G311" s="46">
        <v>36092</v>
      </c>
      <c r="H311" s="124">
        <v>5455</v>
      </c>
      <c r="I311" s="157">
        <v>99442</v>
      </c>
      <c r="J311" s="48">
        <v>7.6E-3</v>
      </c>
      <c r="K311" s="49">
        <v>756</v>
      </c>
      <c r="L311" s="50">
        <v>98686</v>
      </c>
      <c r="M311" s="158">
        <v>14916</v>
      </c>
      <c r="N311" s="149">
        <v>135810</v>
      </c>
      <c r="O311" s="51">
        <v>36157</v>
      </c>
      <c r="P311" s="51">
        <v>99653</v>
      </c>
      <c r="Q311" s="51">
        <v>49827</v>
      </c>
      <c r="R311" s="51">
        <v>20371</v>
      </c>
      <c r="S311" s="139">
        <v>134778</v>
      </c>
    </row>
    <row r="312" spans="1:19">
      <c r="A312" s="41" t="s">
        <v>620</v>
      </c>
      <c r="B312" s="42" t="s">
        <v>675</v>
      </c>
      <c r="C312" s="107" t="s">
        <v>676</v>
      </c>
      <c r="D312" s="123">
        <v>38969</v>
      </c>
      <c r="E312" s="44">
        <v>7.6E-3</v>
      </c>
      <c r="F312" s="45">
        <v>296</v>
      </c>
      <c r="G312" s="46">
        <v>38673</v>
      </c>
      <c r="H312" s="124">
        <v>5845</v>
      </c>
      <c r="I312" s="157">
        <v>106555</v>
      </c>
      <c r="J312" s="48">
        <v>7.6E-3</v>
      </c>
      <c r="K312" s="49">
        <v>810</v>
      </c>
      <c r="L312" s="50">
        <v>105745</v>
      </c>
      <c r="M312" s="158">
        <v>15983</v>
      </c>
      <c r="N312" s="149">
        <v>145524</v>
      </c>
      <c r="O312" s="51">
        <v>37812</v>
      </c>
      <c r="P312" s="51">
        <v>107712</v>
      </c>
      <c r="Q312" s="51">
        <v>53856</v>
      </c>
      <c r="R312" s="51">
        <v>21828</v>
      </c>
      <c r="S312" s="139">
        <v>144418</v>
      </c>
    </row>
    <row r="313" spans="1:19">
      <c r="A313" s="41" t="s">
        <v>620</v>
      </c>
      <c r="B313" s="42" t="s">
        <v>677</v>
      </c>
      <c r="C313" s="107" t="s">
        <v>678</v>
      </c>
      <c r="D313" s="123">
        <v>11854</v>
      </c>
      <c r="E313" s="44">
        <v>7.6E-3</v>
      </c>
      <c r="F313" s="45">
        <v>90</v>
      </c>
      <c r="G313" s="46">
        <v>11764</v>
      </c>
      <c r="H313" s="124">
        <v>1778</v>
      </c>
      <c r="I313" s="157">
        <v>32413</v>
      </c>
      <c r="J313" s="48">
        <v>7.6E-3</v>
      </c>
      <c r="K313" s="49">
        <v>246</v>
      </c>
      <c r="L313" s="50">
        <v>32167</v>
      </c>
      <c r="M313" s="158">
        <v>4862</v>
      </c>
      <c r="N313" s="149">
        <v>44267</v>
      </c>
      <c r="O313" s="51">
        <v>12235</v>
      </c>
      <c r="P313" s="51">
        <v>32032</v>
      </c>
      <c r="Q313" s="51">
        <v>16016</v>
      </c>
      <c r="R313" s="51">
        <v>6640</v>
      </c>
      <c r="S313" s="139">
        <v>43931</v>
      </c>
    </row>
    <row r="314" spans="1:19">
      <c r="A314" s="41" t="s">
        <v>620</v>
      </c>
      <c r="B314" s="42" t="s">
        <v>679</v>
      </c>
      <c r="C314" s="107" t="s">
        <v>680</v>
      </c>
      <c r="D314" s="123">
        <v>25818</v>
      </c>
      <c r="E314" s="44">
        <v>7.6E-3</v>
      </c>
      <c r="F314" s="45">
        <v>196</v>
      </c>
      <c r="G314" s="46">
        <v>25622</v>
      </c>
      <c r="H314" s="124">
        <v>3873</v>
      </c>
      <c r="I314" s="157">
        <v>70597</v>
      </c>
      <c r="J314" s="48">
        <v>7.6E-3</v>
      </c>
      <c r="K314" s="49">
        <v>537</v>
      </c>
      <c r="L314" s="50">
        <v>70060</v>
      </c>
      <c r="M314" s="158">
        <v>10590</v>
      </c>
      <c r="N314" s="149">
        <v>96415</v>
      </c>
      <c r="O314" s="51">
        <v>26006</v>
      </c>
      <c r="P314" s="51">
        <v>70409</v>
      </c>
      <c r="Q314" s="51">
        <v>35205</v>
      </c>
      <c r="R314" s="51">
        <v>14463</v>
      </c>
      <c r="S314" s="139">
        <v>95682</v>
      </c>
    </row>
    <row r="315" spans="1:19" ht="15.75" thickBot="1">
      <c r="A315" s="60" t="s">
        <v>620</v>
      </c>
      <c r="B315" s="61" t="s">
        <v>681</v>
      </c>
      <c r="C315" s="109" t="s">
        <v>682</v>
      </c>
      <c r="D315" s="127">
        <v>23274</v>
      </c>
      <c r="E315" s="63">
        <v>7.6E-3</v>
      </c>
      <c r="F315" s="64">
        <v>177</v>
      </c>
      <c r="G315" s="65">
        <v>23097</v>
      </c>
      <c r="H315" s="128">
        <v>3491</v>
      </c>
      <c r="I315" s="161">
        <v>63640</v>
      </c>
      <c r="J315" s="67">
        <v>7.6E-3</v>
      </c>
      <c r="K315" s="68">
        <v>484</v>
      </c>
      <c r="L315" s="69">
        <v>63156</v>
      </c>
      <c r="M315" s="162">
        <v>9546</v>
      </c>
      <c r="N315" s="150">
        <v>86914</v>
      </c>
      <c r="O315" s="70">
        <v>23032</v>
      </c>
      <c r="P315" s="70">
        <v>63882</v>
      </c>
      <c r="Q315" s="70">
        <v>31941</v>
      </c>
      <c r="R315" s="70">
        <v>13037</v>
      </c>
      <c r="S315" s="140">
        <v>86253</v>
      </c>
    </row>
    <row r="316" spans="1:19">
      <c r="A316" s="41" t="s">
        <v>683</v>
      </c>
      <c r="B316" s="42" t="s">
        <v>684</v>
      </c>
      <c r="C316" s="107" t="s">
        <v>685</v>
      </c>
      <c r="D316" s="123">
        <v>29278</v>
      </c>
      <c r="E316" s="44">
        <v>2.3999999999999998E-3</v>
      </c>
      <c r="F316" s="45">
        <v>70</v>
      </c>
      <c r="G316" s="46">
        <v>29208</v>
      </c>
      <c r="H316" s="124">
        <v>4392</v>
      </c>
      <c r="I316" s="157">
        <v>80056</v>
      </c>
      <c r="J316" s="48">
        <v>2.3999999999999998E-3</v>
      </c>
      <c r="K316" s="49">
        <v>192</v>
      </c>
      <c r="L316" s="50">
        <v>79864</v>
      </c>
      <c r="M316" s="158">
        <v>12008</v>
      </c>
      <c r="N316" s="149">
        <v>109334</v>
      </c>
      <c r="O316" s="51">
        <v>30152</v>
      </c>
      <c r="P316" s="51">
        <v>79182</v>
      </c>
      <c r="Q316" s="51">
        <v>39591</v>
      </c>
      <c r="R316" s="51">
        <v>16400</v>
      </c>
      <c r="S316" s="139">
        <v>109072</v>
      </c>
    </row>
    <row r="317" spans="1:19">
      <c r="A317" s="41" t="s">
        <v>683</v>
      </c>
      <c r="B317" s="42" t="s">
        <v>686</v>
      </c>
      <c r="C317" s="107" t="s">
        <v>687</v>
      </c>
      <c r="D317" s="123">
        <v>38839</v>
      </c>
      <c r="E317" s="44">
        <v>2.3999999999999998E-3</v>
      </c>
      <c r="F317" s="45">
        <v>93</v>
      </c>
      <c r="G317" s="46">
        <v>38746</v>
      </c>
      <c r="H317" s="124">
        <v>5826</v>
      </c>
      <c r="I317" s="157">
        <v>106200</v>
      </c>
      <c r="J317" s="48">
        <v>2.3999999999999998E-3</v>
      </c>
      <c r="K317" s="49">
        <v>255</v>
      </c>
      <c r="L317" s="50">
        <v>105945</v>
      </c>
      <c r="M317" s="158">
        <v>15930</v>
      </c>
      <c r="N317" s="149">
        <v>145039</v>
      </c>
      <c r="O317" s="51">
        <v>38723</v>
      </c>
      <c r="P317" s="51">
        <v>106316</v>
      </c>
      <c r="Q317" s="51">
        <v>53158</v>
      </c>
      <c r="R317" s="51">
        <v>21756</v>
      </c>
      <c r="S317" s="139">
        <v>144691</v>
      </c>
    </row>
    <row r="318" spans="1:19">
      <c r="A318" s="41" t="s">
        <v>683</v>
      </c>
      <c r="B318" s="42" t="s">
        <v>688</v>
      </c>
      <c r="C318" s="107" t="s">
        <v>689</v>
      </c>
      <c r="D318" s="123">
        <v>73683</v>
      </c>
      <c r="E318" s="44">
        <v>2.3999999999999998E-3</v>
      </c>
      <c r="F318" s="45">
        <v>177</v>
      </c>
      <c r="G318" s="46">
        <v>73506</v>
      </c>
      <c r="H318" s="124">
        <v>11052</v>
      </c>
      <c r="I318" s="157">
        <v>201475</v>
      </c>
      <c r="J318" s="48">
        <v>2.3999999999999998E-3</v>
      </c>
      <c r="K318" s="49">
        <v>484</v>
      </c>
      <c r="L318" s="50">
        <v>200991</v>
      </c>
      <c r="M318" s="158">
        <v>30221</v>
      </c>
      <c r="N318" s="149">
        <v>275158</v>
      </c>
      <c r="O318" s="51">
        <v>71732</v>
      </c>
      <c r="P318" s="51">
        <v>203426</v>
      </c>
      <c r="Q318" s="51">
        <v>101713</v>
      </c>
      <c r="R318" s="51">
        <v>41273</v>
      </c>
      <c r="S318" s="139">
        <v>274497</v>
      </c>
    </row>
    <row r="319" spans="1:19">
      <c r="A319" s="80" t="s">
        <v>683</v>
      </c>
      <c r="B319" s="81" t="s">
        <v>690</v>
      </c>
      <c r="C319" s="111" t="s">
        <v>691</v>
      </c>
      <c r="D319" s="123">
        <v>5088</v>
      </c>
      <c r="E319" s="44">
        <v>2.3999999999999998E-3</v>
      </c>
      <c r="F319" s="45">
        <v>12</v>
      </c>
      <c r="G319" s="46">
        <v>5076</v>
      </c>
      <c r="H319" s="124">
        <v>763</v>
      </c>
      <c r="I319" s="157">
        <v>13913</v>
      </c>
      <c r="J319" s="48">
        <v>2.3999999999999998E-3</v>
      </c>
      <c r="K319" s="49">
        <v>33</v>
      </c>
      <c r="L319" s="50">
        <v>13880</v>
      </c>
      <c r="M319" s="158">
        <v>2087</v>
      </c>
      <c r="N319" s="149">
        <v>19001</v>
      </c>
      <c r="O319" s="51">
        <v>4887</v>
      </c>
      <c r="P319" s="51">
        <v>14114</v>
      </c>
      <c r="Q319" s="51">
        <v>7057</v>
      </c>
      <c r="R319" s="51">
        <v>2850</v>
      </c>
      <c r="S319" s="139">
        <v>18956</v>
      </c>
    </row>
    <row r="320" spans="1:19">
      <c r="A320" s="41" t="s">
        <v>683</v>
      </c>
      <c r="B320" s="42" t="s">
        <v>692</v>
      </c>
      <c r="C320" s="107" t="s">
        <v>693</v>
      </c>
      <c r="D320" s="123">
        <v>26289</v>
      </c>
      <c r="E320" s="44">
        <v>2.3999999999999998E-3</v>
      </c>
      <c r="F320" s="45">
        <v>63</v>
      </c>
      <c r="G320" s="46">
        <v>26226</v>
      </c>
      <c r="H320" s="124">
        <v>3943</v>
      </c>
      <c r="I320" s="157">
        <v>71883</v>
      </c>
      <c r="J320" s="48">
        <v>2.3999999999999998E-3</v>
      </c>
      <c r="K320" s="49">
        <v>173</v>
      </c>
      <c r="L320" s="50">
        <v>71710</v>
      </c>
      <c r="M320" s="158">
        <v>10782</v>
      </c>
      <c r="N320" s="149">
        <v>98172</v>
      </c>
      <c r="O320" s="51">
        <v>28329</v>
      </c>
      <c r="P320" s="51">
        <v>69843</v>
      </c>
      <c r="Q320" s="51">
        <v>34922</v>
      </c>
      <c r="R320" s="51">
        <v>14725</v>
      </c>
      <c r="S320" s="139">
        <v>97936</v>
      </c>
    </row>
    <row r="321" spans="1:19">
      <c r="A321" s="41" t="s">
        <v>683</v>
      </c>
      <c r="B321" s="42" t="s">
        <v>694</v>
      </c>
      <c r="C321" s="107" t="s">
        <v>695</v>
      </c>
      <c r="D321" s="123">
        <v>81134</v>
      </c>
      <c r="E321" s="44">
        <v>2.3999999999999998E-3</v>
      </c>
      <c r="F321" s="45">
        <v>195</v>
      </c>
      <c r="G321" s="46">
        <v>80939</v>
      </c>
      <c r="H321" s="124">
        <v>12170</v>
      </c>
      <c r="I321" s="157">
        <v>221849</v>
      </c>
      <c r="J321" s="48">
        <v>2.3999999999999998E-3</v>
      </c>
      <c r="K321" s="49">
        <v>532</v>
      </c>
      <c r="L321" s="50">
        <v>221317</v>
      </c>
      <c r="M321" s="158">
        <v>33277</v>
      </c>
      <c r="N321" s="149">
        <v>302983</v>
      </c>
      <c r="O321" s="51">
        <v>78455</v>
      </c>
      <c r="P321" s="51">
        <v>224528</v>
      </c>
      <c r="Q321" s="51">
        <v>112264</v>
      </c>
      <c r="R321" s="51">
        <v>45447</v>
      </c>
      <c r="S321" s="139">
        <v>302256</v>
      </c>
    </row>
    <row r="322" spans="1:19">
      <c r="A322" s="80" t="s">
        <v>683</v>
      </c>
      <c r="B322" s="81" t="s">
        <v>696</v>
      </c>
      <c r="C322" s="111" t="s">
        <v>697</v>
      </c>
      <c r="D322" s="123">
        <v>5293</v>
      </c>
      <c r="E322" s="44">
        <v>2.3999999999999998E-3</v>
      </c>
      <c r="F322" s="45">
        <v>13</v>
      </c>
      <c r="G322" s="46">
        <v>5280</v>
      </c>
      <c r="H322" s="124">
        <v>794</v>
      </c>
      <c r="I322" s="157">
        <v>14472</v>
      </c>
      <c r="J322" s="48">
        <v>2.3999999999999998E-3</v>
      </c>
      <c r="K322" s="49">
        <v>35</v>
      </c>
      <c r="L322" s="50">
        <v>14437</v>
      </c>
      <c r="M322" s="158">
        <v>2171</v>
      </c>
      <c r="N322" s="149">
        <v>19765</v>
      </c>
      <c r="O322" s="51">
        <v>5296</v>
      </c>
      <c r="P322" s="51">
        <v>14469</v>
      </c>
      <c r="Q322" s="51">
        <v>7235</v>
      </c>
      <c r="R322" s="51">
        <v>2965</v>
      </c>
      <c r="S322" s="139">
        <v>19717</v>
      </c>
    </row>
    <row r="323" spans="1:19">
      <c r="A323" s="41" t="s">
        <v>683</v>
      </c>
      <c r="B323" s="42" t="s">
        <v>698</v>
      </c>
      <c r="C323" s="107" t="s">
        <v>699</v>
      </c>
      <c r="D323" s="123">
        <v>27071</v>
      </c>
      <c r="E323" s="44">
        <v>2.3999999999999998E-3</v>
      </c>
      <c r="F323" s="45">
        <v>65</v>
      </c>
      <c r="G323" s="46">
        <v>27006</v>
      </c>
      <c r="H323" s="124">
        <v>4061</v>
      </c>
      <c r="I323" s="157">
        <v>74021</v>
      </c>
      <c r="J323" s="48">
        <v>2.3999999999999998E-3</v>
      </c>
      <c r="K323" s="49">
        <v>178</v>
      </c>
      <c r="L323" s="50">
        <v>73843</v>
      </c>
      <c r="M323" s="158">
        <v>11103</v>
      </c>
      <c r="N323" s="149">
        <v>101092</v>
      </c>
      <c r="O323" s="51">
        <v>26597</v>
      </c>
      <c r="P323" s="51">
        <v>74495</v>
      </c>
      <c r="Q323" s="51">
        <v>37248</v>
      </c>
      <c r="R323" s="51">
        <v>15164</v>
      </c>
      <c r="S323" s="139">
        <v>100849</v>
      </c>
    </row>
    <row r="324" spans="1:19">
      <c r="A324" s="41" t="s">
        <v>683</v>
      </c>
      <c r="B324" s="42" t="s">
        <v>700</v>
      </c>
      <c r="C324" s="107" t="s">
        <v>701</v>
      </c>
      <c r="D324" s="123">
        <v>37779</v>
      </c>
      <c r="E324" s="44">
        <v>2.3999999999999998E-3</v>
      </c>
      <c r="F324" s="45">
        <v>91</v>
      </c>
      <c r="G324" s="46">
        <v>37688</v>
      </c>
      <c r="H324" s="124">
        <v>5667</v>
      </c>
      <c r="I324" s="157">
        <v>103302</v>
      </c>
      <c r="J324" s="48">
        <v>2.3999999999999998E-3</v>
      </c>
      <c r="K324" s="49">
        <v>248</v>
      </c>
      <c r="L324" s="50">
        <v>103054</v>
      </c>
      <c r="M324" s="158">
        <v>15495</v>
      </c>
      <c r="N324" s="149">
        <v>141081</v>
      </c>
      <c r="O324" s="51">
        <v>38120</v>
      </c>
      <c r="P324" s="51">
        <v>102961</v>
      </c>
      <c r="Q324" s="51">
        <v>51481</v>
      </c>
      <c r="R324" s="51">
        <v>21162</v>
      </c>
      <c r="S324" s="139">
        <v>140742</v>
      </c>
    </row>
    <row r="325" spans="1:19">
      <c r="A325" s="41" t="s">
        <v>683</v>
      </c>
      <c r="B325" s="42" t="s">
        <v>702</v>
      </c>
      <c r="C325" s="107" t="s">
        <v>703</v>
      </c>
      <c r="D325" s="123">
        <v>18771</v>
      </c>
      <c r="E325" s="44">
        <v>2.3999999999999998E-3</v>
      </c>
      <c r="F325" s="45">
        <v>45</v>
      </c>
      <c r="G325" s="46">
        <v>18726</v>
      </c>
      <c r="H325" s="124">
        <v>2816</v>
      </c>
      <c r="I325" s="157">
        <v>51327</v>
      </c>
      <c r="J325" s="48">
        <v>2.3999999999999998E-3</v>
      </c>
      <c r="K325" s="49">
        <v>123</v>
      </c>
      <c r="L325" s="50">
        <v>51204</v>
      </c>
      <c r="M325" s="158">
        <v>7699</v>
      </c>
      <c r="N325" s="149">
        <v>70098</v>
      </c>
      <c r="O325" s="51">
        <v>18351</v>
      </c>
      <c r="P325" s="51">
        <v>51747</v>
      </c>
      <c r="Q325" s="51">
        <v>25874</v>
      </c>
      <c r="R325" s="51">
        <v>10515</v>
      </c>
      <c r="S325" s="139">
        <v>69930</v>
      </c>
    </row>
    <row r="326" spans="1:19">
      <c r="A326" s="41" t="s">
        <v>683</v>
      </c>
      <c r="B326" s="42" t="s">
        <v>704</v>
      </c>
      <c r="C326" s="107" t="s">
        <v>705</v>
      </c>
      <c r="D326" s="123">
        <v>20592</v>
      </c>
      <c r="E326" s="44">
        <v>2.3999999999999998E-3</v>
      </c>
      <c r="F326" s="45">
        <v>49</v>
      </c>
      <c r="G326" s="46">
        <v>20543</v>
      </c>
      <c r="H326" s="124">
        <v>3089</v>
      </c>
      <c r="I326" s="157">
        <v>56306</v>
      </c>
      <c r="J326" s="48">
        <v>2.3999999999999998E-3</v>
      </c>
      <c r="K326" s="49">
        <v>135</v>
      </c>
      <c r="L326" s="50">
        <v>56171</v>
      </c>
      <c r="M326" s="158">
        <v>8446</v>
      </c>
      <c r="N326" s="149">
        <v>76898</v>
      </c>
      <c r="O326" s="51">
        <v>19887</v>
      </c>
      <c r="P326" s="51">
        <v>57011</v>
      </c>
      <c r="Q326" s="51">
        <v>28506</v>
      </c>
      <c r="R326" s="51">
        <v>11535</v>
      </c>
      <c r="S326" s="139">
        <v>76714</v>
      </c>
    </row>
    <row r="327" spans="1:19">
      <c r="A327" s="41" t="s">
        <v>683</v>
      </c>
      <c r="B327" s="42" t="s">
        <v>706</v>
      </c>
      <c r="C327" s="107" t="s">
        <v>707</v>
      </c>
      <c r="D327" s="123">
        <v>14894</v>
      </c>
      <c r="E327" s="44">
        <v>2.3999999999999998E-3</v>
      </c>
      <c r="F327" s="45">
        <v>36</v>
      </c>
      <c r="G327" s="46">
        <v>14858</v>
      </c>
      <c r="H327" s="124">
        <v>2234</v>
      </c>
      <c r="I327" s="157">
        <v>40726</v>
      </c>
      <c r="J327" s="48">
        <v>2.3999999999999998E-3</v>
      </c>
      <c r="K327" s="49">
        <v>98</v>
      </c>
      <c r="L327" s="50">
        <v>40628</v>
      </c>
      <c r="M327" s="158">
        <v>6109</v>
      </c>
      <c r="N327" s="149">
        <v>55620</v>
      </c>
      <c r="O327" s="51">
        <v>15149</v>
      </c>
      <c r="P327" s="51">
        <v>40471</v>
      </c>
      <c r="Q327" s="51">
        <v>20236</v>
      </c>
      <c r="R327" s="51">
        <v>8343</v>
      </c>
      <c r="S327" s="139">
        <v>55486</v>
      </c>
    </row>
    <row r="328" spans="1:19">
      <c r="A328" s="41" t="s">
        <v>683</v>
      </c>
      <c r="B328" s="42" t="s">
        <v>708</v>
      </c>
      <c r="C328" s="107" t="s">
        <v>709</v>
      </c>
      <c r="D328" s="123">
        <v>34037</v>
      </c>
      <c r="E328" s="44">
        <v>2.3999999999999998E-3</v>
      </c>
      <c r="F328" s="45">
        <v>82</v>
      </c>
      <c r="G328" s="46">
        <v>33955</v>
      </c>
      <c r="H328" s="124">
        <v>5106</v>
      </c>
      <c r="I328" s="157">
        <v>93069</v>
      </c>
      <c r="J328" s="48">
        <v>2.3999999999999998E-3</v>
      </c>
      <c r="K328" s="49">
        <v>223</v>
      </c>
      <c r="L328" s="50">
        <v>92846</v>
      </c>
      <c r="M328" s="158">
        <v>13960</v>
      </c>
      <c r="N328" s="149">
        <v>127106</v>
      </c>
      <c r="O328" s="51">
        <v>35780</v>
      </c>
      <c r="P328" s="51">
        <v>91326</v>
      </c>
      <c r="Q328" s="51">
        <v>45663</v>
      </c>
      <c r="R328" s="51">
        <v>19066</v>
      </c>
      <c r="S328" s="139">
        <v>126801</v>
      </c>
    </row>
    <row r="329" spans="1:19">
      <c r="A329" s="41" t="s">
        <v>683</v>
      </c>
      <c r="B329" s="42" t="s">
        <v>710</v>
      </c>
      <c r="C329" s="107" t="s">
        <v>711</v>
      </c>
      <c r="D329" s="123">
        <v>16339</v>
      </c>
      <c r="E329" s="44">
        <v>2.3999999999999998E-3</v>
      </c>
      <c r="F329" s="45">
        <v>39</v>
      </c>
      <c r="G329" s="46">
        <v>16300</v>
      </c>
      <c r="H329" s="124">
        <v>2451</v>
      </c>
      <c r="I329" s="157">
        <v>44677</v>
      </c>
      <c r="J329" s="48">
        <v>2.3999999999999998E-3</v>
      </c>
      <c r="K329" s="49">
        <v>107</v>
      </c>
      <c r="L329" s="50">
        <v>44570</v>
      </c>
      <c r="M329" s="158">
        <v>6702</v>
      </c>
      <c r="N329" s="149">
        <v>61016</v>
      </c>
      <c r="O329" s="51">
        <v>15739</v>
      </c>
      <c r="P329" s="51">
        <v>45277</v>
      </c>
      <c r="Q329" s="51">
        <v>22639</v>
      </c>
      <c r="R329" s="51">
        <v>9153</v>
      </c>
      <c r="S329" s="139">
        <v>60870</v>
      </c>
    </row>
    <row r="330" spans="1:19">
      <c r="A330" s="41" t="s">
        <v>683</v>
      </c>
      <c r="B330" s="42" t="s">
        <v>712</v>
      </c>
      <c r="C330" s="107" t="s">
        <v>713</v>
      </c>
      <c r="D330" s="123">
        <v>10892</v>
      </c>
      <c r="E330" s="44">
        <v>2.3999999999999998E-3</v>
      </c>
      <c r="F330" s="45">
        <v>26</v>
      </c>
      <c r="G330" s="46">
        <v>10866</v>
      </c>
      <c r="H330" s="124">
        <v>1634</v>
      </c>
      <c r="I330" s="157">
        <v>29782</v>
      </c>
      <c r="J330" s="48">
        <v>2.3999999999999998E-3</v>
      </c>
      <c r="K330" s="49">
        <v>71</v>
      </c>
      <c r="L330" s="50">
        <v>29711</v>
      </c>
      <c r="M330" s="158">
        <v>4467</v>
      </c>
      <c r="N330" s="149">
        <v>40674</v>
      </c>
      <c r="O330" s="51">
        <v>11319</v>
      </c>
      <c r="P330" s="51">
        <v>29355</v>
      </c>
      <c r="Q330" s="51">
        <v>14678</v>
      </c>
      <c r="R330" s="51">
        <v>6101</v>
      </c>
      <c r="S330" s="139">
        <v>40577</v>
      </c>
    </row>
    <row r="331" spans="1:19">
      <c r="A331" s="80" t="s">
        <v>683</v>
      </c>
      <c r="B331" s="81" t="s">
        <v>714</v>
      </c>
      <c r="C331" s="111" t="s">
        <v>715</v>
      </c>
      <c r="D331" s="123">
        <v>5174</v>
      </c>
      <c r="E331" s="44">
        <v>2.3999999999999998E-3</v>
      </c>
      <c r="F331" s="45">
        <v>12</v>
      </c>
      <c r="G331" s="46">
        <v>5162</v>
      </c>
      <c r="H331" s="124">
        <v>776</v>
      </c>
      <c r="I331" s="157">
        <v>14147</v>
      </c>
      <c r="J331" s="48">
        <v>2.3999999999999998E-3</v>
      </c>
      <c r="K331" s="49">
        <v>34</v>
      </c>
      <c r="L331" s="50">
        <v>14113</v>
      </c>
      <c r="M331" s="158">
        <v>2122</v>
      </c>
      <c r="N331" s="149">
        <v>19321</v>
      </c>
      <c r="O331" s="51">
        <v>5028</v>
      </c>
      <c r="P331" s="51">
        <v>14293</v>
      </c>
      <c r="Q331" s="51">
        <v>7147</v>
      </c>
      <c r="R331" s="51">
        <v>2898</v>
      </c>
      <c r="S331" s="139">
        <v>19275</v>
      </c>
    </row>
    <row r="332" spans="1:19">
      <c r="A332" s="41" t="s">
        <v>683</v>
      </c>
      <c r="B332" s="42" t="s">
        <v>716</v>
      </c>
      <c r="C332" s="107" t="s">
        <v>717</v>
      </c>
      <c r="D332" s="123">
        <v>70120</v>
      </c>
      <c r="E332" s="44">
        <v>2.3999999999999998E-3</v>
      </c>
      <c r="F332" s="45">
        <v>168</v>
      </c>
      <c r="G332" s="46">
        <v>69952</v>
      </c>
      <c r="H332" s="124">
        <v>10518</v>
      </c>
      <c r="I332" s="157">
        <v>191735</v>
      </c>
      <c r="J332" s="48">
        <v>2.3999999999999998E-3</v>
      </c>
      <c r="K332" s="49">
        <v>460</v>
      </c>
      <c r="L332" s="50">
        <v>191275</v>
      </c>
      <c r="M332" s="158">
        <v>28760</v>
      </c>
      <c r="N332" s="149">
        <v>261855</v>
      </c>
      <c r="O332" s="51">
        <v>72658</v>
      </c>
      <c r="P332" s="51">
        <v>189197</v>
      </c>
      <c r="Q332" s="51">
        <v>94599</v>
      </c>
      <c r="R332" s="51">
        <v>39278</v>
      </c>
      <c r="S332" s="139">
        <v>261227</v>
      </c>
    </row>
    <row r="333" spans="1:19">
      <c r="A333" s="41" t="s">
        <v>683</v>
      </c>
      <c r="B333" s="42" t="s">
        <v>718</v>
      </c>
      <c r="C333" s="107" t="s">
        <v>719</v>
      </c>
      <c r="D333" s="123">
        <v>10352</v>
      </c>
      <c r="E333" s="44">
        <v>2.3999999999999998E-3</v>
      </c>
      <c r="F333" s="45">
        <v>25</v>
      </c>
      <c r="G333" s="46">
        <v>10327</v>
      </c>
      <c r="H333" s="124">
        <v>1553</v>
      </c>
      <c r="I333" s="157">
        <v>28306</v>
      </c>
      <c r="J333" s="48">
        <v>2.3999999999999998E-3</v>
      </c>
      <c r="K333" s="49">
        <v>68</v>
      </c>
      <c r="L333" s="50">
        <v>28238</v>
      </c>
      <c r="M333" s="158">
        <v>4246</v>
      </c>
      <c r="N333" s="149">
        <v>38658</v>
      </c>
      <c r="O333" s="51">
        <v>9905</v>
      </c>
      <c r="P333" s="51">
        <v>28753</v>
      </c>
      <c r="Q333" s="51">
        <v>14377</v>
      </c>
      <c r="R333" s="51">
        <v>5799</v>
      </c>
      <c r="S333" s="139">
        <v>38565</v>
      </c>
    </row>
    <row r="334" spans="1:19" ht="15.75" thickBot="1">
      <c r="A334" s="60" t="s">
        <v>683</v>
      </c>
      <c r="B334" s="61" t="s">
        <v>720</v>
      </c>
      <c r="C334" s="109" t="s">
        <v>721</v>
      </c>
      <c r="D334" s="127">
        <v>21991</v>
      </c>
      <c r="E334" s="63">
        <v>2.3999999999999998E-3</v>
      </c>
      <c r="F334" s="64">
        <v>53</v>
      </c>
      <c r="G334" s="65">
        <v>21938</v>
      </c>
      <c r="H334" s="128">
        <v>3299</v>
      </c>
      <c r="I334" s="161">
        <v>60132</v>
      </c>
      <c r="J334" s="67">
        <v>2.3999999999999998E-3</v>
      </c>
      <c r="K334" s="68">
        <v>144</v>
      </c>
      <c r="L334" s="69">
        <v>59988</v>
      </c>
      <c r="M334" s="162">
        <v>9020</v>
      </c>
      <c r="N334" s="150">
        <v>82123</v>
      </c>
      <c r="O334" s="70">
        <v>21461</v>
      </c>
      <c r="P334" s="70">
        <v>60662</v>
      </c>
      <c r="Q334" s="70">
        <v>30331</v>
      </c>
      <c r="R334" s="70">
        <v>12319</v>
      </c>
      <c r="S334" s="140">
        <v>81926</v>
      </c>
    </row>
    <row r="335" spans="1:19">
      <c r="A335" s="41" t="s">
        <v>722</v>
      </c>
      <c r="B335" s="42" t="s">
        <v>723</v>
      </c>
      <c r="C335" s="107" t="s">
        <v>724</v>
      </c>
      <c r="D335" s="123">
        <v>62039</v>
      </c>
      <c r="E335" s="44">
        <v>9.9000000000000008E-3</v>
      </c>
      <c r="F335" s="45">
        <v>614</v>
      </c>
      <c r="G335" s="46">
        <v>61425</v>
      </c>
      <c r="H335" s="124">
        <v>9306</v>
      </c>
      <c r="I335" s="157">
        <v>169634</v>
      </c>
      <c r="J335" s="48">
        <v>9.9000000000000008E-3</v>
      </c>
      <c r="K335" s="49">
        <v>1679</v>
      </c>
      <c r="L335" s="50">
        <v>167955</v>
      </c>
      <c r="M335" s="158">
        <v>25445</v>
      </c>
      <c r="N335" s="149">
        <v>231673</v>
      </c>
      <c r="O335" s="51">
        <v>60679</v>
      </c>
      <c r="P335" s="51">
        <v>170994</v>
      </c>
      <c r="Q335" s="51">
        <v>85497</v>
      </c>
      <c r="R335" s="51">
        <v>34751</v>
      </c>
      <c r="S335" s="139">
        <v>229380</v>
      </c>
    </row>
    <row r="336" spans="1:19">
      <c r="A336" s="41" t="s">
        <v>722</v>
      </c>
      <c r="B336" s="42" t="s">
        <v>725</v>
      </c>
      <c r="C336" s="107" t="s">
        <v>726</v>
      </c>
      <c r="D336" s="123">
        <v>40592</v>
      </c>
      <c r="E336" s="44">
        <v>9.9000000000000008E-3</v>
      </c>
      <c r="F336" s="45">
        <v>402</v>
      </c>
      <c r="G336" s="46">
        <v>40190</v>
      </c>
      <c r="H336" s="124">
        <v>6089</v>
      </c>
      <c r="I336" s="157">
        <v>110993</v>
      </c>
      <c r="J336" s="48">
        <v>9.9000000000000008E-3</v>
      </c>
      <c r="K336" s="49">
        <v>1099</v>
      </c>
      <c r="L336" s="50">
        <v>109894</v>
      </c>
      <c r="M336" s="158">
        <v>16649</v>
      </c>
      <c r="N336" s="149">
        <v>151585</v>
      </c>
      <c r="O336" s="51">
        <v>38948</v>
      </c>
      <c r="P336" s="51">
        <v>112637</v>
      </c>
      <c r="Q336" s="51">
        <v>56319</v>
      </c>
      <c r="R336" s="51">
        <v>22738</v>
      </c>
      <c r="S336" s="139">
        <v>150084</v>
      </c>
    </row>
    <row r="337" spans="1:19">
      <c r="A337" s="41" t="s">
        <v>722</v>
      </c>
      <c r="B337" s="42" t="s">
        <v>727</v>
      </c>
      <c r="C337" s="107" t="s">
        <v>728</v>
      </c>
      <c r="D337" s="123">
        <v>265890</v>
      </c>
      <c r="E337" s="44">
        <v>9.9000000000000008E-3</v>
      </c>
      <c r="F337" s="45">
        <v>2632</v>
      </c>
      <c r="G337" s="46">
        <v>263258</v>
      </c>
      <c r="H337" s="124">
        <v>39884</v>
      </c>
      <c r="I337" s="157">
        <v>727039</v>
      </c>
      <c r="J337" s="48">
        <v>9.9000000000000008E-3</v>
      </c>
      <c r="K337" s="49">
        <v>7198</v>
      </c>
      <c r="L337" s="50">
        <v>719841</v>
      </c>
      <c r="M337" s="158">
        <v>109056</v>
      </c>
      <c r="N337" s="149">
        <v>992929</v>
      </c>
      <c r="O337" s="51">
        <v>267570</v>
      </c>
      <c r="P337" s="51">
        <v>725359</v>
      </c>
      <c r="Q337" s="51">
        <v>362680</v>
      </c>
      <c r="R337" s="51">
        <v>148940</v>
      </c>
      <c r="S337" s="139">
        <v>983099</v>
      </c>
    </row>
    <row r="338" spans="1:19">
      <c r="A338" s="41" t="s">
        <v>722</v>
      </c>
      <c r="B338" s="42" t="s">
        <v>729</v>
      </c>
      <c r="C338" s="107" t="s">
        <v>730</v>
      </c>
      <c r="D338" s="123">
        <v>34892</v>
      </c>
      <c r="E338" s="44">
        <v>9.9000000000000008E-3</v>
      </c>
      <c r="F338" s="45">
        <v>345</v>
      </c>
      <c r="G338" s="46">
        <v>34547</v>
      </c>
      <c r="H338" s="124">
        <v>5234</v>
      </c>
      <c r="I338" s="157">
        <v>95409</v>
      </c>
      <c r="J338" s="48">
        <v>9.9000000000000008E-3</v>
      </c>
      <c r="K338" s="49">
        <v>945</v>
      </c>
      <c r="L338" s="50">
        <v>94464</v>
      </c>
      <c r="M338" s="158">
        <v>14311</v>
      </c>
      <c r="N338" s="149">
        <v>130301</v>
      </c>
      <c r="O338" s="51">
        <v>36516</v>
      </c>
      <c r="P338" s="51">
        <v>93785</v>
      </c>
      <c r="Q338" s="51">
        <v>46893</v>
      </c>
      <c r="R338" s="51">
        <v>19545</v>
      </c>
      <c r="S338" s="139">
        <v>129011</v>
      </c>
    </row>
    <row r="339" spans="1:19">
      <c r="A339" s="41" t="s">
        <v>722</v>
      </c>
      <c r="B339" s="42" t="s">
        <v>731</v>
      </c>
      <c r="C339" s="107" t="s">
        <v>732</v>
      </c>
      <c r="D339" s="123">
        <v>84133</v>
      </c>
      <c r="E339" s="44">
        <v>9.9000000000000008E-3</v>
      </c>
      <c r="F339" s="45">
        <v>833</v>
      </c>
      <c r="G339" s="46">
        <v>83300</v>
      </c>
      <c r="H339" s="124">
        <v>12620</v>
      </c>
      <c r="I339" s="157">
        <v>230051</v>
      </c>
      <c r="J339" s="48">
        <v>9.9000000000000008E-3</v>
      </c>
      <c r="K339" s="49">
        <v>2278</v>
      </c>
      <c r="L339" s="50">
        <v>227773</v>
      </c>
      <c r="M339" s="158">
        <v>34508</v>
      </c>
      <c r="N339" s="149">
        <v>314184</v>
      </c>
      <c r="O339" s="51">
        <v>83383</v>
      </c>
      <c r="P339" s="51">
        <v>230801</v>
      </c>
      <c r="Q339" s="51">
        <v>115401</v>
      </c>
      <c r="R339" s="51">
        <v>47128</v>
      </c>
      <c r="S339" s="139">
        <v>311073</v>
      </c>
    </row>
    <row r="340" spans="1:19">
      <c r="A340" s="41" t="s">
        <v>722</v>
      </c>
      <c r="B340" s="42" t="s">
        <v>733</v>
      </c>
      <c r="C340" s="107" t="s">
        <v>734</v>
      </c>
      <c r="D340" s="123">
        <v>47568</v>
      </c>
      <c r="E340" s="44">
        <v>9.9000000000000008E-3</v>
      </c>
      <c r="F340" s="45">
        <v>471</v>
      </c>
      <c r="G340" s="46">
        <v>47097</v>
      </c>
      <c r="H340" s="124">
        <v>7135</v>
      </c>
      <c r="I340" s="157">
        <v>130067</v>
      </c>
      <c r="J340" s="48">
        <v>9.9000000000000008E-3</v>
      </c>
      <c r="K340" s="49">
        <v>1288</v>
      </c>
      <c r="L340" s="50">
        <v>128779</v>
      </c>
      <c r="M340" s="158">
        <v>19510</v>
      </c>
      <c r="N340" s="149">
        <v>177635</v>
      </c>
      <c r="O340" s="51">
        <v>47727</v>
      </c>
      <c r="P340" s="51">
        <v>129908</v>
      </c>
      <c r="Q340" s="51">
        <v>64954</v>
      </c>
      <c r="R340" s="51">
        <v>26645</v>
      </c>
      <c r="S340" s="139">
        <v>175876</v>
      </c>
    </row>
    <row r="341" spans="1:19">
      <c r="A341" s="41" t="s">
        <v>722</v>
      </c>
      <c r="B341" s="42" t="s">
        <v>735</v>
      </c>
      <c r="C341" s="107" t="s">
        <v>736</v>
      </c>
      <c r="D341" s="123">
        <v>82584</v>
      </c>
      <c r="E341" s="44">
        <v>9.9000000000000008E-3</v>
      </c>
      <c r="F341" s="45">
        <v>818</v>
      </c>
      <c r="G341" s="46">
        <v>81766</v>
      </c>
      <c r="H341" s="124">
        <v>12388</v>
      </c>
      <c r="I341" s="157">
        <v>225812</v>
      </c>
      <c r="J341" s="48">
        <v>9.9000000000000008E-3</v>
      </c>
      <c r="K341" s="49">
        <v>2236</v>
      </c>
      <c r="L341" s="50">
        <v>223576</v>
      </c>
      <c r="M341" s="158">
        <v>33872</v>
      </c>
      <c r="N341" s="149">
        <v>308396</v>
      </c>
      <c r="O341" s="51">
        <v>85782</v>
      </c>
      <c r="P341" s="51">
        <v>222614</v>
      </c>
      <c r="Q341" s="51">
        <v>111307</v>
      </c>
      <c r="R341" s="51">
        <v>46260</v>
      </c>
      <c r="S341" s="139">
        <v>305342</v>
      </c>
    </row>
    <row r="342" spans="1:19">
      <c r="A342" s="41" t="s">
        <v>722</v>
      </c>
      <c r="B342" s="42" t="s">
        <v>737</v>
      </c>
      <c r="C342" s="107" t="s">
        <v>738</v>
      </c>
      <c r="D342" s="123">
        <v>25997</v>
      </c>
      <c r="E342" s="44">
        <v>9.9000000000000008E-3</v>
      </c>
      <c r="F342" s="45">
        <v>257</v>
      </c>
      <c r="G342" s="46">
        <v>25740</v>
      </c>
      <c r="H342" s="124">
        <v>3900</v>
      </c>
      <c r="I342" s="157">
        <v>71086</v>
      </c>
      <c r="J342" s="48">
        <v>9.9000000000000008E-3</v>
      </c>
      <c r="K342" s="49">
        <v>704</v>
      </c>
      <c r="L342" s="50">
        <v>70382</v>
      </c>
      <c r="M342" s="158">
        <v>10663</v>
      </c>
      <c r="N342" s="149">
        <v>97083</v>
      </c>
      <c r="O342" s="51">
        <v>24895</v>
      </c>
      <c r="P342" s="51">
        <v>72188</v>
      </c>
      <c r="Q342" s="51">
        <v>36094</v>
      </c>
      <c r="R342" s="51">
        <v>14563</v>
      </c>
      <c r="S342" s="139">
        <v>96122</v>
      </c>
    </row>
    <row r="343" spans="1:19">
      <c r="A343" s="41" t="s">
        <v>722</v>
      </c>
      <c r="B343" s="42" t="s">
        <v>739</v>
      </c>
      <c r="C343" s="107" t="s">
        <v>740</v>
      </c>
      <c r="D343" s="123">
        <v>62956</v>
      </c>
      <c r="E343" s="44">
        <v>9.9000000000000008E-3</v>
      </c>
      <c r="F343" s="45">
        <v>623</v>
      </c>
      <c r="G343" s="46">
        <v>62333</v>
      </c>
      <c r="H343" s="124">
        <v>9443</v>
      </c>
      <c r="I343" s="157">
        <v>172143</v>
      </c>
      <c r="J343" s="48">
        <v>9.9000000000000008E-3</v>
      </c>
      <c r="K343" s="49">
        <v>1704</v>
      </c>
      <c r="L343" s="50">
        <v>170439</v>
      </c>
      <c r="M343" s="158">
        <v>25821</v>
      </c>
      <c r="N343" s="149">
        <v>235099</v>
      </c>
      <c r="O343" s="51">
        <v>63252</v>
      </c>
      <c r="P343" s="51">
        <v>171847</v>
      </c>
      <c r="Q343" s="51">
        <v>85924</v>
      </c>
      <c r="R343" s="51">
        <v>35264</v>
      </c>
      <c r="S343" s="139">
        <v>232772</v>
      </c>
    </row>
    <row r="344" spans="1:19">
      <c r="A344" s="41" t="s">
        <v>722</v>
      </c>
      <c r="B344" s="42" t="s">
        <v>741</v>
      </c>
      <c r="C344" s="107" t="s">
        <v>742</v>
      </c>
      <c r="D344" s="123">
        <v>104029</v>
      </c>
      <c r="E344" s="44">
        <v>9.9000000000000008E-3</v>
      </c>
      <c r="F344" s="45">
        <v>1030</v>
      </c>
      <c r="G344" s="46">
        <v>102999</v>
      </c>
      <c r="H344" s="124">
        <v>15604</v>
      </c>
      <c r="I344" s="157">
        <v>284451</v>
      </c>
      <c r="J344" s="48">
        <v>9.9000000000000008E-3</v>
      </c>
      <c r="K344" s="49">
        <v>2816</v>
      </c>
      <c r="L344" s="50">
        <v>281635</v>
      </c>
      <c r="M344" s="158">
        <v>42668</v>
      </c>
      <c r="N344" s="149">
        <v>388480</v>
      </c>
      <c r="O344" s="51">
        <v>106735</v>
      </c>
      <c r="P344" s="51">
        <v>281745</v>
      </c>
      <c r="Q344" s="51">
        <v>140873</v>
      </c>
      <c r="R344" s="51">
        <v>58272</v>
      </c>
      <c r="S344" s="139">
        <v>384634</v>
      </c>
    </row>
    <row r="345" spans="1:19">
      <c r="A345" s="41" t="s">
        <v>722</v>
      </c>
      <c r="B345" s="42" t="s">
        <v>743</v>
      </c>
      <c r="C345" s="107" t="s">
        <v>744</v>
      </c>
      <c r="D345" s="123">
        <v>147920</v>
      </c>
      <c r="E345" s="44">
        <v>9.9000000000000008E-3</v>
      </c>
      <c r="F345" s="45">
        <v>1464</v>
      </c>
      <c r="G345" s="46">
        <v>146456</v>
      </c>
      <c r="H345" s="124">
        <v>22188</v>
      </c>
      <c r="I345" s="157">
        <v>404468</v>
      </c>
      <c r="J345" s="48">
        <v>9.9000000000000008E-3</v>
      </c>
      <c r="K345" s="49">
        <v>4004</v>
      </c>
      <c r="L345" s="50">
        <v>400464</v>
      </c>
      <c r="M345" s="158">
        <v>60670</v>
      </c>
      <c r="N345" s="149">
        <v>552388</v>
      </c>
      <c r="O345" s="51">
        <v>144397</v>
      </c>
      <c r="P345" s="51">
        <v>407991</v>
      </c>
      <c r="Q345" s="51">
        <v>203996</v>
      </c>
      <c r="R345" s="51">
        <v>82858</v>
      </c>
      <c r="S345" s="139">
        <v>546920</v>
      </c>
    </row>
    <row r="346" spans="1:19">
      <c r="A346" s="41" t="s">
        <v>722</v>
      </c>
      <c r="B346" s="42" t="s">
        <v>745</v>
      </c>
      <c r="C346" s="107" t="s">
        <v>746</v>
      </c>
      <c r="D346" s="123">
        <v>11634</v>
      </c>
      <c r="E346" s="44">
        <v>9.9000000000000008E-3</v>
      </c>
      <c r="F346" s="45">
        <v>115</v>
      </c>
      <c r="G346" s="46">
        <v>11519</v>
      </c>
      <c r="H346" s="124">
        <v>1745</v>
      </c>
      <c r="I346" s="157">
        <v>31811</v>
      </c>
      <c r="J346" s="48">
        <v>9.9000000000000008E-3</v>
      </c>
      <c r="K346" s="49">
        <v>315</v>
      </c>
      <c r="L346" s="50">
        <v>31496</v>
      </c>
      <c r="M346" s="158">
        <v>4772</v>
      </c>
      <c r="N346" s="149">
        <v>43445</v>
      </c>
      <c r="O346" s="51">
        <v>11265</v>
      </c>
      <c r="P346" s="51">
        <v>32180</v>
      </c>
      <c r="Q346" s="51">
        <v>16090</v>
      </c>
      <c r="R346" s="51">
        <v>6517</v>
      </c>
      <c r="S346" s="139">
        <v>43015</v>
      </c>
    </row>
    <row r="347" spans="1:19">
      <c r="A347" s="41" t="s">
        <v>722</v>
      </c>
      <c r="B347" s="42" t="s">
        <v>747</v>
      </c>
      <c r="C347" s="107" t="s">
        <v>748</v>
      </c>
      <c r="D347" s="123">
        <v>22024</v>
      </c>
      <c r="E347" s="44">
        <v>9.9000000000000008E-3</v>
      </c>
      <c r="F347" s="45">
        <v>218</v>
      </c>
      <c r="G347" s="46">
        <v>21806</v>
      </c>
      <c r="H347" s="124">
        <v>3304</v>
      </c>
      <c r="I347" s="157">
        <v>60224</v>
      </c>
      <c r="J347" s="48">
        <v>9.9000000000000008E-3</v>
      </c>
      <c r="K347" s="49">
        <v>596</v>
      </c>
      <c r="L347" s="50">
        <v>59628</v>
      </c>
      <c r="M347" s="158">
        <v>9034</v>
      </c>
      <c r="N347" s="149">
        <v>82248</v>
      </c>
      <c r="O347" s="51">
        <v>21966</v>
      </c>
      <c r="P347" s="51">
        <v>60282</v>
      </c>
      <c r="Q347" s="51">
        <v>30141</v>
      </c>
      <c r="R347" s="51">
        <v>12338</v>
      </c>
      <c r="S347" s="139">
        <v>81434</v>
      </c>
    </row>
    <row r="348" spans="1:19">
      <c r="A348" s="41" t="s">
        <v>722</v>
      </c>
      <c r="B348" s="42" t="s">
        <v>749</v>
      </c>
      <c r="C348" s="107" t="s">
        <v>750</v>
      </c>
      <c r="D348" s="123">
        <v>128399</v>
      </c>
      <c r="E348" s="44">
        <v>9.9000000000000008E-3</v>
      </c>
      <c r="F348" s="45">
        <v>1271</v>
      </c>
      <c r="G348" s="46">
        <v>127128</v>
      </c>
      <c r="H348" s="124">
        <v>19260</v>
      </c>
      <c r="I348" s="157">
        <v>351090</v>
      </c>
      <c r="J348" s="48">
        <v>9.9000000000000008E-3</v>
      </c>
      <c r="K348" s="49">
        <v>3476</v>
      </c>
      <c r="L348" s="50">
        <v>347614</v>
      </c>
      <c r="M348" s="158">
        <v>52664</v>
      </c>
      <c r="N348" s="149">
        <v>479489</v>
      </c>
      <c r="O348" s="51">
        <v>130002</v>
      </c>
      <c r="P348" s="51">
        <v>349487</v>
      </c>
      <c r="Q348" s="51">
        <v>174744</v>
      </c>
      <c r="R348" s="51">
        <v>71924</v>
      </c>
      <c r="S348" s="139">
        <v>474742</v>
      </c>
    </row>
    <row r="349" spans="1:19">
      <c r="A349" s="41" t="s">
        <v>722</v>
      </c>
      <c r="B349" s="42" t="s">
        <v>751</v>
      </c>
      <c r="C349" s="107" t="s">
        <v>752</v>
      </c>
      <c r="D349" s="123">
        <v>16816</v>
      </c>
      <c r="E349" s="44">
        <v>9.9000000000000008E-3</v>
      </c>
      <c r="F349" s="45">
        <v>166</v>
      </c>
      <c r="G349" s="46">
        <v>16650</v>
      </c>
      <c r="H349" s="124">
        <v>2522</v>
      </c>
      <c r="I349" s="157">
        <v>45982</v>
      </c>
      <c r="J349" s="48">
        <v>9.9000000000000008E-3</v>
      </c>
      <c r="K349" s="49">
        <v>455</v>
      </c>
      <c r="L349" s="50">
        <v>45527</v>
      </c>
      <c r="M349" s="158">
        <v>6897</v>
      </c>
      <c r="N349" s="149">
        <v>62798</v>
      </c>
      <c r="O349" s="51">
        <v>16260</v>
      </c>
      <c r="P349" s="51">
        <v>46538</v>
      </c>
      <c r="Q349" s="51">
        <v>23269</v>
      </c>
      <c r="R349" s="51">
        <v>9419</v>
      </c>
      <c r="S349" s="139">
        <v>62177</v>
      </c>
    </row>
    <row r="350" spans="1:19">
      <c r="A350" s="80" t="s">
        <v>722</v>
      </c>
      <c r="B350" s="81" t="s">
        <v>753</v>
      </c>
      <c r="C350" s="111" t="s">
        <v>754</v>
      </c>
      <c r="D350" s="123">
        <v>5148</v>
      </c>
      <c r="E350" s="44">
        <v>9.9000000000000008E-3</v>
      </c>
      <c r="F350" s="45">
        <v>51</v>
      </c>
      <c r="G350" s="46">
        <v>5097</v>
      </c>
      <c r="H350" s="124">
        <v>772</v>
      </c>
      <c r="I350" s="157">
        <v>14078</v>
      </c>
      <c r="J350" s="48">
        <v>9.9000000000000008E-3</v>
      </c>
      <c r="K350" s="49">
        <v>139</v>
      </c>
      <c r="L350" s="50">
        <v>13939</v>
      </c>
      <c r="M350" s="158">
        <v>2112</v>
      </c>
      <c r="N350" s="149">
        <v>19226</v>
      </c>
      <c r="O350" s="51">
        <v>4763</v>
      </c>
      <c r="P350" s="51">
        <v>14463</v>
      </c>
      <c r="Q350" s="51">
        <v>7232</v>
      </c>
      <c r="R350" s="51">
        <v>2884</v>
      </c>
      <c r="S350" s="139">
        <v>19036</v>
      </c>
    </row>
    <row r="351" spans="1:19">
      <c r="A351" s="41" t="s">
        <v>722</v>
      </c>
      <c r="B351" s="42" t="s">
        <v>755</v>
      </c>
      <c r="C351" s="107" t="s">
        <v>756</v>
      </c>
      <c r="D351" s="123">
        <v>44456</v>
      </c>
      <c r="E351" s="44">
        <v>9.9000000000000008E-3</v>
      </c>
      <c r="F351" s="45">
        <v>440</v>
      </c>
      <c r="G351" s="46">
        <v>44016</v>
      </c>
      <c r="H351" s="124">
        <v>6668</v>
      </c>
      <c r="I351" s="157">
        <v>121559</v>
      </c>
      <c r="J351" s="48">
        <v>9.9000000000000008E-3</v>
      </c>
      <c r="K351" s="49">
        <v>1203</v>
      </c>
      <c r="L351" s="50">
        <v>120356</v>
      </c>
      <c r="M351" s="158">
        <v>18234</v>
      </c>
      <c r="N351" s="149">
        <v>166015</v>
      </c>
      <c r="O351" s="51">
        <v>44437</v>
      </c>
      <c r="P351" s="51">
        <v>121578</v>
      </c>
      <c r="Q351" s="51">
        <v>60789</v>
      </c>
      <c r="R351" s="51">
        <v>24902</v>
      </c>
      <c r="S351" s="139">
        <v>164372</v>
      </c>
    </row>
    <row r="352" spans="1:19">
      <c r="A352" s="41" t="s">
        <v>722</v>
      </c>
      <c r="B352" s="42" t="s">
        <v>757</v>
      </c>
      <c r="C352" s="107" t="s">
        <v>758</v>
      </c>
      <c r="D352" s="123">
        <v>18179</v>
      </c>
      <c r="E352" s="44">
        <v>9.9000000000000008E-3</v>
      </c>
      <c r="F352" s="45">
        <v>180</v>
      </c>
      <c r="G352" s="46">
        <v>17999</v>
      </c>
      <c r="H352" s="124">
        <v>2727</v>
      </c>
      <c r="I352" s="157">
        <v>49707</v>
      </c>
      <c r="J352" s="48">
        <v>9.9000000000000008E-3</v>
      </c>
      <c r="K352" s="49">
        <v>492</v>
      </c>
      <c r="L352" s="50">
        <v>49215</v>
      </c>
      <c r="M352" s="158">
        <v>7456</v>
      </c>
      <c r="N352" s="149">
        <v>67886</v>
      </c>
      <c r="O352" s="51">
        <v>17945</v>
      </c>
      <c r="P352" s="51">
        <v>49941</v>
      </c>
      <c r="Q352" s="51">
        <v>24971</v>
      </c>
      <c r="R352" s="51">
        <v>10183</v>
      </c>
      <c r="S352" s="139">
        <v>67214</v>
      </c>
    </row>
    <row r="353" spans="1:19">
      <c r="A353" s="41" t="s">
        <v>722</v>
      </c>
      <c r="B353" s="42" t="s">
        <v>759</v>
      </c>
      <c r="C353" s="107" t="s">
        <v>760</v>
      </c>
      <c r="D353" s="123">
        <v>12092</v>
      </c>
      <c r="E353" s="44">
        <v>9.9000000000000008E-3</v>
      </c>
      <c r="F353" s="45">
        <v>120</v>
      </c>
      <c r="G353" s="46">
        <v>11972</v>
      </c>
      <c r="H353" s="124">
        <v>1814</v>
      </c>
      <c r="I353" s="157">
        <v>33065</v>
      </c>
      <c r="J353" s="48">
        <v>9.9000000000000008E-3</v>
      </c>
      <c r="K353" s="49">
        <v>327</v>
      </c>
      <c r="L353" s="50">
        <v>32738</v>
      </c>
      <c r="M353" s="158">
        <v>4960</v>
      </c>
      <c r="N353" s="149">
        <v>45157</v>
      </c>
      <c r="O353" s="51">
        <v>12754</v>
      </c>
      <c r="P353" s="51">
        <v>32403</v>
      </c>
      <c r="Q353" s="51">
        <v>16202</v>
      </c>
      <c r="R353" s="51">
        <v>6774</v>
      </c>
      <c r="S353" s="139">
        <v>44710</v>
      </c>
    </row>
    <row r="354" spans="1:19">
      <c r="A354" s="41" t="s">
        <v>722</v>
      </c>
      <c r="B354" s="42" t="s">
        <v>761</v>
      </c>
      <c r="C354" s="107" t="s">
        <v>762</v>
      </c>
      <c r="D354" s="123">
        <v>11918</v>
      </c>
      <c r="E354" s="44">
        <v>9.9000000000000008E-3</v>
      </c>
      <c r="F354" s="45">
        <v>118</v>
      </c>
      <c r="G354" s="46">
        <v>11800</v>
      </c>
      <c r="H354" s="124">
        <v>1788</v>
      </c>
      <c r="I354" s="157">
        <v>32587</v>
      </c>
      <c r="J354" s="48">
        <v>9.9000000000000008E-3</v>
      </c>
      <c r="K354" s="49">
        <v>323</v>
      </c>
      <c r="L354" s="50">
        <v>32264</v>
      </c>
      <c r="M354" s="158">
        <v>4888</v>
      </c>
      <c r="N354" s="149">
        <v>44505</v>
      </c>
      <c r="O354" s="51">
        <v>12157</v>
      </c>
      <c r="P354" s="51">
        <v>32348</v>
      </c>
      <c r="Q354" s="51">
        <v>16174</v>
      </c>
      <c r="R354" s="51">
        <v>6676</v>
      </c>
      <c r="S354" s="139">
        <v>44064</v>
      </c>
    </row>
    <row r="355" spans="1:19">
      <c r="A355" s="41" t="s">
        <v>722</v>
      </c>
      <c r="B355" s="42" t="s">
        <v>763</v>
      </c>
      <c r="C355" s="107" t="s">
        <v>764</v>
      </c>
      <c r="D355" s="123">
        <v>116449</v>
      </c>
      <c r="E355" s="44">
        <v>9.9000000000000008E-3</v>
      </c>
      <c r="F355" s="45">
        <v>1153</v>
      </c>
      <c r="G355" s="46">
        <v>115296</v>
      </c>
      <c r="H355" s="124">
        <v>17467</v>
      </c>
      <c r="I355" s="157">
        <v>318411</v>
      </c>
      <c r="J355" s="48">
        <v>9.9000000000000008E-3</v>
      </c>
      <c r="K355" s="49">
        <v>3152</v>
      </c>
      <c r="L355" s="50">
        <v>315259</v>
      </c>
      <c r="M355" s="158">
        <v>47762</v>
      </c>
      <c r="N355" s="149">
        <v>434860</v>
      </c>
      <c r="O355" s="51">
        <v>115522</v>
      </c>
      <c r="P355" s="51">
        <v>319338</v>
      </c>
      <c r="Q355" s="51">
        <v>159669</v>
      </c>
      <c r="R355" s="51">
        <v>65229</v>
      </c>
      <c r="S355" s="139">
        <v>430555</v>
      </c>
    </row>
    <row r="356" spans="1:19">
      <c r="A356" s="41" t="s">
        <v>722</v>
      </c>
      <c r="B356" s="42" t="s">
        <v>765</v>
      </c>
      <c r="C356" s="107" t="s">
        <v>766</v>
      </c>
      <c r="D356" s="123">
        <v>29650</v>
      </c>
      <c r="E356" s="44">
        <v>9.9000000000000008E-3</v>
      </c>
      <c r="F356" s="45">
        <v>294</v>
      </c>
      <c r="G356" s="46">
        <v>29356</v>
      </c>
      <c r="H356" s="124">
        <v>4448</v>
      </c>
      <c r="I356" s="157">
        <v>81073</v>
      </c>
      <c r="J356" s="48">
        <v>9.9000000000000008E-3</v>
      </c>
      <c r="K356" s="49">
        <v>803</v>
      </c>
      <c r="L356" s="50">
        <v>80270</v>
      </c>
      <c r="M356" s="158">
        <v>12161</v>
      </c>
      <c r="N356" s="149">
        <v>110723</v>
      </c>
      <c r="O356" s="51">
        <v>30308</v>
      </c>
      <c r="P356" s="51">
        <v>80415</v>
      </c>
      <c r="Q356" s="51">
        <v>40208</v>
      </c>
      <c r="R356" s="51">
        <v>16609</v>
      </c>
      <c r="S356" s="139">
        <v>109626</v>
      </c>
    </row>
    <row r="357" spans="1:19">
      <c r="A357" s="41" t="s">
        <v>722</v>
      </c>
      <c r="B357" s="42" t="s">
        <v>767</v>
      </c>
      <c r="C357" s="107" t="s">
        <v>768</v>
      </c>
      <c r="D357" s="123">
        <v>29264</v>
      </c>
      <c r="E357" s="44">
        <v>9.9000000000000008E-3</v>
      </c>
      <c r="F357" s="45">
        <v>290</v>
      </c>
      <c r="G357" s="46">
        <v>28974</v>
      </c>
      <c r="H357" s="124">
        <v>4390</v>
      </c>
      <c r="I357" s="157">
        <v>80018</v>
      </c>
      <c r="J357" s="48">
        <v>9.9000000000000008E-3</v>
      </c>
      <c r="K357" s="49">
        <v>792</v>
      </c>
      <c r="L357" s="50">
        <v>79226</v>
      </c>
      <c r="M357" s="158">
        <v>12003</v>
      </c>
      <c r="N357" s="149">
        <v>109282</v>
      </c>
      <c r="O357" s="51">
        <v>30973</v>
      </c>
      <c r="P357" s="51">
        <v>78309</v>
      </c>
      <c r="Q357" s="51">
        <v>39155</v>
      </c>
      <c r="R357" s="51">
        <v>16393</v>
      </c>
      <c r="S357" s="139">
        <v>108200</v>
      </c>
    </row>
    <row r="358" spans="1:19">
      <c r="A358" s="41" t="s">
        <v>722</v>
      </c>
      <c r="B358" s="42" t="s">
        <v>769</v>
      </c>
      <c r="C358" s="107" t="s">
        <v>770</v>
      </c>
      <c r="D358" s="123">
        <v>138980</v>
      </c>
      <c r="E358" s="44">
        <v>9.9000000000000008E-3</v>
      </c>
      <c r="F358" s="45">
        <v>1376</v>
      </c>
      <c r="G358" s="46">
        <v>137604</v>
      </c>
      <c r="H358" s="124">
        <v>20847</v>
      </c>
      <c r="I358" s="157">
        <v>380022</v>
      </c>
      <c r="J358" s="48">
        <v>9.9000000000000008E-3</v>
      </c>
      <c r="K358" s="49">
        <v>3762</v>
      </c>
      <c r="L358" s="50">
        <v>376260</v>
      </c>
      <c r="M358" s="158">
        <v>57003</v>
      </c>
      <c r="N358" s="149">
        <v>519002</v>
      </c>
      <c r="O358" s="51">
        <v>138133</v>
      </c>
      <c r="P358" s="51">
        <v>380869</v>
      </c>
      <c r="Q358" s="51">
        <v>190435</v>
      </c>
      <c r="R358" s="51">
        <v>77850</v>
      </c>
      <c r="S358" s="139">
        <v>513864</v>
      </c>
    </row>
    <row r="359" spans="1:19">
      <c r="A359" s="41" t="s">
        <v>722</v>
      </c>
      <c r="B359" s="42" t="s">
        <v>771</v>
      </c>
      <c r="C359" s="107" t="s">
        <v>772</v>
      </c>
      <c r="D359" s="123">
        <v>272352</v>
      </c>
      <c r="E359" s="44">
        <v>9.9000000000000008E-3</v>
      </c>
      <c r="F359" s="45">
        <v>2696</v>
      </c>
      <c r="G359" s="46">
        <v>269656</v>
      </c>
      <c r="H359" s="124">
        <v>40853</v>
      </c>
      <c r="I359" s="157">
        <v>744708</v>
      </c>
      <c r="J359" s="48">
        <v>9.9000000000000008E-3</v>
      </c>
      <c r="K359" s="49">
        <v>7373</v>
      </c>
      <c r="L359" s="50">
        <v>737335</v>
      </c>
      <c r="M359" s="158">
        <v>111706</v>
      </c>
      <c r="N359" s="149">
        <v>1017060</v>
      </c>
      <c r="O359" s="51">
        <v>259781</v>
      </c>
      <c r="P359" s="51">
        <v>757279</v>
      </c>
      <c r="Q359" s="51">
        <v>378640</v>
      </c>
      <c r="R359" s="51">
        <v>152559</v>
      </c>
      <c r="S359" s="139">
        <v>1006991</v>
      </c>
    </row>
    <row r="360" spans="1:19">
      <c r="A360" s="41" t="s">
        <v>722</v>
      </c>
      <c r="B360" s="42" t="s">
        <v>773</v>
      </c>
      <c r="C360" s="107" t="s">
        <v>774</v>
      </c>
      <c r="D360" s="123">
        <v>37295</v>
      </c>
      <c r="E360" s="44">
        <v>9.9000000000000008E-3</v>
      </c>
      <c r="F360" s="45">
        <v>369</v>
      </c>
      <c r="G360" s="46">
        <v>36926</v>
      </c>
      <c r="H360" s="124">
        <v>5594</v>
      </c>
      <c r="I360" s="157">
        <v>101976</v>
      </c>
      <c r="J360" s="48">
        <v>9.9000000000000008E-3</v>
      </c>
      <c r="K360" s="49">
        <v>1010</v>
      </c>
      <c r="L360" s="50">
        <v>100966</v>
      </c>
      <c r="M360" s="158">
        <v>15296</v>
      </c>
      <c r="N360" s="149">
        <v>139271</v>
      </c>
      <c r="O360" s="51">
        <v>35611</v>
      </c>
      <c r="P360" s="51">
        <v>103660</v>
      </c>
      <c r="Q360" s="51">
        <v>51830</v>
      </c>
      <c r="R360" s="51">
        <v>20890</v>
      </c>
      <c r="S360" s="139">
        <v>137892</v>
      </c>
    </row>
    <row r="361" spans="1:19">
      <c r="A361" s="41" t="s">
        <v>722</v>
      </c>
      <c r="B361" s="42" t="s">
        <v>775</v>
      </c>
      <c r="C361" s="107" t="s">
        <v>776</v>
      </c>
      <c r="D361" s="123">
        <v>13492</v>
      </c>
      <c r="E361" s="44">
        <v>9.9000000000000008E-3</v>
      </c>
      <c r="F361" s="45">
        <v>134</v>
      </c>
      <c r="G361" s="46">
        <v>13358</v>
      </c>
      <c r="H361" s="124">
        <v>2024</v>
      </c>
      <c r="I361" s="157">
        <v>36891</v>
      </c>
      <c r="J361" s="48">
        <v>9.9000000000000008E-3</v>
      </c>
      <c r="K361" s="49">
        <v>365</v>
      </c>
      <c r="L361" s="50">
        <v>36526</v>
      </c>
      <c r="M361" s="158">
        <v>5534</v>
      </c>
      <c r="N361" s="149">
        <v>50383</v>
      </c>
      <c r="O361" s="51">
        <v>13841</v>
      </c>
      <c r="P361" s="51">
        <v>36542</v>
      </c>
      <c r="Q361" s="51">
        <v>18271</v>
      </c>
      <c r="R361" s="51">
        <v>7558</v>
      </c>
      <c r="S361" s="139">
        <v>49884</v>
      </c>
    </row>
    <row r="362" spans="1:19">
      <c r="A362" s="41" t="s">
        <v>722</v>
      </c>
      <c r="B362" s="42" t="s">
        <v>777</v>
      </c>
      <c r="C362" s="107" t="s">
        <v>778</v>
      </c>
      <c r="D362" s="123">
        <v>30439</v>
      </c>
      <c r="E362" s="44">
        <v>9.9000000000000008E-3</v>
      </c>
      <c r="F362" s="45">
        <v>301</v>
      </c>
      <c r="G362" s="46">
        <v>30138</v>
      </c>
      <c r="H362" s="124">
        <v>4566</v>
      </c>
      <c r="I362" s="157">
        <v>83234</v>
      </c>
      <c r="J362" s="48">
        <v>9.9000000000000008E-3</v>
      </c>
      <c r="K362" s="49">
        <v>824</v>
      </c>
      <c r="L362" s="50">
        <v>82410</v>
      </c>
      <c r="M362" s="158">
        <v>12485</v>
      </c>
      <c r="N362" s="149">
        <v>113673</v>
      </c>
      <c r="O362" s="51">
        <v>30006</v>
      </c>
      <c r="P362" s="51">
        <v>83667</v>
      </c>
      <c r="Q362" s="51">
        <v>41834</v>
      </c>
      <c r="R362" s="51">
        <v>17051</v>
      </c>
      <c r="S362" s="139">
        <v>112548</v>
      </c>
    </row>
    <row r="363" spans="1:19">
      <c r="A363" s="41" t="s">
        <v>722</v>
      </c>
      <c r="B363" s="42" t="s">
        <v>779</v>
      </c>
      <c r="C363" s="107" t="s">
        <v>780</v>
      </c>
      <c r="D363" s="123">
        <v>16761</v>
      </c>
      <c r="E363" s="44">
        <v>9.9000000000000008E-3</v>
      </c>
      <c r="F363" s="45">
        <v>166</v>
      </c>
      <c r="G363" s="46">
        <v>16595</v>
      </c>
      <c r="H363" s="124">
        <v>2514</v>
      </c>
      <c r="I363" s="157">
        <v>45830</v>
      </c>
      <c r="J363" s="48">
        <v>9.9000000000000008E-3</v>
      </c>
      <c r="K363" s="49">
        <v>454</v>
      </c>
      <c r="L363" s="50">
        <v>45376</v>
      </c>
      <c r="M363" s="158">
        <v>6875</v>
      </c>
      <c r="N363" s="149">
        <v>62591</v>
      </c>
      <c r="O363" s="51">
        <v>18908</v>
      </c>
      <c r="P363" s="51">
        <v>43683</v>
      </c>
      <c r="Q363" s="51">
        <v>21842</v>
      </c>
      <c r="R363" s="51">
        <v>9389</v>
      </c>
      <c r="S363" s="139">
        <v>61971</v>
      </c>
    </row>
    <row r="364" spans="1:19">
      <c r="A364" s="41" t="s">
        <v>722</v>
      </c>
      <c r="B364" s="42" t="s">
        <v>781</v>
      </c>
      <c r="C364" s="107" t="s">
        <v>782</v>
      </c>
      <c r="D364" s="123">
        <v>39126</v>
      </c>
      <c r="E364" s="44">
        <v>9.9000000000000008E-3</v>
      </c>
      <c r="F364" s="45">
        <v>387</v>
      </c>
      <c r="G364" s="46">
        <v>38739</v>
      </c>
      <c r="H364" s="124">
        <v>5869</v>
      </c>
      <c r="I364" s="157">
        <v>106983</v>
      </c>
      <c r="J364" s="48">
        <v>9.9000000000000008E-3</v>
      </c>
      <c r="K364" s="49">
        <v>1059</v>
      </c>
      <c r="L364" s="50">
        <v>105924</v>
      </c>
      <c r="M364" s="158">
        <v>16047</v>
      </c>
      <c r="N364" s="149">
        <v>146109</v>
      </c>
      <c r="O364" s="51">
        <v>39612</v>
      </c>
      <c r="P364" s="51">
        <v>106497</v>
      </c>
      <c r="Q364" s="51">
        <v>53249</v>
      </c>
      <c r="R364" s="51">
        <v>21916</v>
      </c>
      <c r="S364" s="139">
        <v>144663</v>
      </c>
    </row>
    <row r="365" spans="1:19">
      <c r="A365" s="41" t="s">
        <v>722</v>
      </c>
      <c r="B365" s="42" t="s">
        <v>783</v>
      </c>
      <c r="C365" s="107" t="s">
        <v>784</v>
      </c>
      <c r="D365" s="123">
        <v>28166</v>
      </c>
      <c r="E365" s="44">
        <v>9.9000000000000008E-3</v>
      </c>
      <c r="F365" s="45">
        <v>279</v>
      </c>
      <c r="G365" s="46">
        <v>27887</v>
      </c>
      <c r="H365" s="124">
        <v>4225</v>
      </c>
      <c r="I365" s="157">
        <v>77018</v>
      </c>
      <c r="J365" s="48">
        <v>9.9000000000000008E-3</v>
      </c>
      <c r="K365" s="49">
        <v>762</v>
      </c>
      <c r="L365" s="50">
        <v>76256</v>
      </c>
      <c r="M365" s="158">
        <v>11553</v>
      </c>
      <c r="N365" s="149">
        <v>105184</v>
      </c>
      <c r="O365" s="51">
        <v>29334</v>
      </c>
      <c r="P365" s="51">
        <v>75850</v>
      </c>
      <c r="Q365" s="51">
        <v>37925</v>
      </c>
      <c r="R365" s="51">
        <v>15778</v>
      </c>
      <c r="S365" s="139">
        <v>104143</v>
      </c>
    </row>
    <row r="366" spans="1:19">
      <c r="A366" s="41" t="s">
        <v>722</v>
      </c>
      <c r="B366" s="42" t="s">
        <v>785</v>
      </c>
      <c r="C366" s="107" t="s">
        <v>786</v>
      </c>
      <c r="D366" s="123">
        <v>42936</v>
      </c>
      <c r="E366" s="44">
        <v>9.9000000000000008E-3</v>
      </c>
      <c r="F366" s="45">
        <v>425</v>
      </c>
      <c r="G366" s="46">
        <v>42511</v>
      </c>
      <c r="H366" s="124">
        <v>6440</v>
      </c>
      <c r="I366" s="157">
        <v>117402</v>
      </c>
      <c r="J366" s="48">
        <v>9.9000000000000008E-3</v>
      </c>
      <c r="K366" s="49">
        <v>1162</v>
      </c>
      <c r="L366" s="50">
        <v>116240</v>
      </c>
      <c r="M366" s="158">
        <v>17610</v>
      </c>
      <c r="N366" s="149">
        <v>160338</v>
      </c>
      <c r="O366" s="51">
        <v>44868</v>
      </c>
      <c r="P366" s="51">
        <v>115470</v>
      </c>
      <c r="Q366" s="51">
        <v>57735</v>
      </c>
      <c r="R366" s="51">
        <v>24050</v>
      </c>
      <c r="S366" s="139">
        <v>158751</v>
      </c>
    </row>
    <row r="367" spans="1:19">
      <c r="A367" s="41" t="s">
        <v>722</v>
      </c>
      <c r="B367" s="42" t="s">
        <v>787</v>
      </c>
      <c r="C367" s="107" t="s">
        <v>788</v>
      </c>
      <c r="D367" s="123">
        <v>29013</v>
      </c>
      <c r="E367" s="44">
        <v>9.9000000000000008E-3</v>
      </c>
      <c r="F367" s="45">
        <v>287</v>
      </c>
      <c r="G367" s="46">
        <v>28726</v>
      </c>
      <c r="H367" s="124">
        <v>4352</v>
      </c>
      <c r="I367" s="157">
        <v>79334</v>
      </c>
      <c r="J367" s="48">
        <v>9.9000000000000008E-3</v>
      </c>
      <c r="K367" s="49">
        <v>785</v>
      </c>
      <c r="L367" s="50">
        <v>78549</v>
      </c>
      <c r="M367" s="158">
        <v>11900</v>
      </c>
      <c r="N367" s="149">
        <v>108347</v>
      </c>
      <c r="O367" s="51">
        <v>30829</v>
      </c>
      <c r="P367" s="51">
        <v>77518</v>
      </c>
      <c r="Q367" s="51">
        <v>38759</v>
      </c>
      <c r="R367" s="51">
        <v>16252</v>
      </c>
      <c r="S367" s="139">
        <v>107275</v>
      </c>
    </row>
    <row r="368" spans="1:19">
      <c r="A368" s="41" t="s">
        <v>722</v>
      </c>
      <c r="B368" s="42" t="s">
        <v>789</v>
      </c>
      <c r="C368" s="107" t="s">
        <v>790</v>
      </c>
      <c r="D368" s="123">
        <v>28709</v>
      </c>
      <c r="E368" s="44">
        <v>9.9000000000000008E-3</v>
      </c>
      <c r="F368" s="45">
        <v>284</v>
      </c>
      <c r="G368" s="46">
        <v>28425</v>
      </c>
      <c r="H368" s="124">
        <v>4306</v>
      </c>
      <c r="I368" s="157">
        <v>78502</v>
      </c>
      <c r="J368" s="48">
        <v>9.9000000000000008E-3</v>
      </c>
      <c r="K368" s="49">
        <v>777</v>
      </c>
      <c r="L368" s="50">
        <v>77725</v>
      </c>
      <c r="M368" s="158">
        <v>11775</v>
      </c>
      <c r="N368" s="149">
        <v>107211</v>
      </c>
      <c r="O368" s="51">
        <v>28794</v>
      </c>
      <c r="P368" s="51">
        <v>78417</v>
      </c>
      <c r="Q368" s="51">
        <v>39209</v>
      </c>
      <c r="R368" s="51">
        <v>16081</v>
      </c>
      <c r="S368" s="139">
        <v>106150</v>
      </c>
    </row>
    <row r="369" spans="1:19" ht="15.75" thickBot="1">
      <c r="A369" s="60" t="s">
        <v>722</v>
      </c>
      <c r="B369" s="61" t="s">
        <v>791</v>
      </c>
      <c r="C369" s="109" t="s">
        <v>792</v>
      </c>
      <c r="D369" s="127">
        <v>21414</v>
      </c>
      <c r="E369" s="87">
        <v>9.9000000000000008E-3</v>
      </c>
      <c r="F369" s="45">
        <v>212</v>
      </c>
      <c r="G369" s="65">
        <v>21202</v>
      </c>
      <c r="H369" s="124">
        <v>3212</v>
      </c>
      <c r="I369" s="161">
        <v>58554</v>
      </c>
      <c r="J369" s="88">
        <v>9.9000000000000008E-3</v>
      </c>
      <c r="K369" s="49">
        <v>580</v>
      </c>
      <c r="L369" s="50">
        <v>57974</v>
      </c>
      <c r="M369" s="158">
        <v>8783</v>
      </c>
      <c r="N369" s="149">
        <v>79968</v>
      </c>
      <c r="O369" s="51">
        <v>20484</v>
      </c>
      <c r="P369" s="51">
        <v>59484</v>
      </c>
      <c r="Q369" s="51">
        <v>29742</v>
      </c>
      <c r="R369" s="51">
        <v>11995</v>
      </c>
      <c r="S369" s="139">
        <v>79176</v>
      </c>
    </row>
    <row r="370" spans="1:19" ht="15.75" thickBot="1">
      <c r="A370" s="89"/>
      <c r="B370" s="90"/>
      <c r="C370" s="113" t="s">
        <v>793</v>
      </c>
      <c r="D370" s="132">
        <v>26747860</v>
      </c>
      <c r="E370" s="133"/>
      <c r="F370" s="134">
        <v>293116</v>
      </c>
      <c r="G370" s="135">
        <v>26454744</v>
      </c>
      <c r="H370" s="136">
        <v>4012186</v>
      </c>
      <c r="I370" s="132">
        <v>73138210</v>
      </c>
      <c r="J370" s="133"/>
      <c r="K370" s="134">
        <v>801484</v>
      </c>
      <c r="L370" s="135">
        <v>72336726</v>
      </c>
      <c r="M370" s="136">
        <v>10970738</v>
      </c>
      <c r="N370" s="153">
        <v>99886070</v>
      </c>
      <c r="O370" s="95">
        <v>26462651</v>
      </c>
      <c r="P370" s="95">
        <v>73423419</v>
      </c>
      <c r="Q370" s="95">
        <v>36711805</v>
      </c>
      <c r="R370" s="95">
        <v>14982924</v>
      </c>
      <c r="S370" s="95">
        <v>98791470</v>
      </c>
    </row>
    <row r="371" spans="1:19" ht="15.75" thickTop="1"/>
    <row r="374" spans="1:19">
      <c r="C374" s="167" t="s">
        <v>794</v>
      </c>
    </row>
    <row r="376" spans="1:19">
      <c r="A376" s="41"/>
      <c r="B376" s="42"/>
      <c r="C376" s="96" t="s">
        <v>59</v>
      </c>
      <c r="D376" s="43">
        <f>SUM(D8:D31)</f>
        <v>1790803</v>
      </c>
      <c r="E376" s="44"/>
      <c r="F376" s="45">
        <f t="shared" ref="F376:I376" si="0">SUM(F8:F31)</f>
        <v>33667</v>
      </c>
      <c r="G376" s="46">
        <f t="shared" si="0"/>
        <v>1757136</v>
      </c>
      <c r="H376" s="43">
        <f t="shared" si="0"/>
        <v>268621</v>
      </c>
      <c r="I376" s="47">
        <f t="shared" si="0"/>
        <v>4896689</v>
      </c>
      <c r="J376" s="48"/>
      <c r="K376" s="49">
        <f t="shared" ref="K376:S376" si="1">SUM(K8:K31)</f>
        <v>92056</v>
      </c>
      <c r="L376" s="50">
        <f t="shared" si="1"/>
        <v>4804633</v>
      </c>
      <c r="M376" s="47">
        <f t="shared" si="1"/>
        <v>734505</v>
      </c>
      <c r="N376" s="51">
        <f t="shared" si="1"/>
        <v>6687492</v>
      </c>
      <c r="O376" s="51">
        <f t="shared" si="1"/>
        <v>1780682</v>
      </c>
      <c r="P376" s="51">
        <f t="shared" si="1"/>
        <v>4906810</v>
      </c>
      <c r="Q376" s="51">
        <f t="shared" si="1"/>
        <v>2343616</v>
      </c>
      <c r="R376" s="51">
        <f t="shared" si="1"/>
        <v>1003126</v>
      </c>
      <c r="S376" s="52">
        <f t="shared" si="1"/>
        <v>6561769</v>
      </c>
    </row>
    <row r="377" spans="1:19">
      <c r="A377" s="41"/>
      <c r="B377" s="42"/>
      <c r="C377" s="96" t="s">
        <v>108</v>
      </c>
      <c r="D377" s="43">
        <f>SUM(D32:D91)</f>
        <v>3512208</v>
      </c>
      <c r="E377" s="44"/>
      <c r="F377" s="45">
        <f t="shared" ref="F377:I377" si="2">SUM(F32:F91)</f>
        <v>41443</v>
      </c>
      <c r="G377" s="46">
        <f t="shared" si="2"/>
        <v>3470765</v>
      </c>
      <c r="H377" s="43">
        <f t="shared" si="2"/>
        <v>526831</v>
      </c>
      <c r="I377" s="47">
        <f t="shared" si="2"/>
        <v>9603623</v>
      </c>
      <c r="J377" s="48"/>
      <c r="K377" s="49">
        <f t="shared" ref="K377:S377" si="3">SUM(K32:K91)</f>
        <v>113319</v>
      </c>
      <c r="L377" s="50">
        <f t="shared" si="3"/>
        <v>9490304</v>
      </c>
      <c r="M377" s="47">
        <f t="shared" si="3"/>
        <v>1440544</v>
      </c>
      <c r="N377" s="51">
        <f t="shared" si="3"/>
        <v>13115831</v>
      </c>
      <c r="O377" s="51">
        <f t="shared" si="3"/>
        <v>3501313</v>
      </c>
      <c r="P377" s="51">
        <f t="shared" si="3"/>
        <v>9614518</v>
      </c>
      <c r="Q377" s="51">
        <f t="shared" si="3"/>
        <v>3868508</v>
      </c>
      <c r="R377" s="51">
        <f t="shared" si="3"/>
        <v>1967375</v>
      </c>
      <c r="S377" s="52">
        <f t="shared" si="3"/>
        <v>12961069</v>
      </c>
    </row>
    <row r="378" spans="1:19">
      <c r="A378" s="41"/>
      <c r="B378" s="42"/>
      <c r="C378" s="96" t="s">
        <v>229</v>
      </c>
      <c r="D378" s="43">
        <f>SUM(D92:D139)</f>
        <v>1764138</v>
      </c>
      <c r="E378" s="44"/>
      <c r="F378" s="45">
        <f t="shared" ref="F378:I378" si="4">SUM(F92:F139)</f>
        <v>41808</v>
      </c>
      <c r="G378" s="46">
        <f t="shared" si="4"/>
        <v>1722330</v>
      </c>
      <c r="H378" s="43">
        <f t="shared" si="4"/>
        <v>264621</v>
      </c>
      <c r="I378" s="47">
        <f t="shared" si="4"/>
        <v>4823791</v>
      </c>
      <c r="J378" s="48"/>
      <c r="K378" s="49">
        <f t="shared" ref="K378:S378" si="5">SUM(K92:K139)</f>
        <v>114327</v>
      </c>
      <c r="L378" s="50">
        <f t="shared" si="5"/>
        <v>4709464</v>
      </c>
      <c r="M378" s="47">
        <f t="shared" si="5"/>
        <v>723571</v>
      </c>
      <c r="N378" s="51">
        <f t="shared" si="5"/>
        <v>6587929</v>
      </c>
      <c r="O378" s="51">
        <f t="shared" si="5"/>
        <v>1739605</v>
      </c>
      <c r="P378" s="51">
        <f t="shared" si="5"/>
        <v>4848324</v>
      </c>
      <c r="Q378" s="51">
        <f t="shared" si="5"/>
        <v>2385002</v>
      </c>
      <c r="R378" s="51">
        <f t="shared" si="5"/>
        <v>988192</v>
      </c>
      <c r="S378" s="52">
        <f t="shared" si="5"/>
        <v>6431794</v>
      </c>
    </row>
    <row r="379" spans="1:19">
      <c r="A379" s="41"/>
      <c r="B379" s="42"/>
      <c r="C379" s="96" t="s">
        <v>326</v>
      </c>
      <c r="D379" s="43">
        <f>SUM(D140:D161)</f>
        <v>2724212</v>
      </c>
      <c r="E379" s="44"/>
      <c r="F379" s="45">
        <f t="shared" ref="F379:I379" si="6">SUM(F140:F161)</f>
        <v>17978</v>
      </c>
      <c r="G379" s="46">
        <f t="shared" si="6"/>
        <v>2706234</v>
      </c>
      <c r="H379" s="43">
        <f t="shared" si="6"/>
        <v>408631</v>
      </c>
      <c r="I379" s="47">
        <f t="shared" si="6"/>
        <v>7448962</v>
      </c>
      <c r="J379" s="48"/>
      <c r="K379" s="49">
        <f t="shared" ref="K379:S379" si="7">SUM(K140:K161)</f>
        <v>49164</v>
      </c>
      <c r="L379" s="50">
        <f t="shared" si="7"/>
        <v>7399798</v>
      </c>
      <c r="M379" s="47">
        <f t="shared" si="7"/>
        <v>1117347</v>
      </c>
      <c r="N379" s="51">
        <f t="shared" si="7"/>
        <v>10173174</v>
      </c>
      <c r="O379" s="51">
        <f t="shared" si="7"/>
        <v>2694412</v>
      </c>
      <c r="P379" s="51">
        <f t="shared" si="7"/>
        <v>7478762</v>
      </c>
      <c r="Q379" s="51">
        <f t="shared" si="7"/>
        <v>3401470</v>
      </c>
      <c r="R379" s="51">
        <f t="shared" si="7"/>
        <v>1525978</v>
      </c>
      <c r="S379" s="52">
        <f t="shared" si="7"/>
        <v>10106032</v>
      </c>
    </row>
    <row r="380" spans="1:19">
      <c r="A380" s="41"/>
      <c r="B380" s="42"/>
      <c r="C380" s="96" t="s">
        <v>371</v>
      </c>
      <c r="D380" s="43">
        <f>SUM(D162:D194)</f>
        <v>3606242</v>
      </c>
      <c r="E380" s="44"/>
      <c r="F380" s="45">
        <f t="shared" ref="F380:I380" si="8">SUM(F162:F194)</f>
        <v>32097</v>
      </c>
      <c r="G380" s="46">
        <f t="shared" si="8"/>
        <v>3574145</v>
      </c>
      <c r="H380" s="43">
        <f t="shared" si="8"/>
        <v>540938</v>
      </c>
      <c r="I380" s="47">
        <f t="shared" si="8"/>
        <v>9860763</v>
      </c>
      <c r="J380" s="48"/>
      <c r="K380" s="49">
        <f t="shared" ref="K380:S380" si="9">SUM(K162:K194)</f>
        <v>87758</v>
      </c>
      <c r="L380" s="50">
        <f t="shared" si="9"/>
        <v>9773005</v>
      </c>
      <c r="M380" s="47">
        <f t="shared" si="9"/>
        <v>1479116</v>
      </c>
      <c r="N380" s="51">
        <f t="shared" si="9"/>
        <v>13467005</v>
      </c>
      <c r="O380" s="51">
        <f t="shared" si="9"/>
        <v>3547904</v>
      </c>
      <c r="P380" s="51">
        <f t="shared" si="9"/>
        <v>9919101</v>
      </c>
      <c r="Q380" s="51">
        <f t="shared" si="9"/>
        <v>3290592</v>
      </c>
      <c r="R380" s="51">
        <f t="shared" si="9"/>
        <v>2020054</v>
      </c>
      <c r="S380" s="52">
        <f t="shared" si="9"/>
        <v>13347150</v>
      </c>
    </row>
    <row r="381" spans="1:19">
      <c r="A381" s="41"/>
      <c r="B381" s="42"/>
      <c r="C381" s="96" t="s">
        <v>438</v>
      </c>
      <c r="D381" s="43">
        <f>SUM(D195:D248)</f>
        <v>6765677</v>
      </c>
      <c r="E381" s="44"/>
      <c r="F381" s="45">
        <f t="shared" ref="F381:I381" si="10">SUM(F195:F248)</f>
        <v>62923</v>
      </c>
      <c r="G381" s="46">
        <f t="shared" si="10"/>
        <v>6702754</v>
      </c>
      <c r="H381" s="43">
        <f t="shared" si="10"/>
        <v>1014849</v>
      </c>
      <c r="I381" s="47">
        <f t="shared" si="10"/>
        <v>18499780</v>
      </c>
      <c r="J381" s="48"/>
      <c r="K381" s="49">
        <f t="shared" ref="K381:S381" si="11">SUM(K195:K248)</f>
        <v>172044</v>
      </c>
      <c r="L381" s="50">
        <f t="shared" si="11"/>
        <v>18327736</v>
      </c>
      <c r="M381" s="47">
        <f t="shared" si="11"/>
        <v>2774966</v>
      </c>
      <c r="N381" s="51">
        <f t="shared" si="11"/>
        <v>25265457</v>
      </c>
      <c r="O381" s="51">
        <f t="shared" si="11"/>
        <v>6657887</v>
      </c>
      <c r="P381" s="51">
        <f t="shared" si="11"/>
        <v>18607570</v>
      </c>
      <c r="Q381" s="51">
        <f t="shared" si="11"/>
        <v>8360710</v>
      </c>
      <c r="R381" s="51">
        <f t="shared" si="11"/>
        <v>3789815</v>
      </c>
      <c r="S381" s="52">
        <f t="shared" si="11"/>
        <v>25030490</v>
      </c>
    </row>
    <row r="382" spans="1:19">
      <c r="A382" s="41"/>
      <c r="B382" s="42"/>
      <c r="C382" s="96" t="s">
        <v>547</v>
      </c>
      <c r="D382" s="43">
        <f>SUM(D249:D284)</f>
        <v>2279216</v>
      </c>
      <c r="E382" s="44"/>
      <c r="F382" s="45">
        <f t="shared" ref="F382:I382" si="12">SUM(F249:F284)</f>
        <v>28490</v>
      </c>
      <c r="G382" s="46">
        <f t="shared" si="12"/>
        <v>2250726</v>
      </c>
      <c r="H382" s="43">
        <f t="shared" si="12"/>
        <v>341885</v>
      </c>
      <c r="I382" s="47">
        <f t="shared" si="12"/>
        <v>6232187</v>
      </c>
      <c r="J382" s="48"/>
      <c r="K382" s="49">
        <f t="shared" ref="K382:S382" si="13">SUM(K249:K284)</f>
        <v>77905</v>
      </c>
      <c r="L382" s="50">
        <f t="shared" si="13"/>
        <v>6154282</v>
      </c>
      <c r="M382" s="47">
        <f t="shared" si="13"/>
        <v>934827</v>
      </c>
      <c r="N382" s="51">
        <f t="shared" si="13"/>
        <v>8511403</v>
      </c>
      <c r="O382" s="51">
        <f t="shared" si="13"/>
        <v>2254195</v>
      </c>
      <c r="P382" s="51">
        <f t="shared" si="13"/>
        <v>6257208</v>
      </c>
      <c r="Q382" s="51">
        <f t="shared" si="13"/>
        <v>3128612</v>
      </c>
      <c r="R382" s="51">
        <f t="shared" si="13"/>
        <v>1276712</v>
      </c>
      <c r="S382" s="52">
        <f t="shared" si="13"/>
        <v>8405008</v>
      </c>
    </row>
    <row r="383" spans="1:19">
      <c r="A383" s="41"/>
      <c r="B383" s="42"/>
      <c r="C383" s="96" t="s">
        <v>620</v>
      </c>
      <c r="D383" s="43">
        <f>SUM(D285:D315)</f>
        <v>1654436</v>
      </c>
      <c r="E383" s="44"/>
      <c r="F383" s="45">
        <f t="shared" ref="F383:I383" si="14">SUM(F285:F315)</f>
        <v>12575</v>
      </c>
      <c r="G383" s="46">
        <f t="shared" si="14"/>
        <v>1641861</v>
      </c>
      <c r="H383" s="43">
        <f t="shared" si="14"/>
        <v>248168</v>
      </c>
      <c r="I383" s="47">
        <f t="shared" si="14"/>
        <v>4523825</v>
      </c>
      <c r="J383" s="48"/>
      <c r="K383" s="49">
        <f t="shared" ref="K383:S383" si="15">SUM(K285:K315)</f>
        <v>34381</v>
      </c>
      <c r="L383" s="50">
        <f t="shared" si="15"/>
        <v>4489444</v>
      </c>
      <c r="M383" s="47">
        <f t="shared" si="15"/>
        <v>678574</v>
      </c>
      <c r="N383" s="51">
        <f t="shared" si="15"/>
        <v>6178261</v>
      </c>
      <c r="O383" s="51">
        <f t="shared" si="15"/>
        <v>1640648</v>
      </c>
      <c r="P383" s="51">
        <f t="shared" si="15"/>
        <v>4537613</v>
      </c>
      <c r="Q383" s="51">
        <f t="shared" si="15"/>
        <v>2250617</v>
      </c>
      <c r="R383" s="51">
        <f t="shared" si="15"/>
        <v>926742</v>
      </c>
      <c r="S383" s="52">
        <f t="shared" si="15"/>
        <v>6131305</v>
      </c>
    </row>
    <row r="384" spans="1:19">
      <c r="A384" s="41"/>
      <c r="B384" s="42"/>
      <c r="C384" s="96" t="s">
        <v>683</v>
      </c>
      <c r="D384" s="43">
        <f>SUM(D316:D334)</f>
        <v>547616</v>
      </c>
      <c r="E384" s="44"/>
      <c r="F384" s="45">
        <f t="shared" ref="F384:I384" si="16">SUM(F316:F334)</f>
        <v>1314</v>
      </c>
      <c r="G384" s="46">
        <f t="shared" si="16"/>
        <v>546302</v>
      </c>
      <c r="H384" s="43">
        <f t="shared" si="16"/>
        <v>82144</v>
      </c>
      <c r="I384" s="47">
        <f t="shared" si="16"/>
        <v>1497378</v>
      </c>
      <c r="J384" s="48"/>
      <c r="K384" s="49">
        <f t="shared" ref="K384:S384" si="17">SUM(K316:K334)</f>
        <v>3593</v>
      </c>
      <c r="L384" s="50">
        <f t="shared" si="17"/>
        <v>1493785</v>
      </c>
      <c r="M384" s="47">
        <f t="shared" si="17"/>
        <v>224605</v>
      </c>
      <c r="N384" s="51">
        <f t="shared" si="17"/>
        <v>2044994</v>
      </c>
      <c r="O384" s="51">
        <f t="shared" si="17"/>
        <v>547568</v>
      </c>
      <c r="P384" s="51">
        <f t="shared" si="17"/>
        <v>1497426</v>
      </c>
      <c r="Q384" s="51">
        <f t="shared" si="17"/>
        <v>748719</v>
      </c>
      <c r="R384" s="51">
        <f t="shared" si="17"/>
        <v>306749</v>
      </c>
      <c r="S384" s="52">
        <f t="shared" si="17"/>
        <v>2040087</v>
      </c>
    </row>
    <row r="385" spans="1:19">
      <c r="A385" s="41"/>
      <c r="B385" s="42"/>
      <c r="C385" s="96" t="s">
        <v>722</v>
      </c>
      <c r="D385" s="43">
        <f>SUM(D335:D369)</f>
        <v>2103312</v>
      </c>
      <c r="E385" s="44"/>
      <c r="F385" s="45">
        <f t="shared" ref="F385:I385" si="18">SUM(F335:F369)</f>
        <v>20821</v>
      </c>
      <c r="G385" s="46">
        <f t="shared" si="18"/>
        <v>2082491</v>
      </c>
      <c r="H385" s="43">
        <f t="shared" si="18"/>
        <v>315498</v>
      </c>
      <c r="I385" s="47">
        <f t="shared" si="18"/>
        <v>5751212</v>
      </c>
      <c r="J385" s="48"/>
      <c r="K385" s="49">
        <f t="shared" ref="K385:S385" si="19">SUM(K335:K369)</f>
        <v>56937</v>
      </c>
      <c r="L385" s="50">
        <f t="shared" si="19"/>
        <v>5694275</v>
      </c>
      <c r="M385" s="47">
        <f t="shared" si="19"/>
        <v>862683</v>
      </c>
      <c r="N385" s="51">
        <f t="shared" si="19"/>
        <v>7854524</v>
      </c>
      <c r="O385" s="51">
        <f t="shared" si="19"/>
        <v>2098437</v>
      </c>
      <c r="P385" s="51">
        <f t="shared" si="19"/>
        <v>5756087</v>
      </c>
      <c r="Q385" s="51">
        <f t="shared" si="19"/>
        <v>2878053</v>
      </c>
      <c r="R385" s="51">
        <f t="shared" si="19"/>
        <v>1178181</v>
      </c>
      <c r="S385" s="52">
        <f t="shared" si="19"/>
        <v>7776766</v>
      </c>
    </row>
    <row r="386" spans="1:19" ht="15.75" thickBot="1">
      <c r="A386" s="60"/>
      <c r="B386" s="61"/>
      <c r="C386" s="61"/>
      <c r="D386" s="62"/>
      <c r="E386" s="87"/>
      <c r="F386" s="45"/>
      <c r="G386" s="65"/>
      <c r="H386" s="43"/>
      <c r="I386" s="66"/>
      <c r="J386" s="88"/>
      <c r="K386" s="49"/>
      <c r="L386" s="50"/>
      <c r="M386" s="47"/>
      <c r="N386" s="51"/>
      <c r="O386" s="51"/>
      <c r="P386" s="51"/>
      <c r="Q386" s="51"/>
      <c r="R386" s="51"/>
      <c r="S386" s="52"/>
    </row>
    <row r="387" spans="1:19" ht="15.75" thickBot="1">
      <c r="A387" s="89"/>
      <c r="B387" s="90"/>
      <c r="C387" s="91" t="s">
        <v>795</v>
      </c>
      <c r="D387" s="92">
        <f>SUM(D376:D385)</f>
        <v>26747860</v>
      </c>
      <c r="E387" s="93"/>
      <c r="F387" s="92">
        <f t="shared" ref="F387:I387" si="20">SUM(F376:F385)</f>
        <v>293116</v>
      </c>
      <c r="G387" s="94">
        <f t="shared" si="20"/>
        <v>26454744</v>
      </c>
      <c r="H387" s="94">
        <f t="shared" si="20"/>
        <v>4012186</v>
      </c>
      <c r="I387" s="92">
        <f t="shared" si="20"/>
        <v>73138210</v>
      </c>
      <c r="J387" s="93"/>
      <c r="K387" s="92">
        <f t="shared" ref="K387:S387" si="21">SUM(K376:K385)</f>
        <v>801484</v>
      </c>
      <c r="L387" s="94">
        <f t="shared" si="21"/>
        <v>72336726</v>
      </c>
      <c r="M387" s="94">
        <f t="shared" si="21"/>
        <v>10970738</v>
      </c>
      <c r="N387" s="95">
        <f t="shared" si="21"/>
        <v>99886070</v>
      </c>
      <c r="O387" s="95">
        <f t="shared" si="21"/>
        <v>26462651</v>
      </c>
      <c r="P387" s="95">
        <f t="shared" si="21"/>
        <v>73423419</v>
      </c>
      <c r="Q387" s="95">
        <f t="shared" si="21"/>
        <v>32655899</v>
      </c>
      <c r="R387" s="95">
        <f t="shared" si="21"/>
        <v>14982924</v>
      </c>
      <c r="S387" s="95">
        <f t="shared" si="21"/>
        <v>98791470</v>
      </c>
    </row>
    <row r="388" spans="1:19" ht="16.5" thickTop="1" thickBot="1"/>
    <row r="389" spans="1:19" ht="15.75" thickBot="1">
      <c r="C389" s="97" t="s">
        <v>796</v>
      </c>
      <c r="D389" s="98"/>
      <c r="E389" s="98"/>
      <c r="F389" s="98"/>
      <c r="G389" s="99"/>
    </row>
    <row r="390" spans="1:19" ht="15.75" thickBot="1">
      <c r="C390" s="97" t="s">
        <v>797</v>
      </c>
      <c r="D390" s="98"/>
      <c r="E390" s="98"/>
      <c r="F390" s="98"/>
      <c r="G390" s="99"/>
    </row>
    <row r="391" spans="1:19" ht="15.75" thickBot="1">
      <c r="C391" s="97" t="s">
        <v>798</v>
      </c>
      <c r="D391" s="98"/>
      <c r="E391" s="98"/>
      <c r="F391" s="98"/>
      <c r="G391" s="99"/>
    </row>
    <row r="392" spans="1:19" ht="15.75" thickBot="1"/>
    <row r="393" spans="1:19" ht="15.75" thickBot="1">
      <c r="C393" s="100" t="s">
        <v>799</v>
      </c>
    </row>
    <row r="394" spans="1:19" ht="15.75" thickBot="1"/>
    <row r="395" spans="1:19" ht="15.75" thickBot="1">
      <c r="C395" s="101" t="s">
        <v>800</v>
      </c>
    </row>
  </sheetData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 2009-10 Finals</vt:lpstr>
      <vt:lpstr>Sheet2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jlee</cp:lastModifiedBy>
  <dcterms:created xsi:type="dcterms:W3CDTF">2012-08-21T18:32:10Z</dcterms:created>
  <dcterms:modified xsi:type="dcterms:W3CDTF">2012-08-21T18:44:10Z</dcterms:modified>
</cp:coreProperties>
</file>