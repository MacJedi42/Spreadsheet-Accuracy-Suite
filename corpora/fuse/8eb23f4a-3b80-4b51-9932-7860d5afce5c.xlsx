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180" yWindow="380" windowWidth="37740" windowHeight="127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8" i="1" l="1"/>
  <c r="S8" i="1"/>
  <c r="P8" i="1"/>
  <c r="M8" i="1"/>
  <c r="J8" i="1"/>
  <c r="G8" i="1"/>
  <c r="D8" i="1"/>
  <c r="M7" i="1"/>
  <c r="J7" i="1"/>
  <c r="V6" i="1"/>
  <c r="S6" i="1"/>
  <c r="P6" i="1"/>
  <c r="M6" i="1"/>
  <c r="J6" i="1"/>
</calcChain>
</file>

<file path=xl/sharedStrings.xml><?xml version="1.0" encoding="utf-8"?>
<sst xmlns="http://schemas.openxmlformats.org/spreadsheetml/2006/main" count="92" uniqueCount="21">
  <si>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</si>
  <si>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</si>
  <si>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</si>
  <si>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</si>
  <si>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</si>
  <si>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</si>
  <si>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</si>
  <si>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</si>
  <si>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</si>
  <si>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</si>
  <si>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</si>
  <si>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</si>
  <si>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</si>
  <si>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History 8-12</t>
  </si>
  <si>
    <t>Social Studies 4-8</t>
  </si>
  <si>
    <t>Social Studies 8-12</t>
  </si>
  <si>
    <t>*Data obtained from Texas Education Agency's Accountability System for Educator Preparation (ASEP) report on pass rates sorted by Test.</t>
  </si>
  <si>
    <t>Name of Test</t>
  </si>
  <si>
    <t>COMPLETION YEAR 2011</t>
  </si>
  <si>
    <t>*2010 Texas Education Agency starting using one yearly pass rate.</t>
  </si>
  <si>
    <t>CERTIFICATION TEST PASS RATES*  (Revised and Updated 11/7/11)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</si>
</sst>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1" fontId="0" fillId="0" borderId="22" xfId="0" applyNumberFormat="1" applyBorder="1" applyAlignment="1">
      <alignment horizontal="right" wrapText="1"/>
    </xf>
    <xf numFmtId="1" fontId="0" fillId="0" borderId="21" xfId="0" applyNumberFormat="1" applyBorder="1" applyAlignment="1">
      <alignment wrapText="1"/>
    </xf>
    <xf numFmtId="1" fontId="0" fillId="0" borderId="22" xfId="0" applyNumberFormat="1" applyBorder="1" applyAlignment="1">
      <alignment wrapText="1"/>
    </xf>
    <xf numFmtId="9" fontId="0" fillId="0" borderId="24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0" fontId="0" fillId="0" borderId="20" xfId="0" applyFill="1" applyBorder="1" applyAlignment="1">
      <alignment horizontal="left" wrapText="1"/>
    </xf>
    <xf numFmtId="0" fontId="0" fillId="0" borderId="21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3" xfId="0" applyNumberFormat="1" applyBorder="1" applyAlignment="1">
      <alignment horizontal="right"/>
    </xf>
    <xf numFmtId="0" fontId="5" fillId="0" borderId="21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2" xfId="0" applyFont="1" applyBorder="1" applyAlignment="1">
      <alignment horizontal="right" wrapText="1"/>
    </xf>
    <xf numFmtId="0" fontId="0" fillId="0" borderId="22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6" xfId="0" applyNumberFormat="1" applyFont="1" applyFill="1" applyBorder="1" applyAlignment="1">
      <alignment horizontal="centerContinuous" wrapText="1"/>
    </xf>
    <xf numFmtId="9" fontId="0" fillId="2" borderId="26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9" fontId="0" fillId="3" borderId="19" xfId="0" applyNumberFormat="1" applyFill="1" applyBorder="1" applyAlignment="1">
      <alignment horizontal="centerContinuous" wrapText="1"/>
    </xf>
    <xf numFmtId="9" fontId="0" fillId="2" borderId="30" xfId="0" applyNumberFormat="1" applyFill="1" applyBorder="1" applyAlignment="1">
      <alignment horizontal="center" wrapText="1"/>
    </xf>
    <xf numFmtId="0" fontId="5" fillId="0" borderId="23" xfId="0" applyFont="1" applyBorder="1" applyAlignment="1">
      <alignment horizontal="right" wrapText="1"/>
    </xf>
    <xf numFmtId="9" fontId="0" fillId="2" borderId="31" xfId="0" applyNumberFormat="1" applyFont="1" applyFill="1" applyBorder="1" applyAlignment="1">
      <alignment horizontal="centerContinuous" wrapText="1"/>
    </xf>
    <xf numFmtId="9" fontId="0" fillId="2" borderId="32" xfId="0" applyNumberFormat="1" applyFont="1" applyFill="1" applyBorder="1" applyAlignment="1">
      <alignment horizontal="center" wrapText="1"/>
    </xf>
    <xf numFmtId="0" fontId="5" fillId="0" borderId="24" xfId="0" applyFont="1" applyBorder="1" applyAlignment="1">
      <alignment horizontal="right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zoomScale="90" zoomScaleNormal="90" zoomScalePageLayoutView="90" workbookViewId="0"/>
  </sheetViews>
  <sheetFormatPr baseColWidth="10" defaultRowHeight="15" x14ac:dyDescent="0"/>
  <cols>
    <col min="1" max="1" width="52.33203125" customWidth="1"/>
    <col min="2" max="2" width="7.33203125" customWidth="1"/>
    <col min="3" max="3" width="7.83203125" customWidth="1"/>
    <col min="4" max="5" width="6.5" customWidth="1"/>
    <col min="6" max="6" width="7.33203125" customWidth="1"/>
    <col min="7" max="7" width="6.5" customWidth="1"/>
    <col min="8" max="9" width="7" customWidth="1"/>
    <col min="10" max="10" width="5.6640625" customWidth="1"/>
    <col min="11" max="11" width="6.33203125" customWidth="1"/>
    <col min="12" max="13" width="6.83203125" customWidth="1"/>
    <col min="14" max="14" width="5.5" customWidth="1"/>
    <col min="15" max="15" width="7.1640625" customWidth="1"/>
    <col min="16" max="16" width="6.5" customWidth="1"/>
    <col min="17" max="17" width="6.1640625" customWidth="1"/>
    <col min="18" max="18" width="6.83203125" customWidth="1"/>
    <col min="19" max="19" width="6.1640625" customWidth="1"/>
    <col min="20" max="20" width="6.5" customWidth="1"/>
    <col min="21" max="21" width="7.1640625" customWidth="1"/>
    <col min="22" max="22" width="6.5" customWidth="1"/>
    <col min="23" max="23" width="7.5" customWidth="1"/>
    <col min="24" max="24" width="6.6640625" customWidth="1"/>
    <col min="25" max="25" width="7" customWidth="1"/>
    <col min="26" max="26" width="6.33203125" customWidth="1"/>
    <col min="27" max="27" width="7.6640625" customWidth="1"/>
    <col min="28" max="28" width="7.1640625" customWidth="1"/>
    <col min="29" max="29" width="6.5" customWidth="1"/>
    <col min="30" max="30" width="8.5" customWidth="1"/>
    <col min="31" max="31" width="7.5" customWidth="1"/>
    <col min="32" max="32" width="6.83203125" customWidth="1"/>
    <col min="33" max="34" width="7.1640625" customWidth="1"/>
    <col min="35" max="35" width="6.1640625" customWidth="1"/>
    <col min="36" max="36" width="7.33203125" customWidth="1"/>
    <col min="37" max="37" width="8.83203125" customWidth="1"/>
  </cols>
  <sheetData>
    <row r="1" spans="1:37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7" t="s">
        <v>5</v>
      </c>
      <c r="AG3" s="68"/>
      <c r="AH3" s="74"/>
      <c r="AI3" s="77" t="s">
        <v>18</v>
      </c>
      <c r="AJ3" s="69"/>
      <c r="AK3" s="70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8" t="s">
        <v>7</v>
      </c>
      <c r="AG4" s="59"/>
      <c r="AH4" s="66"/>
      <c r="AI4" s="78" t="s">
        <v>7</v>
      </c>
      <c r="AJ4" s="60"/>
      <c r="AK4" s="71"/>
    </row>
    <row r="5" spans="1:37" ht="46" thickBot="1">
      <c r="A5" s="29" t="s">
        <v>17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61" t="s">
        <v>11</v>
      </c>
      <c r="AG5" s="62" t="s">
        <v>9</v>
      </c>
      <c r="AH5" s="75" t="s">
        <v>10</v>
      </c>
      <c r="AI5" s="79" t="s">
        <v>11</v>
      </c>
      <c r="AJ5" s="63" t="s">
        <v>9</v>
      </c>
      <c r="AK5" s="72" t="s">
        <v>10</v>
      </c>
    </row>
    <row r="6" spans="1:37">
      <c r="A6" s="47" t="s">
        <v>13</v>
      </c>
      <c r="B6" s="41" t="s">
        <v>12</v>
      </c>
      <c r="C6" s="42" t="s">
        <v>12</v>
      </c>
      <c r="D6" s="40" t="s">
        <v>12</v>
      </c>
      <c r="E6" s="41" t="s">
        <v>12</v>
      </c>
      <c r="F6" s="42" t="s">
        <v>12</v>
      </c>
      <c r="G6" s="40" t="s">
        <v>12</v>
      </c>
      <c r="H6" s="43">
        <v>3</v>
      </c>
      <c r="I6" s="44">
        <v>3</v>
      </c>
      <c r="J6" s="40">
        <f t="shared" ref="J6:J8" si="0">I6/H6</f>
        <v>1</v>
      </c>
      <c r="K6" s="41">
        <v>3</v>
      </c>
      <c r="L6" s="42">
        <v>3</v>
      </c>
      <c r="M6" s="45">
        <f t="shared" ref="M6:M8" si="1">L6/K6</f>
        <v>1</v>
      </c>
      <c r="N6" s="41">
        <v>3</v>
      </c>
      <c r="O6" s="42">
        <v>3</v>
      </c>
      <c r="P6" s="40">
        <f t="shared" ref="P6:P8" si="2">O6/N6</f>
        <v>1</v>
      </c>
      <c r="Q6" s="41">
        <v>4</v>
      </c>
      <c r="R6" s="42">
        <v>3</v>
      </c>
      <c r="S6" s="40">
        <f t="shared" ref="S6:S8" si="3">R6/Q6</f>
        <v>0.75</v>
      </c>
      <c r="T6" s="46">
        <v>5</v>
      </c>
      <c r="U6" s="42">
        <v>5</v>
      </c>
      <c r="V6" s="45">
        <f t="shared" ref="V6:V8" si="4">U6/T6</f>
        <v>1</v>
      </c>
      <c r="W6" s="38">
        <v>5</v>
      </c>
      <c r="X6" s="39">
        <v>5</v>
      </c>
      <c r="Y6" s="45">
        <v>1</v>
      </c>
      <c r="Z6" s="38">
        <v>4</v>
      </c>
      <c r="AA6" s="39">
        <v>4</v>
      </c>
      <c r="AB6" s="40">
        <v>1</v>
      </c>
      <c r="AC6" s="38">
        <v>4</v>
      </c>
      <c r="AD6" s="39">
        <v>4</v>
      </c>
      <c r="AE6" s="45">
        <v>1</v>
      </c>
      <c r="AF6" s="38">
        <v>6</v>
      </c>
      <c r="AG6" s="39">
        <v>6</v>
      </c>
      <c r="AH6" s="45">
        <v>1</v>
      </c>
      <c r="AI6" s="48">
        <v>5</v>
      </c>
      <c r="AJ6" s="65">
        <v>3</v>
      </c>
      <c r="AK6" s="56">
        <v>0.6</v>
      </c>
    </row>
    <row r="7" spans="1:37">
      <c r="A7" s="37" t="s">
        <v>14</v>
      </c>
      <c r="B7" s="41" t="s">
        <v>12</v>
      </c>
      <c r="C7" s="42" t="s">
        <v>12</v>
      </c>
      <c r="D7" s="40" t="s">
        <v>12</v>
      </c>
      <c r="E7" s="41" t="s">
        <v>12</v>
      </c>
      <c r="F7" s="42" t="s">
        <v>12</v>
      </c>
      <c r="G7" s="40" t="s">
        <v>12</v>
      </c>
      <c r="H7" s="41">
        <v>1</v>
      </c>
      <c r="I7" s="42">
        <v>1</v>
      </c>
      <c r="J7" s="40">
        <f t="shared" si="0"/>
        <v>1</v>
      </c>
      <c r="K7" s="41">
        <v>1</v>
      </c>
      <c r="L7" s="42">
        <v>1</v>
      </c>
      <c r="M7" s="45">
        <f t="shared" si="1"/>
        <v>1</v>
      </c>
      <c r="N7" s="41" t="s">
        <v>12</v>
      </c>
      <c r="O7" s="42" t="s">
        <v>12</v>
      </c>
      <c r="P7" s="40" t="s">
        <v>12</v>
      </c>
      <c r="Q7" s="41" t="s">
        <v>12</v>
      </c>
      <c r="R7" s="42" t="s">
        <v>12</v>
      </c>
      <c r="S7" s="40" t="s">
        <v>12</v>
      </c>
      <c r="T7" s="46" t="s">
        <v>12</v>
      </c>
      <c r="U7" s="42" t="s">
        <v>12</v>
      </c>
      <c r="V7" s="45" t="s">
        <v>12</v>
      </c>
      <c r="W7" s="41" t="s">
        <v>12</v>
      </c>
      <c r="X7" s="42" t="s">
        <v>12</v>
      </c>
      <c r="Y7" s="45" t="s">
        <v>12</v>
      </c>
      <c r="Z7" s="38">
        <v>1</v>
      </c>
      <c r="AA7" s="39">
        <v>1</v>
      </c>
      <c r="AB7" s="40">
        <v>1</v>
      </c>
      <c r="AC7" s="38">
        <v>1</v>
      </c>
      <c r="AD7" s="39">
        <v>1</v>
      </c>
      <c r="AE7" s="45">
        <v>1</v>
      </c>
      <c r="AF7" s="57" t="s">
        <v>12</v>
      </c>
      <c r="AG7" s="64" t="s">
        <v>12</v>
      </c>
      <c r="AH7" s="76" t="s">
        <v>12</v>
      </c>
      <c r="AI7" s="57" t="s">
        <v>12</v>
      </c>
      <c r="AJ7" s="64" t="s">
        <v>12</v>
      </c>
      <c r="AK7" s="73" t="s">
        <v>12</v>
      </c>
    </row>
    <row r="8" spans="1:37">
      <c r="A8" s="37" t="s">
        <v>15</v>
      </c>
      <c r="B8" s="41">
        <v>1</v>
      </c>
      <c r="C8" s="42">
        <v>1</v>
      </c>
      <c r="D8" s="40">
        <f>(C8/B8)</f>
        <v>1</v>
      </c>
      <c r="E8" s="41">
        <v>1</v>
      </c>
      <c r="F8" s="42">
        <v>1</v>
      </c>
      <c r="G8" s="40">
        <f t="shared" ref="G8" si="5">(F8/E8)</f>
        <v>1</v>
      </c>
      <c r="H8" s="41">
        <v>1</v>
      </c>
      <c r="I8" s="42">
        <v>1</v>
      </c>
      <c r="J8" s="40">
        <f t="shared" si="0"/>
        <v>1</v>
      </c>
      <c r="K8" s="41">
        <v>1</v>
      </c>
      <c r="L8" s="42">
        <v>1</v>
      </c>
      <c r="M8" s="45">
        <f t="shared" si="1"/>
        <v>1</v>
      </c>
      <c r="N8" s="41">
        <v>4</v>
      </c>
      <c r="O8" s="42">
        <v>3</v>
      </c>
      <c r="P8" s="40">
        <f t="shared" si="2"/>
        <v>0.75</v>
      </c>
      <c r="Q8" s="41">
        <v>4</v>
      </c>
      <c r="R8" s="42">
        <v>3</v>
      </c>
      <c r="S8" s="40">
        <f t="shared" si="3"/>
        <v>0.75</v>
      </c>
      <c r="T8" s="46">
        <v>2</v>
      </c>
      <c r="U8" s="42">
        <v>2</v>
      </c>
      <c r="V8" s="45">
        <f t="shared" si="4"/>
        <v>1</v>
      </c>
      <c r="W8" s="38">
        <v>2</v>
      </c>
      <c r="X8" s="39">
        <v>2</v>
      </c>
      <c r="Y8" s="45">
        <v>1</v>
      </c>
      <c r="Z8" s="38">
        <v>2</v>
      </c>
      <c r="AA8" s="39">
        <v>2</v>
      </c>
      <c r="AB8" s="40">
        <v>1</v>
      </c>
      <c r="AC8" s="38">
        <v>2</v>
      </c>
      <c r="AD8" s="39">
        <v>2</v>
      </c>
      <c r="AE8" s="45">
        <v>1</v>
      </c>
      <c r="AF8" s="38">
        <v>3</v>
      </c>
      <c r="AG8" s="39">
        <v>3</v>
      </c>
      <c r="AH8" s="45">
        <v>1</v>
      </c>
      <c r="AI8" s="38">
        <v>1</v>
      </c>
      <c r="AJ8" s="65">
        <v>1</v>
      </c>
      <c r="AK8" s="56">
        <v>1</v>
      </c>
    </row>
    <row r="9" spans="1:37">
      <c r="A9" s="4"/>
      <c r="B9" s="49"/>
      <c r="C9" s="49"/>
      <c r="D9" s="49"/>
      <c r="E9" s="50"/>
      <c r="F9" s="50"/>
      <c r="G9" s="4"/>
      <c r="H9" s="51"/>
      <c r="I9" s="51"/>
      <c r="J9" s="4"/>
      <c r="K9" s="51"/>
      <c r="L9" s="51"/>
      <c r="M9" s="4"/>
      <c r="N9" s="51"/>
      <c r="O9" s="51"/>
      <c r="P9" s="4"/>
      <c r="Q9" s="51"/>
      <c r="R9" s="51"/>
      <c r="S9" s="4"/>
      <c r="T9" s="4"/>
      <c r="U9" s="4"/>
      <c r="V9" s="4"/>
      <c r="W9" s="4"/>
      <c r="X9" s="4"/>
      <c r="Y9" s="6"/>
      <c r="Z9" s="4"/>
      <c r="AA9" s="4"/>
      <c r="AB9" s="6"/>
      <c r="AC9" s="4"/>
      <c r="AD9" s="4"/>
      <c r="AE9" s="4"/>
      <c r="AF9" s="4"/>
      <c r="AG9" s="4"/>
      <c r="AH9" s="4"/>
    </row>
    <row r="10" spans="1:37" ht="37">
      <c r="A10" s="52" t="s">
        <v>16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4"/>
      <c r="Z10" s="4"/>
      <c r="AA10" s="4"/>
      <c r="AB10" s="6"/>
      <c r="AC10" s="4"/>
      <c r="AD10" s="4"/>
      <c r="AE10" s="4"/>
      <c r="AF10" s="4"/>
      <c r="AG10" s="4"/>
      <c r="AH10" s="4"/>
    </row>
    <row r="11" spans="1:37" ht="30">
      <c r="A11" s="55" t="s">
        <v>19</v>
      </c>
      <c r="B11" s="49"/>
      <c r="C11" s="49"/>
      <c r="D11" s="49"/>
      <c r="E11" s="50"/>
      <c r="F11" s="50"/>
      <c r="G11" s="4"/>
      <c r="H11" s="51"/>
      <c r="I11" s="51"/>
      <c r="J11" s="4"/>
      <c r="K11" s="51"/>
      <c r="L11" s="51"/>
      <c r="M11" s="4"/>
      <c r="N11" s="51"/>
      <c r="O11" s="51"/>
      <c r="P11" s="4"/>
      <c r="Q11" s="51"/>
      <c r="R11" s="51"/>
      <c r="S11" s="4"/>
      <c r="T11" s="4"/>
      <c r="U11" s="4"/>
      <c r="V11" s="4"/>
      <c r="W11" s="4"/>
      <c r="X11" s="4"/>
      <c r="Y11" s="6"/>
      <c r="Z11" s="4"/>
      <c r="AA11" s="4"/>
      <c r="AB11" s="6"/>
      <c r="AC11" s="4"/>
      <c r="AD11" s="4"/>
      <c r="AE11" s="4"/>
      <c r="AF11" s="4"/>
      <c r="AG11" s="4"/>
      <c r="AH11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2011-11-30T23:40:17Z</dcterms:modified>
</cp:coreProperties>
</file>