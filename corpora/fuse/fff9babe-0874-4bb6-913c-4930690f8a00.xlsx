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60" windowWidth="12120" windowHeight="9120"/>
  </bookViews>
  <sheets>
    <sheet name="Model" sheetId="1" r:id="rId1"/>
  </sheets>
  <definedNames>
    <definedName name="_xlnm.Print_Area" localSheetId="0">Model!$A$1:$I$102</definedName>
  </definedNames>
  <calcPr calcId="125725"/>
</workbook>
</file>

<file path=xl/calcChain.xml><?xml version="1.0" encoding="utf-8"?>
<calcChain xmlns="http://schemas.openxmlformats.org/spreadsheetml/2006/main">
  <c r="E40" i="1"/>
  <c r="G40" s="1"/>
  <c r="E42" l="1"/>
  <c r="G42" s="1"/>
  <c r="E41"/>
  <c r="G41" s="1"/>
  <c r="E43"/>
  <c r="G43" s="1"/>
  <c r="H40"/>
  <c r="H41" s="1"/>
  <c r="H42" s="1"/>
  <c r="H43" l="1"/>
  <c r="E91" l="1"/>
  <c r="F91" s="1"/>
</calcChain>
</file>

<file path=xl/comments1.xml><?xml version="1.0" encoding="utf-8"?>
<comments xmlns="http://schemas.openxmlformats.org/spreadsheetml/2006/main">
  <authors>
    <author>Michael C. Ehrhardt</author>
  </authors>
  <commentList>
    <comment ref="G39" authorId="0">
      <text>
        <r>
          <rPr>
            <b/>
            <sz val="8"/>
            <color indexed="81"/>
            <rFont val="Tahoma"/>
            <family val="2"/>
          </rPr>
          <t>This differs slightly from the Powerpoint solution due to rounding in intermediate steps in the Powerpoint solution.</t>
        </r>
      </text>
    </comment>
    <comment ref="C89" authorId="0">
      <text>
        <r>
          <rPr>
            <b/>
            <sz val="8"/>
            <color indexed="81"/>
            <rFont val="Tahoma"/>
            <family val="2"/>
          </rPr>
          <t>This differs slightly from the Powerpoint solution due to rounding in intermediate steps in the Powerpoint solution.</t>
        </r>
      </text>
    </comment>
  </commentList>
</comments>
</file>

<file path=xl/sharedStrings.xml><?xml version="1.0" encoding="utf-8"?>
<sst xmlns="http://schemas.openxmlformats.org/spreadsheetml/2006/main" count="84" uniqueCount="72">
  <si>
    <t xml:space="preserve">Situation </t>
  </si>
  <si>
    <t>Analysis of New Expansion Project</t>
  </si>
  <si>
    <t>Part I:  Input Data</t>
  </si>
  <si>
    <t>Economic Life</t>
  </si>
  <si>
    <t>Salvage Value</t>
  </si>
  <si>
    <t>Tax Rate</t>
  </si>
  <si>
    <t>Cost of Capital</t>
  </si>
  <si>
    <t>Year</t>
  </si>
  <si>
    <t>%</t>
  </si>
  <si>
    <t>x</t>
  </si>
  <si>
    <t>Basis</t>
  </si>
  <si>
    <t>Depr.</t>
  </si>
  <si>
    <t xml:space="preserve"> =</t>
  </si>
  <si>
    <t>Operating Cash Flows</t>
  </si>
  <si>
    <t>Year 1</t>
  </si>
  <si>
    <t xml:space="preserve">Depreciation </t>
  </si>
  <si>
    <t>Taxes (40%)</t>
  </si>
  <si>
    <t>Year 4</t>
  </si>
  <si>
    <t>Projected Net Cash Flows</t>
  </si>
  <si>
    <t>Years</t>
  </si>
  <si>
    <t>Salvage Cash Flows</t>
  </si>
  <si>
    <t>Net Cash Flows</t>
  </si>
  <si>
    <t>NPV</t>
  </si>
  <si>
    <t>IRR</t>
  </si>
  <si>
    <t>TV =</t>
  </si>
  <si>
    <t>Units</t>
  </si>
  <si>
    <t>Units Sold</t>
  </si>
  <si>
    <t>Year 2</t>
  </si>
  <si>
    <t>Year 3</t>
  </si>
  <si>
    <t>Sales</t>
  </si>
  <si>
    <t>Costs</t>
  </si>
  <si>
    <t>Find MIRR</t>
  </si>
  <si>
    <t>PV=</t>
  </si>
  <si>
    <t>To find MIRR, we could now find the discount rate that equates the PV and TV.  But it is easier to use the MIRR function.</t>
  </si>
  <si>
    <t>MIRR =</t>
  </si>
  <si>
    <t>Sales Price Per Unit</t>
  </si>
  <si>
    <t>Incremental Cost Per Unit</t>
  </si>
  <si>
    <t>Unit price</t>
  </si>
  <si>
    <t>Unit cost</t>
  </si>
  <si>
    <t>Installation charge</t>
  </si>
  <si>
    <t xml:space="preserve">Depreciable Basis = </t>
  </si>
  <si>
    <t>Equipment cost</t>
  </si>
  <si>
    <t>Shipping charge</t>
  </si>
  <si>
    <t>Annual Operating Cash Flows</t>
  </si>
  <si>
    <t>Inflation rate</t>
  </si>
  <si>
    <t>Operating income before taxes (EBIT)</t>
  </si>
  <si>
    <t>Year 0</t>
  </si>
  <si>
    <t>CF due to investment in NOWC)</t>
  </si>
  <si>
    <t>After-tax Salvage Value</t>
  </si>
  <si>
    <t>Investment Outlay:  Long Term Assets</t>
  </si>
  <si>
    <t>Based on facts in case:</t>
  </si>
  <si>
    <t>Hypothetical: If sold after 3 years for</t>
  </si>
  <si>
    <t>Book value</t>
  </si>
  <si>
    <t>Gain or loss</t>
  </si>
  <si>
    <t>Remaining Book Value</t>
  </si>
  <si>
    <t>Key Output:  NPV  =</t>
  </si>
  <si>
    <t>Chapter 11 Mini Case</t>
  </si>
  <si>
    <t>Shrieves Casting Company is considering adding a new line to its product mix, and the capital budgeting analysis is being conducted by Sidney Johnson, a recently graduated MBA.  The production line would be set up in unused space in Shrieves' main plant.  The machinery’s invoice price would be approximately $200,000, another $10,000 in shipping charges would be required, and it would cost an additional $30,000 to install the equipment.  The machinery has an economic life of 4 years, and Shrieves has obtained a special tax ruling that places the equipment in the MACRS 3-year class.  The machinery is expected to have a salvage value of $25,000 after 4 years of use.</t>
  </si>
  <si>
    <t>The new line would generate incremental sales of 1,250 units per year for 4 years at an incremental cost of $100 per unit in the first year, excluding depreciation.  Each unit can be sold for $200 in the first year.  The sales price and cost are expected to increase by 3% per year due to inflation.  Further, to handle the new line, the firm’s net working capital would have to increase by an amount equal to 12% of sales revenues.  The firm’s tax rate is 40%, and its overall weighted average cost of capital is 10%.</t>
  </si>
  <si>
    <t>Depreciable Basis = Equipment + Freight + Installation</t>
  </si>
  <si>
    <t>NWC (% of sales)</t>
  </si>
  <si>
    <t>CF due to investment in NWC</t>
  </si>
  <si>
    <t>PV of Inflows</t>
  </si>
  <si>
    <t>TV of Inflows</t>
  </si>
  <si>
    <t>NWC/Sales</t>
  </si>
  <si>
    <r>
      <t xml:space="preserve">EBIT (1 </t>
    </r>
    <r>
      <rPr>
        <b/>
        <sz val="10"/>
        <rFont val="Calibri"/>
        <family val="2"/>
      </rPr>
      <t>–</t>
    </r>
    <r>
      <rPr>
        <b/>
        <sz val="10"/>
        <rFont val="Times New Roman"/>
        <family val="1"/>
      </rPr>
      <t xml:space="preserve"> T)</t>
    </r>
  </si>
  <si>
    <t>e.  Estimate the required net working capital for each year, and the cash flow due to investments in net working 
     capital.</t>
  </si>
  <si>
    <t>Annual Cash Flows due to Investments in Net Working Capital</t>
  </si>
  <si>
    <t>Salvage value</t>
  </si>
  <si>
    <t>Tax on salvage value</t>
  </si>
  <si>
    <t>Net terminal cash flow</t>
  </si>
  <si>
    <t>Net operating CF</t>
  </si>
</sst>
</file>

<file path=xl/styles.xml><?xml version="1.0" encoding="utf-8"?>
<styleSheet xmlns="http://schemas.openxmlformats.org/spreadsheetml/2006/main">
  <numFmts count="7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0.0%"/>
    <numFmt numFmtId="170" formatCode="0.00_);[Red]\(0.00\)"/>
    <numFmt numFmtId="171" formatCode="#,##0;[Red]#,##0"/>
  </numFmts>
  <fonts count="14">
    <font>
      <sz val="10"/>
      <name val="Arial"/>
    </font>
    <font>
      <b/>
      <sz val="10"/>
      <name val="Times New Roman"/>
      <family val="1"/>
    </font>
    <font>
      <b/>
      <sz val="12"/>
      <color indexed="16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2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8"/>
      <name val="Times New Roman"/>
      <family val="1"/>
    </font>
    <font>
      <b/>
      <i/>
      <sz val="10"/>
      <color indexed="60"/>
      <name val="Times New Roman"/>
      <family val="1"/>
    </font>
    <font>
      <b/>
      <sz val="10"/>
      <color indexed="10"/>
      <name val="Times New Roman"/>
      <family val="1"/>
    </font>
    <font>
      <b/>
      <sz val="8"/>
      <color indexed="81"/>
      <name val="Tahoma"/>
      <family val="2"/>
    </font>
    <font>
      <b/>
      <sz val="12"/>
      <color indexed="60"/>
      <name val="Times New Roman"/>
      <family val="1"/>
    </font>
    <font>
      <b/>
      <u val="doubleAccounting"/>
      <sz val="10"/>
      <name val="Times New Roman"/>
      <family val="1"/>
    </font>
    <font>
      <b/>
      <sz val="10"/>
      <color indexed="62"/>
      <name val="Times New Roman"/>
      <family val="1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6" fontId="1" fillId="0" borderId="0" xfId="0" applyNumberFormat="1" applyFont="1"/>
    <xf numFmtId="0" fontId="1" fillId="0" borderId="0" xfId="0" applyFont="1" applyAlignment="1">
      <alignment horizontal="center"/>
    </xf>
    <xf numFmtId="0" fontId="5" fillId="0" borderId="0" xfId="0" applyFont="1"/>
    <xf numFmtId="164" fontId="4" fillId="0" borderId="0" xfId="0" applyNumberFormat="1" applyFont="1"/>
    <xf numFmtId="37" fontId="6" fillId="0" borderId="0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37" fontId="1" fillId="0" borderId="0" xfId="0" applyNumberFormat="1" applyFont="1" applyFill="1" applyBorder="1" applyAlignment="1">
      <alignment horizontal="center"/>
    </xf>
    <xf numFmtId="0" fontId="8" fillId="2" borderId="1" xfId="0" applyFont="1" applyFill="1" applyBorder="1"/>
    <xf numFmtId="0" fontId="8" fillId="2" borderId="2" xfId="0" applyFont="1" applyFill="1" applyBorder="1"/>
    <xf numFmtId="1" fontId="6" fillId="0" borderId="3" xfId="0" applyNumberFormat="1" applyFont="1" applyFill="1" applyBorder="1" applyAlignment="1">
      <alignment horizontal="center"/>
    </xf>
    <xf numFmtId="164" fontId="4" fillId="0" borderId="0" xfId="0" applyNumberFormat="1" applyFont="1" applyFill="1" applyBorder="1"/>
    <xf numFmtId="0" fontId="1" fillId="0" borderId="0" xfId="0" applyFont="1" applyFill="1" applyBorder="1"/>
    <xf numFmtId="0" fontId="7" fillId="0" borderId="0" xfId="0" applyFont="1" applyAlignment="1">
      <alignment horizontal="center"/>
    </xf>
    <xf numFmtId="14" fontId="1" fillId="0" borderId="0" xfId="0" applyNumberFormat="1" applyFont="1"/>
    <xf numFmtId="0" fontId="1" fillId="0" borderId="0" xfId="0" applyFont="1" applyBorder="1"/>
    <xf numFmtId="0" fontId="1" fillId="0" borderId="2" xfId="0" applyFont="1" applyBorder="1"/>
    <xf numFmtId="0" fontId="10" fillId="0" borderId="0" xfId="0" applyFont="1"/>
    <xf numFmtId="0" fontId="1" fillId="0" borderId="0" xfId="0" applyFont="1" applyAlignment="1">
      <alignment horizontal="right"/>
    </xf>
    <xf numFmtId="6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8" fontId="12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5" fillId="0" borderId="0" xfId="0" applyFont="1" applyFill="1" applyBorder="1"/>
    <xf numFmtId="0" fontId="0" fillId="0" borderId="0" xfId="0" applyFill="1" applyBorder="1"/>
    <xf numFmtId="6" fontId="4" fillId="0" borderId="0" xfId="0" applyNumberFormat="1" applyFont="1" applyFill="1" applyBorder="1" applyAlignment="1">
      <alignment horizontal="right"/>
    </xf>
    <xf numFmtId="6" fontId="1" fillId="0" borderId="0" xfId="0" applyNumberFormat="1" applyFont="1" applyFill="1" applyBorder="1"/>
    <xf numFmtId="0" fontId="5" fillId="0" borderId="0" xfId="0" applyFont="1" applyAlignment="1"/>
    <xf numFmtId="0" fontId="2" fillId="0" borderId="0" xfId="0" quotePrefix="1" applyFont="1" applyAlignment="1">
      <alignment horizontal="left"/>
    </xf>
    <xf numFmtId="0" fontId="1" fillId="0" borderId="0" xfId="0" applyFont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6" fontId="5" fillId="0" borderId="0" xfId="0" applyNumberFormat="1" applyFont="1" applyFill="1" applyBorder="1" applyAlignment="1">
      <alignment horizontal="center"/>
    </xf>
    <xf numFmtId="37" fontId="6" fillId="3" borderId="8" xfId="0" applyNumberFormat="1" applyFont="1" applyFill="1" applyBorder="1"/>
    <xf numFmtId="5" fontId="5" fillId="3" borderId="5" xfId="0" applyNumberFormat="1" applyFont="1" applyFill="1" applyBorder="1"/>
    <xf numFmtId="3" fontId="4" fillId="0" borderId="0" xfId="0" applyNumberFormat="1" applyFont="1" applyAlignment="1">
      <alignment horizontal="right"/>
    </xf>
    <xf numFmtId="38" fontId="5" fillId="0" borderId="0" xfId="0" applyNumberFormat="1" applyFont="1" applyFill="1" applyBorder="1" applyAlignment="1">
      <alignment horizontal="center"/>
    </xf>
    <xf numFmtId="38" fontId="1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3" fontId="11" fillId="0" borderId="0" xfId="0" applyNumberFormat="1" applyFont="1" applyBorder="1"/>
    <xf numFmtId="6" fontId="4" fillId="0" borderId="3" xfId="0" applyNumberFormat="1" applyFont="1" applyBorder="1"/>
    <xf numFmtId="38" fontId="0" fillId="0" borderId="0" xfId="0" applyNumberFormat="1"/>
    <xf numFmtId="38" fontId="7" fillId="0" borderId="0" xfId="0" applyNumberFormat="1" applyFont="1" applyAlignment="1">
      <alignment horizontal="left"/>
    </xf>
    <xf numFmtId="0" fontId="1" fillId="0" borderId="2" xfId="0" applyFont="1" applyFill="1" applyBorder="1" applyAlignment="1">
      <alignment horizontal="center"/>
    </xf>
    <xf numFmtId="170" fontId="1" fillId="0" borderId="0" xfId="0" applyNumberFormat="1" applyFont="1"/>
    <xf numFmtId="171" fontId="5" fillId="0" borderId="0" xfId="0" applyNumberFormat="1" applyFont="1" applyFill="1" applyBorder="1" applyAlignment="1">
      <alignment horizontal="center"/>
    </xf>
    <xf numFmtId="0" fontId="1" fillId="0" borderId="0" xfId="0" applyFont="1" applyBorder="1" applyAlignment="1">
      <alignment wrapText="1"/>
    </xf>
    <xf numFmtId="0" fontId="1" fillId="2" borderId="11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5" fillId="0" borderId="0" xfId="0" applyFont="1" applyAlignment="1">
      <alignment wrapText="1"/>
    </xf>
    <xf numFmtId="37" fontId="6" fillId="0" borderId="2" xfId="0" applyNumberFormat="1" applyFont="1" applyBorder="1" applyAlignment="1">
      <alignment horizontal="center"/>
    </xf>
    <xf numFmtId="0" fontId="1" fillId="0" borderId="7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5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5" fontId="5" fillId="3" borderId="6" xfId="0" applyNumberFormat="1" applyFont="1" applyFill="1" applyBorder="1"/>
    <xf numFmtId="6" fontId="4" fillId="0" borderId="6" xfId="0" applyNumberFormat="1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3" fontId="12" fillId="0" borderId="6" xfId="0" applyNumberFormat="1" applyFont="1" applyBorder="1" applyAlignment="1">
      <alignment horizontal="right"/>
    </xf>
    <xf numFmtId="8" fontId="12" fillId="0" borderId="6" xfId="0" applyNumberFormat="1" applyFont="1" applyBorder="1" applyAlignment="1">
      <alignment horizontal="right"/>
    </xf>
    <xf numFmtId="6" fontId="5" fillId="0" borderId="6" xfId="0" applyNumberFormat="1" applyFont="1" applyBorder="1" applyAlignment="1">
      <alignment horizontal="right"/>
    </xf>
    <xf numFmtId="38" fontId="5" fillId="0" borderId="6" xfId="0" applyNumberFormat="1" applyFont="1" applyBorder="1" applyAlignment="1">
      <alignment horizontal="right"/>
    </xf>
    <xf numFmtId="6" fontId="1" fillId="0" borderId="6" xfId="0" applyNumberFormat="1" applyFont="1" applyBorder="1"/>
    <xf numFmtId="6" fontId="1" fillId="0" borderId="4" xfId="0" applyNumberFormat="1" applyFont="1" applyBorder="1"/>
    <xf numFmtId="38" fontId="1" fillId="0" borderId="6" xfId="0" applyNumberFormat="1" applyFont="1" applyBorder="1"/>
    <xf numFmtId="6" fontId="5" fillId="0" borderId="6" xfId="0" applyNumberFormat="1" applyFont="1" applyBorder="1"/>
    <xf numFmtId="38" fontId="5" fillId="0" borderId="6" xfId="0" applyNumberFormat="1" applyFont="1" applyBorder="1"/>
    <xf numFmtId="38" fontId="1" fillId="0" borderId="0" xfId="0" applyNumberFormat="1" applyFont="1" applyBorder="1"/>
    <xf numFmtId="38" fontId="1" fillId="0" borderId="4" xfId="0" applyNumberFormat="1" applyFont="1" applyBorder="1"/>
    <xf numFmtId="6" fontId="4" fillId="2" borderId="6" xfId="0" applyNumberFormat="1" applyFont="1" applyFill="1" applyBorder="1"/>
    <xf numFmtId="165" fontId="4" fillId="2" borderId="6" xfId="0" applyNumberFormat="1" applyFont="1" applyFill="1" applyBorder="1"/>
    <xf numFmtId="165" fontId="8" fillId="2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94</xdr:row>
      <xdr:rowOff>9525</xdr:rowOff>
    </xdr:from>
    <xdr:to>
      <xdr:col>5</xdr:col>
      <xdr:colOff>285750</xdr:colOff>
      <xdr:row>96</xdr:row>
      <xdr:rowOff>85725</xdr:rowOff>
    </xdr:to>
    <xdr:sp macro="" textlink="">
      <xdr:nvSpPr>
        <xdr:cNvPr id="33799" name="Line 4"/>
        <xdr:cNvSpPr>
          <a:spLocks noChangeShapeType="1"/>
        </xdr:cNvSpPr>
      </xdr:nvSpPr>
      <xdr:spPr bwMode="auto">
        <a:xfrm>
          <a:off x="3695700" y="20745450"/>
          <a:ext cx="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285750</xdr:colOff>
      <xdr:row>96</xdr:row>
      <xdr:rowOff>76200</xdr:rowOff>
    </xdr:from>
    <xdr:to>
      <xdr:col>7</xdr:col>
      <xdr:colOff>590550</xdr:colOff>
      <xdr:row>96</xdr:row>
      <xdr:rowOff>76200</xdr:rowOff>
    </xdr:to>
    <xdr:sp macro="" textlink="">
      <xdr:nvSpPr>
        <xdr:cNvPr id="33800" name="Line 5"/>
        <xdr:cNvSpPr>
          <a:spLocks noChangeShapeType="1"/>
        </xdr:cNvSpPr>
      </xdr:nvSpPr>
      <xdr:spPr bwMode="auto">
        <a:xfrm>
          <a:off x="3695700" y="21135975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6</xdr:col>
      <xdr:colOff>304800</xdr:colOff>
      <xdr:row>94</xdr:row>
      <xdr:rowOff>9525</xdr:rowOff>
    </xdr:from>
    <xdr:to>
      <xdr:col>6</xdr:col>
      <xdr:colOff>304800</xdr:colOff>
      <xdr:row>95</xdr:row>
      <xdr:rowOff>85725</xdr:rowOff>
    </xdr:to>
    <xdr:sp macro="" textlink="">
      <xdr:nvSpPr>
        <xdr:cNvPr id="33801" name="Line 6"/>
        <xdr:cNvSpPr>
          <a:spLocks noChangeShapeType="1"/>
        </xdr:cNvSpPr>
      </xdr:nvSpPr>
      <xdr:spPr bwMode="auto">
        <a:xfrm>
          <a:off x="4457700" y="20745450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295275</xdr:colOff>
      <xdr:row>95</xdr:row>
      <xdr:rowOff>85725</xdr:rowOff>
    </xdr:from>
    <xdr:to>
      <xdr:col>7</xdr:col>
      <xdr:colOff>590550</xdr:colOff>
      <xdr:row>95</xdr:row>
      <xdr:rowOff>85725</xdr:rowOff>
    </xdr:to>
    <xdr:sp macro="" textlink="">
      <xdr:nvSpPr>
        <xdr:cNvPr id="33802" name="Line 7"/>
        <xdr:cNvSpPr>
          <a:spLocks noChangeShapeType="1"/>
        </xdr:cNvSpPr>
      </xdr:nvSpPr>
      <xdr:spPr bwMode="auto">
        <a:xfrm>
          <a:off x="4448175" y="20983575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323850</xdr:colOff>
      <xdr:row>94</xdr:row>
      <xdr:rowOff>0</xdr:rowOff>
    </xdr:from>
    <xdr:to>
      <xdr:col>7</xdr:col>
      <xdr:colOff>323850</xdr:colOff>
      <xdr:row>94</xdr:row>
      <xdr:rowOff>114300</xdr:rowOff>
    </xdr:to>
    <xdr:sp macro="" textlink="">
      <xdr:nvSpPr>
        <xdr:cNvPr id="33803" name="Line 10"/>
        <xdr:cNvSpPr>
          <a:spLocks noChangeShapeType="1"/>
        </xdr:cNvSpPr>
      </xdr:nvSpPr>
      <xdr:spPr bwMode="auto">
        <a:xfrm>
          <a:off x="5153025" y="20735925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323850</xdr:colOff>
      <xdr:row>94</xdr:row>
      <xdr:rowOff>114300</xdr:rowOff>
    </xdr:from>
    <xdr:to>
      <xdr:col>7</xdr:col>
      <xdr:colOff>581025</xdr:colOff>
      <xdr:row>94</xdr:row>
      <xdr:rowOff>114300</xdr:rowOff>
    </xdr:to>
    <xdr:sp macro="" textlink="">
      <xdr:nvSpPr>
        <xdr:cNvPr id="33804" name="Line 11"/>
        <xdr:cNvSpPr>
          <a:spLocks noChangeShapeType="1"/>
        </xdr:cNvSpPr>
      </xdr:nvSpPr>
      <xdr:spPr bwMode="auto">
        <a:xfrm>
          <a:off x="5153025" y="2085022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4</xdr:col>
      <xdr:colOff>76200</xdr:colOff>
      <xdr:row>102</xdr:row>
      <xdr:rowOff>0</xdr:rowOff>
    </xdr:from>
    <xdr:to>
      <xdr:col>4</xdr:col>
      <xdr:colOff>152400</xdr:colOff>
      <xdr:row>103</xdr:row>
      <xdr:rowOff>38100</xdr:rowOff>
    </xdr:to>
    <xdr:sp macro="" textlink="">
      <xdr:nvSpPr>
        <xdr:cNvPr id="33901" name="Text Box 177"/>
        <xdr:cNvSpPr txBox="1">
          <a:spLocks noChangeArrowheads="1"/>
        </xdr:cNvSpPr>
      </xdr:nvSpPr>
      <xdr:spPr bwMode="auto">
        <a:xfrm>
          <a:off x="2819400" y="470058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topLeftCell="A89" zoomScaleNormal="100" zoomScaleSheetLayoutView="100" workbookViewId="0">
      <selection activeCell="C101" sqref="C101"/>
    </sheetView>
  </sheetViews>
  <sheetFormatPr defaultRowHeight="12.75"/>
  <cols>
    <col min="1" max="1" width="10.7109375" customWidth="1"/>
    <col min="3" max="3" width="10.5703125" customWidth="1"/>
    <col min="4" max="4" width="10.7109375" customWidth="1"/>
    <col min="5" max="5" width="10" customWidth="1"/>
    <col min="6" max="6" width="11.140625" customWidth="1"/>
    <col min="7" max="7" width="10.140625" customWidth="1"/>
    <col min="8" max="8" width="9.42578125" customWidth="1"/>
    <col min="10" max="10" width="2.5703125" customWidth="1"/>
  </cols>
  <sheetData>
    <row r="1" spans="1:11">
      <c r="A1" s="1"/>
      <c r="B1" s="1"/>
      <c r="C1" s="1"/>
      <c r="D1" s="1"/>
      <c r="E1" s="1"/>
      <c r="F1" s="1"/>
      <c r="G1" s="1"/>
      <c r="I1" s="17">
        <v>40279</v>
      </c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>
      <c r="A3" s="1"/>
      <c r="B3" s="1"/>
      <c r="C3" s="1"/>
      <c r="D3" s="32" t="s">
        <v>56</v>
      </c>
      <c r="E3" s="2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3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8" t="s">
        <v>57</v>
      </c>
      <c r="B6" s="58"/>
      <c r="C6" s="58"/>
      <c r="D6" s="58"/>
      <c r="E6" s="58"/>
      <c r="F6" s="58"/>
      <c r="G6" s="58"/>
      <c r="H6" s="58"/>
      <c r="I6" s="58"/>
      <c r="J6" s="6"/>
      <c r="K6" s="1"/>
    </row>
    <row r="7" spans="1:11">
      <c r="A7" s="58"/>
      <c r="B7" s="58"/>
      <c r="C7" s="58"/>
      <c r="D7" s="58"/>
      <c r="E7" s="58"/>
      <c r="F7" s="58"/>
      <c r="G7" s="58"/>
      <c r="H7" s="58"/>
      <c r="I7" s="58"/>
      <c r="J7" s="6"/>
      <c r="K7" s="1"/>
    </row>
    <row r="8" spans="1:11">
      <c r="A8" s="58"/>
      <c r="B8" s="58"/>
      <c r="C8" s="58"/>
      <c r="D8" s="58"/>
      <c r="E8" s="58"/>
      <c r="F8" s="58"/>
      <c r="G8" s="58"/>
      <c r="H8" s="58"/>
      <c r="I8" s="58"/>
      <c r="J8" s="6"/>
      <c r="K8" s="1"/>
    </row>
    <row r="9" spans="1:11">
      <c r="A9" s="58"/>
      <c r="B9" s="58"/>
      <c r="C9" s="58"/>
      <c r="D9" s="58"/>
      <c r="E9" s="58"/>
      <c r="F9" s="58"/>
      <c r="G9" s="58"/>
      <c r="H9" s="58"/>
      <c r="I9" s="58"/>
      <c r="J9" s="6"/>
      <c r="K9" s="1"/>
    </row>
    <row r="10" spans="1:11">
      <c r="A10" s="58"/>
      <c r="B10" s="58"/>
      <c r="C10" s="58"/>
      <c r="D10" s="58"/>
      <c r="E10" s="58"/>
      <c r="F10" s="58"/>
      <c r="G10" s="58"/>
      <c r="H10" s="58"/>
      <c r="I10" s="58"/>
      <c r="J10" s="6"/>
      <c r="K10" s="1"/>
    </row>
    <row r="11" spans="1:11" ht="27.75" customHeight="1">
      <c r="A11" s="58"/>
      <c r="B11" s="58"/>
      <c r="C11" s="58"/>
      <c r="D11" s="58"/>
      <c r="E11" s="58"/>
      <c r="F11" s="58"/>
      <c r="G11" s="58"/>
      <c r="H11" s="58"/>
      <c r="I11" s="58"/>
      <c r="J11" s="6"/>
      <c r="K11" s="1"/>
    </row>
    <row r="12" spans="1:11">
      <c r="A12" s="6"/>
      <c r="B12" s="6"/>
      <c r="C12" s="6"/>
      <c r="D12" s="6"/>
      <c r="E12" s="6"/>
      <c r="F12" s="6"/>
      <c r="G12" s="6"/>
      <c r="H12" s="6"/>
      <c r="I12" s="6"/>
      <c r="J12" s="6"/>
      <c r="K12" s="1"/>
    </row>
    <row r="13" spans="1:11">
      <c r="A13" s="54" t="s">
        <v>58</v>
      </c>
      <c r="B13" s="54"/>
      <c r="C13" s="54"/>
      <c r="D13" s="54"/>
      <c r="E13" s="54"/>
      <c r="F13" s="54"/>
      <c r="G13" s="54"/>
      <c r="H13" s="54"/>
      <c r="I13" s="54"/>
      <c r="J13" s="6"/>
      <c r="K13" s="1"/>
    </row>
    <row r="14" spans="1:11">
      <c r="A14" s="54"/>
      <c r="B14" s="54"/>
      <c r="C14" s="54"/>
      <c r="D14" s="54"/>
      <c r="E14" s="54"/>
      <c r="F14" s="54"/>
      <c r="G14" s="54"/>
      <c r="H14" s="54"/>
      <c r="I14" s="54"/>
      <c r="J14" s="6"/>
      <c r="K14" s="1"/>
    </row>
    <row r="15" spans="1:11">
      <c r="A15" s="54"/>
      <c r="B15" s="54"/>
      <c r="C15" s="54"/>
      <c r="D15" s="54"/>
      <c r="E15" s="54"/>
      <c r="F15" s="54"/>
      <c r="G15" s="54"/>
      <c r="H15" s="54"/>
      <c r="I15" s="54"/>
      <c r="J15" s="6"/>
      <c r="K15" s="1"/>
    </row>
    <row r="16" spans="1:11">
      <c r="A16" s="54"/>
      <c r="B16" s="54"/>
      <c r="C16" s="54"/>
      <c r="D16" s="54"/>
      <c r="E16" s="54"/>
      <c r="F16" s="54"/>
      <c r="G16" s="54"/>
      <c r="H16" s="54"/>
      <c r="I16" s="54"/>
      <c r="J16" s="6"/>
      <c r="K16" s="1"/>
    </row>
    <row r="17" spans="1:11">
      <c r="A17" s="54"/>
      <c r="B17" s="54"/>
      <c r="C17" s="54"/>
      <c r="D17" s="54"/>
      <c r="E17" s="54"/>
      <c r="F17" s="54"/>
      <c r="G17" s="54"/>
      <c r="H17" s="54"/>
      <c r="I17" s="54"/>
      <c r="J17" s="6"/>
      <c r="K17" s="1"/>
    </row>
    <row r="18" spans="1:11">
      <c r="A18" s="31"/>
      <c r="B18" s="31"/>
      <c r="C18" s="31"/>
      <c r="D18" s="31"/>
      <c r="E18" s="31"/>
      <c r="F18" s="31"/>
      <c r="G18" s="31"/>
      <c r="H18" s="31"/>
      <c r="I18" s="31"/>
      <c r="J18" s="6"/>
      <c r="K18" s="1"/>
    </row>
    <row r="19" spans="1:11">
      <c r="J19" s="1"/>
      <c r="K19" s="1"/>
    </row>
    <row r="20" spans="1:11">
      <c r="A20" s="3" t="s">
        <v>1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6" t="s">
        <v>2</v>
      </c>
      <c r="B21" s="1"/>
      <c r="C21" s="1"/>
      <c r="D21" s="1"/>
      <c r="E21" s="1"/>
      <c r="K21" s="1"/>
    </row>
    <row r="22" spans="1:11">
      <c r="A22" s="6"/>
      <c r="B22" s="1"/>
      <c r="C22" s="1"/>
      <c r="D22" s="1"/>
      <c r="E22" s="1"/>
      <c r="F22" s="1"/>
      <c r="K22" s="1"/>
    </row>
    <row r="23" spans="1:11">
      <c r="A23" s="1" t="s">
        <v>41</v>
      </c>
      <c r="B23" s="1"/>
      <c r="D23" s="7">
        <v>200000</v>
      </c>
      <c r="E23" s="1"/>
      <c r="F23" s="36" t="s">
        <v>55</v>
      </c>
      <c r="G23" s="37"/>
      <c r="H23" s="60"/>
      <c r="K23" s="1"/>
    </row>
    <row r="24" spans="1:11">
      <c r="A24" s="1" t="s">
        <v>42</v>
      </c>
      <c r="B24" s="1"/>
      <c r="D24" s="7">
        <v>10000</v>
      </c>
      <c r="E24" s="1"/>
      <c r="F24" s="1"/>
      <c r="K24" s="1"/>
    </row>
    <row r="25" spans="1:11">
      <c r="A25" s="1" t="s">
        <v>39</v>
      </c>
      <c r="B25" s="1"/>
      <c r="D25" s="7">
        <v>30000</v>
      </c>
      <c r="E25" s="1"/>
      <c r="F25" s="1"/>
      <c r="K25" s="1"/>
    </row>
    <row r="26" spans="1:11">
      <c r="A26" s="1" t="s">
        <v>3</v>
      </c>
      <c r="B26" s="1"/>
      <c r="C26" s="1"/>
      <c r="D26" s="23">
        <v>4</v>
      </c>
      <c r="E26" s="1"/>
      <c r="F26" s="1"/>
      <c r="K26" s="1"/>
    </row>
    <row r="27" spans="1:11">
      <c r="A27" s="1" t="s">
        <v>4</v>
      </c>
      <c r="B27" s="1"/>
      <c r="C27" s="1"/>
      <c r="D27" s="22">
        <v>25000</v>
      </c>
      <c r="E27" s="1"/>
      <c r="F27" s="27"/>
      <c r="G27" s="15"/>
      <c r="H27" s="15"/>
      <c r="I27" s="28"/>
      <c r="K27" s="1"/>
    </row>
    <row r="28" spans="1:11">
      <c r="A28" s="1" t="s">
        <v>5</v>
      </c>
      <c r="B28" s="1"/>
      <c r="C28" s="1"/>
      <c r="D28" s="24">
        <v>0.4</v>
      </c>
      <c r="E28" s="1"/>
      <c r="F28" s="15"/>
      <c r="G28" s="15"/>
      <c r="H28" s="14"/>
      <c r="I28" s="28"/>
      <c r="K28" s="1"/>
    </row>
    <row r="29" spans="1:11">
      <c r="A29" s="1" t="s">
        <v>6</v>
      </c>
      <c r="B29" s="1"/>
      <c r="C29" s="1"/>
      <c r="D29" s="24">
        <v>0.1</v>
      </c>
      <c r="E29" s="1"/>
      <c r="F29" s="30"/>
      <c r="G29" s="15"/>
      <c r="H29" s="14"/>
      <c r="I29" s="28"/>
      <c r="K29" s="1"/>
    </row>
    <row r="30" spans="1:11">
      <c r="A30" s="1" t="s">
        <v>26</v>
      </c>
      <c r="B30" s="1"/>
      <c r="C30" s="1"/>
      <c r="D30" s="38">
        <v>1250</v>
      </c>
      <c r="E30" s="1"/>
      <c r="F30" s="15"/>
      <c r="G30" s="15"/>
      <c r="H30" s="14"/>
      <c r="I30" s="28"/>
      <c r="J30" s="1"/>
      <c r="K30" s="1"/>
    </row>
    <row r="31" spans="1:11">
      <c r="A31" s="1" t="s">
        <v>35</v>
      </c>
      <c r="B31" s="1"/>
      <c r="C31" s="1"/>
      <c r="D31" s="22">
        <v>200</v>
      </c>
      <c r="E31" s="1"/>
      <c r="F31" s="15"/>
      <c r="G31" s="15"/>
      <c r="H31" s="14"/>
      <c r="I31" s="28"/>
      <c r="J31" s="1"/>
      <c r="K31" s="1"/>
    </row>
    <row r="32" spans="1:11">
      <c r="A32" s="1" t="s">
        <v>36</v>
      </c>
      <c r="B32" s="1"/>
      <c r="C32" s="1"/>
      <c r="D32" s="22">
        <v>100</v>
      </c>
      <c r="E32" s="1"/>
      <c r="F32" s="15"/>
      <c r="G32" s="15"/>
      <c r="H32" s="15"/>
      <c r="I32" s="15"/>
      <c r="J32" s="1"/>
      <c r="K32" s="1"/>
    </row>
    <row r="33" spans="1:11">
      <c r="A33" s="1" t="s">
        <v>64</v>
      </c>
      <c r="B33" s="1"/>
      <c r="C33" s="1"/>
      <c r="D33" s="24">
        <v>0.12</v>
      </c>
      <c r="E33" s="1"/>
      <c r="F33" s="15"/>
      <c r="G33" s="15"/>
      <c r="H33" s="15"/>
      <c r="I33" s="15"/>
      <c r="J33" s="1"/>
      <c r="K33" s="1"/>
    </row>
    <row r="34" spans="1:11">
      <c r="A34" s="1" t="s">
        <v>44</v>
      </c>
      <c r="D34" s="24">
        <v>0.03</v>
      </c>
      <c r="E34" s="1"/>
      <c r="F34" s="15"/>
      <c r="G34" s="15"/>
      <c r="H34" s="15"/>
      <c r="I34" s="29"/>
      <c r="J34" s="1"/>
      <c r="K34" s="1"/>
    </row>
    <row r="35" spans="1:11">
      <c r="E35" s="1"/>
      <c r="F35" s="15"/>
      <c r="G35" s="15"/>
      <c r="H35" s="15"/>
      <c r="I35" s="29"/>
      <c r="J35" s="1"/>
      <c r="K35" s="1"/>
    </row>
    <row r="36" spans="1:11">
      <c r="A36" s="1" t="s">
        <v>59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 t="s">
        <v>40</v>
      </c>
      <c r="B37" s="1"/>
      <c r="C37" s="61"/>
      <c r="E37" s="1"/>
      <c r="F37" s="1"/>
      <c r="G37" s="1"/>
      <c r="H37" s="1"/>
      <c r="I37" s="1"/>
      <c r="J37" s="1"/>
      <c r="K37" s="1"/>
    </row>
    <row r="38" spans="1:11">
      <c r="A38" s="6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38.25" customHeight="1" thickBot="1">
      <c r="A39" s="1"/>
      <c r="B39" s="47" t="s">
        <v>7</v>
      </c>
      <c r="C39" s="47" t="s">
        <v>8</v>
      </c>
      <c r="D39" s="47" t="s">
        <v>9</v>
      </c>
      <c r="E39" s="47" t="s">
        <v>10</v>
      </c>
      <c r="F39" s="47" t="s">
        <v>12</v>
      </c>
      <c r="G39" s="47" t="s">
        <v>11</v>
      </c>
      <c r="H39" s="42" t="s">
        <v>54</v>
      </c>
      <c r="I39" s="1"/>
      <c r="J39" s="1"/>
      <c r="K39" s="1"/>
    </row>
    <row r="40" spans="1:11">
      <c r="A40" s="1"/>
      <c r="B40" s="34">
        <v>1</v>
      </c>
      <c r="C40" s="34">
        <v>0.33</v>
      </c>
      <c r="D40" s="34"/>
      <c r="E40" s="35">
        <f>C37</f>
        <v>0</v>
      </c>
      <c r="F40" s="34"/>
      <c r="G40" s="35">
        <f>C40*E40</f>
        <v>0</v>
      </c>
      <c r="H40" s="35">
        <f>C37-G40</f>
        <v>0</v>
      </c>
      <c r="I40" s="1"/>
      <c r="J40" s="1"/>
      <c r="K40" s="1"/>
    </row>
    <row r="41" spans="1:11">
      <c r="A41" s="1"/>
      <c r="B41" s="34">
        <v>2</v>
      </c>
      <c r="C41" s="34">
        <v>0.45</v>
      </c>
      <c r="D41" s="34"/>
      <c r="E41" s="49">
        <f>C37</f>
        <v>0</v>
      </c>
      <c r="F41" s="34"/>
      <c r="G41" s="39">
        <f>C41*E41</f>
        <v>0</v>
      </c>
      <c r="H41" s="49">
        <f>H40-G41</f>
        <v>0</v>
      </c>
      <c r="I41" s="1"/>
      <c r="J41" s="1"/>
      <c r="K41" s="1"/>
    </row>
    <row r="42" spans="1:11">
      <c r="A42" s="1"/>
      <c r="B42" s="34">
        <v>3</v>
      </c>
      <c r="C42" s="34">
        <v>0.15</v>
      </c>
      <c r="D42" s="34"/>
      <c r="E42" s="49">
        <f>C37</f>
        <v>0</v>
      </c>
      <c r="F42" s="34"/>
      <c r="G42" s="39">
        <f>C42*E42</f>
        <v>0</v>
      </c>
      <c r="H42" s="49">
        <f>H41-G42</f>
        <v>0</v>
      </c>
      <c r="I42" s="1"/>
      <c r="J42" s="1"/>
      <c r="K42" s="1"/>
    </row>
    <row r="43" spans="1:11">
      <c r="A43" s="1"/>
      <c r="B43" s="34">
        <v>4</v>
      </c>
      <c r="C43" s="34">
        <v>7.0000000000000007E-2</v>
      </c>
      <c r="D43" s="34"/>
      <c r="E43" s="49">
        <f>C37</f>
        <v>0</v>
      </c>
      <c r="F43" s="34"/>
      <c r="G43" s="39">
        <f>C43*E43</f>
        <v>0</v>
      </c>
      <c r="H43" s="49">
        <f>H42-G43</f>
        <v>0</v>
      </c>
      <c r="I43" s="1"/>
      <c r="J43" s="1"/>
      <c r="K43" s="1"/>
    </row>
    <row r="44" spans="1:11">
      <c r="A44" s="1"/>
      <c r="B44" s="1"/>
      <c r="C44" s="1"/>
      <c r="D44" s="1"/>
      <c r="E44" s="48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6" t="s">
        <v>43</v>
      </c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E47" s="62" t="s">
        <v>14</v>
      </c>
      <c r="F47" s="62" t="s">
        <v>27</v>
      </c>
      <c r="G47" s="62" t="s">
        <v>28</v>
      </c>
      <c r="H47" s="62" t="s">
        <v>17</v>
      </c>
      <c r="I47" s="1"/>
      <c r="J47" s="1"/>
      <c r="K47" s="1"/>
    </row>
    <row r="48" spans="1:11">
      <c r="A48" s="1" t="s">
        <v>25</v>
      </c>
      <c r="B48" s="1"/>
      <c r="E48" s="63"/>
      <c r="F48" s="63"/>
      <c r="G48" s="63"/>
      <c r="H48" s="63"/>
      <c r="I48" s="1"/>
      <c r="J48" s="1"/>
      <c r="K48" s="1"/>
    </row>
    <row r="49" spans="1:11">
      <c r="A49" s="1" t="s">
        <v>37</v>
      </c>
      <c r="B49" s="1"/>
      <c r="E49" s="64"/>
      <c r="F49" s="64"/>
      <c r="G49" s="64"/>
      <c r="H49" s="64"/>
      <c r="I49" s="1"/>
      <c r="J49" s="1"/>
      <c r="K49" s="1"/>
    </row>
    <row r="50" spans="1:11">
      <c r="A50" s="1" t="s">
        <v>38</v>
      </c>
      <c r="B50" s="1"/>
      <c r="E50" s="64"/>
      <c r="F50" s="64"/>
      <c r="G50" s="64"/>
      <c r="H50" s="64"/>
      <c r="I50" s="1"/>
      <c r="J50" s="1"/>
      <c r="K50" s="1"/>
    </row>
    <row r="51" spans="1:11">
      <c r="A51" s="1"/>
      <c r="B51" s="1"/>
      <c r="E51" s="25"/>
      <c r="F51" s="25"/>
      <c r="G51" s="25"/>
      <c r="H51" s="25"/>
      <c r="I51" s="1"/>
      <c r="J51" s="1"/>
      <c r="K51" s="1"/>
    </row>
    <row r="52" spans="1:11">
      <c r="A52" s="1" t="s">
        <v>29</v>
      </c>
      <c r="B52" s="1"/>
      <c r="E52" s="65"/>
      <c r="F52" s="65"/>
      <c r="G52" s="65"/>
      <c r="H52" s="65"/>
      <c r="I52" s="1"/>
      <c r="J52" s="1"/>
      <c r="K52" s="1"/>
    </row>
    <row r="53" spans="1:11">
      <c r="A53" s="1" t="s">
        <v>30</v>
      </c>
      <c r="B53" s="1"/>
      <c r="E53" s="66"/>
      <c r="F53" s="66"/>
      <c r="G53" s="66"/>
      <c r="H53" s="66"/>
      <c r="I53" s="1"/>
      <c r="J53" s="1"/>
      <c r="K53" s="1"/>
    </row>
    <row r="54" spans="1:11">
      <c r="A54" s="1" t="s">
        <v>15</v>
      </c>
      <c r="B54" s="1"/>
      <c r="E54" s="66"/>
      <c r="F54" s="66"/>
      <c r="G54" s="66"/>
      <c r="H54" s="66"/>
      <c r="I54" s="1"/>
      <c r="J54" s="1"/>
      <c r="K54" s="1"/>
    </row>
    <row r="55" spans="1:11">
      <c r="A55" s="1" t="s">
        <v>45</v>
      </c>
      <c r="B55" s="1"/>
      <c r="E55" s="65"/>
      <c r="F55" s="65"/>
      <c r="G55" s="65"/>
      <c r="H55" s="65"/>
      <c r="I55" s="1"/>
      <c r="J55" s="1"/>
      <c r="K55" s="1"/>
    </row>
    <row r="56" spans="1:11">
      <c r="A56" s="1" t="s">
        <v>16</v>
      </c>
      <c r="B56" s="1"/>
      <c r="E56" s="66"/>
      <c r="F56" s="66"/>
      <c r="G56" s="66"/>
      <c r="H56" s="66"/>
      <c r="I56" s="1"/>
      <c r="J56" s="1"/>
      <c r="K56" s="1"/>
    </row>
    <row r="57" spans="1:11">
      <c r="A57" s="1" t="s">
        <v>65</v>
      </c>
      <c r="B57" s="1"/>
      <c r="E57" s="65"/>
      <c r="F57" s="65"/>
      <c r="G57" s="65"/>
      <c r="H57" s="65"/>
      <c r="I57" s="1"/>
      <c r="J57" s="1"/>
      <c r="K57" s="1"/>
    </row>
    <row r="58" spans="1:11">
      <c r="A58" s="1" t="s">
        <v>15</v>
      </c>
      <c r="B58" s="1"/>
      <c r="E58" s="66"/>
      <c r="F58" s="66"/>
      <c r="G58" s="66"/>
      <c r="H58" s="66"/>
      <c r="I58" s="1"/>
      <c r="J58" s="1"/>
      <c r="K58" s="1"/>
    </row>
    <row r="59" spans="1:11">
      <c r="A59" s="1" t="s">
        <v>71</v>
      </c>
      <c r="B59" s="1"/>
      <c r="E59" s="65"/>
      <c r="F59" s="65"/>
      <c r="G59" s="65"/>
      <c r="H59" s="65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54" t="s">
        <v>66</v>
      </c>
      <c r="B61" s="54"/>
      <c r="C61" s="54"/>
      <c r="D61" s="54"/>
      <c r="E61" s="54"/>
      <c r="F61" s="54"/>
      <c r="G61" s="54"/>
      <c r="H61" s="54"/>
      <c r="I61" s="54"/>
      <c r="J61" s="1"/>
      <c r="K61" s="1"/>
    </row>
    <row r="62" spans="1:11">
      <c r="A62" s="54"/>
      <c r="B62" s="54"/>
      <c r="C62" s="54"/>
      <c r="D62" s="54"/>
      <c r="E62" s="54"/>
      <c r="F62" s="54"/>
      <c r="G62" s="54"/>
      <c r="H62" s="54"/>
      <c r="I62" s="54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6" t="s">
        <v>67</v>
      </c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thickBot="1">
      <c r="A66" s="1"/>
      <c r="B66" s="1"/>
      <c r="D66" s="19" t="s">
        <v>46</v>
      </c>
      <c r="E66" s="62" t="s">
        <v>14</v>
      </c>
      <c r="F66" s="62" t="s">
        <v>27</v>
      </c>
      <c r="G66" s="62" t="s">
        <v>28</v>
      </c>
      <c r="H66" s="62" t="s">
        <v>17</v>
      </c>
      <c r="I66" s="1"/>
      <c r="J66" s="1"/>
      <c r="K66" s="1"/>
    </row>
    <row r="67" spans="1:11">
      <c r="A67" s="1" t="s">
        <v>29</v>
      </c>
      <c r="B67" s="1"/>
      <c r="D67" s="1"/>
      <c r="E67" s="68"/>
      <c r="F67" s="68"/>
      <c r="G67" s="68"/>
      <c r="H67" s="67"/>
      <c r="I67" s="1"/>
      <c r="J67" s="1"/>
      <c r="K67" s="1"/>
    </row>
    <row r="68" spans="1:11">
      <c r="A68" s="1" t="s">
        <v>60</v>
      </c>
      <c r="B68" s="1"/>
      <c r="D68" s="69"/>
      <c r="E68" s="69"/>
      <c r="F68" s="69"/>
      <c r="G68" s="69"/>
      <c r="H68" s="40"/>
      <c r="I68" s="1"/>
      <c r="J68" s="1"/>
      <c r="K68" s="1"/>
    </row>
    <row r="69" spans="1:11">
      <c r="A69" s="1" t="s">
        <v>47</v>
      </c>
      <c r="B69" s="1"/>
      <c r="C69" s="1"/>
      <c r="D69" s="69"/>
      <c r="E69" s="69"/>
      <c r="F69" s="69"/>
      <c r="G69" s="69"/>
      <c r="H69" s="69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24.75" customHeight="1" thickBot="1">
      <c r="A71" s="6" t="s">
        <v>48</v>
      </c>
      <c r="B71" s="1"/>
      <c r="C71" s="1"/>
      <c r="D71" s="1"/>
      <c r="E71" s="1"/>
      <c r="F71" s="59" t="s">
        <v>51</v>
      </c>
      <c r="G71" s="59"/>
      <c r="H71" s="1"/>
      <c r="I71" s="1"/>
      <c r="J71" s="1"/>
      <c r="K71" s="1"/>
    </row>
    <row r="72" spans="1:11" ht="38.25">
      <c r="A72" s="1"/>
      <c r="B72" s="1"/>
      <c r="C72" s="1"/>
      <c r="D72" s="33" t="s">
        <v>50</v>
      </c>
      <c r="E72" s="1"/>
      <c r="F72" s="44">
        <v>25000</v>
      </c>
      <c r="G72" s="44">
        <v>10000</v>
      </c>
      <c r="H72" s="1"/>
      <c r="I72" s="1"/>
      <c r="J72" s="1"/>
      <c r="K72" s="1"/>
    </row>
    <row r="73" spans="1:11">
      <c r="A73" s="1" t="s">
        <v>68</v>
      </c>
      <c r="B73" s="1"/>
      <c r="C73" s="1"/>
      <c r="D73" s="70"/>
      <c r="E73" s="1"/>
      <c r="F73" s="70"/>
      <c r="G73" s="70"/>
      <c r="H73" s="1"/>
      <c r="I73" s="1"/>
      <c r="J73" s="1"/>
      <c r="K73" s="1"/>
    </row>
    <row r="74" spans="1:11">
      <c r="A74" s="1" t="s">
        <v>52</v>
      </c>
      <c r="D74" s="71"/>
      <c r="E74" s="1"/>
      <c r="F74" s="71"/>
      <c r="G74" s="71"/>
      <c r="H74" s="1"/>
      <c r="I74" s="1"/>
      <c r="J74" s="1"/>
      <c r="K74" s="1"/>
    </row>
    <row r="75" spans="1:11">
      <c r="A75" s="1" t="s">
        <v>53</v>
      </c>
      <c r="D75" s="70"/>
      <c r="E75" s="1"/>
      <c r="F75" s="70"/>
      <c r="G75" s="70"/>
      <c r="H75" s="1"/>
      <c r="I75" s="1"/>
      <c r="J75" s="1"/>
      <c r="K75" s="1"/>
    </row>
    <row r="76" spans="1:11">
      <c r="A76" s="1" t="s">
        <v>69</v>
      </c>
      <c r="B76" s="1"/>
      <c r="C76" s="1"/>
      <c r="D76" s="71"/>
      <c r="E76" s="1"/>
      <c r="F76" s="71"/>
      <c r="G76" s="71"/>
      <c r="H76" s="1"/>
      <c r="I76" s="1"/>
      <c r="J76" s="1"/>
      <c r="K76" s="1"/>
    </row>
    <row r="77" spans="1:11">
      <c r="A77" s="1" t="s">
        <v>70</v>
      </c>
      <c r="B77" s="1"/>
      <c r="C77" s="1"/>
      <c r="D77" s="70"/>
      <c r="E77" s="1"/>
      <c r="F77" s="70"/>
      <c r="G77" s="70"/>
      <c r="H77" s="1"/>
      <c r="I77" s="1"/>
      <c r="J77" s="1"/>
      <c r="K77" s="1"/>
    </row>
    <row r="78" spans="1:11">
      <c r="A78" s="1"/>
      <c r="B78" s="1"/>
      <c r="C78" s="10"/>
      <c r="D78" s="10"/>
      <c r="E78" s="10"/>
      <c r="F78" s="10"/>
      <c r="G78" s="10"/>
      <c r="H78" s="1"/>
      <c r="I78" s="1"/>
      <c r="J78" s="1"/>
      <c r="K78" s="1"/>
    </row>
    <row r="79" spans="1:11">
      <c r="A79" s="1"/>
      <c r="B79" s="1"/>
      <c r="C79" s="10"/>
      <c r="D79" s="10"/>
      <c r="E79" s="10"/>
      <c r="F79" s="10"/>
      <c r="G79" s="10"/>
      <c r="H79" s="1"/>
      <c r="I79" s="1"/>
      <c r="J79" s="1"/>
      <c r="K79" s="1"/>
    </row>
    <row r="80" spans="1:11" ht="15.75">
      <c r="A80" s="20" t="s">
        <v>18</v>
      </c>
      <c r="B80" s="1"/>
      <c r="C80" s="8"/>
      <c r="D80" s="8"/>
      <c r="E80" s="1"/>
      <c r="F80" s="1"/>
      <c r="G80" s="1"/>
      <c r="H80" s="1"/>
      <c r="I80" s="1"/>
      <c r="J80" s="1"/>
      <c r="K80" s="1"/>
    </row>
    <row r="81" spans="1:11" ht="13.5" thickBot="1">
      <c r="A81" s="1"/>
      <c r="B81" s="1"/>
      <c r="C81" s="9"/>
      <c r="E81" s="41" t="s">
        <v>46</v>
      </c>
      <c r="F81" s="41" t="s">
        <v>14</v>
      </c>
      <c r="G81" s="41" t="s">
        <v>27</v>
      </c>
      <c r="H81" s="41" t="s">
        <v>28</v>
      </c>
      <c r="I81" s="41" t="s">
        <v>17</v>
      </c>
      <c r="J81" s="1"/>
      <c r="K81" s="1"/>
    </row>
    <row r="82" spans="1:11" ht="13.5">
      <c r="A82" s="16"/>
      <c r="B82" s="16"/>
      <c r="C82" s="16"/>
      <c r="E82" s="16"/>
      <c r="F82" s="1"/>
      <c r="G82" s="1"/>
      <c r="H82" s="1"/>
      <c r="I82" s="1"/>
      <c r="J82" s="1"/>
      <c r="K82" s="1"/>
    </row>
    <row r="83" spans="1:11" ht="13.5">
      <c r="A83" s="26" t="s">
        <v>49</v>
      </c>
      <c r="B83" s="1"/>
      <c r="C83" s="1"/>
      <c r="E83" s="67"/>
      <c r="F83" s="45"/>
      <c r="G83" s="40"/>
      <c r="H83" s="40"/>
      <c r="I83" s="40"/>
      <c r="J83" s="1"/>
      <c r="K83" s="1"/>
    </row>
    <row r="84" spans="1:11" ht="13.5">
      <c r="A84" s="26" t="s">
        <v>13</v>
      </c>
      <c r="B84" s="26"/>
      <c r="C84" s="26"/>
      <c r="E84" s="46"/>
      <c r="F84" s="67"/>
      <c r="G84" s="67"/>
      <c r="H84" s="67"/>
      <c r="I84" s="67"/>
      <c r="J84" s="1"/>
      <c r="K84" s="1"/>
    </row>
    <row r="85" spans="1:11" ht="13.5">
      <c r="A85" s="26" t="s">
        <v>61</v>
      </c>
      <c r="B85" s="26"/>
      <c r="C85" s="26"/>
      <c r="E85" s="69"/>
      <c r="F85" s="69"/>
      <c r="G85" s="69"/>
      <c r="H85" s="69"/>
      <c r="I85" s="69"/>
      <c r="J85" s="1"/>
      <c r="K85" s="1"/>
    </row>
    <row r="86" spans="1:11" ht="13.5">
      <c r="A86" s="26" t="s">
        <v>20</v>
      </c>
      <c r="B86" s="26"/>
      <c r="C86" s="1"/>
      <c r="D86" s="1"/>
      <c r="E86" s="72"/>
      <c r="F86" s="72"/>
      <c r="G86" s="72"/>
      <c r="H86" s="72"/>
      <c r="I86" s="73"/>
      <c r="J86" s="1"/>
      <c r="K86" s="1"/>
    </row>
    <row r="87" spans="1:11">
      <c r="A87" s="1" t="s">
        <v>21</v>
      </c>
      <c r="B87" s="1"/>
      <c r="C87" s="1"/>
      <c r="D87" s="1"/>
      <c r="E87" s="67"/>
      <c r="F87" s="67"/>
      <c r="G87" s="67"/>
      <c r="H87" s="67"/>
      <c r="I87" s="67"/>
      <c r="J87" s="1"/>
      <c r="K87" s="1"/>
    </row>
    <row r="88" spans="1:11" ht="13.5" thickBot="1">
      <c r="A88" s="1"/>
      <c r="B88" s="1"/>
      <c r="C88" s="1"/>
      <c r="D88" s="1"/>
      <c r="E88" s="1"/>
      <c r="F88" s="1"/>
      <c r="G88" s="18"/>
      <c r="H88" s="1"/>
      <c r="I88" s="1"/>
      <c r="J88" s="1"/>
      <c r="K88" s="1"/>
    </row>
    <row r="89" spans="1:11">
      <c r="A89" s="51" t="s">
        <v>22</v>
      </c>
      <c r="B89" s="11"/>
      <c r="C89" s="74"/>
      <c r="D89" s="1"/>
      <c r="E89" s="1"/>
      <c r="F89" s="1"/>
      <c r="G89" s="1"/>
      <c r="H89" s="1"/>
      <c r="I89" s="1"/>
      <c r="J89" s="1"/>
      <c r="K89" s="1"/>
    </row>
    <row r="90" spans="1:11" ht="13.5" thickBot="1">
      <c r="A90" s="52" t="s">
        <v>23</v>
      </c>
      <c r="B90" s="12"/>
      <c r="C90" s="75"/>
      <c r="D90" s="1"/>
      <c r="E90" s="5" t="s">
        <v>62</v>
      </c>
      <c r="F90" s="5" t="s">
        <v>63</v>
      </c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4">
        <f>NPV(D29,F94:I94)</f>
        <v>0</v>
      </c>
      <c r="F91" s="4">
        <f>E91*(1.1)^4</f>
        <v>0</v>
      </c>
      <c r="G91" s="1"/>
      <c r="H91" s="1"/>
      <c r="I91" s="1"/>
      <c r="J91" s="1"/>
      <c r="K91" s="1"/>
    </row>
    <row r="92" spans="1:11" ht="13.5" thickBot="1">
      <c r="A92" s="1"/>
      <c r="B92" s="1"/>
      <c r="C92" s="1"/>
      <c r="D92" s="1"/>
      <c r="E92" s="55" t="s">
        <v>19</v>
      </c>
      <c r="F92" s="55"/>
      <c r="G92" s="55"/>
      <c r="H92" s="55"/>
      <c r="I92" s="55"/>
      <c r="J92" s="1"/>
      <c r="K92" s="1"/>
    </row>
    <row r="93" spans="1:11" ht="15.75">
      <c r="A93" s="20" t="s">
        <v>31</v>
      </c>
      <c r="B93" s="1"/>
      <c r="C93" s="1"/>
      <c r="D93" s="1"/>
      <c r="E93" s="13">
        <v>0</v>
      </c>
      <c r="F93" s="13">
        <v>1</v>
      </c>
      <c r="G93" s="13">
        <v>2</v>
      </c>
      <c r="H93" s="13">
        <v>3</v>
      </c>
      <c r="I93" s="13">
        <v>4</v>
      </c>
      <c r="J93" s="1"/>
      <c r="K93" s="1"/>
    </row>
    <row r="94" spans="1:11">
      <c r="A94" s="1" t="s">
        <v>21</v>
      </c>
      <c r="B94" s="1"/>
      <c r="C94" s="1"/>
      <c r="D94" s="1"/>
      <c r="E94" s="67"/>
      <c r="F94" s="67"/>
      <c r="G94" s="67"/>
      <c r="H94" s="67"/>
      <c r="I94" s="67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69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69"/>
      <c r="J96" s="1"/>
      <c r="K96" s="1"/>
    </row>
    <row r="97" spans="1:11" ht="15">
      <c r="A97" s="1"/>
      <c r="B97" s="1"/>
      <c r="C97" s="1"/>
      <c r="D97" s="1"/>
      <c r="E97" s="1"/>
      <c r="F97" s="1"/>
      <c r="G97" s="1"/>
      <c r="H97" s="1"/>
      <c r="I97" s="69"/>
      <c r="J97" s="1"/>
      <c r="K97" s="43"/>
    </row>
    <row r="98" spans="1:11">
      <c r="A98" s="1"/>
      <c r="B98" s="1"/>
      <c r="C98" s="1"/>
      <c r="D98" s="21" t="s">
        <v>32</v>
      </c>
      <c r="E98" s="67"/>
      <c r="F98" s="1"/>
      <c r="G98" s="1"/>
      <c r="H98" s="21" t="s">
        <v>24</v>
      </c>
      <c r="I98" s="67"/>
      <c r="J98" s="1"/>
      <c r="K98" s="1"/>
    </row>
    <row r="99" spans="1:11">
      <c r="A99" s="1"/>
      <c r="B99" s="1"/>
      <c r="C99" s="1"/>
      <c r="J99" s="1"/>
      <c r="K99" s="1"/>
    </row>
    <row r="100" spans="1:11" ht="26.25" customHeight="1" thickBot="1">
      <c r="A100" s="56" t="s">
        <v>33</v>
      </c>
      <c r="B100" s="57"/>
      <c r="C100" s="57"/>
      <c r="D100" s="57"/>
      <c r="E100" s="57"/>
      <c r="F100" s="57"/>
      <c r="G100" s="57"/>
      <c r="H100" s="57"/>
      <c r="I100" s="57"/>
      <c r="J100" s="50"/>
      <c r="K100" s="1"/>
    </row>
    <row r="101" spans="1:11" ht="13.5" thickBot="1">
      <c r="A101" s="53" t="s">
        <v>34</v>
      </c>
      <c r="B101" s="76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scenarios current="0" show="0" sqref="C113:C114">
    <scenario name="Base Case" locked="1" count="12" user="Mike Ehrhardt" comment="Created by Michael C. Ehrhardt on 3/27/01_x000a_Modified by Michael C. Ehrhardt on 11/11/2001_x000a_Modified by Mike Ehrhardt on 5/22/2009">
      <inputCells r="D23" val="200000" numFmtId="164"/>
      <inputCells r="D24" val="10000" numFmtId="164"/>
      <inputCells r="D25" val="30000" numFmtId="164"/>
      <inputCells r="D26" val="4"/>
      <inputCells r="D27" val="25000" numFmtId="6"/>
      <inputCells r="D28" val="0.4" numFmtId="9"/>
      <inputCells r="D29" val="0.1" numFmtId="9"/>
      <inputCells r="D30" val="1250"/>
      <inputCells r="D31" val="200" numFmtId="6"/>
      <inputCells r="D32" val="100" numFmtId="6"/>
      <inputCells r="D33" val="0.12" numFmtId="9"/>
      <inputCells r="D34" val="0.03" numFmtId="9"/>
    </scenario>
    <scenario name="Best Case" locked="1" count="12" user="Mike Ehrhardt" comment="Created by Michael C. Ehrhardt on 3/27/01_x000a_Modified by Michael C. Ehrhardt on 11/11/2001_x000a_Modified by Mike Ehrhardt on 5/22/2009">
      <inputCells r="D23" val="200000" numFmtId="164"/>
      <inputCells r="D24" val="10000" numFmtId="164"/>
      <inputCells r="D25" val="30000" numFmtId="164"/>
      <inputCells r="D26" val="4"/>
      <inputCells r="D27" val="25000" numFmtId="6"/>
      <inputCells r="D28" val="0.4" numFmtId="9"/>
      <inputCells r="D29" val="0.1" numFmtId="9"/>
      <inputCells r="D30" val="1600"/>
      <inputCells r="D31" val="240" numFmtId="6"/>
      <inputCells r="D32" val="100" numFmtId="6"/>
      <inputCells r="D33" val="0.12" numFmtId="9"/>
      <inputCells r="D34" val="0.03" numFmtId="9"/>
    </scenario>
    <scenario name="Worst Case" locked="1" count="12" user="Mike Ehrhardt" comment="Created by Michael C. Ehrhardt on 3/27/01_x000a_Modified by Michael C. Ehrhardt on 11/11/2001_x000a_Modified by Mike Ehrhardt on 5/22/2009">
      <inputCells r="D23" val="200000" numFmtId="164"/>
      <inputCells r="D24" val="10000" numFmtId="164"/>
      <inputCells r="D25" val="30000" numFmtId="164"/>
      <inputCells r="D26" val="4"/>
      <inputCells r="D27" val="25000" numFmtId="6"/>
      <inputCells r="D28" val="0.4" numFmtId="9"/>
      <inputCells r="D29" val="0.1" numFmtId="9"/>
      <inputCells r="D30" val="900"/>
      <inputCells r="D31" val="160" numFmtId="6"/>
      <inputCells r="D32" val="100" numFmtId="6"/>
      <inputCells r="D33" val="0.12" numFmtId="9"/>
      <inputCells r="D34" val="0.03" numFmtId="9"/>
    </scenario>
    <scenario name="Base-but forget inflation" locked="1" count="12" user="Mike Ehrhardt" comment="Created by Mike Ehrhardt on 5/22/2009">
      <inputCells r="D23" val="200000" numFmtId="164"/>
      <inputCells r="D24" val="10000" numFmtId="164"/>
      <inputCells r="D25" val="30000" numFmtId="164"/>
      <inputCells r="D26" val="4"/>
      <inputCells r="D27" val="25000" numFmtId="6"/>
      <inputCells r="D28" val="0.4" numFmtId="9"/>
      <inputCells r="D29" val="0.1" numFmtId="9"/>
      <inputCells r="D30" val="1250" numFmtId="3"/>
      <inputCells r="D31" val="200" numFmtId="6"/>
      <inputCells r="D32" val="100" numFmtId="6"/>
      <inputCells r="D33" val="0.12" numFmtId="9"/>
      <inputCells r="D34" val="0" numFmtId="9"/>
    </scenario>
  </scenarios>
  <mergeCells count="6">
    <mergeCell ref="A6:I11"/>
    <mergeCell ref="A13:I17"/>
    <mergeCell ref="A61:I62"/>
    <mergeCell ref="F71:G71"/>
    <mergeCell ref="E92:I92"/>
    <mergeCell ref="A100:I100"/>
  </mergeCells>
  <phoneticPr fontId="0" type="noConversion"/>
  <pageMargins left="0.75" right="0.75" top="1" bottom="1" header="0.5" footer="0.5"/>
  <pageSetup orientation="portrait" horizontalDpi="200" verticalDpi="2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Model</vt:lpstr>
      <vt:lpstr>Model!Print_Area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Flows and Risk Analysis, Mini Case Model</dc:title>
  <dc:subject>Mini Case Model</dc:subject>
  <dc:creator>Mike Ehrhardt and Bart Kreps</dc:creator>
  <cp:lastModifiedBy>Dr. Cudd</cp:lastModifiedBy>
  <dcterms:created xsi:type="dcterms:W3CDTF">2001-03-19T01:06:39Z</dcterms:created>
  <dcterms:modified xsi:type="dcterms:W3CDTF">2010-12-08T23:18:33Z</dcterms:modified>
</cp:coreProperties>
</file>