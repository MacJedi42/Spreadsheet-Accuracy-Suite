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312" windowWidth="17496" windowHeight="8880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4" i="1"/>
  <c r="F4" i="1"/>
  <c r="E4" i="1"/>
  <c r="D4" i="1"/>
  <c r="C4" i="1"/>
  <c r="B4" i="1"/>
  <c r="A4" i="1"/>
  <c r="J651" i="1"/>
  <c r="K651" i="1"/>
  <c r="L651" i="1"/>
  <c r="M651" i="1"/>
  <c r="N651" i="1"/>
  <c r="O651" i="1"/>
  <c r="O650" i="1" l="1"/>
  <c r="N650" i="1"/>
  <c r="J650" i="1"/>
  <c r="K650" i="1"/>
  <c r="L650" i="1"/>
  <c r="M650" i="1"/>
  <c r="K649" i="1" l="1"/>
  <c r="L649" i="1"/>
  <c r="G5" i="1" l="1"/>
  <c r="F5" i="1"/>
  <c r="E5" i="1"/>
  <c r="D5" i="1"/>
  <c r="C5" i="1"/>
  <c r="B5" i="1"/>
  <c r="M649" i="1"/>
  <c r="J649" i="1"/>
  <c r="O648" i="1" l="1"/>
  <c r="N648" i="1"/>
  <c r="M648" i="1"/>
  <c r="L648" i="1"/>
  <c r="K648" i="1"/>
  <c r="J648" i="1"/>
  <c r="O647" i="1" l="1"/>
  <c r="N647" i="1"/>
  <c r="M647" i="1"/>
  <c r="L647" i="1"/>
  <c r="K647" i="1"/>
  <c r="J647" i="1"/>
  <c r="B5" i="3" l="1"/>
  <c r="O646" i="1"/>
  <c r="N646" i="1"/>
  <c r="M646" i="1"/>
  <c r="L646" i="1"/>
  <c r="K646" i="1"/>
  <c r="J646" i="1"/>
  <c r="L645" i="1" l="1"/>
  <c r="O645" i="1" l="1"/>
  <c r="N645" i="1"/>
  <c r="M645" i="1"/>
  <c r="K645" i="1"/>
  <c r="J645" i="1"/>
  <c r="O644" i="1" l="1"/>
  <c r="N644" i="1"/>
  <c r="M644" i="1"/>
  <c r="L644" i="1"/>
  <c r="K644" i="1"/>
  <c r="J644" i="1"/>
  <c r="O643" i="1" l="1"/>
  <c r="N643" i="1"/>
  <c r="M643" i="1"/>
  <c r="L643" i="1"/>
  <c r="K643" i="1"/>
  <c r="J643" i="1"/>
  <c r="O642" i="1" l="1"/>
  <c r="N642" i="1"/>
  <c r="M642" i="1"/>
  <c r="L642" i="1"/>
  <c r="K642" i="1"/>
  <c r="J642" i="1"/>
  <c r="O641" i="1" l="1"/>
  <c r="N641" i="1"/>
  <c r="M641" i="1"/>
  <c r="L641" i="1"/>
  <c r="K641" i="1"/>
  <c r="J641" i="1"/>
  <c r="O640" i="1" l="1"/>
  <c r="N640" i="1"/>
  <c r="M640" i="1"/>
  <c r="L640" i="1"/>
  <c r="K640" i="1"/>
  <c r="J640" i="1"/>
  <c r="O639" i="1" l="1"/>
  <c r="N639" i="1"/>
  <c r="M639" i="1"/>
  <c r="L639" i="1"/>
  <c r="K639" i="1"/>
  <c r="J639" i="1"/>
  <c r="O638" i="1" l="1"/>
  <c r="N638" i="1"/>
  <c r="M638" i="1"/>
  <c r="L638" i="1"/>
  <c r="K638" i="1"/>
  <c r="J638" i="1"/>
  <c r="O637" i="1" l="1"/>
  <c r="N637" i="1"/>
  <c r="M637" i="1"/>
  <c r="L637" i="1"/>
  <c r="K637" i="1"/>
  <c r="J637" i="1"/>
  <c r="L636" i="1" l="1"/>
  <c r="O636" i="1" l="1"/>
  <c r="N636" i="1"/>
  <c r="M636" i="1"/>
  <c r="K636" i="1"/>
  <c r="J636" i="1"/>
  <c r="O635" i="1" l="1"/>
  <c r="N635" i="1"/>
  <c r="M635" i="1"/>
  <c r="L635" i="1"/>
  <c r="K635" i="1"/>
  <c r="J635" i="1"/>
  <c r="O634" i="1" l="1"/>
  <c r="N634" i="1"/>
  <c r="M634" i="1"/>
  <c r="L634" i="1"/>
  <c r="K634" i="1"/>
  <c r="J634" i="1"/>
  <c r="O633" i="1" l="1"/>
  <c r="N633" i="1"/>
  <c r="M633" i="1"/>
  <c r="L633" i="1"/>
  <c r="K633" i="1"/>
  <c r="J633" i="1"/>
  <c r="L632" i="1" l="1"/>
  <c r="O632" i="1" l="1"/>
  <c r="N632" i="1"/>
  <c r="M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L627" i="1" l="1"/>
  <c r="O627" i="1" l="1"/>
  <c r="N627" i="1"/>
  <c r="M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O623" i="1" l="1"/>
  <c r="N623" i="1"/>
  <c r="M623" i="1"/>
  <c r="L623" i="1"/>
  <c r="K623" i="1"/>
  <c r="J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L614" i="1" l="1"/>
  <c r="L613" i="1"/>
  <c r="N614" i="1" l="1"/>
  <c r="M614" i="1"/>
  <c r="K614" i="1"/>
  <c r="J614" i="1"/>
  <c r="O614" i="1" l="1"/>
  <c r="O613" i="1"/>
  <c r="N613" i="1"/>
  <c r="M613" i="1"/>
  <c r="J613" i="1"/>
  <c r="K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K610" i="1"/>
  <c r="J610" i="1"/>
  <c r="L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F5" i="3" l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K603" i="1" l="1"/>
  <c r="O603" i="1"/>
  <c r="N603" i="1"/>
  <c r="M603" i="1"/>
  <c r="L603" i="1"/>
  <c r="J603" i="1"/>
  <c r="M602" i="1" l="1"/>
  <c r="N602" i="1"/>
  <c r="O602" i="1"/>
  <c r="J602" i="1"/>
  <c r="L602" i="1" l="1"/>
  <c r="K602" i="1"/>
  <c r="K601" i="1" l="1"/>
  <c r="J601" i="1"/>
  <c r="L601" i="1"/>
  <c r="M601" i="1"/>
  <c r="N601" i="1"/>
  <c r="O601" i="1"/>
  <c r="M600" i="1" l="1"/>
  <c r="N600" i="1"/>
  <c r="O600" i="1"/>
  <c r="J600" i="1" l="1"/>
  <c r="L600" i="1"/>
  <c r="K600" i="1"/>
  <c r="O599" i="1" l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O593" i="1" l="1"/>
  <c r="N593" i="1"/>
  <c r="M593" i="1"/>
  <c r="L593" i="1"/>
  <c r="K593" i="1"/>
  <c r="J593" i="1"/>
  <c r="O592" i="1" l="1"/>
  <c r="N592" i="1"/>
  <c r="M592" i="1"/>
  <c r="L592" i="1"/>
  <c r="K592" i="1"/>
  <c r="J592" i="1"/>
  <c r="M590" i="1" l="1"/>
  <c r="M589" i="1"/>
  <c r="O591" i="1" l="1"/>
  <c r="O590" i="1"/>
  <c r="O589" i="1"/>
  <c r="O588" i="1"/>
  <c r="N591" i="1"/>
  <c r="N590" i="1"/>
  <c r="N589" i="1"/>
  <c r="N588" i="1"/>
  <c r="M591" i="1" l="1"/>
  <c r="L591" i="1"/>
  <c r="K591" i="1"/>
  <c r="J591" i="1"/>
  <c r="K589" i="1" l="1"/>
  <c r="L590" i="1" l="1"/>
  <c r="K590" i="1"/>
  <c r="J590" i="1"/>
  <c r="M588" i="1"/>
  <c r="L589" i="1"/>
  <c r="L588" i="1"/>
  <c r="K588" i="1"/>
  <c r="J589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M584" i="1" l="1"/>
  <c r="L584" i="1"/>
  <c r="K584" i="1"/>
  <c r="J584" i="1"/>
  <c r="O584" i="1"/>
  <c r="N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L567" i="1" l="1"/>
  <c r="K567" i="1"/>
  <c r="J567" i="1"/>
  <c r="O567" i="1" l="1"/>
  <c r="N567" i="1"/>
  <c r="M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J550" i="1" l="1"/>
  <c r="K550" i="1"/>
  <c r="L550" i="1"/>
  <c r="M550" i="1"/>
  <c r="N550" i="1"/>
  <c r="O550" i="1"/>
  <c r="J549" i="1" l="1"/>
  <c r="K549" i="1"/>
  <c r="L549" i="1"/>
  <c r="M549" i="1"/>
  <c r="N549" i="1"/>
  <c r="O549" i="1"/>
  <c r="J548" i="1" l="1"/>
  <c r="K548" i="1"/>
  <c r="L548" i="1"/>
  <c r="M548" i="1"/>
  <c r="N548" i="1"/>
  <c r="O548" i="1"/>
  <c r="J547" i="1" l="1"/>
  <c r="K547" i="1"/>
  <c r="L547" i="1"/>
  <c r="M547" i="1"/>
  <c r="N547" i="1"/>
  <c r="O547" i="1"/>
  <c r="O546" i="1" l="1"/>
  <c r="N546" i="1"/>
  <c r="M546" i="1"/>
  <c r="L546" i="1"/>
  <c r="K546" i="1"/>
  <c r="J546" i="1"/>
  <c r="O545" i="1" l="1"/>
  <c r="N545" i="1"/>
  <c r="M545" i="1"/>
  <c r="J545" i="1"/>
  <c r="L545" i="1"/>
  <c r="K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M530" i="1"/>
  <c r="O530" i="1"/>
  <c r="N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K527" i="1"/>
  <c r="O527" i="1"/>
  <c r="N527" i="1"/>
  <c r="M527" i="1"/>
  <c r="L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O523" i="1"/>
  <c r="N523" i="1"/>
  <c r="M523" i="1"/>
  <c r="L523" i="1"/>
  <c r="K523" i="1"/>
  <c r="J523" i="1"/>
  <c r="M522" i="1"/>
  <c r="L522" i="1"/>
  <c r="K522" i="1"/>
  <c r="J522" i="1"/>
  <c r="O522" i="1"/>
  <c r="N522" i="1"/>
  <c r="O521" i="1"/>
  <c r="N521" i="1"/>
  <c r="M521" i="1"/>
  <c r="L521" i="1"/>
  <c r="K521" i="1"/>
  <c r="J521" i="1"/>
  <c r="O520" i="1"/>
  <c r="N520" i="1"/>
  <c r="O519" i="1"/>
  <c r="N519" i="1"/>
  <c r="L520" i="1"/>
  <c r="L519" i="1"/>
  <c r="K520" i="1"/>
  <c r="K519" i="1"/>
  <c r="J520" i="1"/>
  <c r="J519" i="1"/>
  <c r="M520" i="1"/>
  <c r="M519" i="1"/>
  <c r="M518" i="1"/>
  <c r="N518" i="1"/>
  <c r="O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5" i="1"/>
  <c r="K515" i="1"/>
  <c r="J515" i="1"/>
  <c r="O514" i="1"/>
  <c r="N514" i="1"/>
  <c r="M514" i="1"/>
  <c r="J514" i="1"/>
  <c r="J513" i="1"/>
  <c r="L514" i="1"/>
  <c r="K514" i="1"/>
  <c r="K510" i="1"/>
  <c r="O513" i="1"/>
  <c r="N513" i="1"/>
  <c r="M513" i="1"/>
  <c r="L513" i="1"/>
  <c r="K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L510" i="1"/>
  <c r="M510" i="1"/>
  <c r="E5" i="3"/>
  <c r="J510" i="1"/>
  <c r="O510" i="1"/>
  <c r="N510" i="1"/>
  <c r="O509" i="1"/>
  <c r="N509" i="1"/>
  <c r="M509" i="1"/>
  <c r="L509" i="1"/>
  <c r="K509" i="1"/>
  <c r="J509" i="1"/>
  <c r="O508" i="1"/>
  <c r="N508" i="1"/>
  <c r="M508" i="1"/>
  <c r="L508" i="1"/>
  <c r="J508" i="1"/>
  <c r="K508" i="1"/>
  <c r="K507" i="1"/>
  <c r="O507" i="1"/>
  <c r="N507" i="1"/>
  <c r="M507" i="1"/>
  <c r="L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<sst xmlns="http://schemas.openxmlformats.org/spreadsheetml/2006/main" count="88" uniqueCount="33">
  <si>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</si>
  <si>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</si>
  <si>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</si>
  <si>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Weekly Data</t>
  </si>
  <si>
    <t>Diesel</t>
  </si>
  <si>
    <t>Ocean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</si>
  <si>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</si>
  <si>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</si>
  <si>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</si>
  <si>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</si>
  <si>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</si>
  <si>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</si>
  <si>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</si>
  <si>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</si>
  <si>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</si>
  <si>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</si>
  <si>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</si>
  <si>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</si>
  <si>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</si>
  <si>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</si>
  <si>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</si>
  <si>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t xml:space="preserve">  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</si>
  <si>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</si>
  <si>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One week Lag</t>
  </si>
  <si>
    <t>Unit</t>
  </si>
  <si>
    <t>Shuttle</t>
  </si>
  <si>
    <t>Monthly Averaged Tariffs
 with Fuel Surcharges</t>
  </si>
  <si>
    <t>Unit Train</t>
  </si>
  <si>
    <t>Secondary</t>
  </si>
  <si>
    <t>Table 1</t>
  </si>
  <si>
    <t>with fuel 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</si>
  <si>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</t>
    </r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</si>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</sst>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m/dd/yy_)"/>
    <numFmt numFmtId="165" formatCode="0_)"/>
    <numFmt numFmtId="166" formatCode="mm/dd/yy;@"/>
    <numFmt numFmtId="167" formatCode="0.0"/>
    <numFmt numFmtId="168" formatCode="0.0%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12" fillId="3" borderId="0" xfId="0" applyFont="1" applyFill="1"/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8" fontId="2" fillId="0" borderId="0" xfId="1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3" borderId="0" xfId="0" applyFont="1" applyFill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65"/>
  <sheetViews>
    <sheetView tabSelected="1" defaultGridColor="0" colorId="22" zoomScaleNormal="100" workbookViewId="0">
      <pane xSplit="1" ySplit="7" topLeftCell="B638" activePane="bottomRight" state="frozen"/>
      <selection pane="topRight" activeCell="B1" sqref="B1"/>
      <selection pane="bottomLeft" activeCell="A8" sqref="A8"/>
      <selection pane="bottomRight" activeCell="E657" sqref="E657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5.08984375" style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</row>
    <row r="4" spans="1:26" ht="15" customHeight="1" x14ac:dyDescent="0.3">
      <c r="A4" s="55">
        <f>(A651)</f>
        <v>41990</v>
      </c>
      <c r="B4" s="54">
        <f t="shared" ref="B4:G4" si="0">J651</f>
        <v>229.53020134228188</v>
      </c>
      <c r="C4" s="54">
        <f t="shared" si="0"/>
        <v>244.59668423811664</v>
      </c>
      <c r="D4" s="54">
        <f t="shared" si="0"/>
        <v>207.3384233998087</v>
      </c>
      <c r="E4" s="54">
        <f t="shared" si="0"/>
        <v>275</v>
      </c>
      <c r="F4" s="54">
        <f t="shared" si="0"/>
        <v>185.59928443649375</v>
      </c>
      <c r="G4" s="54">
        <f t="shared" si="0"/>
        <v>159.57446808510639</v>
      </c>
    </row>
    <row r="5" spans="1:26" s="32" customFormat="1" ht="15.6" customHeight="1" x14ac:dyDescent="0.3">
      <c r="A5" s="28"/>
      <c r="B5" s="8">
        <f t="shared" ref="B5:G5" si="1">(B649-B648)/(B648)</f>
        <v>-6.3395810363837185E-3</v>
      </c>
      <c r="C5" s="8">
        <f t="shared" si="1"/>
        <v>-0.20634920634920634</v>
      </c>
      <c r="D5" s="8">
        <f t="shared" si="1"/>
        <v>-0.44444444444444442</v>
      </c>
      <c r="E5" s="8">
        <f t="shared" si="1"/>
        <v>4.5454545454545456E-2</v>
      </c>
      <c r="F5" s="8">
        <f t="shared" si="1"/>
        <v>-1</v>
      </c>
      <c r="G5" s="8">
        <f t="shared" si="1"/>
        <v>-1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09" t="s">
        <v>26</v>
      </c>
      <c r="Z5" s="110"/>
    </row>
    <row r="6" spans="1:26" x14ac:dyDescent="0.3">
      <c r="A6" s="1" t="s">
        <v>3</v>
      </c>
      <c r="B6" s="19" t="s">
        <v>4</v>
      </c>
      <c r="C6" s="2" t="s">
        <v>28</v>
      </c>
      <c r="D6" s="2" t="s">
        <v>28</v>
      </c>
      <c r="E6" s="2" t="s">
        <v>20</v>
      </c>
      <c r="F6" s="19" t="s">
        <v>5</v>
      </c>
      <c r="J6" s="111" t="s">
        <v>13</v>
      </c>
      <c r="K6" s="111"/>
      <c r="L6" s="111"/>
      <c r="M6" s="111"/>
      <c r="N6" s="111"/>
      <c r="O6" s="111"/>
      <c r="Q6" s="9" t="s">
        <v>6</v>
      </c>
      <c r="Y6" s="110"/>
      <c r="Z6" s="110"/>
    </row>
    <row r="7" spans="1:26" x14ac:dyDescent="0.3">
      <c r="A7" s="1" t="s">
        <v>7</v>
      </c>
      <c r="B7" s="19" t="s">
        <v>8</v>
      </c>
      <c r="C7" s="2" t="s">
        <v>24</v>
      </c>
      <c r="D7" s="2" t="s">
        <v>25</v>
      </c>
      <c r="E7" s="2" t="s">
        <v>10</v>
      </c>
      <c r="F7" s="19" t="s">
        <v>11</v>
      </c>
      <c r="G7" s="19" t="s">
        <v>12</v>
      </c>
      <c r="J7" s="1" t="s">
        <v>14</v>
      </c>
      <c r="K7" s="1" t="s">
        <v>24</v>
      </c>
      <c r="L7" s="1" t="s">
        <v>25</v>
      </c>
      <c r="M7" s="1" t="s">
        <v>15</v>
      </c>
      <c r="N7" s="1" t="s">
        <v>11</v>
      </c>
      <c r="O7" s="1" t="s">
        <v>16</v>
      </c>
      <c r="Q7" s="4" t="s">
        <v>14</v>
      </c>
      <c r="R7" s="4" t="s">
        <v>24</v>
      </c>
      <c r="S7" s="4" t="s">
        <v>25</v>
      </c>
      <c r="T7" s="4" t="s">
        <v>15</v>
      </c>
      <c r="U7" s="4" t="s">
        <v>11</v>
      </c>
      <c r="V7" s="3" t="s">
        <v>12</v>
      </c>
      <c r="Y7" s="4" t="s">
        <v>24</v>
      </c>
      <c r="Z7" s="4" t="s">
        <v>25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2">(1+(E8-T8)/T8)*100</f>
        <v>71.111111111111114</v>
      </c>
      <c r="N8" s="11">
        <f t="shared" ref="N8:N39" si="3">(1+(F8-U8)/U8)*100</f>
        <v>90.026833631484791</v>
      </c>
      <c r="O8" s="11">
        <f t="shared" ref="O8:O39" si="4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5">(1+(B9-Q9)/Q9)*100</f>
        <v>91.946308724832221</v>
      </c>
      <c r="K9" s="11">
        <f t="shared" ref="K9:K72" si="6">(C9+Y9)/R9*100</f>
        <v>95.742938986789341</v>
      </c>
      <c r="L9" s="11">
        <f t="shared" ref="L9:L72" si="7">(D9+Z9)/S9*100</f>
        <v>100.26436310330315</v>
      </c>
      <c r="M9" s="11">
        <f t="shared" si="2"/>
        <v>71.111111111111114</v>
      </c>
      <c r="N9" s="11">
        <f t="shared" si="3"/>
        <v>93.157423971377455</v>
      </c>
      <c r="O9" s="11">
        <f t="shared" si="4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5"/>
        <v>93.154362416107375</v>
      </c>
      <c r="K10" s="11">
        <f t="shared" si="6"/>
        <v>96.11202033321139</v>
      </c>
      <c r="L10" s="11">
        <f t="shared" si="7"/>
        <v>100.82617156219291</v>
      </c>
      <c r="M10" s="11">
        <f t="shared" si="2"/>
        <v>77.222222222222229</v>
      </c>
      <c r="N10" s="11">
        <f t="shared" si="3"/>
        <v>98.658318425760285</v>
      </c>
      <c r="O10" s="11">
        <f t="shared" si="4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5"/>
        <v>93.691275167785221</v>
      </c>
      <c r="K11" s="11">
        <f t="shared" si="6"/>
        <v>96.001879233135838</v>
      </c>
      <c r="L11" s="11">
        <f t="shared" si="7"/>
        <v>100.82617156219291</v>
      </c>
      <c r="M11" s="11">
        <f t="shared" si="2"/>
        <v>80.555555555555557</v>
      </c>
      <c r="N11" s="11">
        <f t="shared" si="3"/>
        <v>101.52057245080502</v>
      </c>
      <c r="O11" s="11">
        <f t="shared" si="4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5"/>
        <v>94.89932885906039</v>
      </c>
      <c r="K12" s="11">
        <f t="shared" si="6"/>
        <v>97.598925184231234</v>
      </c>
      <c r="L12" s="11">
        <f t="shared" si="7"/>
        <v>100.82617156219291</v>
      </c>
      <c r="M12" s="11">
        <f t="shared" si="2"/>
        <v>83.333333333333343</v>
      </c>
      <c r="N12" s="11">
        <f t="shared" si="3"/>
        <v>103.30948121645798</v>
      </c>
      <c r="O12" s="11">
        <f t="shared" si="4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5"/>
        <v>95.100671140939596</v>
      </c>
      <c r="K13" s="11">
        <f t="shared" si="6"/>
        <v>96.827937483702414</v>
      </c>
      <c r="L13" s="11">
        <f t="shared" si="7"/>
        <v>100.83147449248409</v>
      </c>
      <c r="M13" s="11">
        <f t="shared" si="2"/>
        <v>87.222222222222229</v>
      </c>
      <c r="N13" s="11">
        <f t="shared" si="3"/>
        <v>109.57066189624329</v>
      </c>
      <c r="O13" s="11">
        <f t="shared" si="4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5"/>
        <v>96.510067114093957</v>
      </c>
      <c r="K14" s="11">
        <f t="shared" si="6"/>
        <v>98.922758742926845</v>
      </c>
      <c r="L14" s="11">
        <f t="shared" si="7"/>
        <v>102.61640244122768</v>
      </c>
      <c r="M14" s="11">
        <f t="shared" si="2"/>
        <v>98.888888888888886</v>
      </c>
      <c r="N14" s="11">
        <f t="shared" si="3"/>
        <v>110.10733452593919</v>
      </c>
      <c r="O14" s="11">
        <f t="shared" si="4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5"/>
        <v>97.986577181208062</v>
      </c>
      <c r="K15" s="11">
        <f t="shared" si="6"/>
        <v>98.922758742926845</v>
      </c>
      <c r="L15" s="11">
        <f t="shared" si="7"/>
        <v>102.61640244122768</v>
      </c>
      <c r="M15" s="11">
        <f t="shared" si="2"/>
        <v>111.11111111111111</v>
      </c>
      <c r="N15" s="11">
        <f t="shared" si="3"/>
        <v>107.871198568873</v>
      </c>
      <c r="O15" s="11">
        <f t="shared" si="4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5"/>
        <v>97.986577181208062</v>
      </c>
      <c r="K16" s="11">
        <f t="shared" si="6"/>
        <v>98.922758742926845</v>
      </c>
      <c r="L16" s="11">
        <f t="shared" si="7"/>
        <v>102.61640244122768</v>
      </c>
      <c r="M16" s="11">
        <f t="shared" si="2"/>
        <v>114.44444444444444</v>
      </c>
      <c r="N16" s="11">
        <f t="shared" si="3"/>
        <v>108.67620751341683</v>
      </c>
      <c r="O16" s="11">
        <f t="shared" si="4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5"/>
        <v>98.65771812080537</v>
      </c>
      <c r="K17" s="11">
        <f t="shared" si="6"/>
        <v>98.922758742926845</v>
      </c>
      <c r="L17" s="11">
        <f t="shared" si="7"/>
        <v>102.61640244122768</v>
      </c>
      <c r="M17" s="11">
        <f t="shared" si="2"/>
        <v>116.11111111111111</v>
      </c>
      <c r="N17" s="11">
        <f t="shared" si="3"/>
        <v>110.68872987477639</v>
      </c>
      <c r="O17" s="11">
        <f t="shared" si="4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5"/>
        <v>97.986577181208062</v>
      </c>
      <c r="K18" s="11">
        <f t="shared" si="6"/>
        <v>99.784907271783126</v>
      </c>
      <c r="L18" s="11">
        <f t="shared" si="7"/>
        <v>102.61045878032324</v>
      </c>
      <c r="M18" s="11">
        <f t="shared" si="2"/>
        <v>116.11111111111111</v>
      </c>
      <c r="N18" s="11">
        <f t="shared" si="3"/>
        <v>111.62790697674419</v>
      </c>
      <c r="O18" s="11">
        <f t="shared" si="4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5"/>
        <v>96.644295302013418</v>
      </c>
      <c r="K19" s="11">
        <f t="shared" si="6"/>
        <v>99.485531318453667</v>
      </c>
      <c r="L19" s="11">
        <f t="shared" si="7"/>
        <v>104.52166405531604</v>
      </c>
      <c r="M19" s="11">
        <f t="shared" si="2"/>
        <v>120.55555555555554</v>
      </c>
      <c r="N19" s="11">
        <f t="shared" si="3"/>
        <v>112.25402504472272</v>
      </c>
      <c r="O19" s="11">
        <f t="shared" si="4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5"/>
        <v>95.973154362416096</v>
      </c>
      <c r="K20" s="11">
        <f t="shared" si="6"/>
        <v>98.879755268038167</v>
      </c>
      <c r="L20" s="11">
        <f t="shared" si="7"/>
        <v>104.52166405531604</v>
      </c>
      <c r="M20" s="11">
        <f t="shared" si="2"/>
        <v>123.88888888888889</v>
      </c>
      <c r="N20" s="11">
        <f t="shared" si="3"/>
        <v>110.95706618962433</v>
      </c>
      <c r="O20" s="11">
        <f t="shared" si="4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5"/>
        <v>94.630872483221466</v>
      </c>
      <c r="K21" s="11">
        <f t="shared" si="6"/>
        <v>99.237713843283686</v>
      </c>
      <c r="L21" s="11">
        <f t="shared" si="7"/>
        <v>104.52166405531604</v>
      </c>
      <c r="M21" s="11">
        <f t="shared" si="2"/>
        <v>118.88888888888889</v>
      </c>
      <c r="N21" s="11">
        <f t="shared" si="3"/>
        <v>108.72093023255813</v>
      </c>
      <c r="O21" s="11">
        <f t="shared" si="4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5"/>
        <v>94.630872483221466</v>
      </c>
      <c r="K22" s="11">
        <f t="shared" si="6"/>
        <v>98.651221055617739</v>
      </c>
      <c r="L22" s="11">
        <f t="shared" si="7"/>
        <v>104.53200728352741</v>
      </c>
      <c r="M22" s="11">
        <f t="shared" si="2"/>
        <v>133.88888888888891</v>
      </c>
      <c r="N22" s="11">
        <f t="shared" si="3"/>
        <v>109.57066189624329</v>
      </c>
      <c r="O22" s="11">
        <f t="shared" si="4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5"/>
        <v>94.630872483221466</v>
      </c>
      <c r="K23" s="11">
        <f t="shared" si="6"/>
        <v>100.16833360184609</v>
      </c>
      <c r="L23" s="11">
        <f t="shared" si="7"/>
        <v>101.55625479199324</v>
      </c>
      <c r="M23" s="11">
        <f t="shared" si="2"/>
        <v>120</v>
      </c>
      <c r="N23" s="11">
        <f t="shared" si="3"/>
        <v>111.31484794275492</v>
      </c>
      <c r="O23" s="11">
        <f t="shared" si="4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5"/>
        <v>94.630872483221466</v>
      </c>
      <c r="K24" s="11">
        <f t="shared" si="6"/>
        <v>97.910441050297436</v>
      </c>
      <c r="L24" s="11">
        <f t="shared" si="7"/>
        <v>101.55625479199324</v>
      </c>
      <c r="M24" s="11">
        <f t="shared" si="2"/>
        <v>126.66666666666666</v>
      </c>
      <c r="N24" s="11">
        <f t="shared" si="3"/>
        <v>111.40429338103756</v>
      </c>
      <c r="O24" s="11">
        <f t="shared" si="4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5"/>
        <v>93.959731543624159</v>
      </c>
      <c r="K25" s="11">
        <f t="shared" si="6"/>
        <v>96.891635874598663</v>
      </c>
      <c r="L25" s="11">
        <f t="shared" si="7"/>
        <v>101.55625479199324</v>
      </c>
      <c r="M25" s="11">
        <f t="shared" si="2"/>
        <v>96.666666666666671</v>
      </c>
      <c r="N25" s="11">
        <f t="shared" si="3"/>
        <v>112.56708407871199</v>
      </c>
      <c r="O25" s="11">
        <f t="shared" si="4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5"/>
        <v>96.644295302013418</v>
      </c>
      <c r="K26" s="11">
        <f t="shared" si="6"/>
        <v>98.297010944308809</v>
      </c>
      <c r="L26" s="11">
        <f t="shared" si="7"/>
        <v>101.55193650282057</v>
      </c>
      <c r="M26" s="11">
        <f t="shared" si="2"/>
        <v>92.222222222222229</v>
      </c>
      <c r="N26" s="11">
        <f t="shared" si="3"/>
        <v>114.26654740608231</v>
      </c>
      <c r="O26" s="11">
        <f t="shared" si="4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5"/>
        <v>100</v>
      </c>
      <c r="K27" s="11">
        <f t="shared" si="6"/>
        <v>96.988955530655517</v>
      </c>
      <c r="L27" s="11">
        <f t="shared" si="7"/>
        <v>99.28909562512473</v>
      </c>
      <c r="M27" s="11">
        <f t="shared" si="2"/>
        <v>88.888888888888886</v>
      </c>
      <c r="N27" s="11">
        <f t="shared" si="3"/>
        <v>114.26654740608231</v>
      </c>
      <c r="O27" s="11">
        <f t="shared" si="4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5"/>
        <v>100.67114093959732</v>
      </c>
      <c r="K28" s="11">
        <f t="shared" si="6"/>
        <v>96.630996955409998</v>
      </c>
      <c r="L28" s="11">
        <f t="shared" si="7"/>
        <v>99.28909562512473</v>
      </c>
      <c r="M28" s="11">
        <f t="shared" si="2"/>
        <v>88.888888888888886</v>
      </c>
      <c r="N28" s="11">
        <f t="shared" si="3"/>
        <v>115.3846153846154</v>
      </c>
      <c r="O28" s="11">
        <f t="shared" si="4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5"/>
        <v>99.328859060402692</v>
      </c>
      <c r="K29" s="11">
        <f t="shared" si="6"/>
        <v>96.162897280088927</v>
      </c>
      <c r="L29" s="11">
        <f t="shared" si="7"/>
        <v>99.28909562512473</v>
      </c>
      <c r="M29" s="11">
        <f t="shared" si="2"/>
        <v>131.66666666666666</v>
      </c>
      <c r="N29" s="11">
        <f t="shared" si="3"/>
        <v>121.91413237924866</v>
      </c>
      <c r="O29" s="11">
        <f t="shared" si="4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5"/>
        <v>99.328859060402692</v>
      </c>
      <c r="K30" s="11">
        <f t="shared" si="6"/>
        <v>97.484590480995465</v>
      </c>
      <c r="L30" s="11">
        <f t="shared" si="7"/>
        <v>99.28909562512473</v>
      </c>
      <c r="M30" s="11">
        <f t="shared" si="2"/>
        <v>132.77777777777777</v>
      </c>
      <c r="N30" s="11">
        <f t="shared" si="3"/>
        <v>125.22361359570662</v>
      </c>
      <c r="O30" s="11">
        <f t="shared" si="4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5"/>
        <v>100</v>
      </c>
      <c r="K31" s="11">
        <f t="shared" si="6"/>
        <v>97.104428339975073</v>
      </c>
      <c r="L31" s="11">
        <f t="shared" si="7"/>
        <v>99.265227499421187</v>
      </c>
      <c r="M31" s="11">
        <f t="shared" si="2"/>
        <v>123.88888888888889</v>
      </c>
      <c r="N31" s="11">
        <f t="shared" si="3"/>
        <v>117.88908765652953</v>
      </c>
      <c r="O31" s="11">
        <f t="shared" si="4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5"/>
        <v>103.35570469798658</v>
      </c>
      <c r="K32" s="11">
        <f t="shared" si="6"/>
        <v>99.031500348416074</v>
      </c>
      <c r="L32" s="11">
        <f t="shared" si="7"/>
        <v>100.61362764603206</v>
      </c>
      <c r="M32" s="11">
        <f t="shared" si="2"/>
        <v>113.88888888888889</v>
      </c>
      <c r="N32" s="11">
        <f t="shared" si="3"/>
        <v>117.53130590339893</v>
      </c>
      <c r="O32" s="11">
        <f t="shared" si="4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5"/>
        <v>111.40939597315436</v>
      </c>
      <c r="K33" s="11">
        <f t="shared" si="6"/>
        <v>98.508330123057235</v>
      </c>
      <c r="L33" s="11">
        <f t="shared" si="7"/>
        <v>100.61362764603206</v>
      </c>
      <c r="M33" s="11">
        <f t="shared" si="2"/>
        <v>98.888888888888886</v>
      </c>
      <c r="N33" s="11">
        <f t="shared" si="3"/>
        <v>121.64579606440071</v>
      </c>
      <c r="O33" s="11">
        <f t="shared" si="4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5"/>
        <v>114.09395973154362</v>
      </c>
      <c r="K34" s="11">
        <f t="shared" si="6"/>
        <v>98.921359248340522</v>
      </c>
      <c r="L34" s="11">
        <f t="shared" si="7"/>
        <v>100.61362764603206</v>
      </c>
      <c r="M34" s="11">
        <f t="shared" si="2"/>
        <v>92.222222222222229</v>
      </c>
      <c r="N34" s="11">
        <f t="shared" si="3"/>
        <v>123.43470483005368</v>
      </c>
      <c r="O34" s="11">
        <f t="shared" si="4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5"/>
        <v>114.76510067114094</v>
      </c>
      <c r="K35" s="11">
        <f t="shared" si="6"/>
        <v>97.539863275312683</v>
      </c>
      <c r="L35" s="11">
        <f t="shared" si="7"/>
        <v>100.63465656750104</v>
      </c>
      <c r="M35" s="11">
        <f t="shared" si="2"/>
        <v>93.333333333333329</v>
      </c>
      <c r="N35" s="11">
        <f t="shared" si="3"/>
        <v>125.5366726296959</v>
      </c>
      <c r="O35" s="11">
        <f t="shared" si="4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5"/>
        <v>117.4496644295302</v>
      </c>
      <c r="K36" s="11">
        <f t="shared" si="6"/>
        <v>98.382999734843935</v>
      </c>
      <c r="L36" s="11">
        <f t="shared" si="7"/>
        <v>101.75360114995853</v>
      </c>
      <c r="M36" s="11">
        <f t="shared" si="2"/>
        <v>101.11111111111111</v>
      </c>
      <c r="N36" s="11">
        <f t="shared" si="3"/>
        <v>127.01252236135959</v>
      </c>
      <c r="O36" s="11">
        <f t="shared" si="4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5"/>
        <v>118.79194630872483</v>
      </c>
      <c r="K37" s="11">
        <f t="shared" si="6"/>
        <v>99.071381610316095</v>
      </c>
      <c r="L37" s="11">
        <f t="shared" si="7"/>
        <v>101.75360114995853</v>
      </c>
      <c r="M37" s="11">
        <f t="shared" si="2"/>
        <v>105</v>
      </c>
      <c r="N37" s="11">
        <f t="shared" si="3"/>
        <v>130.41144901610016</v>
      </c>
      <c r="O37" s="11">
        <f t="shared" si="4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5"/>
        <v>117.4496644295302</v>
      </c>
      <c r="K38" s="11">
        <f t="shared" si="6"/>
        <v>99.264128535448293</v>
      </c>
      <c r="L38" s="11">
        <f t="shared" si="7"/>
        <v>101.75360114995853</v>
      </c>
      <c r="M38" s="11">
        <f t="shared" si="2"/>
        <v>97.222222222222214</v>
      </c>
      <c r="N38" s="11">
        <f t="shared" si="3"/>
        <v>134.79427549194992</v>
      </c>
      <c r="O38" s="11">
        <f t="shared" si="4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5"/>
        <v>111.40939597315436</v>
      </c>
      <c r="K39" s="11">
        <f t="shared" si="6"/>
        <v>98.903260964641973</v>
      </c>
      <c r="L39" s="11">
        <f t="shared" si="7"/>
        <v>101.70499420455548</v>
      </c>
      <c r="M39" s="11">
        <f t="shared" si="2"/>
        <v>85.555555555555557</v>
      </c>
      <c r="N39" s="11">
        <f t="shared" si="3"/>
        <v>134.57066189624328</v>
      </c>
      <c r="O39" s="11">
        <f t="shared" si="4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8">(1+(B40-Q40)/Q40)*100</f>
        <v>107.38255033557047</v>
      </c>
      <c r="K40" s="11">
        <f t="shared" si="6"/>
        <v>97.867880550203225</v>
      </c>
      <c r="L40" s="11">
        <f t="shared" si="7"/>
        <v>99.932406345255529</v>
      </c>
      <c r="M40" s="11">
        <f t="shared" ref="M40:M72" si="9">(1+(E40-T40)/T40)*100</f>
        <v>80.555555555555557</v>
      </c>
      <c r="N40" s="11">
        <f t="shared" ref="N40:N72" si="10">(1+(F40-U40)/U40)*100</f>
        <v>135.59928443649375</v>
      </c>
      <c r="O40" s="11">
        <f t="shared" ref="O40:O72" si="11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8"/>
        <v>104.02684563758389</v>
      </c>
      <c r="K41" s="11">
        <f t="shared" si="6"/>
        <v>98.143233300392083</v>
      </c>
      <c r="L41" s="11">
        <f t="shared" si="7"/>
        <v>99.932406345255529</v>
      </c>
      <c r="M41" s="11">
        <f t="shared" si="9"/>
        <v>79.444444444444457</v>
      </c>
      <c r="N41" s="11">
        <f t="shared" si="10"/>
        <v>138.59570661896242</v>
      </c>
      <c r="O41" s="11">
        <f t="shared" si="11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8"/>
        <v>103.35570469798658</v>
      </c>
      <c r="K42" s="11">
        <f t="shared" si="6"/>
        <v>98.143233300392083</v>
      </c>
      <c r="L42" s="11">
        <f t="shared" si="7"/>
        <v>99.932406345255529</v>
      </c>
      <c r="M42" s="11">
        <f t="shared" si="9"/>
        <v>76.666666666666657</v>
      </c>
      <c r="N42" s="11">
        <f t="shared" si="10"/>
        <v>143.78354203935601</v>
      </c>
      <c r="O42" s="11">
        <f t="shared" si="11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8"/>
        <v>102.68456375838926</v>
      </c>
      <c r="K43" s="11">
        <f t="shared" si="6"/>
        <v>97.867880550203225</v>
      </c>
      <c r="L43" s="11">
        <f t="shared" si="7"/>
        <v>99.932406345255529</v>
      </c>
      <c r="M43" s="11">
        <f t="shared" si="9"/>
        <v>71.666666666666671</v>
      </c>
      <c r="N43" s="11">
        <f t="shared" si="10"/>
        <v>144.58855098389984</v>
      </c>
      <c r="O43" s="11">
        <f t="shared" si="11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8"/>
        <v>101.34228187919463</v>
      </c>
      <c r="K44" s="11">
        <f t="shared" si="6"/>
        <v>97.80733947073881</v>
      </c>
      <c r="L44" s="11">
        <f t="shared" si="7"/>
        <v>99.947086074211228</v>
      </c>
      <c r="M44" s="11">
        <f t="shared" si="9"/>
        <v>70</v>
      </c>
      <c r="N44" s="11">
        <f t="shared" si="10"/>
        <v>152.68336314847943</v>
      </c>
      <c r="O44" s="11">
        <f t="shared" si="11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8"/>
        <v>99.328859060402692</v>
      </c>
      <c r="K45" s="11">
        <f t="shared" si="6"/>
        <v>98.453620659060675</v>
      </c>
      <c r="L45" s="11">
        <f t="shared" si="7"/>
        <v>101.16720889963584</v>
      </c>
      <c r="M45" s="11">
        <f t="shared" si="9"/>
        <v>71.111111111111114</v>
      </c>
      <c r="N45" s="11">
        <f t="shared" si="10"/>
        <v>156.26118067978533</v>
      </c>
      <c r="O45" s="11">
        <f t="shared" si="11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8"/>
        <v>96.644295302013418</v>
      </c>
      <c r="K46" s="11">
        <f t="shared" si="6"/>
        <v>98.811579234306208</v>
      </c>
      <c r="L46" s="11">
        <f t="shared" si="7"/>
        <v>101.16720889963584</v>
      </c>
      <c r="M46" s="11">
        <f t="shared" si="9"/>
        <v>82.222222222222214</v>
      </c>
      <c r="N46" s="11">
        <f t="shared" si="10"/>
        <v>158.72093023255815</v>
      </c>
      <c r="O46" s="11">
        <f t="shared" si="11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8"/>
        <v>96.644295302013418</v>
      </c>
      <c r="K47" s="11">
        <f t="shared" si="6"/>
        <v>98.976790884419515</v>
      </c>
      <c r="L47" s="11">
        <f t="shared" si="7"/>
        <v>101.16720889963584</v>
      </c>
      <c r="M47" s="11">
        <f t="shared" si="9"/>
        <v>78.333333333333329</v>
      </c>
      <c r="N47" s="11">
        <f t="shared" si="10"/>
        <v>152.86225402504473</v>
      </c>
      <c r="O47" s="11">
        <f t="shared" si="11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8"/>
        <v>95.973154362416096</v>
      </c>
      <c r="K48" s="11">
        <f t="shared" si="6"/>
        <v>98.658034520729771</v>
      </c>
      <c r="L48" s="11">
        <f t="shared" si="7"/>
        <v>101.20119092001939</v>
      </c>
      <c r="M48" s="11">
        <f t="shared" si="9"/>
        <v>75</v>
      </c>
      <c r="N48" s="11">
        <f t="shared" si="10"/>
        <v>139.93738819320214</v>
      </c>
      <c r="O48" s="11">
        <f t="shared" si="11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8"/>
        <v>95.302013422818789</v>
      </c>
      <c r="K49" s="11">
        <f t="shared" si="6"/>
        <v>98.080084375018728</v>
      </c>
      <c r="L49" s="11">
        <f t="shared" si="7"/>
        <v>102.12454170657497</v>
      </c>
      <c r="M49" s="11">
        <f t="shared" si="9"/>
        <v>73.888888888888886</v>
      </c>
      <c r="N49" s="11">
        <f t="shared" si="10"/>
        <v>139.98211091234347</v>
      </c>
      <c r="O49" s="11">
        <f t="shared" si="11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8"/>
        <v>95.302013422818789</v>
      </c>
      <c r="K50" s="11">
        <f t="shared" si="6"/>
        <v>97.997478549962068</v>
      </c>
      <c r="L50" s="11">
        <f t="shared" si="7"/>
        <v>102.12454170657497</v>
      </c>
      <c r="M50" s="11">
        <f t="shared" si="9"/>
        <v>77.222222222222229</v>
      </c>
      <c r="N50" s="11">
        <f t="shared" si="10"/>
        <v>136.8515205724508</v>
      </c>
      <c r="O50" s="11">
        <f t="shared" si="11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8"/>
        <v>95.973154362416096</v>
      </c>
      <c r="K51" s="11">
        <f t="shared" si="6"/>
        <v>98.520648775320907</v>
      </c>
      <c r="L51" s="11">
        <f t="shared" si="7"/>
        <v>102.12454170657497</v>
      </c>
      <c r="M51" s="11">
        <f t="shared" si="9"/>
        <v>82.777777777777771</v>
      </c>
      <c r="N51" s="11">
        <f t="shared" si="10"/>
        <v>136.00178890876566</v>
      </c>
      <c r="O51" s="11">
        <f t="shared" si="11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8"/>
        <v>95.302013422818789</v>
      </c>
      <c r="K52" s="11">
        <f t="shared" si="6"/>
        <v>99.034960795927915</v>
      </c>
      <c r="L52" s="11">
        <f t="shared" si="7"/>
        <v>102.13705788104517</v>
      </c>
      <c r="M52" s="11">
        <f t="shared" si="9"/>
        <v>87.222222222222229</v>
      </c>
      <c r="N52" s="11">
        <f t="shared" si="10"/>
        <v>134.97316636851519</v>
      </c>
      <c r="O52" s="11">
        <f t="shared" si="11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8"/>
        <v>95.302013422818789</v>
      </c>
      <c r="K53" s="11">
        <f t="shared" si="6"/>
        <v>100.84483563931488</v>
      </c>
      <c r="L53" s="11">
        <f t="shared" si="7"/>
        <v>102.70012799505794</v>
      </c>
      <c r="M53" s="11">
        <f t="shared" si="9"/>
        <v>88.888888888888886</v>
      </c>
      <c r="N53" s="11">
        <f t="shared" si="10"/>
        <v>137.25402504472274</v>
      </c>
      <c r="O53" s="11">
        <f t="shared" si="11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8"/>
        <v>95.973154362416096</v>
      </c>
      <c r="K54" s="11">
        <f t="shared" si="6"/>
        <v>101.53321751478703</v>
      </c>
      <c r="L54" s="11">
        <f t="shared" si="7"/>
        <v>102.70012799505794</v>
      </c>
      <c r="M54" s="11">
        <f t="shared" si="9"/>
        <v>86.666666666666671</v>
      </c>
      <c r="N54" s="11">
        <f t="shared" si="10"/>
        <v>140.47406082289802</v>
      </c>
      <c r="O54" s="11">
        <f t="shared" si="11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8"/>
        <v>96.644295302013418</v>
      </c>
      <c r="K55" s="11">
        <f t="shared" si="6"/>
        <v>102.63462851554249</v>
      </c>
      <c r="L55" s="11">
        <f t="shared" si="7"/>
        <v>102.70012799505794</v>
      </c>
      <c r="M55" s="11">
        <f t="shared" si="9"/>
        <v>85.555555555555557</v>
      </c>
      <c r="N55" s="11">
        <f t="shared" si="10"/>
        <v>144.18604651162792</v>
      </c>
      <c r="O55" s="11">
        <f t="shared" si="11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8"/>
        <v>96.644295302013418</v>
      </c>
      <c r="K56" s="11">
        <f t="shared" si="6"/>
        <v>103.62589841622238</v>
      </c>
      <c r="L56" s="11">
        <f t="shared" si="7"/>
        <v>102.70012799505794</v>
      </c>
      <c r="M56" s="11">
        <f t="shared" si="9"/>
        <v>81.666666666666671</v>
      </c>
      <c r="N56" s="11">
        <f t="shared" si="10"/>
        <v>148.88193202146692</v>
      </c>
      <c r="O56" s="11">
        <f t="shared" si="11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8"/>
        <v>96.644295302013418</v>
      </c>
      <c r="K57" s="11">
        <f t="shared" si="6"/>
        <v>103.11163635891209</v>
      </c>
      <c r="L57" s="11">
        <f t="shared" si="7"/>
        <v>102.74304198583289</v>
      </c>
      <c r="M57" s="11">
        <f t="shared" si="9"/>
        <v>83.888888888888886</v>
      </c>
      <c r="N57" s="11">
        <f t="shared" si="10"/>
        <v>145.79606440071558</v>
      </c>
      <c r="O57" s="11">
        <f t="shared" si="11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8"/>
        <v>97.315436241610726</v>
      </c>
      <c r="K58" s="11">
        <f t="shared" si="6"/>
        <v>103.86158745966152</v>
      </c>
      <c r="L58" s="11">
        <f t="shared" si="7"/>
        <v>104.29724444813601</v>
      </c>
      <c r="M58" s="11">
        <f t="shared" si="9"/>
        <v>83.888888888888886</v>
      </c>
      <c r="N58" s="11">
        <f t="shared" si="10"/>
        <v>143.4704830053667</v>
      </c>
      <c r="O58" s="11">
        <f t="shared" si="11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8"/>
        <v>100</v>
      </c>
      <c r="K59" s="11">
        <f t="shared" si="6"/>
        <v>103.6963758095482</v>
      </c>
      <c r="L59" s="11">
        <f t="shared" si="7"/>
        <v>104.29724444813601</v>
      </c>
      <c r="M59" s="11">
        <f t="shared" si="9"/>
        <v>90.277777777777786</v>
      </c>
      <c r="N59" s="11">
        <f t="shared" si="10"/>
        <v>151.34168157423971</v>
      </c>
      <c r="O59" s="11">
        <f t="shared" si="11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8"/>
        <v>100.67114093959732</v>
      </c>
      <c r="K60" s="11">
        <f t="shared" si="6"/>
        <v>104.32968713498258</v>
      </c>
      <c r="L60" s="11">
        <f t="shared" si="7"/>
        <v>104.29724444813601</v>
      </c>
      <c r="M60" s="11">
        <f t="shared" si="9"/>
        <v>94.444444444444443</v>
      </c>
      <c r="N60" s="11">
        <f t="shared" si="10"/>
        <v>151.78890876565293</v>
      </c>
      <c r="O60" s="11">
        <f t="shared" si="11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8"/>
        <v>100.67114093959732</v>
      </c>
      <c r="K61" s="11">
        <f t="shared" si="6"/>
        <v>103.89353208229608</v>
      </c>
      <c r="L61" s="11">
        <f t="shared" si="7"/>
        <v>104.28008203481507</v>
      </c>
      <c r="M61" s="11">
        <f t="shared" si="9"/>
        <v>104.44444444444446</v>
      </c>
      <c r="N61" s="11">
        <f t="shared" si="10"/>
        <v>148.30053667262968</v>
      </c>
      <c r="O61" s="11">
        <f t="shared" si="11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8"/>
        <v>100.67114093959732</v>
      </c>
      <c r="K62" s="11">
        <f t="shared" si="6"/>
        <v>106.26175091455316</v>
      </c>
      <c r="L62" s="11">
        <f t="shared" si="7"/>
        <v>103.07800716912337</v>
      </c>
      <c r="M62" s="11">
        <f t="shared" si="9"/>
        <v>104.44444444444446</v>
      </c>
      <c r="N62" s="11">
        <f t="shared" si="10"/>
        <v>151.8783542039356</v>
      </c>
      <c r="O62" s="11">
        <f t="shared" si="11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8"/>
        <v>100</v>
      </c>
      <c r="K63" s="11">
        <f t="shared" si="6"/>
        <v>104.71977551349553</v>
      </c>
      <c r="L63" s="11">
        <f t="shared" si="7"/>
        <v>103.07800716912337</v>
      </c>
      <c r="M63" s="11">
        <f t="shared" si="9"/>
        <v>110.55555555555556</v>
      </c>
      <c r="N63" s="11">
        <f t="shared" si="10"/>
        <v>156.03756708407872</v>
      </c>
      <c r="O63" s="11">
        <f t="shared" si="11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8"/>
        <v>98.65771812080537</v>
      </c>
      <c r="K64" s="11">
        <f t="shared" si="6"/>
        <v>104.33428166323114</v>
      </c>
      <c r="L64" s="11">
        <f t="shared" si="7"/>
        <v>103.07800716912337</v>
      </c>
      <c r="M64" s="11">
        <f t="shared" si="9"/>
        <v>137.77777777777777</v>
      </c>
      <c r="N64" s="11">
        <f t="shared" si="10"/>
        <v>153.84615384615384</v>
      </c>
      <c r="O64" s="11">
        <f t="shared" si="11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8"/>
        <v>96.644295302013418</v>
      </c>
      <c r="K65" s="11">
        <f t="shared" si="6"/>
        <v>102.75588943287661</v>
      </c>
      <c r="L65" s="11">
        <f t="shared" si="7"/>
        <v>103.11450146980312</v>
      </c>
      <c r="M65" s="11">
        <f t="shared" si="9"/>
        <v>151.66666666666666</v>
      </c>
      <c r="N65" s="11">
        <f t="shared" si="10"/>
        <v>150.49194991055455</v>
      </c>
      <c r="O65" s="11">
        <f t="shared" si="11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8"/>
        <v>95.973154362416096</v>
      </c>
      <c r="K66" s="11">
        <f t="shared" si="6"/>
        <v>97.572410000894621</v>
      </c>
      <c r="L66" s="11">
        <f t="shared" si="7"/>
        <v>104.87362514454941</v>
      </c>
      <c r="M66" s="11">
        <f t="shared" si="9"/>
        <v>167.22222222222223</v>
      </c>
      <c r="N66" s="11">
        <f t="shared" si="10"/>
        <v>168.73881932021467</v>
      </c>
      <c r="O66" s="11">
        <f t="shared" si="11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8"/>
        <v>97.315436241610726</v>
      </c>
      <c r="K67" s="11">
        <f t="shared" si="6"/>
        <v>97.10431032557355</v>
      </c>
      <c r="L67" s="11">
        <f t="shared" si="7"/>
        <v>104.87362514454941</v>
      </c>
      <c r="M67" s="11">
        <f t="shared" si="9"/>
        <v>165.55555555555554</v>
      </c>
      <c r="N67" s="11">
        <f t="shared" si="10"/>
        <v>189.44543828264759</v>
      </c>
      <c r="O67" s="11">
        <f t="shared" si="11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8"/>
        <v>99.328859060402692</v>
      </c>
      <c r="K68" s="11">
        <f t="shared" si="6"/>
        <v>97.076775050554659</v>
      </c>
      <c r="L68" s="11">
        <f t="shared" si="7"/>
        <v>104.87362514454941</v>
      </c>
      <c r="M68" s="11">
        <f t="shared" si="9"/>
        <v>148.88888888888889</v>
      </c>
      <c r="N68" s="11">
        <f t="shared" si="10"/>
        <v>203.57781753130593</v>
      </c>
      <c r="O68" s="11">
        <f t="shared" si="11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8"/>
        <v>100.67114093959732</v>
      </c>
      <c r="K69" s="11">
        <f t="shared" si="6"/>
        <v>97.32459252572464</v>
      </c>
      <c r="L69" s="11">
        <f t="shared" si="7"/>
        <v>104.87362514454941</v>
      </c>
      <c r="M69" s="11">
        <f t="shared" si="9"/>
        <v>169.44444444444443</v>
      </c>
      <c r="N69" s="11">
        <f t="shared" si="10"/>
        <v>204.60644007155634</v>
      </c>
      <c r="O69" s="11">
        <f t="shared" si="11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8"/>
        <v>100.67114093959732</v>
      </c>
      <c r="K70" s="11">
        <f t="shared" si="6"/>
        <v>99.124176685134586</v>
      </c>
      <c r="L70" s="11">
        <f t="shared" si="7"/>
        <v>104.85098488868776</v>
      </c>
      <c r="M70" s="11">
        <f t="shared" si="9"/>
        <v>194.44444444444443</v>
      </c>
      <c r="N70" s="11">
        <f t="shared" si="10"/>
        <v>209.21288014311276</v>
      </c>
      <c r="O70" s="11">
        <f t="shared" si="11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8"/>
        <v>99.328859060402692</v>
      </c>
      <c r="K71" s="11">
        <f t="shared" si="6"/>
        <v>107.87494034320366</v>
      </c>
      <c r="L71" s="11">
        <f t="shared" si="7"/>
        <v>103.6776875625829</v>
      </c>
      <c r="M71" s="11">
        <f t="shared" si="9"/>
        <v>153.88888888888889</v>
      </c>
      <c r="N71" s="11">
        <f t="shared" si="10"/>
        <v>212.34347048300535</v>
      </c>
      <c r="O71" s="11">
        <f t="shared" si="11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8"/>
        <v>99.328859060402692</v>
      </c>
      <c r="K72" s="11">
        <f t="shared" si="6"/>
        <v>108.17782836841141</v>
      </c>
      <c r="L72" s="11">
        <f t="shared" si="7"/>
        <v>103.6776875625829</v>
      </c>
      <c r="M72" s="11">
        <f t="shared" si="9"/>
        <v>121.66666666666669</v>
      </c>
      <c r="N72" s="11">
        <f t="shared" si="10"/>
        <v>203.13059033989271</v>
      </c>
      <c r="O72" s="11">
        <f t="shared" si="11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2">(1+(B73-Q73)/Q73)*100</f>
        <v>99.328859060402692</v>
      </c>
      <c r="K73" s="11">
        <f t="shared" ref="K73:K136" si="13">(C73+Y73)/R73*100</f>
        <v>114.07037722245303</v>
      </c>
      <c r="L73" s="11">
        <f t="shared" ref="L73:L136" si="14">(D73+Z73)/S73*100</f>
        <v>103.6776875625829</v>
      </c>
      <c r="M73" s="11">
        <f t="shared" ref="M73:M86" si="15">(1+(E73-T73)/T73)*100</f>
        <v>107.22222222222221</v>
      </c>
      <c r="N73" s="11">
        <f t="shared" ref="N73:N86" si="16">(1+(F73-U73)/U73)*100</f>
        <v>201.16279069767441</v>
      </c>
      <c r="O73" s="11">
        <f t="shared" ref="O73:O86" si="17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2"/>
        <v>100</v>
      </c>
      <c r="K74" s="11">
        <f t="shared" si="13"/>
        <v>109.70589187884048</v>
      </c>
      <c r="L74" s="11">
        <f t="shared" si="14"/>
        <v>103.66938247535555</v>
      </c>
      <c r="M74" s="11">
        <f t="shared" si="15"/>
        <v>104.44444444444446</v>
      </c>
      <c r="N74" s="11">
        <f t="shared" si="16"/>
        <v>207.15563506261182</v>
      </c>
      <c r="O74" s="11">
        <f t="shared" si="17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2"/>
        <v>99.328859060402692</v>
      </c>
      <c r="K75" s="11">
        <f t="shared" si="13"/>
        <v>114.1142552607528</v>
      </c>
      <c r="L75" s="11">
        <f t="shared" si="14"/>
        <v>103.51552195086194</v>
      </c>
      <c r="M75" s="11">
        <f t="shared" si="15"/>
        <v>111.11111111111111</v>
      </c>
      <c r="N75" s="11">
        <f t="shared" si="16"/>
        <v>219.76744186046514</v>
      </c>
      <c r="O75" s="11">
        <f t="shared" si="17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2"/>
        <v>100</v>
      </c>
      <c r="K76" s="11">
        <f t="shared" si="13"/>
        <v>115.18813098648934</v>
      </c>
      <c r="L76" s="11">
        <f t="shared" si="14"/>
        <v>103.51552195086194</v>
      </c>
      <c r="M76" s="11">
        <f t="shared" si="15"/>
        <v>122.77777777777779</v>
      </c>
      <c r="N76" s="11">
        <f t="shared" si="16"/>
        <v>225.89445438282647</v>
      </c>
      <c r="O76" s="11">
        <f t="shared" si="17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2"/>
        <v>100</v>
      </c>
      <c r="K77" s="11">
        <f t="shared" si="13"/>
        <v>111.60854523403414</v>
      </c>
      <c r="L77" s="11">
        <f t="shared" si="14"/>
        <v>103.51552195086194</v>
      </c>
      <c r="M77" s="11">
        <f t="shared" si="15"/>
        <v>118.88888888888889</v>
      </c>
      <c r="N77" s="11">
        <f t="shared" si="16"/>
        <v>229.33810375670842</v>
      </c>
      <c r="O77" s="11">
        <f t="shared" si="17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2"/>
        <v>100.67114093959732</v>
      </c>
      <c r="K78" s="11">
        <f t="shared" si="13"/>
        <v>109.51586433259881</v>
      </c>
      <c r="L78" s="11">
        <f t="shared" si="14"/>
        <v>103.51552195086194</v>
      </c>
      <c r="M78" s="11">
        <f t="shared" si="15"/>
        <v>119.44444444444444</v>
      </c>
      <c r="N78" s="11">
        <f t="shared" si="16"/>
        <v>229.695885509839</v>
      </c>
      <c r="O78" s="11">
        <f t="shared" si="17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17</v>
      </c>
      <c r="G79" s="2" t="s">
        <v>17</v>
      </c>
      <c r="I79" s="10">
        <v>37986</v>
      </c>
      <c r="J79" s="11">
        <f t="shared" si="12"/>
        <v>100.80536912751678</v>
      </c>
      <c r="K79" s="11">
        <f t="shared" si="13"/>
        <v>108.85873571743865</v>
      </c>
      <c r="L79" s="11">
        <f t="shared" si="14"/>
        <v>103.55687850582839</v>
      </c>
      <c r="M79" s="11">
        <f t="shared" si="15"/>
        <v>111.66666666666667</v>
      </c>
      <c r="N79" s="11">
        <f t="shared" si="16"/>
        <v>0</v>
      </c>
      <c r="O79" s="11">
        <f t="shared" si="17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8">(1+(B80-Q80)/Q80)*100</f>
        <v>100.67114093959732</v>
      </c>
      <c r="K80" s="11">
        <f t="shared" si="13"/>
        <v>107.84587272554087</v>
      </c>
      <c r="L80" s="11">
        <f t="shared" si="14"/>
        <v>105.21179555276112</v>
      </c>
      <c r="M80" s="11">
        <f t="shared" si="15"/>
        <v>111.11111111111111</v>
      </c>
      <c r="N80" s="11">
        <f t="shared" si="16"/>
        <v>230.90339892665477</v>
      </c>
      <c r="O80" s="11">
        <f t="shared" si="17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8"/>
        <v>106.04026845637584</v>
      </c>
      <c r="K81" s="11">
        <f t="shared" si="13"/>
        <v>105.14741577369004</v>
      </c>
      <c r="L81" s="11">
        <f t="shared" si="14"/>
        <v>105.21179555276112</v>
      </c>
      <c r="M81" s="24">
        <f t="shared" si="15"/>
        <v>111.11111111111111</v>
      </c>
      <c r="N81" s="24">
        <f t="shared" si="16"/>
        <v>260.15205724508053</v>
      </c>
      <c r="O81" s="24">
        <f t="shared" si="17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8"/>
        <v>104.69798657718121</v>
      </c>
      <c r="K82" s="11">
        <f t="shared" si="13"/>
        <v>110.62693550244838</v>
      </c>
      <c r="L82" s="11">
        <f t="shared" si="14"/>
        <v>105.21179555276112</v>
      </c>
      <c r="M82" s="24">
        <f t="shared" si="15"/>
        <v>105.55555555555556</v>
      </c>
      <c r="N82" s="24">
        <f t="shared" si="16"/>
        <v>264.22182468694098</v>
      </c>
      <c r="O82" s="24">
        <f t="shared" si="17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8"/>
        <v>106.04026845637584</v>
      </c>
      <c r="K83" s="11">
        <f t="shared" si="13"/>
        <v>107.30590909230915</v>
      </c>
      <c r="L83" s="11">
        <f t="shared" si="14"/>
        <v>105.2099352815367</v>
      </c>
      <c r="M83" s="24">
        <f t="shared" si="15"/>
        <v>115.55555555555554</v>
      </c>
      <c r="N83" s="24">
        <f t="shared" si="16"/>
        <v>278.30948121645793</v>
      </c>
      <c r="O83" s="24">
        <f t="shared" si="17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8"/>
        <v>106.04026845637584</v>
      </c>
      <c r="K84" s="11">
        <f t="shared" si="13"/>
        <v>113.72068029238054</v>
      </c>
      <c r="L84" s="11">
        <f t="shared" si="14"/>
        <v>105.12290289010053</v>
      </c>
      <c r="M84" s="24">
        <f t="shared" si="15"/>
        <v>119.44444444444444</v>
      </c>
      <c r="N84" s="24">
        <f t="shared" si="16"/>
        <v>319.63327370304114</v>
      </c>
      <c r="O84" s="24">
        <f t="shared" si="17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8"/>
        <v>105.36912751677853</v>
      </c>
      <c r="K85" s="11">
        <f t="shared" si="13"/>
        <v>117.16258966974131</v>
      </c>
      <c r="L85" s="11">
        <f t="shared" si="14"/>
        <v>105.12290289010053</v>
      </c>
      <c r="M85" s="24">
        <f t="shared" si="15"/>
        <v>108.88888888888889</v>
      </c>
      <c r="N85" s="24">
        <f t="shared" si="16"/>
        <v>309.52593917710198</v>
      </c>
      <c r="O85" s="24">
        <f t="shared" si="17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8"/>
        <v>106.04026845637584</v>
      </c>
      <c r="K86" s="11">
        <f t="shared" si="13"/>
        <v>118.15385957042122</v>
      </c>
      <c r="L86" s="11">
        <f t="shared" si="14"/>
        <v>105.12290289010053</v>
      </c>
      <c r="M86" s="24">
        <f t="shared" si="15"/>
        <v>100.55555555555556</v>
      </c>
      <c r="N86" s="24">
        <f t="shared" si="16"/>
        <v>307.82647584973171</v>
      </c>
      <c r="O86" s="24">
        <f t="shared" si="17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8"/>
        <v>107.38255033557047</v>
      </c>
      <c r="K87" s="11">
        <f t="shared" si="13"/>
        <v>111.94871837563252</v>
      </c>
      <c r="L87" s="11">
        <f t="shared" si="14"/>
        <v>105.10174997979725</v>
      </c>
      <c r="M87" s="24">
        <f t="shared" ref="M87:M117" si="19">(1+(E87-T87)/T87)*100</f>
        <v>87.777777777777771</v>
      </c>
      <c r="N87" s="27">
        <f t="shared" ref="N87:N130" si="20">(1+(F87-U87)/U87)*100</f>
        <v>326.52057245080505</v>
      </c>
      <c r="O87" s="27">
        <f t="shared" ref="O87:O130" si="21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8"/>
        <v>108.7248322147651</v>
      </c>
      <c r="K88" s="11">
        <f t="shared" si="13"/>
        <v>113.80141670975866</v>
      </c>
      <c r="L88" s="11">
        <f t="shared" si="14"/>
        <v>105.35878540870482</v>
      </c>
      <c r="M88" s="24">
        <f t="shared" si="19"/>
        <v>88.888888888888886</v>
      </c>
      <c r="N88" s="27">
        <f t="shared" si="20"/>
        <v>322.94275491949907</v>
      </c>
      <c r="O88" s="27">
        <f t="shared" si="21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8"/>
        <v>109.39597315436241</v>
      </c>
      <c r="K89" s="11">
        <f t="shared" si="13"/>
        <v>115.12310991066519</v>
      </c>
      <c r="L89" s="11">
        <f t="shared" si="14"/>
        <v>105.35878540870482</v>
      </c>
      <c r="M89" s="27">
        <f t="shared" si="19"/>
        <v>82.777777777777771</v>
      </c>
      <c r="N89" s="27">
        <f t="shared" si="20"/>
        <v>326.96779964221827</v>
      </c>
      <c r="O89" s="27">
        <f t="shared" si="21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8"/>
        <v>108.52348993288589</v>
      </c>
      <c r="K90" s="11">
        <f t="shared" si="13"/>
        <v>113.55359923458867</v>
      </c>
      <c r="L90" s="11">
        <f t="shared" si="14"/>
        <v>105.35878540870482</v>
      </c>
      <c r="M90" s="27">
        <f t="shared" si="19"/>
        <v>83.888888888888886</v>
      </c>
      <c r="N90" s="27">
        <f t="shared" si="20"/>
        <v>327.64311270125222</v>
      </c>
      <c r="O90" s="27">
        <f t="shared" si="21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8"/>
        <v>110.06711409395973</v>
      </c>
      <c r="K91" s="11">
        <f t="shared" si="13"/>
        <v>111.62612998326667</v>
      </c>
      <c r="L91" s="11">
        <f t="shared" si="14"/>
        <v>105.35878540870482</v>
      </c>
      <c r="M91" s="27">
        <f t="shared" si="19"/>
        <v>79.444444444444457</v>
      </c>
      <c r="N91" s="27">
        <f t="shared" si="20"/>
        <v>326.61001788908766</v>
      </c>
      <c r="O91" s="27">
        <f t="shared" si="21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8"/>
        <v>110.06711409395973</v>
      </c>
      <c r="K92" s="11">
        <f t="shared" si="13"/>
        <v>112.22801165949483</v>
      </c>
      <c r="L92" s="11">
        <f t="shared" si="14"/>
        <v>105.42225711278992</v>
      </c>
      <c r="M92" s="27">
        <f t="shared" si="19"/>
        <v>83.888888888888886</v>
      </c>
      <c r="N92" s="27">
        <f t="shared" si="20"/>
        <v>323.03220035778179</v>
      </c>
      <c r="O92" s="27">
        <f t="shared" si="21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8"/>
        <v>110.60402684563758</v>
      </c>
      <c r="K93" s="11">
        <f t="shared" si="13"/>
        <v>107.9681401055726</v>
      </c>
      <c r="L93" s="11">
        <f t="shared" si="14"/>
        <v>107.11100356694585</v>
      </c>
      <c r="M93" s="27">
        <f t="shared" si="19"/>
        <v>81.666666666666671</v>
      </c>
      <c r="N93" s="27">
        <f t="shared" si="20"/>
        <v>325.304114490161</v>
      </c>
      <c r="O93" s="27">
        <f t="shared" si="21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8"/>
        <v>112.68456375838926</v>
      </c>
      <c r="K94" s="11">
        <f t="shared" si="13"/>
        <v>107.25222295508156</v>
      </c>
      <c r="L94" s="11">
        <f t="shared" si="14"/>
        <v>107.11100356694585</v>
      </c>
      <c r="M94" s="27">
        <f t="shared" si="19"/>
        <v>81.111111111111114</v>
      </c>
      <c r="N94" s="27">
        <f t="shared" si="20"/>
        <v>324.60196779964224</v>
      </c>
      <c r="O94" s="27">
        <f t="shared" si="21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8"/>
        <v>115.43624161073826</v>
      </c>
      <c r="K95" s="11">
        <f t="shared" si="13"/>
        <v>107.7753931804404</v>
      </c>
      <c r="L95" s="11">
        <f t="shared" si="14"/>
        <v>107.11100356694585</v>
      </c>
      <c r="M95" s="27">
        <f t="shared" si="19"/>
        <v>77.777777777777786</v>
      </c>
      <c r="N95" s="27">
        <f t="shared" si="20"/>
        <v>320.37567084078711</v>
      </c>
      <c r="O95" s="27">
        <f t="shared" si="21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8"/>
        <v>115.30201342281879</v>
      </c>
      <c r="K96" s="11">
        <f t="shared" si="13"/>
        <v>106.57214102856996</v>
      </c>
      <c r="L96" s="11">
        <f t="shared" si="14"/>
        <v>107.07787533501252</v>
      </c>
      <c r="M96" s="27">
        <f t="shared" si="19"/>
        <v>75.833333333333329</v>
      </c>
      <c r="N96" s="27">
        <f t="shared" si="20"/>
        <v>297.13327370304114</v>
      </c>
      <c r="O96" s="27">
        <f t="shared" si="21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8"/>
        <v>115.23489932885906</v>
      </c>
      <c r="K97" s="11">
        <f t="shared" si="13"/>
        <v>107.34351141692933</v>
      </c>
      <c r="L97" s="11">
        <f t="shared" si="14"/>
        <v>106.80146455904145</v>
      </c>
      <c r="M97" s="27">
        <f t="shared" si="19"/>
        <v>75.555555555555557</v>
      </c>
      <c r="N97" s="27">
        <f t="shared" si="20"/>
        <v>283.25581395348837</v>
      </c>
      <c r="O97" s="27">
        <f t="shared" si="21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8"/>
        <v>117.11409395973156</v>
      </c>
      <c r="K98" s="11">
        <f t="shared" si="13"/>
        <v>104.89287194024848</v>
      </c>
      <c r="L98" s="11">
        <f t="shared" si="14"/>
        <v>106.80146455904145</v>
      </c>
      <c r="M98" s="27">
        <f t="shared" si="19"/>
        <v>84.444444444444443</v>
      </c>
      <c r="N98" s="27">
        <f t="shared" si="20"/>
        <v>283.46153846153845</v>
      </c>
      <c r="O98" s="27">
        <f t="shared" si="21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8"/>
        <v>118.3221476510067</v>
      </c>
      <c r="K99" s="11">
        <f t="shared" si="13"/>
        <v>104.75519556515405</v>
      </c>
      <c r="L99" s="11">
        <f t="shared" si="14"/>
        <v>106.80146455904145</v>
      </c>
      <c r="M99" s="27">
        <f t="shared" si="19"/>
        <v>93.888888888888886</v>
      </c>
      <c r="N99" s="27">
        <f t="shared" si="20"/>
        <v>234.39624329159213</v>
      </c>
      <c r="O99" s="27">
        <f t="shared" si="21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8"/>
        <v>118.18791946308724</v>
      </c>
      <c r="K100" s="11">
        <f t="shared" si="13"/>
        <v>104.99820689922504</v>
      </c>
      <c r="L100" s="11">
        <f t="shared" si="14"/>
        <v>106.75641229712929</v>
      </c>
      <c r="M100" s="27">
        <f t="shared" si="19"/>
        <v>96.666666666666671</v>
      </c>
      <c r="N100" s="27">
        <f t="shared" si="20"/>
        <v>231.75760286225403</v>
      </c>
      <c r="O100" s="27">
        <f t="shared" si="21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8"/>
        <v>117.18120805369128</v>
      </c>
      <c r="K101" s="11">
        <f t="shared" si="13"/>
        <v>104.59965589971804</v>
      </c>
      <c r="L101" s="11">
        <f t="shared" si="14"/>
        <v>106.11909276348996</v>
      </c>
      <c r="M101" s="27">
        <f t="shared" si="19"/>
        <v>93.888888888888886</v>
      </c>
      <c r="N101" s="27">
        <f t="shared" si="20"/>
        <v>229.95974955277282</v>
      </c>
      <c r="O101" s="27">
        <f t="shared" si="21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8"/>
        <v>116.3758389261745</v>
      </c>
      <c r="K102" s="11">
        <f t="shared" si="13"/>
        <v>105.23296722515244</v>
      </c>
      <c r="L102" s="11">
        <f t="shared" si="14"/>
        <v>106.11909276348996</v>
      </c>
      <c r="M102" s="27">
        <f t="shared" si="19"/>
        <v>90.555555555555557</v>
      </c>
      <c r="N102" s="27">
        <f t="shared" si="20"/>
        <v>213.38103756708412</v>
      </c>
      <c r="O102" s="27">
        <f t="shared" si="21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8"/>
        <v>114.83221476510069</v>
      </c>
      <c r="K103" s="11">
        <f t="shared" si="13"/>
        <v>105.17789667511465</v>
      </c>
      <c r="L103" s="11">
        <f t="shared" si="14"/>
        <v>106.11909276348996</v>
      </c>
      <c r="M103" s="27">
        <f t="shared" si="19"/>
        <v>84.444444444444443</v>
      </c>
      <c r="N103" s="27">
        <f t="shared" si="20"/>
        <v>194.79874776386404</v>
      </c>
      <c r="O103" s="27">
        <f t="shared" si="21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8"/>
        <v>114.09395973154362</v>
      </c>
      <c r="K104" s="11">
        <f t="shared" si="13"/>
        <v>106.44451932598341</v>
      </c>
      <c r="L104" s="11">
        <f t="shared" si="14"/>
        <v>106.11909276348996</v>
      </c>
      <c r="M104" s="27">
        <f t="shared" si="19"/>
        <v>83.333333333333343</v>
      </c>
      <c r="N104" s="27">
        <f t="shared" si="20"/>
        <v>165.36225402504473</v>
      </c>
      <c r="O104" s="27">
        <f t="shared" si="21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8"/>
        <v>114.09395973154362</v>
      </c>
      <c r="K105" s="11">
        <f t="shared" si="13"/>
        <v>104.44001692100171</v>
      </c>
      <c r="L105" s="11">
        <f t="shared" si="14"/>
        <v>106.07153162658345</v>
      </c>
      <c r="M105" s="27">
        <f t="shared" si="19"/>
        <v>83.888888888888886</v>
      </c>
      <c r="N105" s="27">
        <f t="shared" si="20"/>
        <v>171.43112701252235</v>
      </c>
      <c r="O105" s="27">
        <f t="shared" si="21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8"/>
        <v>115.16778523489933</v>
      </c>
      <c r="K106" s="11">
        <f t="shared" si="13"/>
        <v>100.87786205062289</v>
      </c>
      <c r="L106" s="11">
        <f t="shared" si="14"/>
        <v>105.88948009248622</v>
      </c>
      <c r="M106" s="27">
        <f t="shared" si="19"/>
        <v>83.888888888888886</v>
      </c>
      <c r="N106" s="27">
        <f t="shared" si="20"/>
        <v>189.46779964221827</v>
      </c>
      <c r="O106" s="27">
        <f t="shared" si="21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8"/>
        <v>116.77852348993289</v>
      </c>
      <c r="K107" s="11">
        <f t="shared" si="13"/>
        <v>100.85032677560402</v>
      </c>
      <c r="L107" s="11">
        <f t="shared" si="14"/>
        <v>105.88948009248622</v>
      </c>
      <c r="M107" s="27">
        <f t="shared" si="19"/>
        <v>81.111111111111114</v>
      </c>
      <c r="N107" s="27">
        <f t="shared" si="20"/>
        <v>217.49552772808585</v>
      </c>
      <c r="O107" s="27">
        <f t="shared" si="21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8"/>
        <v>117.04697986577182</v>
      </c>
      <c r="K108" s="11">
        <f t="shared" si="13"/>
        <v>104.12702450285147</v>
      </c>
      <c r="L108" s="11">
        <f t="shared" si="14"/>
        <v>105.88948009248622</v>
      </c>
      <c r="M108" s="27">
        <f t="shared" si="19"/>
        <v>85</v>
      </c>
      <c r="N108" s="27">
        <f t="shared" si="20"/>
        <v>215.61270125223615</v>
      </c>
      <c r="O108" s="27">
        <f t="shared" si="21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8"/>
        <v>117.71812080536913</v>
      </c>
      <c r="K109" s="11">
        <f t="shared" si="13"/>
        <v>105.84232015914145</v>
      </c>
      <c r="L109" s="11">
        <f t="shared" si="14"/>
        <v>106.00148644028198</v>
      </c>
      <c r="M109" s="27">
        <f t="shared" si="19"/>
        <v>108.88888888888889</v>
      </c>
      <c r="N109" s="27">
        <f t="shared" si="20"/>
        <v>221.18962432915922</v>
      </c>
      <c r="O109" s="27">
        <f t="shared" si="21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8"/>
        <v>119.46308724832215</v>
      </c>
      <c r="K110" s="11">
        <f t="shared" si="13"/>
        <v>112.68801525910099</v>
      </c>
      <c r="L110" s="11">
        <f t="shared" si="14"/>
        <v>107.91746858148001</v>
      </c>
      <c r="M110" s="27">
        <f t="shared" si="19"/>
        <v>116.66666666666667</v>
      </c>
      <c r="N110" s="27">
        <f t="shared" si="20"/>
        <v>231.42218246869407</v>
      </c>
      <c r="O110" s="27">
        <f t="shared" si="21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8"/>
        <v>121.74496644295303</v>
      </c>
      <c r="K111" s="11">
        <f t="shared" si="13"/>
        <v>110.07216413230682</v>
      </c>
      <c r="L111" s="11">
        <f t="shared" si="14"/>
        <v>107.91746858148001</v>
      </c>
      <c r="M111" s="27">
        <f t="shared" si="19"/>
        <v>122.22222222222223</v>
      </c>
      <c r="N111" s="27">
        <f t="shared" si="20"/>
        <v>223.67620751341684</v>
      </c>
      <c r="O111" s="27">
        <f t="shared" si="21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8"/>
        <v>122.48322147651007</v>
      </c>
      <c r="K112" s="11">
        <f t="shared" si="13"/>
        <v>110.20984050740124</v>
      </c>
      <c r="L112" s="11">
        <f t="shared" si="14"/>
        <v>107.91746858148001</v>
      </c>
      <c r="M112" s="27">
        <f t="shared" si="19"/>
        <v>126.66666666666666</v>
      </c>
      <c r="N112" s="27">
        <f t="shared" si="20"/>
        <v>227.94275491949912</v>
      </c>
      <c r="O112" s="27">
        <f t="shared" si="21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8"/>
        <v>125.77181208053692</v>
      </c>
      <c r="K113" s="11">
        <f t="shared" si="13"/>
        <v>110.13439971346624</v>
      </c>
      <c r="L113" s="11">
        <f t="shared" si="14"/>
        <v>108.00317314591226</v>
      </c>
      <c r="M113" s="27">
        <f t="shared" si="19"/>
        <v>124.44444444444444</v>
      </c>
      <c r="N113" s="27">
        <f t="shared" si="20"/>
        <v>236.32379248658316</v>
      </c>
      <c r="O113" s="27">
        <f t="shared" si="21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8"/>
        <v>125.57046979865771</v>
      </c>
      <c r="K114" s="11">
        <f t="shared" si="13"/>
        <v>108.18321400362672</v>
      </c>
      <c r="L114" s="11">
        <f t="shared" si="14"/>
        <v>109.65489446685406</v>
      </c>
      <c r="M114" s="27">
        <f t="shared" si="19"/>
        <v>122.77777777777779</v>
      </c>
      <c r="N114" s="27">
        <f t="shared" si="20"/>
        <v>236.21645796064402</v>
      </c>
      <c r="O114" s="27">
        <f t="shared" si="21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8"/>
        <v>125.43624161073825</v>
      </c>
      <c r="K115" s="11">
        <f t="shared" si="13"/>
        <v>106.50356222747467</v>
      </c>
      <c r="L115" s="11">
        <f t="shared" si="14"/>
        <v>109.65489446685406</v>
      </c>
      <c r="M115" s="27">
        <f t="shared" si="19"/>
        <v>126.66666666666666</v>
      </c>
      <c r="N115" s="27">
        <f t="shared" si="20"/>
        <v>232.04382826475847</v>
      </c>
      <c r="O115" s="27">
        <f t="shared" si="21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8"/>
        <v>125.77181208053692</v>
      </c>
      <c r="K116" s="11">
        <f t="shared" si="13"/>
        <v>109.33969555441993</v>
      </c>
      <c r="L116" s="11">
        <f t="shared" si="14"/>
        <v>109.65489446685406</v>
      </c>
      <c r="M116" s="27">
        <f t="shared" si="19"/>
        <v>197.22222222222223</v>
      </c>
      <c r="N116" s="27">
        <f t="shared" si="20"/>
        <v>235.81842576028623</v>
      </c>
      <c r="O116" s="27">
        <f t="shared" si="21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8"/>
        <v>128.3221476510067</v>
      </c>
      <c r="K117" s="11">
        <f t="shared" si="13"/>
        <v>111.43237645585529</v>
      </c>
      <c r="L117" s="11">
        <f t="shared" si="14"/>
        <v>109.65489446685406</v>
      </c>
      <c r="M117" s="27">
        <f t="shared" si="19"/>
        <v>210.55555555555557</v>
      </c>
      <c r="N117" s="27">
        <f t="shared" si="20"/>
        <v>239.89266547406083</v>
      </c>
      <c r="O117" s="27">
        <f t="shared" si="21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8"/>
        <v>135.03355704697987</v>
      </c>
      <c r="K118" s="11">
        <f t="shared" si="13"/>
        <v>112.53056763572671</v>
      </c>
      <c r="L118" s="11">
        <f t="shared" si="14"/>
        <v>110.06554800433597</v>
      </c>
      <c r="M118" s="27">
        <f t="shared" ref="M118:M218" si="22">(1+(E118-T118)/T118)*100</f>
        <v>238.33333333333334</v>
      </c>
      <c r="N118" s="27">
        <f t="shared" si="20"/>
        <v>239.11001788908771</v>
      </c>
      <c r="O118" s="27">
        <f t="shared" si="21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8"/>
        <v>137.78523489932886</v>
      </c>
      <c r="K119" s="11">
        <f t="shared" si="13"/>
        <v>115.83199168081744</v>
      </c>
      <c r="L119" s="11">
        <f t="shared" si="14"/>
        <v>117.99413702585426</v>
      </c>
      <c r="M119" s="27">
        <f t="shared" si="22"/>
        <v>232.77777777777774</v>
      </c>
      <c r="N119" s="27">
        <f t="shared" si="20"/>
        <v>240.21019677996424</v>
      </c>
      <c r="O119" s="27">
        <f t="shared" si="21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8"/>
        <v>140.40268456375838</v>
      </c>
      <c r="K120" s="11">
        <f t="shared" si="13"/>
        <v>114.45522792987315</v>
      </c>
      <c r="L120" s="11">
        <f t="shared" si="14"/>
        <v>117.99413702585426</v>
      </c>
      <c r="M120" s="27">
        <f t="shared" si="22"/>
        <v>188.88888888888889</v>
      </c>
      <c r="N120" s="27">
        <f t="shared" si="20"/>
        <v>246.38640429338102</v>
      </c>
      <c r="O120" s="27">
        <f t="shared" si="21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8"/>
        <v>146.30872483221478</v>
      </c>
      <c r="K121" s="11">
        <f t="shared" si="13"/>
        <v>118.72319555780049</v>
      </c>
      <c r="L121" s="11">
        <f t="shared" si="14"/>
        <v>117.99413702585426</v>
      </c>
      <c r="M121" s="27">
        <f t="shared" si="22"/>
        <v>185</v>
      </c>
      <c r="N121" s="27">
        <f t="shared" si="20"/>
        <v>256.82021466905189</v>
      </c>
      <c r="O121" s="27">
        <f t="shared" si="21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8"/>
        <v>148.45637583892619</v>
      </c>
      <c r="K122" s="11">
        <f t="shared" si="13"/>
        <v>116.61239613578591</v>
      </c>
      <c r="L122" s="11">
        <f t="shared" si="14"/>
        <v>118.16833945565917</v>
      </c>
      <c r="M122" s="27">
        <f t="shared" si="22"/>
        <v>235</v>
      </c>
      <c r="N122" s="27">
        <f t="shared" si="20"/>
        <v>268.55992844364937</v>
      </c>
      <c r="O122" s="27">
        <f t="shared" si="21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8"/>
        <v>148.05369127516778</v>
      </c>
      <c r="K123" s="11">
        <f t="shared" si="13"/>
        <v>123.09686692188086</v>
      </c>
      <c r="L123" s="11">
        <f t="shared" si="14"/>
        <v>121.27689312940049</v>
      </c>
      <c r="M123" s="27">
        <f t="shared" si="22"/>
        <v>204.99999999999997</v>
      </c>
      <c r="N123" s="27">
        <f t="shared" si="20"/>
        <v>270.40250447227197</v>
      </c>
      <c r="O123" s="27">
        <f t="shared" si="21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3">(1+(B124-Q124)/Q124)*100</f>
        <v>145.16778523489933</v>
      </c>
      <c r="K124" s="11">
        <f t="shared" si="13"/>
        <v>125.76778859871283</v>
      </c>
      <c r="L124" s="11">
        <f t="shared" si="14"/>
        <v>121.27689312940049</v>
      </c>
      <c r="M124" s="27">
        <f t="shared" si="22"/>
        <v>206.11111111111109</v>
      </c>
      <c r="N124" s="27">
        <f t="shared" si="20"/>
        <v>271.94991055456177</v>
      </c>
      <c r="O124" s="27">
        <f t="shared" si="21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3"/>
        <v>143.08724832214764</v>
      </c>
      <c r="K125" s="11">
        <f t="shared" si="13"/>
        <v>127.06194652460046</v>
      </c>
      <c r="L125" s="11">
        <f t="shared" si="14"/>
        <v>121.27689312940049</v>
      </c>
      <c r="M125" s="27">
        <f t="shared" si="22"/>
        <v>166.11111111111109</v>
      </c>
      <c r="N125" s="27">
        <f t="shared" si="20"/>
        <v>273.90876565295173</v>
      </c>
      <c r="O125" s="27">
        <f t="shared" si="21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3"/>
        <v>142.01342281879198</v>
      </c>
      <c r="K126" s="11">
        <f t="shared" si="13"/>
        <v>127.137464984619</v>
      </c>
      <c r="L126" s="11">
        <f t="shared" si="14"/>
        <v>121.32832036538692</v>
      </c>
      <c r="M126" s="27">
        <f t="shared" si="22"/>
        <v>131.11111111111111</v>
      </c>
      <c r="N126" s="27">
        <f t="shared" si="20"/>
        <v>287.89355992844366</v>
      </c>
      <c r="O126" s="27">
        <f t="shared" si="21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3"/>
        <v>142.01342281879198</v>
      </c>
      <c r="K127" s="11">
        <f t="shared" si="13"/>
        <v>133.2220869744005</v>
      </c>
      <c r="L127" s="11">
        <f t="shared" si="14"/>
        <v>124.44640659674977</v>
      </c>
      <c r="M127" s="27">
        <f t="shared" si="22"/>
        <v>133.33333333333331</v>
      </c>
      <c r="N127" s="27">
        <f t="shared" si="20"/>
        <v>314.7093023255814</v>
      </c>
      <c r="O127" s="27">
        <f t="shared" si="21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3"/>
        <v>138.85906040268458</v>
      </c>
      <c r="K128" s="11">
        <f t="shared" si="13"/>
        <v>134.21335687508039</v>
      </c>
      <c r="L128" s="11">
        <f t="shared" si="14"/>
        <v>124.44640659674977</v>
      </c>
      <c r="M128" s="27">
        <f t="shared" si="22"/>
        <v>136.11111111111111</v>
      </c>
      <c r="N128" s="27">
        <f t="shared" si="20"/>
        <v>310.53667262969589</v>
      </c>
      <c r="O128" s="27">
        <f t="shared" si="21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3"/>
        <v>134.0268456375839</v>
      </c>
      <c r="K129" s="11">
        <f t="shared" si="13"/>
        <v>132.67138147402278</v>
      </c>
      <c r="L129" s="11">
        <f t="shared" si="14"/>
        <v>124.44640659674977</v>
      </c>
      <c r="M129" s="27">
        <f t="shared" si="22"/>
        <v>167.22222222222223</v>
      </c>
      <c r="N129" s="27">
        <f t="shared" si="20"/>
        <v>282.7906976744186</v>
      </c>
      <c r="O129" s="27">
        <f t="shared" si="21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3"/>
        <v>133.15436241610738</v>
      </c>
      <c r="K130" s="11">
        <f t="shared" si="13"/>
        <v>129.8903186971153</v>
      </c>
      <c r="L130" s="11">
        <f t="shared" si="14"/>
        <v>124.44640659674977</v>
      </c>
      <c r="M130" s="27">
        <f t="shared" si="22"/>
        <v>192.11111111111111</v>
      </c>
      <c r="N130" s="27">
        <f t="shared" si="20"/>
        <v>271.60554561717356</v>
      </c>
      <c r="O130" s="27">
        <f t="shared" si="21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17</v>
      </c>
      <c r="G131" s="19" t="s">
        <v>17</v>
      </c>
      <c r="I131" s="10">
        <v>38350</v>
      </c>
      <c r="J131" s="27">
        <f t="shared" si="23"/>
        <v>133.3557046979866</v>
      </c>
      <c r="K131" s="11">
        <f t="shared" si="13"/>
        <v>129.76505594338093</v>
      </c>
      <c r="L131" s="11">
        <f t="shared" si="14"/>
        <v>124.30285777825887</v>
      </c>
      <c r="M131" s="27">
        <f t="shared" si="22"/>
        <v>166.66666666666666</v>
      </c>
      <c r="N131" s="37" t="s">
        <v>17</v>
      </c>
      <c r="O131" s="37" t="s">
        <v>17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3"/>
        <v>131.34228187919464</v>
      </c>
      <c r="K132" s="11">
        <f t="shared" si="13"/>
        <v>128.87630101094749</v>
      </c>
      <c r="L132" s="11">
        <f t="shared" si="14"/>
        <v>121.99287400582158</v>
      </c>
      <c r="M132" s="27">
        <f t="shared" si="22"/>
        <v>145</v>
      </c>
      <c r="N132" s="27">
        <f t="shared" ref="N132:N163" si="24">(1+(F132-U132)/U132)*100</f>
        <v>260.6216457960644</v>
      </c>
      <c r="O132" s="27">
        <f t="shared" ref="O132:O163" si="25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3"/>
        <v>129.79865771812081</v>
      </c>
      <c r="K133" s="11">
        <f t="shared" si="13"/>
        <v>128.87630101094749</v>
      </c>
      <c r="L133" s="11">
        <f t="shared" si="14"/>
        <v>121.99287400582158</v>
      </c>
      <c r="M133" s="27">
        <f t="shared" si="22"/>
        <v>180</v>
      </c>
      <c r="N133" s="27">
        <f t="shared" si="24"/>
        <v>278.46153846153845</v>
      </c>
      <c r="O133" s="27">
        <f t="shared" si="25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3"/>
        <v>131.00671140939596</v>
      </c>
      <c r="K134" s="11">
        <f t="shared" si="13"/>
        <v>129.86757091162738</v>
      </c>
      <c r="L134" s="11">
        <f t="shared" si="14"/>
        <v>121.99287400582158</v>
      </c>
      <c r="M134" s="27">
        <f t="shared" si="22"/>
        <v>200.55555555555554</v>
      </c>
      <c r="N134" s="27">
        <f t="shared" si="24"/>
        <v>269.10107334525941</v>
      </c>
      <c r="O134" s="27">
        <f t="shared" si="25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3"/>
        <v>131.47651006711411</v>
      </c>
      <c r="K135" s="11">
        <f t="shared" si="13"/>
        <v>126.49492753024087</v>
      </c>
      <c r="L135" s="11">
        <f t="shared" si="14"/>
        <v>122.78581775523992</v>
      </c>
      <c r="M135" s="27">
        <f t="shared" si="22"/>
        <v>162.22222222222223</v>
      </c>
      <c r="N135" s="27">
        <f t="shared" si="24"/>
        <v>263.05008944543829</v>
      </c>
      <c r="O135" s="27">
        <f t="shared" si="25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3"/>
        <v>133.69127516778522</v>
      </c>
      <c r="K136" s="11">
        <f t="shared" si="13"/>
        <v>124.42594946661234</v>
      </c>
      <c r="L136" s="11">
        <f t="shared" si="14"/>
        <v>129.64505674537779</v>
      </c>
      <c r="M136" s="27">
        <f t="shared" si="22"/>
        <v>146.11111111111111</v>
      </c>
      <c r="N136" s="27">
        <f t="shared" si="24"/>
        <v>270.16100178890883</v>
      </c>
      <c r="O136" s="27">
        <f t="shared" si="25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3"/>
        <v>133.08724832214767</v>
      </c>
      <c r="K137" s="11">
        <f t="shared" ref="K137:K200" si="26">(C137+Y137)/R137*100</f>
        <v>124.45348474163123</v>
      </c>
      <c r="L137" s="11">
        <f t="shared" ref="L137:L200" si="27">(D137+Z137)/S137*100</f>
        <v>129.64505674537779</v>
      </c>
      <c r="M137" s="27">
        <f t="shared" si="22"/>
        <v>129.44444444444446</v>
      </c>
      <c r="N137" s="27">
        <f t="shared" si="24"/>
        <v>258.60912343470488</v>
      </c>
      <c r="O137" s="27">
        <f t="shared" si="25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3"/>
        <v>133.28859060402684</v>
      </c>
      <c r="K138" s="11">
        <f t="shared" si="26"/>
        <v>119.22178248804288</v>
      </c>
      <c r="L138" s="11">
        <f t="shared" si="27"/>
        <v>129.64505674537779</v>
      </c>
      <c r="M138" s="27">
        <f t="shared" si="22"/>
        <v>154.44444444444443</v>
      </c>
      <c r="N138" s="27">
        <f t="shared" si="24"/>
        <v>266.67710196779962</v>
      </c>
      <c r="O138" s="27">
        <f t="shared" si="25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3"/>
        <v>135.57046979865771</v>
      </c>
      <c r="K139" s="11">
        <f t="shared" si="26"/>
        <v>115.97586879489677</v>
      </c>
      <c r="L139" s="11">
        <f t="shared" si="27"/>
        <v>129.0326930471474</v>
      </c>
      <c r="M139" s="27">
        <f t="shared" si="22"/>
        <v>177.77777777777777</v>
      </c>
      <c r="N139" s="27">
        <f t="shared" si="24"/>
        <v>275.95706618962436</v>
      </c>
      <c r="O139" s="27">
        <f t="shared" si="25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3"/>
        <v>142.14765100671141</v>
      </c>
      <c r="K140" s="11">
        <f t="shared" si="26"/>
        <v>112.54698352763887</v>
      </c>
      <c r="L140" s="11">
        <f t="shared" si="27"/>
        <v>121.53269884026909</v>
      </c>
      <c r="M140" s="27">
        <f t="shared" si="22"/>
        <v>204.99999999999997</v>
      </c>
      <c r="N140" s="27">
        <f t="shared" si="24"/>
        <v>272.85778175313061</v>
      </c>
      <c r="O140" s="27">
        <f t="shared" si="25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3"/>
        <v>145.50335570469798</v>
      </c>
      <c r="K141" s="11">
        <f t="shared" si="26"/>
        <v>112.16148967737448</v>
      </c>
      <c r="L141" s="11">
        <f t="shared" si="27"/>
        <v>121.53269884026909</v>
      </c>
      <c r="M141" s="27">
        <f t="shared" si="22"/>
        <v>152.77777777777777</v>
      </c>
      <c r="N141" s="27">
        <f t="shared" si="24"/>
        <v>278.20661896243291</v>
      </c>
      <c r="O141" s="27">
        <f t="shared" si="25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3"/>
        <v>147.24832214765101</v>
      </c>
      <c r="K142" s="11">
        <f t="shared" si="26"/>
        <v>111.41803725186455</v>
      </c>
      <c r="L142" s="11">
        <f t="shared" si="27"/>
        <v>121.53269884026909</v>
      </c>
      <c r="M142" s="27">
        <f t="shared" si="22"/>
        <v>191.11111111111109</v>
      </c>
      <c r="N142" s="27">
        <f t="shared" si="24"/>
        <v>286.04651162790702</v>
      </c>
      <c r="O142" s="27">
        <f t="shared" si="25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3"/>
        <v>150.60402684563758</v>
      </c>
      <c r="K143" s="11">
        <f t="shared" si="26"/>
        <v>115.2454404794897</v>
      </c>
      <c r="L143" s="11">
        <f t="shared" si="27"/>
        <v>121.53269884026909</v>
      </c>
      <c r="M143" s="27">
        <f t="shared" si="22"/>
        <v>138.88888888888889</v>
      </c>
      <c r="N143" s="27">
        <f t="shared" si="24"/>
        <v>286.64132379248662</v>
      </c>
      <c r="O143" s="27">
        <f t="shared" si="25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3"/>
        <v>150.93959731543626</v>
      </c>
      <c r="K144" s="11">
        <f t="shared" si="26"/>
        <v>113.25525066287121</v>
      </c>
      <c r="L144" s="11">
        <f t="shared" si="27"/>
        <v>121.47590563567931</v>
      </c>
      <c r="M144" s="27">
        <f t="shared" si="22"/>
        <v>128.33333333333331</v>
      </c>
      <c r="N144" s="27">
        <f t="shared" si="24"/>
        <v>284.66010733452595</v>
      </c>
      <c r="O144" s="27">
        <f t="shared" si="25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3"/>
        <v>154.56375838926175</v>
      </c>
      <c r="K145" s="11">
        <f t="shared" si="26"/>
        <v>111.04768021041367</v>
      </c>
      <c r="L145" s="11">
        <f t="shared" si="27"/>
        <v>121.15278167353922</v>
      </c>
      <c r="M145" s="27">
        <f t="shared" si="22"/>
        <v>173.88888888888889</v>
      </c>
      <c r="N145" s="27">
        <f t="shared" si="24"/>
        <v>277.77728085867619</v>
      </c>
      <c r="O145" s="27">
        <f t="shared" si="25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3"/>
        <v>155.43624161073825</v>
      </c>
      <c r="K146" s="11">
        <f t="shared" si="26"/>
        <v>110.16655140980933</v>
      </c>
      <c r="L146" s="11">
        <f t="shared" si="27"/>
        <v>121.15278167353922</v>
      </c>
      <c r="M146" s="27">
        <f t="shared" si="22"/>
        <v>133.88888888888891</v>
      </c>
      <c r="N146" s="27">
        <f t="shared" si="24"/>
        <v>279.02057245080505</v>
      </c>
      <c r="O146" s="27">
        <f t="shared" si="25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3"/>
        <v>151.61073825503354</v>
      </c>
      <c r="K147" s="11">
        <f t="shared" si="26"/>
        <v>109.06514040905388</v>
      </c>
      <c r="L147" s="11">
        <f t="shared" si="27"/>
        <v>121.15278167353922</v>
      </c>
      <c r="M147" s="27">
        <f t="shared" si="22"/>
        <v>132.22222222222223</v>
      </c>
      <c r="N147" s="27">
        <f t="shared" si="24"/>
        <v>276.64132379248656</v>
      </c>
      <c r="O147" s="27">
        <f t="shared" si="25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3"/>
        <v>153.62416107382552</v>
      </c>
      <c r="K148" s="11">
        <f t="shared" si="26"/>
        <v>110.46938716834877</v>
      </c>
      <c r="L148" s="11">
        <f t="shared" si="27"/>
        <v>121.20572430789964</v>
      </c>
      <c r="M148" s="27">
        <f t="shared" si="22"/>
        <v>123.88888888888889</v>
      </c>
      <c r="N148" s="27">
        <f t="shared" si="24"/>
        <v>255.11180679785329</v>
      </c>
      <c r="O148" s="27">
        <f t="shared" si="25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3"/>
        <v>151.81208053691276</v>
      </c>
      <c r="K149" s="11">
        <f t="shared" si="26"/>
        <v>116.22194811933009</v>
      </c>
      <c r="L149" s="11">
        <f t="shared" si="27"/>
        <v>124.27925430513605</v>
      </c>
      <c r="M149" s="27">
        <f t="shared" si="22"/>
        <v>136.11111111111111</v>
      </c>
      <c r="N149" s="27">
        <f t="shared" si="24"/>
        <v>242.73255813953489</v>
      </c>
      <c r="O149" s="27">
        <f t="shared" si="25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3"/>
        <v>149.46308724832213</v>
      </c>
      <c r="K150" s="11">
        <f t="shared" si="26"/>
        <v>117.62624714529328</v>
      </c>
      <c r="L150" s="11">
        <f t="shared" si="27"/>
        <v>124.27925430513605</v>
      </c>
      <c r="M150" s="27">
        <f t="shared" si="22"/>
        <v>127.22222222222221</v>
      </c>
      <c r="N150" s="27">
        <f t="shared" si="24"/>
        <v>256.2611806797853</v>
      </c>
      <c r="O150" s="27">
        <f t="shared" si="25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3"/>
        <v>146.91275167785236</v>
      </c>
      <c r="K151" s="11">
        <f t="shared" si="26"/>
        <v>115.86398954408456</v>
      </c>
      <c r="L151" s="11">
        <f t="shared" si="27"/>
        <v>124.27925430513605</v>
      </c>
      <c r="M151" s="27">
        <f t="shared" si="22"/>
        <v>138.88888888888889</v>
      </c>
      <c r="N151" s="27">
        <f t="shared" si="24"/>
        <v>242.81305903398928</v>
      </c>
      <c r="O151" s="27">
        <f t="shared" si="25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3"/>
        <v>144.69798657718121</v>
      </c>
      <c r="K152" s="11">
        <f t="shared" si="26"/>
        <v>114.45363613815249</v>
      </c>
      <c r="L152" s="11">
        <f t="shared" si="27"/>
        <v>124.39748242225768</v>
      </c>
      <c r="M152" s="27">
        <f t="shared" si="22"/>
        <v>147.22222222222223</v>
      </c>
      <c r="N152" s="27">
        <f t="shared" si="24"/>
        <v>241.85599284436492</v>
      </c>
      <c r="O152" s="27">
        <f t="shared" si="25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3"/>
        <v>144.96644295302013</v>
      </c>
      <c r="K153" s="11">
        <f t="shared" si="26"/>
        <v>123.35356326553544</v>
      </c>
      <c r="L153" s="11">
        <f t="shared" si="27"/>
        <v>125.78341704348969</v>
      </c>
      <c r="M153" s="27">
        <f t="shared" si="22"/>
        <v>140.55555555555554</v>
      </c>
      <c r="N153" s="27">
        <f t="shared" si="24"/>
        <v>240.22361359570664</v>
      </c>
      <c r="O153" s="27">
        <f t="shared" si="25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3"/>
        <v>149.93288590604027</v>
      </c>
      <c r="K154" s="11">
        <f t="shared" si="26"/>
        <v>120.43482411353349</v>
      </c>
      <c r="L154" s="11">
        <f t="shared" si="27"/>
        <v>125.78341704348969</v>
      </c>
      <c r="M154" s="27">
        <f t="shared" si="22"/>
        <v>129.44444444444446</v>
      </c>
      <c r="N154" s="27">
        <f t="shared" si="24"/>
        <v>238.93112701252238</v>
      </c>
      <c r="O154" s="27">
        <f t="shared" si="25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3"/>
        <v>152.75167785234899</v>
      </c>
      <c r="K155" s="11">
        <f t="shared" si="26"/>
        <v>116.85523836107832</v>
      </c>
      <c r="L155" s="11">
        <f t="shared" si="27"/>
        <v>125.78341704348969</v>
      </c>
      <c r="M155" s="27">
        <f t="shared" si="22"/>
        <v>122.77777777777779</v>
      </c>
      <c r="N155" s="27">
        <f t="shared" si="24"/>
        <v>221.61896243291594</v>
      </c>
      <c r="O155" s="27">
        <f t="shared" si="25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3"/>
        <v>155.23489932885909</v>
      </c>
      <c r="K156" s="11">
        <f t="shared" si="26"/>
        <v>117.2958027613805</v>
      </c>
      <c r="L156" s="11">
        <f t="shared" si="27"/>
        <v>125.78341704348969</v>
      </c>
      <c r="M156" s="27">
        <f t="shared" si="22"/>
        <v>116.11111111111111</v>
      </c>
      <c r="N156" s="27">
        <f t="shared" si="24"/>
        <v>207.89803220035776</v>
      </c>
      <c r="O156" s="27">
        <f t="shared" si="25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3"/>
        <v>156.77852348993287</v>
      </c>
      <c r="K157" s="11">
        <f t="shared" si="26"/>
        <v>123.96151138246717</v>
      </c>
      <c r="L157" s="11">
        <f t="shared" si="27"/>
        <v>125.86806621626813</v>
      </c>
      <c r="M157" s="27">
        <f t="shared" si="22"/>
        <v>130.55555555555557</v>
      </c>
      <c r="N157" s="27">
        <f t="shared" si="24"/>
        <v>206.89177101967803</v>
      </c>
      <c r="O157" s="27">
        <f t="shared" si="25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3"/>
        <v>157.58389261744966</v>
      </c>
      <c r="K158" s="11">
        <f t="shared" si="26"/>
        <v>125.5904806128185</v>
      </c>
      <c r="L158" s="11">
        <f t="shared" si="27"/>
        <v>125.27967339593968</v>
      </c>
      <c r="M158" s="27">
        <f t="shared" si="22"/>
        <v>137.77777777777777</v>
      </c>
      <c r="N158" s="27">
        <f t="shared" si="24"/>
        <v>194.25313059033991</v>
      </c>
      <c r="O158" s="27">
        <f t="shared" si="25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3"/>
        <v>161.61073825503354</v>
      </c>
      <c r="K159" s="11">
        <f t="shared" si="26"/>
        <v>126.33393303832842</v>
      </c>
      <c r="L159" s="11">
        <f t="shared" si="27"/>
        <v>125.27967339593968</v>
      </c>
      <c r="M159" s="27">
        <f t="shared" si="22"/>
        <v>143.33333333333334</v>
      </c>
      <c r="N159" s="27">
        <f t="shared" si="24"/>
        <v>177.35688729874775</v>
      </c>
      <c r="O159" s="27">
        <f t="shared" si="25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3"/>
        <v>160.53691275167785</v>
      </c>
      <c r="K160" s="11">
        <f t="shared" si="26"/>
        <v>129.80337769070806</v>
      </c>
      <c r="L160" s="11">
        <f t="shared" si="27"/>
        <v>125.27967339593968</v>
      </c>
      <c r="M160" s="27">
        <f t="shared" si="22"/>
        <v>172.77777777777777</v>
      </c>
      <c r="N160" s="27">
        <f t="shared" si="24"/>
        <v>165.26833631484794</v>
      </c>
      <c r="O160" s="27">
        <f t="shared" si="25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3"/>
        <v>157.18120805369128</v>
      </c>
      <c r="K161" s="11">
        <f t="shared" si="26"/>
        <v>132.87204137790073</v>
      </c>
      <c r="L161" s="11">
        <f t="shared" si="27"/>
        <v>125.15932532315806</v>
      </c>
      <c r="M161" s="27">
        <f t="shared" si="22"/>
        <v>153.33333333333331</v>
      </c>
      <c r="N161" s="27">
        <f t="shared" si="24"/>
        <v>155.73792486583184</v>
      </c>
      <c r="O161" s="27">
        <f t="shared" si="25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3"/>
        <v>157.58389261744966</v>
      </c>
      <c r="K162" s="11">
        <f t="shared" si="26"/>
        <v>136.75850533526409</v>
      </c>
      <c r="L162" s="11">
        <f t="shared" si="27"/>
        <v>125.72691478359393</v>
      </c>
      <c r="M162" s="27">
        <f t="shared" si="22"/>
        <v>140.55555555555554</v>
      </c>
      <c r="N162" s="27">
        <f t="shared" si="24"/>
        <v>147.33005366726294</v>
      </c>
      <c r="O162" s="27">
        <f t="shared" si="25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3"/>
        <v>161.54362416107384</v>
      </c>
      <c r="K163" s="11">
        <f t="shared" si="26"/>
        <v>139.3743564620583</v>
      </c>
      <c r="L163" s="11">
        <f t="shared" si="27"/>
        <v>125.72691478359393</v>
      </c>
      <c r="M163" s="27">
        <f t="shared" si="22"/>
        <v>151.66666666666666</v>
      </c>
      <c r="N163" s="27">
        <f t="shared" si="24"/>
        <v>154.54830053667266</v>
      </c>
      <c r="O163" s="27">
        <f t="shared" si="25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3"/>
        <v>172.28187919463087</v>
      </c>
      <c r="K164" s="11">
        <f t="shared" si="26"/>
        <v>141.3293609883992</v>
      </c>
      <c r="L164" s="11">
        <f t="shared" si="27"/>
        <v>125.72691478359393</v>
      </c>
      <c r="M164" s="27">
        <f t="shared" si="22"/>
        <v>176.11111111111111</v>
      </c>
      <c r="N164" s="27">
        <f t="shared" ref="N164:N195" si="28">(1+(F164-U164)/U164)*100</f>
        <v>167.6654740608229</v>
      </c>
      <c r="O164" s="27">
        <f t="shared" ref="O164:O195" si="29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3"/>
        <v>173.69127516778525</v>
      </c>
      <c r="K165" s="11">
        <f t="shared" si="26"/>
        <v>143.55971826492896</v>
      </c>
      <c r="L165" s="11">
        <f t="shared" si="27"/>
        <v>125.72691478359393</v>
      </c>
      <c r="M165" s="27">
        <f t="shared" si="22"/>
        <v>182.22222222222223</v>
      </c>
      <c r="N165" s="27">
        <f t="shared" si="28"/>
        <v>174.04740608228983</v>
      </c>
      <c r="O165" s="27">
        <f t="shared" si="29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3"/>
        <v>173.82550335570471</v>
      </c>
      <c r="K166" s="11">
        <f t="shared" si="26"/>
        <v>150.53848903261488</v>
      </c>
      <c r="L166" s="11">
        <f t="shared" si="27"/>
        <v>126.08447763986544</v>
      </c>
      <c r="M166" s="27">
        <f t="shared" si="22"/>
        <v>277.77777777777777</v>
      </c>
      <c r="N166" s="27">
        <f t="shared" si="28"/>
        <v>167.16010733452595</v>
      </c>
      <c r="O166" s="27">
        <f t="shared" si="29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3"/>
        <v>194.49664429530202</v>
      </c>
      <c r="K167" s="11">
        <f t="shared" si="26"/>
        <v>155.99555299862143</v>
      </c>
      <c r="L167" s="11">
        <f t="shared" si="27"/>
        <v>130.12324589074359</v>
      </c>
      <c r="M167" s="27">
        <f t="shared" si="22"/>
        <v>311.11111111111114</v>
      </c>
      <c r="N167" s="27">
        <f t="shared" si="28"/>
        <v>161.51162790697674</v>
      </c>
      <c r="O167" s="27">
        <f t="shared" si="29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3"/>
        <v>191.07382550335569</v>
      </c>
      <c r="K168" s="11">
        <f t="shared" si="26"/>
        <v>162.79676592828631</v>
      </c>
      <c r="L168" s="11">
        <f t="shared" si="27"/>
        <v>130.12324589074359</v>
      </c>
      <c r="M168" s="27">
        <f t="shared" si="22"/>
        <v>372.22222222222223</v>
      </c>
      <c r="N168" s="27">
        <f t="shared" si="28"/>
        <v>175.55008944543829</v>
      </c>
      <c r="O168" s="27">
        <f t="shared" si="29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3"/>
        <v>183.3557046979866</v>
      </c>
      <c r="K169" s="11">
        <f t="shared" si="26"/>
        <v>173.23263516044415</v>
      </c>
      <c r="L169" s="11">
        <f t="shared" si="27"/>
        <v>130.12324589074359</v>
      </c>
      <c r="M169" s="27">
        <f t="shared" si="22"/>
        <v>326.11111111111109</v>
      </c>
      <c r="N169" s="27">
        <f t="shared" si="28"/>
        <v>189.12343470483003</v>
      </c>
      <c r="O169" s="27">
        <f t="shared" si="29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3"/>
        <v>187.78523489932888</v>
      </c>
      <c r="K170" s="11">
        <f t="shared" si="26"/>
        <v>166.90797282711293</v>
      </c>
      <c r="L170" s="11">
        <f t="shared" si="27"/>
        <v>130.39437388991624</v>
      </c>
      <c r="M170" s="27">
        <f t="shared" si="22"/>
        <v>351.66666666666669</v>
      </c>
      <c r="N170" s="27">
        <f t="shared" si="28"/>
        <v>196.5742397137746</v>
      </c>
      <c r="O170" s="27">
        <f t="shared" si="29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3"/>
        <v>211.00671140939599</v>
      </c>
      <c r="K171" s="11">
        <f t="shared" si="26"/>
        <v>172.03105738559162</v>
      </c>
      <c r="L171" s="11">
        <f t="shared" si="27"/>
        <v>134.42801810346799</v>
      </c>
      <c r="M171" s="27">
        <f t="shared" si="22"/>
        <v>393.33333333333331</v>
      </c>
      <c r="N171" s="27">
        <f t="shared" si="28"/>
        <v>199.31574239713777</v>
      </c>
      <c r="O171" s="27">
        <f t="shared" si="29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3"/>
        <v>211.40939597315435</v>
      </c>
      <c r="K172" s="11">
        <f t="shared" si="26"/>
        <v>161.15462375313163</v>
      </c>
      <c r="L172" s="11">
        <f t="shared" si="27"/>
        <v>134.42801810346799</v>
      </c>
      <c r="M172" s="27">
        <f t="shared" si="22"/>
        <v>466.66666666666663</v>
      </c>
      <c r="N172" s="27">
        <f t="shared" si="28"/>
        <v>208.98926654740606</v>
      </c>
      <c r="O172" s="27">
        <f t="shared" si="29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3"/>
        <v>211.27516778523491</v>
      </c>
      <c r="K173" s="11">
        <f t="shared" si="26"/>
        <v>180.59452791646521</v>
      </c>
      <c r="L173" s="11">
        <f t="shared" si="27"/>
        <v>134.42801810346799</v>
      </c>
      <c r="M173" s="27">
        <f t="shared" si="22"/>
        <v>363.33333333333331</v>
      </c>
      <c r="N173" s="27">
        <f t="shared" si="28"/>
        <v>209.88372093023253</v>
      </c>
      <c r="O173" s="27">
        <f t="shared" si="29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3"/>
        <v>211.87919463087246</v>
      </c>
      <c r="K174" s="11">
        <f t="shared" si="26"/>
        <v>160.62664296456782</v>
      </c>
      <c r="L174" s="11">
        <f t="shared" si="27"/>
        <v>134.84901390842504</v>
      </c>
      <c r="M174" s="27">
        <f t="shared" si="22"/>
        <v>325.55555555555554</v>
      </c>
      <c r="N174" s="27">
        <f t="shared" si="28"/>
        <v>208.60017889087655</v>
      </c>
      <c r="O174" s="27">
        <f t="shared" si="29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3"/>
        <v>193.02013422818791</v>
      </c>
      <c r="K175" s="11">
        <f t="shared" si="26"/>
        <v>162.60234186870593</v>
      </c>
      <c r="L175" s="11">
        <f t="shared" si="27"/>
        <v>139.90236409038482</v>
      </c>
      <c r="M175" s="27">
        <f t="shared" si="22"/>
        <v>250</v>
      </c>
      <c r="N175" s="27">
        <f t="shared" si="28"/>
        <v>207.18694096601072</v>
      </c>
      <c r="O175" s="27">
        <f t="shared" si="29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3"/>
        <v>181.07382550335572</v>
      </c>
      <c r="K176" s="11">
        <f t="shared" si="26"/>
        <v>157.06775158990982</v>
      </c>
      <c r="L176" s="11">
        <f t="shared" si="27"/>
        <v>139.90236409038482</v>
      </c>
      <c r="M176" s="27">
        <f t="shared" si="22"/>
        <v>199.44444444444446</v>
      </c>
      <c r="N176" s="27">
        <f t="shared" si="28"/>
        <v>203.30948121645798</v>
      </c>
      <c r="O176" s="27">
        <f t="shared" si="29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3"/>
        <v>174.63087248322148</v>
      </c>
      <c r="K177" s="11">
        <f t="shared" si="26"/>
        <v>156.32429916439989</v>
      </c>
      <c r="L177" s="11">
        <f t="shared" si="27"/>
        <v>139.90236409038482</v>
      </c>
      <c r="M177" s="27">
        <f t="shared" si="22"/>
        <v>208.33333333333331</v>
      </c>
      <c r="N177" s="27">
        <f t="shared" si="28"/>
        <v>203.23345259391772</v>
      </c>
      <c r="O177" s="27">
        <f t="shared" si="29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3"/>
        <v>168.65771812080536</v>
      </c>
      <c r="K178" s="11">
        <f t="shared" si="26"/>
        <v>150.89984998567934</v>
      </c>
      <c r="L178" s="11">
        <f t="shared" si="27"/>
        <v>139.90236409038482</v>
      </c>
      <c r="M178" s="27">
        <f t="shared" si="22"/>
        <v>203.88888888888889</v>
      </c>
      <c r="N178" s="27">
        <f t="shared" si="28"/>
        <v>194.1994633273703</v>
      </c>
      <c r="O178" s="27">
        <f t="shared" si="29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3"/>
        <v>166.37583892617451</v>
      </c>
      <c r="K179" s="11">
        <f t="shared" si="26"/>
        <v>147.6208347500073</v>
      </c>
      <c r="L179" s="11">
        <f t="shared" si="27"/>
        <v>139.99868575044317</v>
      </c>
      <c r="M179" s="27">
        <f t="shared" si="22"/>
        <v>202.77777777777777</v>
      </c>
      <c r="N179" s="27">
        <f t="shared" si="28"/>
        <v>189.25313059033991</v>
      </c>
      <c r="O179" s="27">
        <f t="shared" si="29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3"/>
        <v>144.09395973154361</v>
      </c>
      <c r="K180" s="11">
        <f t="shared" si="26"/>
        <v>148.05561878242423</v>
      </c>
      <c r="L180" s="11">
        <f t="shared" si="27"/>
        <v>142.20282341254716</v>
      </c>
      <c r="M180" s="27">
        <f t="shared" si="22"/>
        <v>265.55555555555554</v>
      </c>
      <c r="N180" s="27">
        <f t="shared" si="28"/>
        <v>183.94454382826478</v>
      </c>
      <c r="O180" s="27">
        <f t="shared" si="29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3"/>
        <v>163.48993288590603</v>
      </c>
      <c r="K181" s="11">
        <f t="shared" si="26"/>
        <v>152.6815449855971</v>
      </c>
      <c r="L181" s="11">
        <f t="shared" si="27"/>
        <v>142.20282341254716</v>
      </c>
      <c r="M181" s="27">
        <f t="shared" si="22"/>
        <v>306.66666666666669</v>
      </c>
      <c r="N181" s="27">
        <f t="shared" si="28"/>
        <v>178.88640429338105</v>
      </c>
      <c r="O181" s="27">
        <f t="shared" si="29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3"/>
        <v>165.23489932885909</v>
      </c>
      <c r="K182" s="11">
        <f t="shared" si="26"/>
        <v>156.04084853790121</v>
      </c>
      <c r="L182" s="11">
        <f t="shared" si="27"/>
        <v>142.20282341254716</v>
      </c>
      <c r="M182" s="27">
        <f t="shared" si="22"/>
        <v>282.22222222222217</v>
      </c>
      <c r="N182" s="27">
        <f t="shared" si="28"/>
        <v>176.99910554561717</v>
      </c>
      <c r="O182" s="27">
        <f t="shared" si="29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3"/>
        <v>164.29530201342283</v>
      </c>
      <c r="K183" s="11">
        <f t="shared" si="26"/>
        <v>155.35803665952685</v>
      </c>
      <c r="L183" s="11">
        <f t="shared" si="27"/>
        <v>142.27057094371898</v>
      </c>
      <c r="M183" s="27">
        <f t="shared" si="22"/>
        <v>246.11111111111111</v>
      </c>
      <c r="N183" s="27">
        <f t="shared" si="28"/>
        <v>176.53398926654739</v>
      </c>
      <c r="O183" s="27">
        <f t="shared" si="29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3"/>
        <v>163.89261744966444</v>
      </c>
      <c r="K184" s="11">
        <f t="shared" si="26"/>
        <v>149.78354984000526</v>
      </c>
      <c r="L184" s="11">
        <f t="shared" si="27"/>
        <v>138.35605457949509</v>
      </c>
      <c r="M184" s="27">
        <f t="shared" si="22"/>
        <v>227.22222222222223</v>
      </c>
      <c r="N184" s="27">
        <f t="shared" si="28"/>
        <v>178.79695885509838</v>
      </c>
      <c r="O184" s="27">
        <f t="shared" si="29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3"/>
        <v>166.77852348993287</v>
      </c>
      <c r="K185" s="11">
        <f t="shared" si="26"/>
        <v>145.48804693705904</v>
      </c>
      <c r="L185" s="11">
        <f t="shared" si="27"/>
        <v>138.35605457949509</v>
      </c>
      <c r="M185" s="27">
        <f t="shared" si="22"/>
        <v>210.55555555555557</v>
      </c>
      <c r="N185" s="27">
        <f t="shared" si="28"/>
        <v>176.44454382826478</v>
      </c>
      <c r="O185" s="27">
        <f t="shared" si="29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3"/>
        <v>164.36241610738253</v>
      </c>
      <c r="K186" s="11">
        <f t="shared" si="26"/>
        <v>134.52900747954237</v>
      </c>
      <c r="L186" s="11">
        <f t="shared" si="27"/>
        <v>138.35605457949509</v>
      </c>
      <c r="M186" s="27">
        <f t="shared" si="22"/>
        <v>222.22222222222223</v>
      </c>
      <c r="N186" s="27">
        <f t="shared" si="28"/>
        <v>164.56618962432916</v>
      </c>
      <c r="O186" s="27">
        <f t="shared" si="29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3"/>
        <v>165.90604026845637</v>
      </c>
      <c r="K187" s="11">
        <f t="shared" si="26"/>
        <v>133.77477110589848</v>
      </c>
      <c r="L187" s="11">
        <f t="shared" si="27"/>
        <v>138.31512663060411</v>
      </c>
      <c r="M187" s="27">
        <f t="shared" si="22"/>
        <v>212.77777777777777</v>
      </c>
      <c r="N187" s="27">
        <f t="shared" si="28"/>
        <v>151.31037567084078</v>
      </c>
      <c r="O187" s="27">
        <f t="shared" si="29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3"/>
        <v>167.04697986577179</v>
      </c>
      <c r="K188" s="11">
        <f t="shared" si="26"/>
        <v>132.55399729147081</v>
      </c>
      <c r="L188" s="11">
        <f t="shared" si="27"/>
        <v>137.3310340624586</v>
      </c>
      <c r="M188" s="27">
        <f t="shared" si="22"/>
        <v>229.44444444444443</v>
      </c>
      <c r="N188" s="27">
        <f t="shared" si="28"/>
        <v>146.04203935599284</v>
      </c>
      <c r="O188" s="27">
        <f t="shared" si="29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3"/>
        <v>167.71812080536913</v>
      </c>
      <c r="K189" s="11">
        <f t="shared" si="26"/>
        <v>131.17723354052652</v>
      </c>
      <c r="L189" s="11">
        <f t="shared" si="27"/>
        <v>137.3310340624586</v>
      </c>
      <c r="M189" s="27">
        <f t="shared" si="22"/>
        <v>263.88888888888886</v>
      </c>
      <c r="N189" s="27">
        <f t="shared" si="28"/>
        <v>151.47584973166369</v>
      </c>
      <c r="O189" s="27">
        <f t="shared" si="29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3"/>
        <v>166.17449664429529</v>
      </c>
      <c r="K190" s="11">
        <f t="shared" si="26"/>
        <v>131.17723354052652</v>
      </c>
      <c r="L190" s="11">
        <f t="shared" si="27"/>
        <v>137.3310340624586</v>
      </c>
      <c r="M190" s="27">
        <f t="shared" si="22"/>
        <v>237.22222222222223</v>
      </c>
      <c r="N190" s="27">
        <f t="shared" si="28"/>
        <v>156.00626118067979</v>
      </c>
      <c r="O190" s="27">
        <f t="shared" si="29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3"/>
        <v>164.76510067114094</v>
      </c>
      <c r="K191" s="11">
        <f t="shared" si="26"/>
        <v>136.0194904370457</v>
      </c>
      <c r="L191" s="11">
        <f t="shared" si="27"/>
        <v>137.34181724197572</v>
      </c>
      <c r="M191" s="27">
        <f t="shared" si="22"/>
        <v>208.33333333333331</v>
      </c>
      <c r="N191" s="27">
        <f t="shared" si="28"/>
        <v>163.2871198568873</v>
      </c>
      <c r="O191" s="27">
        <f t="shared" si="29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3"/>
        <v>165.83892617449663</v>
      </c>
      <c r="K192" s="11">
        <f t="shared" si="26"/>
        <v>135.80911450771336</v>
      </c>
      <c r="L192" s="11">
        <f t="shared" si="27"/>
        <v>138.90800967923224</v>
      </c>
      <c r="M192" s="27">
        <f t="shared" si="22"/>
        <v>213.88888888888889</v>
      </c>
      <c r="N192" s="27">
        <f t="shared" si="28"/>
        <v>159.5438282647585</v>
      </c>
      <c r="O192" s="27">
        <f t="shared" si="29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3"/>
        <v>170.80536912751677</v>
      </c>
      <c r="K193" s="11">
        <f t="shared" si="26"/>
        <v>133.77150415631581</v>
      </c>
      <c r="L193" s="11">
        <f t="shared" si="27"/>
        <v>138.90800967923224</v>
      </c>
      <c r="M193" s="27">
        <f t="shared" si="22"/>
        <v>210</v>
      </c>
      <c r="N193" s="27">
        <f t="shared" si="28"/>
        <v>161.19409660107334</v>
      </c>
      <c r="O193" s="27">
        <f t="shared" si="29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3"/>
        <v>170.67114093959731</v>
      </c>
      <c r="K194" s="11">
        <f t="shared" si="26"/>
        <v>133.27586920597585</v>
      </c>
      <c r="L194" s="11">
        <f t="shared" si="27"/>
        <v>138.90800967923224</v>
      </c>
      <c r="M194" s="27">
        <f t="shared" si="22"/>
        <v>187.22222222222223</v>
      </c>
      <c r="N194" s="27">
        <f t="shared" si="28"/>
        <v>161.58318425760288</v>
      </c>
      <c r="O194" s="27">
        <f t="shared" si="29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3"/>
        <v>173.22147651006711</v>
      </c>
      <c r="K195" s="11">
        <f t="shared" si="26"/>
        <v>133.99178635646689</v>
      </c>
      <c r="L195" s="11">
        <f t="shared" si="27"/>
        <v>138.90800967923224</v>
      </c>
      <c r="M195" s="27">
        <f t="shared" si="22"/>
        <v>185</v>
      </c>
      <c r="N195" s="27">
        <f t="shared" si="28"/>
        <v>156.2880143112701</v>
      </c>
      <c r="O195" s="27">
        <f t="shared" si="29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3"/>
        <v>172.14765100671141</v>
      </c>
      <c r="K196" s="11">
        <f t="shared" si="26"/>
        <v>128.49517528632504</v>
      </c>
      <c r="L196" s="11">
        <f t="shared" si="27"/>
        <v>139.02594853138666</v>
      </c>
      <c r="M196" s="27">
        <f t="shared" si="22"/>
        <v>178.88888888888889</v>
      </c>
      <c r="N196" s="27">
        <f t="shared" ref="N196:N227" si="30">(1+(F196-U196)/U196)*100</f>
        <v>162.11985688729874</v>
      </c>
      <c r="O196" s="27">
        <f t="shared" ref="O196:O227" si="31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3"/>
        <v>175.63758389261744</v>
      </c>
      <c r="K197" s="11">
        <f t="shared" si="26"/>
        <v>129.15900056379402</v>
      </c>
      <c r="L197" s="11">
        <f t="shared" si="27"/>
        <v>139.01134011588715</v>
      </c>
      <c r="M197" s="27">
        <f t="shared" si="22"/>
        <v>191.66666666666666</v>
      </c>
      <c r="N197" s="27">
        <f t="shared" si="30"/>
        <v>159.66010733452595</v>
      </c>
      <c r="O197" s="27">
        <f t="shared" si="31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3"/>
        <v>178.12080536912751</v>
      </c>
      <c r="K198" s="11">
        <f t="shared" si="26"/>
        <v>128.14019538809524</v>
      </c>
      <c r="L198" s="11">
        <f t="shared" si="27"/>
        <v>139.01134011588715</v>
      </c>
      <c r="M198" s="27">
        <f t="shared" si="22"/>
        <v>182.22222222222223</v>
      </c>
      <c r="N198" s="27">
        <f t="shared" si="30"/>
        <v>155.97942754919501</v>
      </c>
      <c r="O198" s="27">
        <f t="shared" si="31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3"/>
        <v>185.57046979865771</v>
      </c>
      <c r="K199" s="11">
        <f t="shared" si="26"/>
        <v>132.10527499081482</v>
      </c>
      <c r="L199" s="11">
        <f t="shared" si="27"/>
        <v>139.01134011588715</v>
      </c>
      <c r="M199" s="27">
        <f t="shared" si="22"/>
        <v>163.33333333333334</v>
      </c>
      <c r="N199" s="27">
        <f t="shared" si="30"/>
        <v>155.42933810375669</v>
      </c>
      <c r="O199" s="27">
        <f t="shared" si="31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3"/>
        <v>193.02013422818791</v>
      </c>
      <c r="K200" s="11">
        <f t="shared" si="26"/>
        <v>130.6455525537921</v>
      </c>
      <c r="L200" s="11">
        <f t="shared" si="27"/>
        <v>138.80657138539587</v>
      </c>
      <c r="M200" s="27">
        <f t="shared" si="22"/>
        <v>160</v>
      </c>
      <c r="N200" s="27">
        <f t="shared" si="30"/>
        <v>153.62254025044723</v>
      </c>
      <c r="O200" s="27">
        <f t="shared" si="31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3"/>
        <v>194.36241610738253</v>
      </c>
      <c r="K201" s="11">
        <f t="shared" ref="K201:K264" si="32">(C201+Y201)/R201*100</f>
        <v>133.40717098358908</v>
      </c>
      <c r="L201" s="11">
        <f t="shared" ref="L201:L264" si="33">(D201+Z201)/S201*100</f>
        <v>131.74559953141775</v>
      </c>
      <c r="M201" s="27">
        <f t="shared" si="22"/>
        <v>173.33333333333334</v>
      </c>
      <c r="N201" s="27">
        <f t="shared" si="30"/>
        <v>152.31216457960645</v>
      </c>
      <c r="O201" s="27">
        <f t="shared" si="31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3"/>
        <v>194.42953020134226</v>
      </c>
      <c r="K202" s="11">
        <f t="shared" si="32"/>
        <v>134.48104670932562</v>
      </c>
      <c r="L202" s="11">
        <f t="shared" si="33"/>
        <v>133.56317118974698</v>
      </c>
      <c r="M202" s="27">
        <f t="shared" si="22"/>
        <v>197.77777777777777</v>
      </c>
      <c r="N202" s="27">
        <f t="shared" si="30"/>
        <v>153.62254025044723</v>
      </c>
      <c r="O202" s="27">
        <f t="shared" si="31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3"/>
        <v>195.9731543624161</v>
      </c>
      <c r="K203" s="11">
        <f t="shared" si="32"/>
        <v>128.86385060547286</v>
      </c>
      <c r="L203" s="11">
        <f t="shared" si="33"/>
        <v>135.05999490837107</v>
      </c>
      <c r="M203" s="27">
        <f t="shared" si="22"/>
        <v>218.33333333333337</v>
      </c>
      <c r="N203" s="27">
        <f t="shared" si="30"/>
        <v>155.78264758497315</v>
      </c>
      <c r="O203" s="27">
        <f t="shared" si="31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3"/>
        <v>193.82550335570471</v>
      </c>
      <c r="K204" s="11">
        <f t="shared" si="32"/>
        <v>137.56499751144088</v>
      </c>
      <c r="L204" s="11">
        <f t="shared" si="33"/>
        <v>134.41849902896075</v>
      </c>
      <c r="M204" s="27">
        <f t="shared" si="22"/>
        <v>213.33333333333334</v>
      </c>
      <c r="N204" s="27">
        <f t="shared" si="30"/>
        <v>157.12432915921289</v>
      </c>
      <c r="O204" s="27">
        <f t="shared" si="31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3"/>
        <v>193.42281879194633</v>
      </c>
      <c r="K205" s="11">
        <f t="shared" si="32"/>
        <v>137.1780744080215</v>
      </c>
      <c r="L205" s="11">
        <f t="shared" si="33"/>
        <v>149.12875354707765</v>
      </c>
      <c r="M205" s="27">
        <f t="shared" si="22"/>
        <v>195</v>
      </c>
      <c r="N205" s="27">
        <f t="shared" si="30"/>
        <v>157.02146690518782</v>
      </c>
      <c r="O205" s="27">
        <f t="shared" si="31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3"/>
        <v>193.95973154362417</v>
      </c>
      <c r="K206" s="11">
        <f t="shared" si="32"/>
        <v>136.8972057714125</v>
      </c>
      <c r="L206" s="11">
        <f t="shared" si="33"/>
        <v>141.85093327984438</v>
      </c>
      <c r="M206" s="27">
        <f t="shared" si="22"/>
        <v>208.33333333333331</v>
      </c>
      <c r="N206" s="27">
        <f t="shared" si="30"/>
        <v>159.67352415026835</v>
      </c>
      <c r="O206" s="27">
        <f t="shared" si="31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3"/>
        <v>195.83892617449666</v>
      </c>
      <c r="K207" s="11">
        <f t="shared" si="32"/>
        <v>136.26389444597811</v>
      </c>
      <c r="L207" s="11">
        <f t="shared" si="33"/>
        <v>136.95418140034565</v>
      </c>
      <c r="M207" s="27">
        <f t="shared" si="22"/>
        <v>215</v>
      </c>
      <c r="N207" s="27">
        <f t="shared" si="30"/>
        <v>165.37119856887296</v>
      </c>
      <c r="O207" s="27">
        <f t="shared" si="31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3"/>
        <v>195.63758389261744</v>
      </c>
      <c r="K208" s="11">
        <f t="shared" si="32"/>
        <v>132.68430869352292</v>
      </c>
      <c r="L208" s="11">
        <f t="shared" si="33"/>
        <v>134.30266509878302</v>
      </c>
      <c r="M208" s="27">
        <f t="shared" si="22"/>
        <v>212.22222222222223</v>
      </c>
      <c r="N208" s="27">
        <f t="shared" si="30"/>
        <v>164.84347048300538</v>
      </c>
      <c r="O208" s="27">
        <f t="shared" si="31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3"/>
        <v>192.41610738255034</v>
      </c>
      <c r="K209" s="11">
        <f t="shared" si="32"/>
        <v>140.02572012015284</v>
      </c>
      <c r="L209" s="11">
        <f t="shared" si="33"/>
        <v>134.31375599315118</v>
      </c>
      <c r="M209" s="27">
        <f t="shared" si="22"/>
        <v>231.11111111111109</v>
      </c>
      <c r="N209" s="27">
        <f t="shared" si="30"/>
        <v>173.2602862254025</v>
      </c>
      <c r="O209" s="27">
        <f t="shared" si="31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3"/>
        <v>194.49664429530202</v>
      </c>
      <c r="K210" s="11">
        <f t="shared" si="32"/>
        <v>140.96344142356475</v>
      </c>
      <c r="L210" s="11">
        <f t="shared" si="33"/>
        <v>138.62293915877285</v>
      </c>
      <c r="M210" s="27">
        <f t="shared" si="22"/>
        <v>246.11111111111111</v>
      </c>
      <c r="N210" s="27">
        <f t="shared" si="30"/>
        <v>178.51967799642222</v>
      </c>
      <c r="O210" s="27">
        <f t="shared" si="31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3"/>
        <v>195.83892617449666</v>
      </c>
      <c r="K211" s="11">
        <f t="shared" si="32"/>
        <v>141.54168219896135</v>
      </c>
      <c r="L211" s="11">
        <f t="shared" si="33"/>
        <v>145.03789795287599</v>
      </c>
      <c r="M211" s="27">
        <f t="shared" si="22"/>
        <v>273.88888888888891</v>
      </c>
      <c r="N211" s="27">
        <f t="shared" si="30"/>
        <v>172.3345259391771</v>
      </c>
      <c r="O211" s="27">
        <f t="shared" si="31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3"/>
        <v>196.37583892617448</v>
      </c>
      <c r="K212" s="11">
        <f t="shared" si="32"/>
        <v>139.03597217224274</v>
      </c>
      <c r="L212" s="11">
        <f t="shared" si="33"/>
        <v>146.85546961120522</v>
      </c>
      <c r="M212" s="27">
        <f t="shared" si="22"/>
        <v>292.22222222222223</v>
      </c>
      <c r="N212" s="27">
        <f t="shared" si="30"/>
        <v>175.91234347048302</v>
      </c>
      <c r="O212" s="27">
        <f t="shared" si="31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3"/>
        <v>197.71812080536915</v>
      </c>
      <c r="K213" s="11">
        <f t="shared" si="32"/>
        <v>138.21633166047397</v>
      </c>
      <c r="L213" s="11">
        <f t="shared" si="33"/>
        <v>139.73745845743284</v>
      </c>
      <c r="M213" s="27">
        <f t="shared" si="22"/>
        <v>275.55555555555554</v>
      </c>
      <c r="N213" s="27">
        <f t="shared" si="30"/>
        <v>181.50268336314849</v>
      </c>
      <c r="O213" s="27">
        <f t="shared" si="31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3"/>
        <v>200</v>
      </c>
      <c r="K214" s="11">
        <f t="shared" si="32"/>
        <v>139.48191662358764</v>
      </c>
      <c r="L214" s="11">
        <f t="shared" si="33"/>
        <v>137.97192035730268</v>
      </c>
      <c r="M214" s="27">
        <f t="shared" si="22"/>
        <v>276.66666666666669</v>
      </c>
      <c r="N214" s="27">
        <f t="shared" si="30"/>
        <v>185.38908765652954</v>
      </c>
      <c r="O214" s="27">
        <f t="shared" si="31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3"/>
        <v>205.03355704697989</v>
      </c>
      <c r="K215" s="11">
        <f t="shared" si="32"/>
        <v>144.76868942721376</v>
      </c>
      <c r="L215" s="11">
        <f t="shared" si="33"/>
        <v>138.35681788494887</v>
      </c>
      <c r="M215" s="27">
        <f t="shared" si="22"/>
        <v>317.77777777777777</v>
      </c>
      <c r="N215" s="27">
        <f t="shared" si="30"/>
        <v>194.69588550983897</v>
      </c>
      <c r="O215" s="27">
        <f t="shared" si="31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3"/>
        <v>205.70469798657717</v>
      </c>
      <c r="K216" s="11">
        <f t="shared" si="32"/>
        <v>140.66593344939974</v>
      </c>
      <c r="L216" s="11">
        <f t="shared" si="33"/>
        <v>150.52385639776452</v>
      </c>
      <c r="M216" s="27">
        <f t="shared" si="22"/>
        <v>316.11111111111109</v>
      </c>
      <c r="N216" s="27">
        <f t="shared" si="30"/>
        <v>202.49105545617175</v>
      </c>
      <c r="O216" s="27">
        <f t="shared" si="31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3"/>
        <v>203.55704697986576</v>
      </c>
      <c r="K217" s="11">
        <f t="shared" si="32"/>
        <v>143.86002535159054</v>
      </c>
      <c r="L217" s="11">
        <f t="shared" si="33"/>
        <v>152.51249362393654</v>
      </c>
      <c r="M217" s="27">
        <f t="shared" si="22"/>
        <v>321.66666666666669</v>
      </c>
      <c r="N217" s="27">
        <f t="shared" si="30"/>
        <v>204.0608228980322</v>
      </c>
      <c r="O217" s="27">
        <f t="shared" si="31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3"/>
        <v>203.1543624161074</v>
      </c>
      <c r="K218" s="11">
        <f t="shared" si="32"/>
        <v>162.16532552332509</v>
      </c>
      <c r="L218" s="11">
        <f t="shared" si="33"/>
        <v>157.12172947937714</v>
      </c>
      <c r="M218" s="27">
        <f t="shared" si="22"/>
        <v>316.11111111111109</v>
      </c>
      <c r="N218" s="27">
        <f t="shared" si="30"/>
        <v>209.52593917710198</v>
      </c>
      <c r="O218" s="27">
        <f t="shared" si="31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3"/>
        <v>199.1275167785235</v>
      </c>
      <c r="K219" s="11">
        <f t="shared" si="32"/>
        <v>163.27213194792211</v>
      </c>
      <c r="L219" s="11">
        <f t="shared" si="33"/>
        <v>166.53578601510603</v>
      </c>
      <c r="M219" s="27">
        <f t="shared" ref="M219:M236" si="34">(1+(E219-T219)/T219)*100</f>
        <v>280</v>
      </c>
      <c r="N219" s="27">
        <f t="shared" si="30"/>
        <v>220.16994633273703</v>
      </c>
      <c r="O219" s="27">
        <f t="shared" si="31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5">(1+(B220-Q220)/Q220)*100</f>
        <v>191.74496644295306</v>
      </c>
      <c r="K220" s="11">
        <f t="shared" si="32"/>
        <v>144.21772163485295</v>
      </c>
      <c r="L220" s="11">
        <f t="shared" si="33"/>
        <v>166.79238436687015</v>
      </c>
      <c r="M220" s="27">
        <f t="shared" si="34"/>
        <v>285.55555555555554</v>
      </c>
      <c r="N220" s="27">
        <f t="shared" si="30"/>
        <v>225.52772808586764</v>
      </c>
      <c r="O220" s="27">
        <f t="shared" si="31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5"/>
        <v>181.87919463087246</v>
      </c>
      <c r="K221" s="11">
        <f t="shared" si="32"/>
        <v>137.33390288013143</v>
      </c>
      <c r="L221" s="11">
        <f t="shared" si="33"/>
        <v>159.73592969335667</v>
      </c>
      <c r="M221" s="27">
        <f t="shared" si="34"/>
        <v>300</v>
      </c>
      <c r="N221" s="27">
        <f t="shared" si="30"/>
        <v>230.09838998211097</v>
      </c>
      <c r="O221" s="27">
        <f t="shared" si="31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5"/>
        <v>174.16107382550337</v>
      </c>
      <c r="K222" s="11">
        <f t="shared" si="32"/>
        <v>144.1355461862974</v>
      </c>
      <c r="L222" s="11">
        <f t="shared" si="33"/>
        <v>154.56111325866215</v>
      </c>
      <c r="M222" s="27">
        <f t="shared" si="34"/>
        <v>322.77777777777777</v>
      </c>
      <c r="N222" s="27">
        <f t="shared" si="30"/>
        <v>221.36404293381037</v>
      </c>
      <c r="O222" s="27">
        <f t="shared" si="31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5"/>
        <v>170.8724832214765</v>
      </c>
      <c r="K223" s="11">
        <f t="shared" si="32"/>
        <v>146.35021969551639</v>
      </c>
      <c r="L223" s="11">
        <f t="shared" si="33"/>
        <v>157.48655684872952</v>
      </c>
      <c r="M223" s="27">
        <f t="shared" si="34"/>
        <v>338.88888888888886</v>
      </c>
      <c r="N223" s="27">
        <f t="shared" si="30"/>
        <v>222.24508050089446</v>
      </c>
      <c r="O223" s="27">
        <f t="shared" si="31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5"/>
        <v>168.18791946308721</v>
      </c>
      <c r="K224" s="11">
        <f t="shared" si="32"/>
        <v>140.45767084147477</v>
      </c>
      <c r="L224" s="11">
        <f t="shared" si="33"/>
        <v>163.49523491920615</v>
      </c>
      <c r="M224" s="27">
        <f t="shared" si="34"/>
        <v>311.11111111111114</v>
      </c>
      <c r="N224" s="27">
        <f t="shared" si="30"/>
        <v>220.45617173524147</v>
      </c>
      <c r="O224" s="27">
        <f t="shared" si="31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5"/>
        <v>167.98657718120808</v>
      </c>
      <c r="K225" s="11">
        <f t="shared" si="32"/>
        <v>136.32737958864183</v>
      </c>
      <c r="L225" s="11">
        <f t="shared" si="33"/>
        <v>157.10165932108333</v>
      </c>
      <c r="M225" s="27">
        <f t="shared" si="34"/>
        <v>307.77777777777777</v>
      </c>
      <c r="N225" s="27">
        <f t="shared" si="30"/>
        <v>217.05724508050093</v>
      </c>
      <c r="O225" s="27">
        <f t="shared" si="31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5"/>
        <v>169.39597315436242</v>
      </c>
      <c r="K226" s="11">
        <f t="shared" si="32"/>
        <v>135.29889113633871</v>
      </c>
      <c r="L226" s="11">
        <f t="shared" si="33"/>
        <v>161.42216247245835</v>
      </c>
      <c r="M226" s="27">
        <f t="shared" si="34"/>
        <v>250</v>
      </c>
      <c r="N226" s="27">
        <f t="shared" si="30"/>
        <v>215.99731663685154</v>
      </c>
      <c r="O226" s="27">
        <f t="shared" si="31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5"/>
        <v>168.92617449664428</v>
      </c>
      <c r="K227" s="11">
        <f t="shared" si="32"/>
        <v>134.05644832982577</v>
      </c>
      <c r="L227" s="11">
        <f t="shared" si="33"/>
        <v>144.59510810047215</v>
      </c>
      <c r="M227" s="27">
        <f t="shared" si="34"/>
        <v>293.33333333333337</v>
      </c>
      <c r="N227" s="27">
        <f t="shared" si="30"/>
        <v>215.46511627906978</v>
      </c>
      <c r="O227" s="27">
        <f t="shared" si="31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5"/>
        <v>168.18791946308721</v>
      </c>
      <c r="K228" s="11">
        <f t="shared" si="32"/>
        <v>132.56954347880594</v>
      </c>
      <c r="L228" s="11">
        <f t="shared" si="33"/>
        <v>142.79891963812327</v>
      </c>
      <c r="M228" s="27">
        <f t="shared" si="34"/>
        <v>254.99999999999997</v>
      </c>
      <c r="N228" s="27">
        <f t="shared" ref="N228:N235" si="36">(1+(F228-U228)/U228)*100</f>
        <v>220.50983899821111</v>
      </c>
      <c r="O228" s="27">
        <f t="shared" ref="O228:O235" si="37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5"/>
        <v>171.27516778523491</v>
      </c>
      <c r="K229" s="11">
        <f t="shared" si="32"/>
        <v>135.7636353809967</v>
      </c>
      <c r="L229" s="11">
        <f t="shared" si="33"/>
        <v>141.21656313557781</v>
      </c>
      <c r="M229" s="27">
        <f t="shared" si="34"/>
        <v>247.22222222222223</v>
      </c>
      <c r="N229" s="27">
        <f t="shared" si="36"/>
        <v>221.78443649373884</v>
      </c>
      <c r="O229" s="27">
        <f t="shared" si="37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5"/>
        <v>171.34228187919462</v>
      </c>
      <c r="K230" s="11">
        <f t="shared" si="32"/>
        <v>133.39560172937252</v>
      </c>
      <c r="L230" s="11">
        <f t="shared" si="33"/>
        <v>141.30209591949921</v>
      </c>
      <c r="M230" s="27">
        <f t="shared" si="34"/>
        <v>257.77777777777777</v>
      </c>
      <c r="N230" s="27">
        <f t="shared" si="36"/>
        <v>220.17441860465118</v>
      </c>
      <c r="O230" s="27">
        <f t="shared" si="37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5"/>
        <v>172.28187919463087</v>
      </c>
      <c r="K231" s="11">
        <f t="shared" si="32"/>
        <v>137.39319457722078</v>
      </c>
      <c r="L231" s="11">
        <f t="shared" si="33"/>
        <v>141.47171677996042</v>
      </c>
      <c r="M231" s="27">
        <f t="shared" si="34"/>
        <v>247.22222222222223</v>
      </c>
      <c r="N231" s="27">
        <f t="shared" si="36"/>
        <v>223.06797853309482</v>
      </c>
      <c r="O231" s="27">
        <f t="shared" si="37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5"/>
        <v>175.70469798657717</v>
      </c>
      <c r="K232" s="11">
        <f t="shared" si="32"/>
        <v>132.40638983841879</v>
      </c>
      <c r="L232" s="11">
        <f t="shared" si="33"/>
        <v>133.39403706697024</v>
      </c>
      <c r="M232" s="27">
        <f t="shared" si="34"/>
        <v>209.44444444444446</v>
      </c>
      <c r="N232" s="27">
        <f t="shared" si="36"/>
        <v>233.20214669051876</v>
      </c>
      <c r="O232" s="27">
        <f t="shared" si="37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5"/>
        <v>175.90604026845637</v>
      </c>
      <c r="K233" s="11">
        <f t="shared" si="32"/>
        <v>134.74688821502409</v>
      </c>
      <c r="L233" s="11">
        <f t="shared" si="33"/>
        <v>133.45818665491126</v>
      </c>
      <c r="M233" s="27">
        <f t="shared" si="34"/>
        <v>212.22222222222223</v>
      </c>
      <c r="N233" s="27">
        <f t="shared" si="36"/>
        <v>233.91323792486585</v>
      </c>
      <c r="O233" s="27">
        <f t="shared" si="37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5"/>
        <v>174.89932885906038</v>
      </c>
      <c r="K234" s="11">
        <f t="shared" si="32"/>
        <v>137.28013351676162</v>
      </c>
      <c r="L234" s="11">
        <f t="shared" si="33"/>
        <v>137.94865781078346</v>
      </c>
      <c r="M234" s="27">
        <f t="shared" si="34"/>
        <v>158.33333333333334</v>
      </c>
      <c r="N234" s="27">
        <f t="shared" si="36"/>
        <v>236.1359570661896</v>
      </c>
      <c r="O234" s="27">
        <f t="shared" si="37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5"/>
        <v>174.2281879194631</v>
      </c>
      <c r="K235" s="11">
        <f t="shared" si="32"/>
        <v>136.51790425795457</v>
      </c>
      <c r="L235" s="11">
        <f t="shared" si="33"/>
        <v>146.55488676555734</v>
      </c>
      <c r="M235" s="27">
        <f t="shared" si="34"/>
        <v>152.22222222222223</v>
      </c>
      <c r="N235" s="27">
        <f t="shared" si="36"/>
        <v>238.98926654740615</v>
      </c>
      <c r="O235" s="27">
        <f t="shared" si="37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08" t="s">
        <v>23</v>
      </c>
      <c r="G236" s="108"/>
      <c r="I236" s="10">
        <v>39085</v>
      </c>
      <c r="J236" s="27">
        <f t="shared" si="35"/>
        <v>173.15436241610738</v>
      </c>
      <c r="K236" s="11">
        <f t="shared" si="32"/>
        <v>137.2763750904148</v>
      </c>
      <c r="L236" s="11">
        <f t="shared" si="33"/>
        <v>141.11416835392933</v>
      </c>
      <c r="M236" s="27">
        <f t="shared" si="34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5"/>
        <v>170.26845637583892</v>
      </c>
      <c r="K237" s="11">
        <f t="shared" si="32"/>
        <v>137.46912201554701</v>
      </c>
      <c r="L237" s="11">
        <f t="shared" si="33"/>
        <v>138.46265205236671</v>
      </c>
      <c r="M237" s="27">
        <f t="shared" ref="M237:M242" si="38">(1+(E237-T237)/T237)*100</f>
        <v>148.88888888888889</v>
      </c>
      <c r="N237" s="27">
        <f t="shared" ref="N237:N264" si="39">(1+(F237-U236)/U236)*100</f>
        <v>239.26654740608225</v>
      </c>
      <c r="O237" s="27">
        <f t="shared" ref="O237:O264" si="40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5"/>
        <v>165.30201342281879</v>
      </c>
      <c r="K238" s="11">
        <f t="shared" si="32"/>
        <v>139.31398544181241</v>
      </c>
      <c r="L238" s="11">
        <f t="shared" si="33"/>
        <v>137.90668895687776</v>
      </c>
      <c r="M238" s="27">
        <f t="shared" si="38"/>
        <v>218.33333333333337</v>
      </c>
      <c r="N238" s="27">
        <f t="shared" si="39"/>
        <v>250.44722719141325</v>
      </c>
      <c r="O238" s="27">
        <f t="shared" si="40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5"/>
        <v>163.08724832214767</v>
      </c>
      <c r="K239" s="11">
        <f t="shared" si="32"/>
        <v>136.39524628981047</v>
      </c>
      <c r="L239" s="11">
        <f t="shared" si="33"/>
        <v>138.97584875589496</v>
      </c>
      <c r="M239" s="27">
        <f t="shared" si="38"/>
        <v>158.88888888888891</v>
      </c>
      <c r="N239" s="27">
        <f t="shared" si="39"/>
        <v>239.26654740608225</v>
      </c>
      <c r="O239" s="27">
        <f t="shared" si="40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5"/>
        <v>161.94630872483219</v>
      </c>
      <c r="K240" s="11">
        <f t="shared" si="32"/>
        <v>135.13893090127988</v>
      </c>
      <c r="L240" s="11">
        <f t="shared" si="33"/>
        <v>140.4406065332671</v>
      </c>
      <c r="M240" s="27">
        <f t="shared" si="38"/>
        <v>173.33333333333334</v>
      </c>
      <c r="N240" s="27">
        <f t="shared" si="39"/>
        <v>234.79427549194992</v>
      </c>
      <c r="O240" s="27">
        <f t="shared" si="40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5"/>
        <v>163.4228187919463</v>
      </c>
      <c r="K241" s="11">
        <f t="shared" si="32"/>
        <v>130.96468539641953</v>
      </c>
      <c r="L241" s="11">
        <f t="shared" si="33"/>
        <v>139.78543787262049</v>
      </c>
      <c r="M241" s="27">
        <f t="shared" si="38"/>
        <v>198.88888888888889</v>
      </c>
      <c r="N241" s="27">
        <f t="shared" si="39"/>
        <v>234.79427549194992</v>
      </c>
      <c r="O241" s="27">
        <f t="shared" si="40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5"/>
        <v>166.17449664429529</v>
      </c>
      <c r="K242" s="11">
        <f t="shared" si="32"/>
        <v>134.37905949876139</v>
      </c>
      <c r="L242" s="11">
        <f t="shared" si="33"/>
        <v>140.29863457614874</v>
      </c>
      <c r="M242" s="27">
        <f t="shared" si="38"/>
        <v>205.55555555555554</v>
      </c>
      <c r="N242" s="27">
        <f t="shared" si="39"/>
        <v>234.79427549194992</v>
      </c>
      <c r="O242" s="27">
        <f t="shared" si="40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5"/>
        <v>167.18120805369128</v>
      </c>
      <c r="K243" s="11">
        <f t="shared" si="32"/>
        <v>134.65441224895025</v>
      </c>
      <c r="L243" s="11">
        <f t="shared" si="33"/>
        <v>137.96786621429123</v>
      </c>
      <c r="M243" s="27">
        <f t="shared" ref="M243:M264" si="41">(1+(E243-T243)/T243)*100</f>
        <v>202.22222222222223</v>
      </c>
      <c r="N243" s="27">
        <f t="shared" si="39"/>
        <v>239.26654740608225</v>
      </c>
      <c r="O243" s="27">
        <f t="shared" si="40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5"/>
        <v>171.20805369127518</v>
      </c>
      <c r="K244" s="11">
        <f t="shared" si="32"/>
        <v>130.94617990434665</v>
      </c>
      <c r="L244" s="11">
        <f t="shared" si="33"/>
        <v>136.51238277721711</v>
      </c>
      <c r="M244" s="27">
        <f t="shared" si="41"/>
        <v>177.77777777777777</v>
      </c>
      <c r="N244" s="27">
        <f t="shared" si="39"/>
        <v>248.21109123434707</v>
      </c>
      <c r="O244" s="27">
        <f t="shared" si="40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5"/>
        <v>176.24161073825505</v>
      </c>
      <c r="K245" s="11">
        <f t="shared" si="32"/>
        <v>129.7967852646953</v>
      </c>
      <c r="L245" s="11">
        <f t="shared" si="33"/>
        <v>133.32471044071835</v>
      </c>
      <c r="M245" s="27">
        <f t="shared" si="41"/>
        <v>158.33333333333334</v>
      </c>
      <c r="N245" s="27">
        <f t="shared" si="39"/>
        <v>250.44722719141325</v>
      </c>
      <c r="O245" s="27">
        <f t="shared" si="40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5"/>
        <v>180.20134228187919</v>
      </c>
      <c r="K246" s="11">
        <f t="shared" si="32"/>
        <v>136.35018071919015</v>
      </c>
      <c r="L246" s="11">
        <f t="shared" si="33"/>
        <v>133.62407518444314</v>
      </c>
      <c r="M246" s="1">
        <f t="shared" si="41"/>
        <v>165</v>
      </c>
      <c r="N246" s="27">
        <f t="shared" si="39"/>
        <v>254.91949910554564</v>
      </c>
      <c r="O246" s="27">
        <f t="shared" si="40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5"/>
        <v>179.9328859060403</v>
      </c>
      <c r="K247" s="11">
        <f t="shared" si="32"/>
        <v>130.37502604009191</v>
      </c>
      <c r="L247" s="11">
        <f t="shared" si="33"/>
        <v>136.33974107394681</v>
      </c>
      <c r="M247" s="27">
        <f t="shared" si="41"/>
        <v>148.88888888888889</v>
      </c>
      <c r="N247" s="27">
        <f t="shared" si="39"/>
        <v>254.91949910554564</v>
      </c>
      <c r="O247" s="27">
        <f t="shared" si="40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5"/>
        <v>179.59731543624162</v>
      </c>
      <c r="K248" s="11">
        <f t="shared" si="32"/>
        <v>129.71659733299381</v>
      </c>
      <c r="L248" s="11">
        <f t="shared" si="33"/>
        <v>136.24303136171642</v>
      </c>
      <c r="M248" s="27">
        <f t="shared" si="41"/>
        <v>135.55555555555557</v>
      </c>
      <c r="N248" s="27">
        <f t="shared" si="39"/>
        <v>254.91949910554564</v>
      </c>
      <c r="O248" s="27">
        <f t="shared" si="40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5"/>
        <v>187.24832214765101</v>
      </c>
      <c r="K249" s="11">
        <f t="shared" si="32"/>
        <v>119.36771638952797</v>
      </c>
      <c r="L249" s="11">
        <f t="shared" si="33"/>
        <v>122.96600551757611</v>
      </c>
      <c r="M249" s="27">
        <f t="shared" si="41"/>
        <v>131.66666666666666</v>
      </c>
      <c r="N249" s="27">
        <f t="shared" si="39"/>
        <v>254.91949910554564</v>
      </c>
      <c r="O249" s="27">
        <f t="shared" si="40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5"/>
        <v>190.60402684563758</v>
      </c>
      <c r="K250" s="11">
        <f t="shared" si="32"/>
        <v>118.95468726424467</v>
      </c>
      <c r="L250" s="11">
        <f t="shared" si="33"/>
        <v>124.3772964522788</v>
      </c>
      <c r="M250" s="27">
        <f t="shared" si="41"/>
        <v>128.33333333333331</v>
      </c>
      <c r="N250" s="27">
        <f t="shared" si="39"/>
        <v>254.91949910554564</v>
      </c>
      <c r="O250" s="27">
        <f t="shared" si="40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5"/>
        <v>193.08724832214764</v>
      </c>
      <c r="K251" s="11">
        <f t="shared" si="32"/>
        <v>122.25892026651101</v>
      </c>
      <c r="L251" s="11">
        <f t="shared" si="33"/>
        <v>125.61752181913874</v>
      </c>
      <c r="M251" s="27">
        <f t="shared" si="41"/>
        <v>124.44444444444444</v>
      </c>
      <c r="N251" s="27">
        <f t="shared" si="39"/>
        <v>261.62790697674421</v>
      </c>
      <c r="O251" s="27">
        <f t="shared" si="40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5"/>
        <v>191.34228187919464</v>
      </c>
      <c r="K252" s="11">
        <f t="shared" si="32"/>
        <v>120.19377464009455</v>
      </c>
      <c r="L252" s="11">
        <f t="shared" si="33"/>
        <v>124.03516531659329</v>
      </c>
      <c r="M252" s="27">
        <f t="shared" si="41"/>
        <v>118.33333333333333</v>
      </c>
      <c r="N252" s="27">
        <f t="shared" si="39"/>
        <v>268.33631484794279</v>
      </c>
      <c r="O252" s="27">
        <f t="shared" si="40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5"/>
        <v>188.65771812080536</v>
      </c>
      <c r="K253" s="11">
        <f t="shared" si="32"/>
        <v>120.52277281473572</v>
      </c>
      <c r="L253" s="11">
        <f t="shared" si="33"/>
        <v>124.62714962117344</v>
      </c>
      <c r="M253" s="27">
        <f t="shared" si="41"/>
        <v>118.88888888888889</v>
      </c>
      <c r="N253" s="27">
        <f t="shared" si="39"/>
        <v>268.33631484794279</v>
      </c>
      <c r="O253" s="27">
        <f t="shared" si="40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5"/>
        <v>187.38255033557047</v>
      </c>
      <c r="K254" s="11">
        <f t="shared" si="32"/>
        <v>120.57784336477349</v>
      </c>
      <c r="L254" s="11">
        <f t="shared" si="33"/>
        <v>126.5944036513651</v>
      </c>
      <c r="M254" s="27">
        <f t="shared" si="41"/>
        <v>116.11111111111111</v>
      </c>
      <c r="N254" s="27">
        <f t="shared" si="39"/>
        <v>272.80858676207515</v>
      </c>
      <c r="O254" s="27">
        <f t="shared" si="40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5"/>
        <v>186.10738255033556</v>
      </c>
      <c r="K255" s="11">
        <f t="shared" si="32"/>
        <v>127.24137991934393</v>
      </c>
      <c r="L255" s="11">
        <f t="shared" si="33"/>
        <v>123.57937301813659</v>
      </c>
      <c r="M255" s="27">
        <f t="shared" si="41"/>
        <v>126.11111111111111</v>
      </c>
      <c r="N255" s="27">
        <f t="shared" si="39"/>
        <v>290.69767441860461</v>
      </c>
      <c r="O255" s="27">
        <f t="shared" si="40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5"/>
        <v>188.12080536912751</v>
      </c>
      <c r="K256" s="11">
        <f t="shared" si="32"/>
        <v>126.74574496900397</v>
      </c>
      <c r="L256" s="11">
        <f t="shared" si="33"/>
        <v>126.27365571165991</v>
      </c>
      <c r="M256" s="27">
        <f t="shared" si="41"/>
        <v>152.77777777777777</v>
      </c>
      <c r="N256" s="27">
        <f t="shared" si="39"/>
        <v>286.2254025044723</v>
      </c>
      <c r="O256" s="27">
        <f t="shared" si="40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5"/>
        <v>189.06040268456377</v>
      </c>
      <c r="K257" s="11">
        <f t="shared" si="32"/>
        <v>127.87469124477828</v>
      </c>
      <c r="L257" s="11">
        <f t="shared" si="33"/>
        <v>128.49750809361569</v>
      </c>
      <c r="M257" s="27">
        <f t="shared" si="41"/>
        <v>181.11111111111111</v>
      </c>
      <c r="N257" s="27">
        <f t="shared" si="39"/>
        <v>286.2254025044723</v>
      </c>
      <c r="O257" s="27">
        <f t="shared" si="40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5"/>
        <v>187.85234899328859</v>
      </c>
      <c r="K258" s="11">
        <f t="shared" si="32"/>
        <v>130.99482569009598</v>
      </c>
      <c r="L258" s="11">
        <f t="shared" si="33"/>
        <v>129.1291142936102</v>
      </c>
      <c r="M258" s="27">
        <f t="shared" si="41"/>
        <v>196.66666666666669</v>
      </c>
      <c r="N258" s="27">
        <f t="shared" si="39"/>
        <v>286.2254025044723</v>
      </c>
      <c r="O258" s="27">
        <f t="shared" si="40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5"/>
        <v>199.46308724832215</v>
      </c>
      <c r="K259" s="11">
        <f t="shared" si="32"/>
        <v>130.74700821492598</v>
      </c>
      <c r="L259" s="11">
        <f t="shared" si="33"/>
        <v>128.87251594184607</v>
      </c>
      <c r="M259" s="27">
        <f t="shared" si="41"/>
        <v>183.33333333333334</v>
      </c>
      <c r="N259" s="27">
        <f t="shared" si="39"/>
        <v>277.28085867620752</v>
      </c>
      <c r="O259" s="27">
        <f t="shared" si="40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5"/>
        <v>188.25503355704697</v>
      </c>
      <c r="K260" s="11">
        <f t="shared" si="32"/>
        <v>130.08616161447273</v>
      </c>
      <c r="L260" s="11">
        <f t="shared" si="33"/>
        <v>125.47258778097141</v>
      </c>
      <c r="M260" s="27">
        <f t="shared" si="41"/>
        <v>191.66666666666666</v>
      </c>
      <c r="N260" s="27">
        <f t="shared" si="39"/>
        <v>263.86404293381037</v>
      </c>
      <c r="O260" s="27">
        <f t="shared" si="40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5"/>
        <v>190.26845637583892</v>
      </c>
      <c r="K261" s="11">
        <f t="shared" si="32"/>
        <v>129.20503281386837</v>
      </c>
      <c r="L261" s="11">
        <f t="shared" si="33"/>
        <v>124.57449354979697</v>
      </c>
      <c r="M261" s="27">
        <f t="shared" si="41"/>
        <v>204.99999999999997</v>
      </c>
      <c r="N261" s="27">
        <f t="shared" si="39"/>
        <v>270.57245080500894</v>
      </c>
      <c r="O261" s="27">
        <f t="shared" si="40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5"/>
        <v>189.86577181208054</v>
      </c>
      <c r="K262" s="11">
        <f t="shared" si="32"/>
        <v>127.96255802152949</v>
      </c>
      <c r="L262" s="11">
        <f t="shared" si="33"/>
        <v>121.70781106847292</v>
      </c>
      <c r="M262" s="27">
        <f t="shared" si="41"/>
        <v>200</v>
      </c>
      <c r="N262" s="27">
        <f t="shared" si="39"/>
        <v>330.94812164579605</v>
      </c>
      <c r="O262" s="27">
        <f t="shared" si="40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5"/>
        <v>191.20805369127518</v>
      </c>
      <c r="K263" s="11">
        <f t="shared" si="32"/>
        <v>129.36685704749269</v>
      </c>
      <c r="L263" s="11">
        <f t="shared" si="33"/>
        <v>123.76059788258593</v>
      </c>
      <c r="M263" s="27">
        <f t="shared" si="41"/>
        <v>197.77777777777777</v>
      </c>
      <c r="N263" s="27">
        <f t="shared" si="39"/>
        <v>330.94812164579605</v>
      </c>
      <c r="O263" s="27">
        <f t="shared" si="40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5"/>
        <v>193.89261744966441</v>
      </c>
      <c r="K264" s="11">
        <f t="shared" si="32"/>
        <v>133.27686610017452</v>
      </c>
      <c r="L264" s="11">
        <f t="shared" si="33"/>
        <v>130.7101365761977</v>
      </c>
      <c r="M264" s="27">
        <f t="shared" si="41"/>
        <v>243.88888888888891</v>
      </c>
      <c r="N264" s="27">
        <f t="shared" si="39"/>
        <v>357.78175313059035</v>
      </c>
      <c r="O264" s="27">
        <f t="shared" si="40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5"/>
        <v>193.89261744966441</v>
      </c>
      <c r="K265" s="11">
        <f t="shared" ref="K265:K328" si="42">(C265+Y265)/R265*100</f>
        <v>139.14187967919725</v>
      </c>
      <c r="L265" s="11">
        <f t="shared" ref="L265:L328" si="43">(D265+Z265)/S265*100</f>
        <v>136.24838433510678</v>
      </c>
      <c r="M265" s="27">
        <f t="shared" ref="M265:M303" si="44">(1+(E265-T265)/T265)*100</f>
        <v>254.44444444444443</v>
      </c>
      <c r="N265" s="27">
        <f t="shared" ref="N265:N290" si="45">(1+(F265-U264)/U264)*100</f>
        <v>375.67084078711986</v>
      </c>
      <c r="O265" s="27">
        <f t="shared" ref="O265:O290" si="46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5"/>
        <v>193.69127516778525</v>
      </c>
      <c r="K266" s="11">
        <f t="shared" si="42"/>
        <v>147.17154387675248</v>
      </c>
      <c r="L266" s="11">
        <f t="shared" si="43"/>
        <v>147.0352640777466</v>
      </c>
      <c r="M266" s="27">
        <f t="shared" si="44"/>
        <v>219.44444444444446</v>
      </c>
      <c r="N266" s="27">
        <f t="shared" si="45"/>
        <v>402.5044722719141</v>
      </c>
      <c r="O266" s="27">
        <f t="shared" si="46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5"/>
        <v>194.49664429530202</v>
      </c>
      <c r="K267" s="11">
        <f t="shared" si="42"/>
        <v>147.69471410211131</v>
      </c>
      <c r="L267" s="11">
        <f t="shared" si="43"/>
        <v>156.01620638949106</v>
      </c>
      <c r="M267" s="27">
        <f t="shared" si="44"/>
        <v>247.77777777777777</v>
      </c>
      <c r="N267" s="27">
        <f t="shared" si="45"/>
        <v>400.26833631484794</v>
      </c>
      <c r="O267" s="27">
        <f t="shared" si="46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5"/>
        <v>191.07382550335569</v>
      </c>
      <c r="K268" s="11">
        <f t="shared" si="42"/>
        <v>158.76389465970351</v>
      </c>
      <c r="L268" s="11">
        <f t="shared" si="43"/>
        <v>160.57082713330428</v>
      </c>
      <c r="M268" s="27">
        <f t="shared" si="44"/>
        <v>295</v>
      </c>
      <c r="N268" s="27">
        <f t="shared" si="45"/>
        <v>398.03220035778179</v>
      </c>
      <c r="O268" s="27">
        <f t="shared" si="46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5"/>
        <v>192.5503355704698</v>
      </c>
      <c r="K269" s="11">
        <f t="shared" si="42"/>
        <v>163.83038526317856</v>
      </c>
      <c r="L269" s="11">
        <f t="shared" si="43"/>
        <v>196.55874596822304</v>
      </c>
      <c r="M269" s="27">
        <f t="shared" si="44"/>
        <v>321.11111111111114</v>
      </c>
      <c r="N269" s="27">
        <f t="shared" si="45"/>
        <v>420.39355992844366</v>
      </c>
      <c r="O269" s="27">
        <f t="shared" si="46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5"/>
        <v>192.14765100671141</v>
      </c>
      <c r="K270" s="11">
        <f t="shared" si="42"/>
        <v>171.12723314318336</v>
      </c>
      <c r="L270" s="11">
        <f t="shared" si="43"/>
        <v>181.59050878198235</v>
      </c>
      <c r="M270" s="27">
        <f t="shared" si="44"/>
        <v>387.77777777777777</v>
      </c>
      <c r="N270" s="27">
        <f t="shared" si="45"/>
        <v>402.5044722719141</v>
      </c>
      <c r="O270" s="27">
        <f t="shared" si="46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5"/>
        <v>194.16107382550334</v>
      </c>
      <c r="K271" s="11">
        <f t="shared" si="42"/>
        <v>174.51980057854419</v>
      </c>
      <c r="L271" s="11">
        <f t="shared" si="43"/>
        <v>177.96947992538446</v>
      </c>
      <c r="M271" s="27">
        <f t="shared" si="44"/>
        <v>450</v>
      </c>
      <c r="N271" s="27">
        <f t="shared" si="45"/>
        <v>407.87119856887301</v>
      </c>
      <c r="O271" s="27">
        <f t="shared" si="46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5"/>
        <v>196.24161073825505</v>
      </c>
      <c r="K272" s="11">
        <f t="shared" si="42"/>
        <v>174.68501222865751</v>
      </c>
      <c r="L272" s="11">
        <f t="shared" si="43"/>
        <v>182.11781994557117</v>
      </c>
      <c r="M272" s="27">
        <f t="shared" si="44"/>
        <v>382.22222222222223</v>
      </c>
      <c r="N272" s="27">
        <f t="shared" si="45"/>
        <v>440.51878354203939</v>
      </c>
      <c r="O272" s="27">
        <f t="shared" si="46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5"/>
        <v>198.92617449664428</v>
      </c>
      <c r="K273" s="11">
        <f t="shared" si="42"/>
        <v>184.32235848526764</v>
      </c>
      <c r="L273" s="11">
        <f t="shared" si="43"/>
        <v>172.8161296941216</v>
      </c>
      <c r="M273" s="27">
        <f t="shared" si="44"/>
        <v>414.4444444444444</v>
      </c>
      <c r="N273" s="27">
        <f t="shared" si="45"/>
        <v>424.86583184257603</v>
      </c>
      <c r="O273" s="27">
        <f t="shared" si="46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5"/>
        <v>203.48993288590603</v>
      </c>
      <c r="K274" s="11">
        <f t="shared" si="42"/>
        <v>181.78911318353011</v>
      </c>
      <c r="L274" s="11">
        <f t="shared" si="43"/>
        <v>189.73023771457358</v>
      </c>
      <c r="M274" s="27">
        <f t="shared" si="44"/>
        <v>362.77777777777777</v>
      </c>
      <c r="N274" s="27">
        <f t="shared" si="45"/>
        <v>424.86583184257603</v>
      </c>
      <c r="O274" s="27">
        <f t="shared" si="46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5"/>
        <v>204.56375838926175</v>
      </c>
      <c r="K275" s="11">
        <f t="shared" si="42"/>
        <v>170.42907427798477</v>
      </c>
      <c r="L275" s="11">
        <f t="shared" si="43"/>
        <v>198.40521369008849</v>
      </c>
      <c r="M275" s="27">
        <f t="shared" si="44"/>
        <v>372.77777777777777</v>
      </c>
      <c r="N275" s="27">
        <f t="shared" si="45"/>
        <v>442.75491949910554</v>
      </c>
      <c r="O275" s="27">
        <f t="shared" si="46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5"/>
        <v>203.69127516778525</v>
      </c>
      <c r="K276" s="11">
        <f t="shared" si="42"/>
        <v>168.03350535134169</v>
      </c>
      <c r="L276" s="11">
        <f t="shared" si="43"/>
        <v>189.23182261452095</v>
      </c>
      <c r="M276" s="27">
        <f t="shared" si="44"/>
        <v>355.55555555555554</v>
      </c>
      <c r="N276" s="27">
        <f t="shared" si="45"/>
        <v>451.69946332737032</v>
      </c>
      <c r="O276" s="27">
        <f t="shared" si="46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5"/>
        <v>203.95973154362417</v>
      </c>
      <c r="K277" s="11">
        <f t="shared" si="42"/>
        <v>168.39146392658722</v>
      </c>
      <c r="L277" s="11">
        <f t="shared" si="43"/>
        <v>194.12857449401972</v>
      </c>
      <c r="M277" s="27">
        <f t="shared" si="44"/>
        <v>292.22222222222223</v>
      </c>
      <c r="N277" s="27">
        <f t="shared" si="45"/>
        <v>514.31127012522359</v>
      </c>
      <c r="O277" s="27">
        <f t="shared" si="46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5"/>
        <v>207.65100671140937</v>
      </c>
      <c r="K278" s="11">
        <f t="shared" si="42"/>
        <v>155.86291379299405</v>
      </c>
      <c r="L278" s="11">
        <f t="shared" si="43"/>
        <v>167.03606518692402</v>
      </c>
      <c r="M278" s="27">
        <f t="shared" si="44"/>
        <v>296.11111111111114</v>
      </c>
      <c r="N278" s="27">
        <f t="shared" si="45"/>
        <v>514.31127012522359</v>
      </c>
      <c r="O278" s="27">
        <f t="shared" si="46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5"/>
        <v>211.87919463087246</v>
      </c>
      <c r="K279" s="11">
        <f t="shared" si="42"/>
        <v>151.84276364023668</v>
      </c>
      <c r="L279" s="11">
        <f t="shared" si="43"/>
        <v>151.38356572931229</v>
      </c>
      <c r="M279" s="27">
        <f t="shared" si="44"/>
        <v>253.33333333333331</v>
      </c>
      <c r="N279" s="27">
        <f t="shared" si="45"/>
        <v>523.25581395348843</v>
      </c>
      <c r="O279" s="27">
        <f t="shared" si="46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5"/>
        <v>221.6778523489933</v>
      </c>
      <c r="K280" s="11">
        <f t="shared" si="42"/>
        <v>147.3736106939873</v>
      </c>
      <c r="L280" s="11">
        <f t="shared" si="43"/>
        <v>141.83789628596531</v>
      </c>
      <c r="M280" s="27">
        <f t="shared" si="44"/>
        <v>232.2222222222222</v>
      </c>
      <c r="N280" s="27">
        <f t="shared" si="45"/>
        <v>514.31127012522359</v>
      </c>
      <c r="O280" s="27">
        <f t="shared" si="46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5"/>
        <v>229.86577181208051</v>
      </c>
      <c r="K281" s="11">
        <f t="shared" si="42"/>
        <v>150.78798479632917</v>
      </c>
      <c r="L281" s="11">
        <f t="shared" si="43"/>
        <v>145.4730396026238</v>
      </c>
      <c r="M281" s="27">
        <f t="shared" si="44"/>
        <v>243.33333333333337</v>
      </c>
      <c r="N281" s="27">
        <f t="shared" si="45"/>
        <v>514.31127012522359</v>
      </c>
      <c r="O281" s="27">
        <f t="shared" si="46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5"/>
        <v>228.85906040268455</v>
      </c>
      <c r="K282" s="11">
        <f t="shared" si="42"/>
        <v>145.74902946787302</v>
      </c>
      <c r="L282" s="11">
        <f t="shared" si="43"/>
        <v>137.2405091501914</v>
      </c>
      <c r="M282" s="27">
        <f t="shared" si="44"/>
        <v>225.55555555555554</v>
      </c>
      <c r="N282" s="27">
        <f t="shared" si="45"/>
        <v>527.72808586762073</v>
      </c>
      <c r="O282" s="27">
        <f t="shared" si="46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5"/>
        <v>231.14093959731542</v>
      </c>
      <c r="K283" s="11">
        <f t="shared" si="42"/>
        <v>144.70268901715536</v>
      </c>
      <c r="L283" s="11">
        <f t="shared" si="43"/>
        <v>140.31968937136091</v>
      </c>
      <c r="M283" s="27">
        <f t="shared" si="44"/>
        <v>215</v>
      </c>
      <c r="N283" s="27">
        <f t="shared" si="45"/>
        <v>536.67262969588558</v>
      </c>
      <c r="O283" s="27">
        <f t="shared" si="46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5"/>
        <v>229.26174496644296</v>
      </c>
      <c r="K284" s="11">
        <f t="shared" si="42"/>
        <v>148.98927346344695</v>
      </c>
      <c r="L284" s="11">
        <f t="shared" si="43"/>
        <v>139.42280852113359</v>
      </c>
      <c r="M284" s="27">
        <f t="shared" si="44"/>
        <v>215</v>
      </c>
      <c r="N284" s="27">
        <f t="shared" si="45"/>
        <v>532.20035778175315</v>
      </c>
      <c r="O284" s="27">
        <f t="shared" si="46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5"/>
        <v>223.15436241610743</v>
      </c>
      <c r="K285" s="11">
        <f t="shared" si="42"/>
        <v>148.85159708835252</v>
      </c>
      <c r="L285" s="11">
        <f t="shared" si="43"/>
        <v>145.02520586798369</v>
      </c>
      <c r="M285" s="27">
        <f t="shared" si="44"/>
        <v>222.22222222222223</v>
      </c>
      <c r="N285" s="27">
        <f t="shared" si="45"/>
        <v>545.6171735241503</v>
      </c>
      <c r="O285" s="27">
        <f t="shared" si="46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5"/>
        <v>222.08053691275168</v>
      </c>
      <c r="K286" s="11">
        <f t="shared" si="42"/>
        <v>153.83548186677089</v>
      </c>
      <c r="L286" s="11">
        <f t="shared" si="43"/>
        <v>148.70311557660284</v>
      </c>
      <c r="M286" s="27">
        <f t="shared" si="44"/>
        <v>209.44444444444446</v>
      </c>
      <c r="N286" s="27">
        <f t="shared" si="45"/>
        <v>554.56171735241503</v>
      </c>
      <c r="O286" s="27">
        <f t="shared" si="46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5"/>
        <v>222.01342281879189</v>
      </c>
      <c r="K287" s="11">
        <f t="shared" si="42"/>
        <v>150.2558961143157</v>
      </c>
      <c r="L287" s="11">
        <f t="shared" si="43"/>
        <v>149.08801310424903</v>
      </c>
      <c r="M287" s="27">
        <f t="shared" si="44"/>
        <v>203.88888888888889</v>
      </c>
      <c r="N287" s="27">
        <f t="shared" si="45"/>
        <v>565.74239713774602</v>
      </c>
      <c r="O287" s="27">
        <f t="shared" si="46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5"/>
        <v>224.49664429530202</v>
      </c>
      <c r="K288" s="11">
        <f t="shared" si="42"/>
        <v>154.12628329616672</v>
      </c>
      <c r="L288" s="11">
        <f t="shared" si="43"/>
        <v>154.57049194083692</v>
      </c>
      <c r="M288" s="27">
        <f t="shared" si="44"/>
        <v>200</v>
      </c>
      <c r="N288" s="27">
        <f t="shared" si="45"/>
        <v>550.08944543828261</v>
      </c>
      <c r="O288" s="27">
        <f t="shared" si="46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5"/>
        <v>226.5771812080537</v>
      </c>
      <c r="K289" s="11">
        <f t="shared" si="42"/>
        <v>153.24515449556239</v>
      </c>
      <c r="L289" s="11">
        <f t="shared" si="43"/>
        <v>158.74021515700397</v>
      </c>
      <c r="M289" s="1">
        <f t="shared" si="44"/>
        <v>195</v>
      </c>
      <c r="N289" s="27">
        <f t="shared" si="45"/>
        <v>554.56171735241503</v>
      </c>
      <c r="O289" s="27">
        <f t="shared" si="46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5"/>
        <v>223.22147651006711</v>
      </c>
      <c r="K290" s="11">
        <f t="shared" si="42"/>
        <v>159.66087357496284</v>
      </c>
      <c r="L290" s="11">
        <f t="shared" si="43"/>
        <v>157.79935453386884</v>
      </c>
      <c r="M290" s="27">
        <f t="shared" si="44"/>
        <v>180.55555555555557</v>
      </c>
      <c r="N290" s="27">
        <f t="shared" si="45"/>
        <v>541.14490161001788</v>
      </c>
      <c r="O290" s="27">
        <f t="shared" si="46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17</v>
      </c>
      <c r="G291" s="19" t="s">
        <v>17</v>
      </c>
      <c r="I291" s="10">
        <v>39470</v>
      </c>
      <c r="J291" s="27">
        <f t="shared" si="35"/>
        <v>219.46308724832218</v>
      </c>
      <c r="K291" s="11">
        <f t="shared" si="42"/>
        <v>155.03494737178997</v>
      </c>
      <c r="L291" s="11">
        <f t="shared" si="43"/>
        <v>161.79801218219316</v>
      </c>
      <c r="M291" s="27">
        <f t="shared" si="44"/>
        <v>237.77777777777777</v>
      </c>
      <c r="N291" s="37" t="s">
        <v>17</v>
      </c>
      <c r="O291" s="37" t="s">
        <v>17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17</v>
      </c>
      <c r="G292" s="19" t="s">
        <v>17</v>
      </c>
      <c r="I292" s="10">
        <v>39477</v>
      </c>
      <c r="J292" s="27">
        <f t="shared" si="35"/>
        <v>218.72483221476512</v>
      </c>
      <c r="K292" s="11">
        <f t="shared" si="42"/>
        <v>156.74213442296093</v>
      </c>
      <c r="L292" s="11">
        <f t="shared" si="43"/>
        <v>160.72885238317596</v>
      </c>
      <c r="M292" s="27">
        <f t="shared" si="44"/>
        <v>247.77777777777777</v>
      </c>
      <c r="N292" s="37" t="s">
        <v>17</v>
      </c>
      <c r="O292" s="37" t="s">
        <v>17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5"/>
        <v>220.13422818791946</v>
      </c>
      <c r="K293" s="11">
        <f t="shared" si="42"/>
        <v>153.15350750695512</v>
      </c>
      <c r="L293" s="11">
        <f t="shared" si="43"/>
        <v>156.6379588276487</v>
      </c>
      <c r="M293" s="27">
        <f t="shared" si="44"/>
        <v>276.66666666666669</v>
      </c>
      <c r="N293" s="27">
        <f t="shared" ref="N293:N324" si="47">(1+(F293-U292)/U292)*100</f>
        <v>411.44901610017894</v>
      </c>
      <c r="O293" s="27">
        <f t="shared" ref="O293:O324" si="48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5"/>
        <v>220.13422818791946</v>
      </c>
      <c r="K294" s="11">
        <f t="shared" si="42"/>
        <v>157.20119293473138</v>
      </c>
      <c r="L294" s="11">
        <f t="shared" si="43"/>
        <v>156.95870676735387</v>
      </c>
      <c r="M294" s="27">
        <f t="shared" si="44"/>
        <v>261.11111111111114</v>
      </c>
      <c r="N294" s="27">
        <f t="shared" si="47"/>
        <v>433.81037567084081</v>
      </c>
      <c r="O294" s="27">
        <f t="shared" si="48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5"/>
        <v>227.91946308724832</v>
      </c>
      <c r="K295" s="11">
        <f t="shared" si="42"/>
        <v>154.08970685759726</v>
      </c>
      <c r="L295" s="11">
        <f t="shared" si="43"/>
        <v>160.12341977244475</v>
      </c>
      <c r="M295" s="27">
        <f t="shared" si="44"/>
        <v>277.77777777777777</v>
      </c>
      <c r="N295" s="27">
        <f t="shared" si="47"/>
        <v>469.58855098389984</v>
      </c>
      <c r="O295" s="27">
        <f t="shared" si="48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5"/>
        <v>238.38926174496646</v>
      </c>
      <c r="K296" s="11">
        <f t="shared" si="42"/>
        <v>156.15485248401373</v>
      </c>
      <c r="L296" s="11">
        <f t="shared" si="43"/>
        <v>175.09165695868546</v>
      </c>
      <c r="M296" s="27">
        <f t="shared" si="44"/>
        <v>293.88888888888891</v>
      </c>
      <c r="N296" s="27">
        <f t="shared" si="47"/>
        <v>478.53309481216451</v>
      </c>
      <c r="O296" s="27">
        <f t="shared" si="48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5"/>
        <v>245.50335570469798</v>
      </c>
      <c r="K297" s="11">
        <f t="shared" si="42"/>
        <v>161.22186641632902</v>
      </c>
      <c r="L297" s="11">
        <f t="shared" si="43"/>
        <v>162.28483322909202</v>
      </c>
      <c r="M297" s="27">
        <f t="shared" si="44"/>
        <v>246.66666666666669</v>
      </c>
      <c r="N297" s="27">
        <f t="shared" si="47"/>
        <v>496.42218246869413</v>
      </c>
      <c r="O297" s="27">
        <f t="shared" si="48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5"/>
        <v>256.30872483221469</v>
      </c>
      <c r="K298" s="11">
        <f t="shared" si="42"/>
        <v>165.18694601904861</v>
      </c>
      <c r="L298" s="11">
        <f t="shared" si="43"/>
        <v>162.1351508572296</v>
      </c>
      <c r="M298" s="27">
        <f t="shared" si="44"/>
        <v>269.44444444444446</v>
      </c>
      <c r="N298" s="27">
        <f t="shared" si="47"/>
        <v>503.13059033989271</v>
      </c>
      <c r="O298" s="27">
        <f t="shared" si="48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5"/>
        <v>266.71140939597313</v>
      </c>
      <c r="K299" s="11">
        <f t="shared" si="42"/>
        <v>159.2393266149692</v>
      </c>
      <c r="L299" s="11">
        <f t="shared" si="43"/>
        <v>161.79301972154408</v>
      </c>
      <c r="M299" s="27">
        <f t="shared" si="44"/>
        <v>238.88888888888889</v>
      </c>
      <c r="N299" s="27">
        <f t="shared" si="47"/>
        <v>498.65831842576023</v>
      </c>
      <c r="O299" s="27">
        <f t="shared" si="48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5"/>
        <v>267.7181208053691</v>
      </c>
      <c r="K300" s="11">
        <f t="shared" si="42"/>
        <v>159.32193244002585</v>
      </c>
      <c r="L300" s="11">
        <f t="shared" si="43"/>
        <v>167.54509944025662</v>
      </c>
      <c r="M300" s="27">
        <f t="shared" si="44"/>
        <v>260.55555555555554</v>
      </c>
      <c r="N300" s="27">
        <f t="shared" si="47"/>
        <v>496.42218246869413</v>
      </c>
      <c r="O300" s="27">
        <f t="shared" si="48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5"/>
        <v>266.04026845637583</v>
      </c>
      <c r="K301" s="11">
        <f t="shared" si="42"/>
        <v>157.91176256463015</v>
      </c>
      <c r="L301" s="11">
        <f t="shared" si="43"/>
        <v>149.61782528327262</v>
      </c>
      <c r="M301" s="27">
        <f t="shared" si="44"/>
        <v>241.11111111111114</v>
      </c>
      <c r="N301" s="27">
        <f t="shared" si="47"/>
        <v>491.94991055456165</v>
      </c>
      <c r="O301" s="27">
        <f t="shared" si="48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5"/>
        <v>268.12080536912754</v>
      </c>
      <c r="K302" s="11">
        <f t="shared" si="42"/>
        <v>157.38859233927133</v>
      </c>
      <c r="L302" s="11">
        <f t="shared" si="43"/>
        <v>149.61782528327262</v>
      </c>
      <c r="M302" s="27">
        <f t="shared" si="44"/>
        <v>231.11111111111109</v>
      </c>
      <c r="N302" s="27">
        <f t="shared" si="47"/>
        <v>487.4776386404294</v>
      </c>
      <c r="O302" s="27">
        <f t="shared" si="48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5"/>
        <v>272.41610738255036</v>
      </c>
      <c r="K303" s="11">
        <f t="shared" si="42"/>
        <v>156.67267518878026</v>
      </c>
      <c r="L303" s="11">
        <f t="shared" si="43"/>
        <v>150.96496663003427</v>
      </c>
      <c r="M303" s="27">
        <f t="shared" si="44"/>
        <v>226.66666666666666</v>
      </c>
      <c r="N303" s="27">
        <f t="shared" si="47"/>
        <v>496.42218246869413</v>
      </c>
      <c r="O303" s="27">
        <f t="shared" si="48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5"/>
        <v>277.8523489932885</v>
      </c>
      <c r="K304" s="11">
        <f t="shared" si="42"/>
        <v>155.98429331330814</v>
      </c>
      <c r="L304" s="11">
        <f t="shared" si="43"/>
        <v>150.83666745415221</v>
      </c>
      <c r="M304" s="27">
        <f t="shared" ref="M304:M310" si="49">(1+(E304-T304)/T304)*100</f>
        <v>233.88888888888886</v>
      </c>
      <c r="N304" s="27">
        <f t="shared" si="47"/>
        <v>509.83899821109128</v>
      </c>
      <c r="O304" s="27">
        <f t="shared" si="48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5"/>
        <v>280.3355704697986</v>
      </c>
      <c r="K305" s="11">
        <f t="shared" si="42"/>
        <v>155.07562923768489</v>
      </c>
      <c r="L305" s="11">
        <f t="shared" si="43"/>
        <v>152.31210797679594</v>
      </c>
      <c r="M305" s="27">
        <f t="shared" si="49"/>
        <v>215.55555555555554</v>
      </c>
      <c r="N305" s="27">
        <f t="shared" si="47"/>
        <v>532.20035778175315</v>
      </c>
      <c r="O305" s="27">
        <f t="shared" si="48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5"/>
        <v>278.45637583892619</v>
      </c>
      <c r="K306" s="11">
        <f t="shared" si="42"/>
        <v>160.01562488796085</v>
      </c>
      <c r="L306" s="11">
        <f t="shared" si="43"/>
        <v>154.06605756959212</v>
      </c>
      <c r="M306" s="27">
        <f t="shared" si="49"/>
        <v>212.77777777777777</v>
      </c>
      <c r="N306" s="27">
        <f t="shared" si="47"/>
        <v>550.08944543828261</v>
      </c>
      <c r="O306" s="27">
        <f t="shared" si="48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5"/>
        <v>290.67114093959736</v>
      </c>
      <c r="K307" s="11">
        <f t="shared" si="42"/>
        <v>164.42126889098262</v>
      </c>
      <c r="L307" s="11">
        <f t="shared" si="43"/>
        <v>146.71023815235381</v>
      </c>
      <c r="M307" s="27">
        <f t="shared" si="49"/>
        <v>209.44444444444446</v>
      </c>
      <c r="N307" s="27">
        <f t="shared" si="47"/>
        <v>565.74239713774602</v>
      </c>
      <c r="O307" s="27">
        <f t="shared" si="48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5"/>
        <v>333.55704697986573</v>
      </c>
      <c r="K308" s="11">
        <f t="shared" si="42"/>
        <v>169.18487146924991</v>
      </c>
      <c r="L308" s="11">
        <f t="shared" si="43"/>
        <v>142.96817885579364</v>
      </c>
      <c r="M308" s="27">
        <f t="shared" si="49"/>
        <v>211.66666666666666</v>
      </c>
      <c r="N308" s="27">
        <f t="shared" si="47"/>
        <v>630.5903398926655</v>
      </c>
      <c r="O308" s="27">
        <f t="shared" si="48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50">(1+(B309-Q309)/Q309)*100</f>
        <v>316.77852348993287</v>
      </c>
      <c r="K309" s="11">
        <f t="shared" si="42"/>
        <v>171.91086369611966</v>
      </c>
      <c r="L309" s="11">
        <f t="shared" si="43"/>
        <v>146.71023815235381</v>
      </c>
      <c r="M309" s="27">
        <f t="shared" si="49"/>
        <v>225</v>
      </c>
      <c r="N309" s="27">
        <f t="shared" si="47"/>
        <v>626.11806797853319</v>
      </c>
      <c r="O309" s="27">
        <f t="shared" si="48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50"/>
        <v>315.90604026845637</v>
      </c>
      <c r="K310" s="11">
        <f t="shared" si="42"/>
        <v>182.37418560997665</v>
      </c>
      <c r="L310" s="11">
        <f t="shared" si="43"/>
        <v>154.1477115932839</v>
      </c>
      <c r="M310" s="27">
        <f t="shared" si="49"/>
        <v>239.44444444444443</v>
      </c>
      <c r="N310" s="27">
        <f t="shared" si="47"/>
        <v>603.7567084078712</v>
      </c>
      <c r="O310" s="27">
        <f t="shared" si="48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50"/>
        <v>314.8993288590604</v>
      </c>
      <c r="K311" s="11">
        <f t="shared" si="42"/>
        <v>182.59446781012772</v>
      </c>
      <c r="L311" s="11">
        <f t="shared" si="43"/>
        <v>154.1477115932839</v>
      </c>
      <c r="M311" s="27">
        <f t="shared" ref="M311:M338" si="51">(1+(E311-T310)/T310)*100</f>
        <v>292.77777777777783</v>
      </c>
      <c r="N311" s="27">
        <f t="shared" si="47"/>
        <v>603.7567084078712</v>
      </c>
      <c r="O311" s="27">
        <f t="shared" si="48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50"/>
        <v>314.8993288590604</v>
      </c>
      <c r="K312" s="11">
        <f t="shared" si="42"/>
        <v>180.74960438386236</v>
      </c>
      <c r="L312" s="11">
        <f t="shared" si="43"/>
        <v>154.12632839730355</v>
      </c>
      <c r="M312" s="27">
        <f t="shared" si="51"/>
        <v>357.77777777777777</v>
      </c>
      <c r="N312" s="27">
        <f t="shared" si="47"/>
        <v>541.14490161001788</v>
      </c>
      <c r="O312" s="27">
        <f t="shared" si="48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50"/>
        <v>311.94630872483219</v>
      </c>
      <c r="K313" s="11">
        <f t="shared" si="42"/>
        <v>182.73214418522215</v>
      </c>
      <c r="L313" s="11">
        <f t="shared" si="43"/>
        <v>156.26464799533795</v>
      </c>
      <c r="M313" s="27">
        <f t="shared" si="51"/>
        <v>310</v>
      </c>
      <c r="N313" s="27">
        <f t="shared" si="47"/>
        <v>545.6171735241503</v>
      </c>
      <c r="O313" s="27">
        <f t="shared" si="48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50"/>
        <v>311.744966442953</v>
      </c>
      <c r="K314" s="11">
        <f t="shared" si="42"/>
        <v>189.51170664411211</v>
      </c>
      <c r="L314" s="11">
        <f t="shared" si="43"/>
        <v>160.47882319320513</v>
      </c>
      <c r="M314" s="27">
        <f t="shared" si="51"/>
        <v>335.55555555555554</v>
      </c>
      <c r="N314" s="27">
        <f t="shared" si="47"/>
        <v>585.86762075134175</v>
      </c>
      <c r="O314" s="27">
        <f t="shared" si="48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50"/>
        <v>317.24832214765104</v>
      </c>
      <c r="K315" s="11">
        <f t="shared" si="42"/>
        <v>188.46536619339446</v>
      </c>
      <c r="L315" s="11">
        <f t="shared" si="43"/>
        <v>164.73407919329358</v>
      </c>
      <c r="M315" s="27">
        <f t="shared" si="51"/>
        <v>304.44444444444446</v>
      </c>
      <c r="N315" s="27">
        <f t="shared" si="47"/>
        <v>563.50626118067976</v>
      </c>
      <c r="O315" s="27">
        <f t="shared" si="48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50"/>
        <v>319.73154362416108</v>
      </c>
      <c r="K316" s="11">
        <f t="shared" si="42"/>
        <v>180.70041863806858</v>
      </c>
      <c r="L316" s="11">
        <f t="shared" si="43"/>
        <v>163.38693784653191</v>
      </c>
      <c r="M316" s="27">
        <f t="shared" si="51"/>
        <v>258.88888888888886</v>
      </c>
      <c r="N316" s="27">
        <f t="shared" si="47"/>
        <v>590.33989266547405</v>
      </c>
      <c r="O316" s="27">
        <f t="shared" si="48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50"/>
        <v>316.6442953020134</v>
      </c>
      <c r="K317" s="11">
        <f t="shared" si="42"/>
        <v>188.07987234313003</v>
      </c>
      <c r="L317" s="11">
        <f t="shared" si="43"/>
        <v>171.98298263063015</v>
      </c>
      <c r="M317" s="27">
        <f t="shared" si="51"/>
        <v>251.66666666666666</v>
      </c>
      <c r="N317" s="27">
        <f t="shared" si="47"/>
        <v>576.92307692307691</v>
      </c>
      <c r="O317" s="27">
        <f t="shared" si="48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50"/>
        <v>308.92617449664431</v>
      </c>
      <c r="K318" s="11">
        <f t="shared" si="42"/>
        <v>188.41029564335668</v>
      </c>
      <c r="L318" s="11">
        <f t="shared" si="43"/>
        <v>165.29004228878253</v>
      </c>
      <c r="M318" s="27">
        <f t="shared" si="51"/>
        <v>273.33333333333331</v>
      </c>
      <c r="N318" s="27">
        <f t="shared" si="47"/>
        <v>550.08944543828261</v>
      </c>
      <c r="O318" s="27">
        <f t="shared" si="48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50"/>
        <v>302.14765100671138</v>
      </c>
      <c r="K319" s="11">
        <f t="shared" si="42"/>
        <v>196.19787893412831</v>
      </c>
      <c r="L319" s="11">
        <f t="shared" si="43"/>
        <v>170.26789290052332</v>
      </c>
      <c r="M319" s="27">
        <f t="shared" si="51"/>
        <v>269.44444444444446</v>
      </c>
      <c r="N319" s="27">
        <f t="shared" si="47"/>
        <v>532.20035778175315</v>
      </c>
      <c r="O319" s="27">
        <f t="shared" si="48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50"/>
        <v>292.14765100671138</v>
      </c>
      <c r="K320" s="11">
        <f t="shared" si="42"/>
        <v>187.24891455299036</v>
      </c>
      <c r="L320" s="11">
        <f t="shared" si="43"/>
        <v>165.99125370445452</v>
      </c>
      <c r="M320" s="27">
        <f t="shared" si="51"/>
        <v>255.55555555555554</v>
      </c>
      <c r="N320" s="27">
        <f t="shared" si="47"/>
        <v>500.8944543828265</v>
      </c>
      <c r="O320" s="27">
        <f t="shared" si="48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50"/>
        <v>282.34899328859058</v>
      </c>
      <c r="K321" s="11">
        <f t="shared" si="42"/>
        <v>190.91110613050219</v>
      </c>
      <c r="L321" s="11">
        <f t="shared" si="43"/>
        <v>159.8328932621155</v>
      </c>
      <c r="M321" s="27">
        <f t="shared" si="51"/>
        <v>286.11111111111114</v>
      </c>
      <c r="N321" s="27">
        <f t="shared" si="47"/>
        <v>527.72808586762073</v>
      </c>
      <c r="O321" s="27">
        <f t="shared" si="48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50"/>
        <v>278.18791946308721</v>
      </c>
      <c r="K322" s="11">
        <f t="shared" si="42"/>
        <v>190.44300645518112</v>
      </c>
      <c r="L322" s="11">
        <f t="shared" si="43"/>
        <v>163.85293410642015</v>
      </c>
      <c r="M322" s="27">
        <f t="shared" si="51"/>
        <v>314.44444444444446</v>
      </c>
      <c r="N322" s="27">
        <f t="shared" si="47"/>
        <v>518.78354203935601</v>
      </c>
      <c r="O322" s="27">
        <f t="shared" si="48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6"/>
      <c r="I323" s="10">
        <v>39694</v>
      </c>
      <c r="J323" s="27">
        <f t="shared" si="50"/>
        <v>276.57718120805373</v>
      </c>
      <c r="K323" s="11">
        <f t="shared" si="42"/>
        <v>195.39360791141621</v>
      </c>
      <c r="L323" s="11">
        <f t="shared" si="43"/>
        <v>170.02091515985009</v>
      </c>
      <c r="M323" s="27">
        <f t="shared" si="51"/>
        <v>330.55555555555554</v>
      </c>
      <c r="N323" s="27">
        <f t="shared" si="47"/>
        <v>509.83899821109128</v>
      </c>
      <c r="O323" s="27">
        <f t="shared" si="48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6"/>
      <c r="I324" s="10">
        <v>39701</v>
      </c>
      <c r="J324" s="27">
        <f t="shared" si="50"/>
        <v>272.41610738255036</v>
      </c>
      <c r="K324" s="11">
        <f t="shared" si="42"/>
        <v>195.50374901149178</v>
      </c>
      <c r="L324" s="11">
        <f t="shared" si="43"/>
        <v>164.95309771250862</v>
      </c>
      <c r="M324" s="27">
        <f t="shared" si="51"/>
        <v>338.33333333333331</v>
      </c>
      <c r="N324" s="27">
        <f t="shared" si="47"/>
        <v>469.58855098389984</v>
      </c>
      <c r="O324" s="27">
        <f t="shared" si="48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6"/>
      <c r="I325" s="10">
        <v>39708</v>
      </c>
      <c r="J325" s="1">
        <f t="shared" si="50"/>
        <v>270</v>
      </c>
      <c r="K325" s="11">
        <f t="shared" si="42"/>
        <v>199.08333476394694</v>
      </c>
      <c r="L325" s="11">
        <f t="shared" si="43"/>
        <v>163.88393791349139</v>
      </c>
      <c r="M325" s="27">
        <f t="shared" si="51"/>
        <v>340</v>
      </c>
      <c r="N325" s="27">
        <f t="shared" ref="N325:N356" si="52">(1+(F325-U324)/U324)*100</f>
        <v>406.97674418604652</v>
      </c>
      <c r="O325" s="27">
        <f t="shared" ref="O325:O356" si="53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6"/>
      <c r="I326" s="10">
        <v>39715</v>
      </c>
      <c r="J326" s="27">
        <f t="shared" si="50"/>
        <v>265.63758389261744</v>
      </c>
      <c r="K326" s="11">
        <f t="shared" si="42"/>
        <v>190.43725840801673</v>
      </c>
      <c r="L326" s="11">
        <f t="shared" si="43"/>
        <v>159.24378438575678</v>
      </c>
      <c r="M326" s="27">
        <f t="shared" si="51"/>
        <v>331.11111111111109</v>
      </c>
      <c r="N326" s="27">
        <f t="shared" si="52"/>
        <v>406.97674418604652</v>
      </c>
      <c r="O326" s="27">
        <f t="shared" si="53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6"/>
      <c r="I327" s="10">
        <v>39722</v>
      </c>
      <c r="J327" s="27">
        <f t="shared" si="50"/>
        <v>265.70469798657717</v>
      </c>
      <c r="K327" s="11">
        <f t="shared" si="42"/>
        <v>189.87078206047855</v>
      </c>
      <c r="L327" s="11">
        <f t="shared" si="43"/>
        <v>167.25318465940907</v>
      </c>
      <c r="M327" s="27">
        <f t="shared" si="51"/>
        <v>347.22222222222223</v>
      </c>
      <c r="N327" s="27">
        <f t="shared" si="52"/>
        <v>290.69767441860461</v>
      </c>
      <c r="O327" s="27">
        <f t="shared" si="53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6"/>
      <c r="I328" s="10">
        <v>39729</v>
      </c>
      <c r="J328" s="27">
        <f t="shared" si="50"/>
        <v>260.06711409395973</v>
      </c>
      <c r="K328" s="11">
        <f t="shared" si="42"/>
        <v>190.03599371059187</v>
      </c>
      <c r="L328" s="11">
        <f t="shared" si="43"/>
        <v>167.70223177499628</v>
      </c>
      <c r="M328" s="27">
        <f t="shared" si="51"/>
        <v>416.66666666666663</v>
      </c>
      <c r="N328" s="27">
        <f t="shared" si="52"/>
        <v>250.44722719141325</v>
      </c>
      <c r="O328" s="27">
        <f t="shared" si="53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6"/>
      <c r="I329" s="10">
        <v>39736</v>
      </c>
      <c r="J329" s="27">
        <f t="shared" si="50"/>
        <v>245.57046979865768</v>
      </c>
      <c r="K329" s="11">
        <f t="shared" ref="K329:K392" si="54">(C329+Y329)/R329*100</f>
        <v>188.49401830953428</v>
      </c>
      <c r="L329" s="11">
        <f t="shared" ref="L329:L392" si="55">(D329+Z329)/S329*100</f>
        <v>171.16630952381198</v>
      </c>
      <c r="M329" s="27">
        <f t="shared" si="51"/>
        <v>366.66666666666663</v>
      </c>
      <c r="N329" s="27">
        <f t="shared" si="52"/>
        <v>214.6690518783542</v>
      </c>
      <c r="O329" s="27">
        <f t="shared" si="53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6"/>
      <c r="I330" s="10">
        <v>39743</v>
      </c>
      <c r="J330" s="27">
        <f t="shared" si="50"/>
        <v>233.69127516778522</v>
      </c>
      <c r="K330" s="11">
        <f t="shared" si="54"/>
        <v>189.07225908493086</v>
      </c>
      <c r="L330" s="11">
        <f t="shared" si="55"/>
        <v>168.57894281019037</v>
      </c>
      <c r="M330" s="27">
        <f t="shared" si="51"/>
        <v>317.22222222222223</v>
      </c>
      <c r="N330" s="27">
        <f t="shared" si="52"/>
        <v>169.94633273703042</v>
      </c>
      <c r="O330" s="27">
        <f t="shared" si="53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6"/>
      <c r="I331" s="10">
        <v>39750</v>
      </c>
      <c r="J331" s="27">
        <f t="shared" si="50"/>
        <v>220.67114093959731</v>
      </c>
      <c r="K331" s="11">
        <f t="shared" si="54"/>
        <v>187.08971928357107</v>
      </c>
      <c r="L331" s="11">
        <f t="shared" si="55"/>
        <v>166.31232403627391</v>
      </c>
      <c r="M331" s="27">
        <f t="shared" si="51"/>
        <v>385.55555555555554</v>
      </c>
      <c r="N331" s="27">
        <f t="shared" si="52"/>
        <v>138.64042933810376</v>
      </c>
      <c r="O331" s="27">
        <f t="shared" si="53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6"/>
      <c r="I332" s="10">
        <v>39757</v>
      </c>
      <c r="J332" s="27">
        <f t="shared" si="50"/>
        <v>207.24832214765101</v>
      </c>
      <c r="K332" s="11">
        <f t="shared" si="54"/>
        <v>185.61837774687143</v>
      </c>
      <c r="L332" s="11">
        <f t="shared" si="55"/>
        <v>164.25084714400236</v>
      </c>
      <c r="M332" s="27">
        <f t="shared" si="51"/>
        <v>583.33333333333326</v>
      </c>
      <c r="N332" s="27">
        <f t="shared" si="52"/>
        <v>129.695885509839</v>
      </c>
      <c r="O332" s="27">
        <f t="shared" si="53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6"/>
      <c r="I333" s="10">
        <v>39764</v>
      </c>
      <c r="J333" s="27">
        <f t="shared" si="50"/>
        <v>197.58389261744966</v>
      </c>
      <c r="K333" s="11">
        <f t="shared" si="54"/>
        <v>185.78358939698475</v>
      </c>
      <c r="L333" s="11">
        <f t="shared" si="55"/>
        <v>166.13256839027264</v>
      </c>
      <c r="M333" s="27">
        <f t="shared" si="51"/>
        <v>305.55555555555554</v>
      </c>
      <c r="N333" s="27">
        <f t="shared" si="52"/>
        <v>129.695885509839</v>
      </c>
      <c r="O333" s="27">
        <f t="shared" si="53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6"/>
      <c r="I334" s="10">
        <v>39771</v>
      </c>
      <c r="J334" s="27">
        <f t="shared" si="50"/>
        <v>188.52348993288589</v>
      </c>
      <c r="K334" s="11">
        <f t="shared" si="54"/>
        <v>179.64322306777316</v>
      </c>
      <c r="L334" s="11">
        <f t="shared" si="55"/>
        <v>161.66348043038076</v>
      </c>
      <c r="M334" s="27">
        <f t="shared" si="51"/>
        <v>266.11111111111114</v>
      </c>
      <c r="N334" s="27">
        <f t="shared" si="52"/>
        <v>129.695885509839</v>
      </c>
      <c r="O334" s="27">
        <f t="shared" si="53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6"/>
      <c r="I335" s="10">
        <v>39778</v>
      </c>
      <c r="J335" s="27">
        <f t="shared" si="50"/>
        <v>178.79194630872485</v>
      </c>
      <c r="K335" s="11">
        <f t="shared" si="54"/>
        <v>184.10393762083274</v>
      </c>
      <c r="L335" s="11">
        <f t="shared" si="55"/>
        <v>150.97188244020882</v>
      </c>
      <c r="M335" s="27">
        <f t="shared" si="51"/>
        <v>219.44444444444446</v>
      </c>
      <c r="N335" s="27">
        <f t="shared" si="52"/>
        <v>122.98747763864044</v>
      </c>
      <c r="O335" s="27">
        <f t="shared" si="53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6"/>
      <c r="I336" s="10">
        <v>39785</v>
      </c>
      <c r="J336" s="27">
        <f t="shared" si="50"/>
        <v>175.50335570469801</v>
      </c>
      <c r="K336" s="11">
        <f t="shared" si="54"/>
        <v>180.4602961690679</v>
      </c>
      <c r="L336" s="11">
        <f t="shared" si="55"/>
        <v>156.71311287329124</v>
      </c>
      <c r="M336" s="27">
        <f t="shared" si="51"/>
        <v>222.22222222222223</v>
      </c>
      <c r="N336" s="27">
        <f t="shared" si="52"/>
        <v>111.80679785330949</v>
      </c>
      <c r="O336" s="27">
        <f t="shared" si="53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6"/>
      <c r="I337" s="10">
        <v>39792</v>
      </c>
      <c r="J337" s="27">
        <f t="shared" ref="J337:J368" si="56">(1+(B337-Q337)/Q337)*100</f>
        <v>168.79194630872485</v>
      </c>
      <c r="K337" s="11">
        <f t="shared" si="54"/>
        <v>178.50529164272697</v>
      </c>
      <c r="L337" s="11">
        <f t="shared" si="55"/>
        <v>157.78227267230844</v>
      </c>
      <c r="M337" s="27">
        <f t="shared" si="51"/>
        <v>277.77777777777777</v>
      </c>
      <c r="N337" s="27">
        <f t="shared" si="52"/>
        <v>102.86225402504472</v>
      </c>
      <c r="O337" s="27">
        <f t="shared" si="53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6"/>
      <c r="I338" s="10">
        <v>39799</v>
      </c>
      <c r="J338" s="27">
        <f t="shared" si="56"/>
        <v>162.41610738255034</v>
      </c>
      <c r="K338" s="11">
        <f t="shared" si="54"/>
        <v>177.32127481691489</v>
      </c>
      <c r="L338" s="11">
        <f t="shared" si="55"/>
        <v>154.12574615966963</v>
      </c>
      <c r="M338" s="27">
        <f t="shared" si="51"/>
        <v>261.11111111111114</v>
      </c>
      <c r="N338" s="27">
        <f t="shared" si="52"/>
        <v>102.86225402504472</v>
      </c>
      <c r="O338" s="27">
        <f t="shared" si="53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6"/>
      <c r="I339" s="10">
        <v>39806</v>
      </c>
      <c r="J339" s="27">
        <f t="shared" si="56"/>
        <v>159.06040268456377</v>
      </c>
      <c r="K339" s="11">
        <f t="shared" si="54"/>
        <v>182.33269487035216</v>
      </c>
      <c r="L339" s="11">
        <f t="shared" si="55"/>
        <v>158.85143247132564</v>
      </c>
      <c r="M339" s="27">
        <f t="shared" ref="M339:M368" si="57">(1+(E339-T338)/T338)*100</f>
        <v>288.33333333333331</v>
      </c>
      <c r="N339" s="27">
        <f t="shared" si="52"/>
        <v>107.3345259391771</v>
      </c>
      <c r="O339" s="27">
        <f t="shared" si="53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6"/>
      <c r="I340" s="10">
        <v>39813</v>
      </c>
      <c r="J340" s="27">
        <f t="shared" si="56"/>
        <v>156.37583892617451</v>
      </c>
      <c r="K340" s="11">
        <f t="shared" si="54"/>
        <v>182.30515959533327</v>
      </c>
      <c r="L340" s="11">
        <f t="shared" si="55"/>
        <v>166.33555106444601</v>
      </c>
      <c r="M340" s="27">
        <f t="shared" si="57"/>
        <v>245.00000000000003</v>
      </c>
      <c r="N340" s="27">
        <f t="shared" si="52"/>
        <v>107.3345259391771</v>
      </c>
      <c r="O340" s="27">
        <f t="shared" si="53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6"/>
        <v>153.69127516778525</v>
      </c>
      <c r="K341" s="11">
        <f t="shared" si="54"/>
        <v>168.76312828521802</v>
      </c>
      <c r="L341" s="11">
        <f t="shared" si="55"/>
        <v>167.62214998859318</v>
      </c>
      <c r="M341" s="27">
        <f t="shared" si="57"/>
        <v>206.11111111111109</v>
      </c>
      <c r="N341" s="27">
        <f t="shared" si="52"/>
        <v>102.86225402504472</v>
      </c>
      <c r="O341" s="27">
        <f t="shared" si="53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6"/>
        <v>155.03355704697987</v>
      </c>
      <c r="K342" s="11">
        <f t="shared" si="54"/>
        <v>171.51665578710663</v>
      </c>
      <c r="L342" s="11">
        <f t="shared" si="55"/>
        <v>163.77317471213127</v>
      </c>
      <c r="M342" s="27">
        <f t="shared" si="57"/>
        <v>305.55555555555554</v>
      </c>
      <c r="N342" s="27">
        <f t="shared" si="52"/>
        <v>120.75134168157425</v>
      </c>
      <c r="O342" s="27">
        <f t="shared" si="53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6"/>
        <v>154.36241610738253</v>
      </c>
      <c r="K343" s="11">
        <f t="shared" si="54"/>
        <v>170.60799171148338</v>
      </c>
      <c r="L343" s="11">
        <f t="shared" si="55"/>
        <v>170.67994701378234</v>
      </c>
      <c r="M343" s="27">
        <f t="shared" si="57"/>
        <v>312.77777777777777</v>
      </c>
      <c r="N343" s="27">
        <f t="shared" si="52"/>
        <v>111.80679785330949</v>
      </c>
      <c r="O343" s="27">
        <f t="shared" si="53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6"/>
        <v>152.21476510067112</v>
      </c>
      <c r="K344" s="11">
        <f t="shared" si="54"/>
        <v>170.96595028672888</v>
      </c>
      <c r="L344" s="11">
        <f t="shared" si="55"/>
        <v>167.62214998859318</v>
      </c>
      <c r="M344" s="27">
        <f t="shared" si="57"/>
        <v>311.11111111111114</v>
      </c>
      <c r="N344" s="27">
        <f t="shared" si="52"/>
        <v>118.51520572450805</v>
      </c>
      <c r="O344" s="27">
        <f t="shared" si="53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6"/>
        <v>150.73825503355704</v>
      </c>
      <c r="K345" s="11">
        <f t="shared" si="54"/>
        <v>170.0598768358673</v>
      </c>
      <c r="L345" s="11">
        <f t="shared" si="55"/>
        <v>158.74298662263143</v>
      </c>
      <c r="M345" s="27">
        <f t="shared" si="57"/>
        <v>253.33333333333331</v>
      </c>
      <c r="N345" s="27">
        <f t="shared" si="52"/>
        <v>134.16815742397139</v>
      </c>
      <c r="O345" s="27">
        <f t="shared" si="53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6"/>
        <v>148.92617449664428</v>
      </c>
      <c r="K346" s="11">
        <f t="shared" si="54"/>
        <v>170.50044123616948</v>
      </c>
      <c r="L346" s="11">
        <f t="shared" si="55"/>
        <v>161.62971807997789</v>
      </c>
      <c r="M346" s="27">
        <f t="shared" si="57"/>
        <v>197.77777777777777</v>
      </c>
      <c r="N346" s="27">
        <f t="shared" si="52"/>
        <v>172.1824686940966</v>
      </c>
      <c r="O346" s="27">
        <f t="shared" si="53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6"/>
        <v>146.71140939597316</v>
      </c>
      <c r="K347" s="11">
        <f t="shared" si="54"/>
        <v>170.72072343632055</v>
      </c>
      <c r="L347" s="11">
        <f t="shared" si="55"/>
        <v>159.14926734625797</v>
      </c>
      <c r="M347" s="27">
        <f t="shared" si="57"/>
        <v>172.22222222222223</v>
      </c>
      <c r="N347" s="27">
        <f t="shared" si="52"/>
        <v>178.89087656529517</v>
      </c>
      <c r="O347" s="27">
        <f t="shared" si="53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6"/>
        <v>142.95302013422818</v>
      </c>
      <c r="K348" s="11">
        <f t="shared" si="54"/>
        <v>170.6656528862828</v>
      </c>
      <c r="L348" s="11">
        <f t="shared" si="55"/>
        <v>162.39951313527027</v>
      </c>
      <c r="M348" s="27">
        <f t="shared" si="57"/>
        <v>169.44444444444443</v>
      </c>
      <c r="N348" s="27">
        <f t="shared" si="52"/>
        <v>174.41860465116278</v>
      </c>
      <c r="O348" s="27">
        <f t="shared" si="53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6"/>
        <v>140.06711409395973</v>
      </c>
      <c r="K349" s="11">
        <f t="shared" si="54"/>
        <v>166.44268788125086</v>
      </c>
      <c r="L349" s="11">
        <f t="shared" si="55"/>
        <v>161.20357035011719</v>
      </c>
      <c r="M349" s="27">
        <f t="shared" si="57"/>
        <v>156.66666666666666</v>
      </c>
      <c r="N349" s="27">
        <f t="shared" si="52"/>
        <v>176.65474060822899</v>
      </c>
      <c r="O349" s="27">
        <f t="shared" si="53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6"/>
        <v>137.24832214765098</v>
      </c>
      <c r="K350" s="11">
        <f t="shared" si="54"/>
        <v>166.5528289813264</v>
      </c>
      <c r="L350" s="11">
        <f t="shared" si="55"/>
        <v>159.77089621943415</v>
      </c>
      <c r="M350" s="27">
        <f t="shared" si="57"/>
        <v>148.33333333333334</v>
      </c>
      <c r="N350" s="27">
        <f t="shared" si="52"/>
        <v>192.30769230769232</v>
      </c>
      <c r="O350" s="27">
        <f t="shared" si="53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6"/>
        <v>135.36912751677852</v>
      </c>
      <c r="K351" s="11">
        <f t="shared" si="54"/>
        <v>167.32381668185522</v>
      </c>
      <c r="L351" s="11">
        <f t="shared" si="55"/>
        <v>161.24633674207786</v>
      </c>
      <c r="M351" s="27">
        <f t="shared" si="57"/>
        <v>147.22222222222223</v>
      </c>
      <c r="N351" s="27">
        <f t="shared" si="52"/>
        <v>205.72450805008947</v>
      </c>
      <c r="O351" s="27">
        <f t="shared" si="53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6"/>
        <v>140.26845637583892</v>
      </c>
      <c r="K352" s="11">
        <f t="shared" si="54"/>
        <v>166.16733513106198</v>
      </c>
      <c r="L352" s="11">
        <f t="shared" si="55"/>
        <v>161.37463591795992</v>
      </c>
      <c r="M352" s="27">
        <f t="shared" si="57"/>
        <v>150.55555555555554</v>
      </c>
      <c r="N352" s="27">
        <f t="shared" si="52"/>
        <v>178.89087656529517</v>
      </c>
      <c r="O352" s="27">
        <f t="shared" si="53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6"/>
        <v>149.06040268456374</v>
      </c>
      <c r="K353" s="11">
        <f t="shared" si="54"/>
        <v>164.06385477880085</v>
      </c>
      <c r="L353" s="11">
        <f t="shared" si="55"/>
        <v>152.5478575494314</v>
      </c>
      <c r="M353" s="27">
        <f t="shared" si="57"/>
        <v>138.33333333333334</v>
      </c>
      <c r="N353" s="27">
        <f t="shared" si="52"/>
        <v>178.89087656529517</v>
      </c>
      <c r="O353" s="27">
        <f t="shared" si="53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6"/>
        <v>149.53020134228188</v>
      </c>
      <c r="K354" s="11">
        <f t="shared" si="54"/>
        <v>164.69716610423521</v>
      </c>
      <c r="L354" s="11">
        <f t="shared" si="55"/>
        <v>151.64976331825696</v>
      </c>
      <c r="M354" s="27">
        <f t="shared" si="57"/>
        <v>140.55555555555554</v>
      </c>
      <c r="N354" s="27">
        <f t="shared" si="52"/>
        <v>167.71019677996421</v>
      </c>
      <c r="O354" s="27">
        <f t="shared" si="53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6"/>
        <v>149.59731543624162</v>
      </c>
      <c r="K355" s="11">
        <f t="shared" si="54"/>
        <v>165.24787160461295</v>
      </c>
      <c r="L355" s="11">
        <f t="shared" si="55"/>
        <v>156.9955623133429</v>
      </c>
      <c r="M355" s="27">
        <f t="shared" si="57"/>
        <v>146.11111111111111</v>
      </c>
      <c r="N355" s="27">
        <f t="shared" si="52"/>
        <v>174.41860465116278</v>
      </c>
      <c r="O355" s="27">
        <f t="shared" si="53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6"/>
        <v>149.06040268456374</v>
      </c>
      <c r="K356" s="11">
        <f t="shared" si="54"/>
        <v>164.03631950378195</v>
      </c>
      <c r="L356" s="11">
        <f t="shared" si="55"/>
        <v>150.9441178509056</v>
      </c>
      <c r="M356" s="27">
        <f t="shared" si="57"/>
        <v>143.88888888888889</v>
      </c>
      <c r="N356" s="27">
        <f t="shared" si="52"/>
        <v>192.30769230769232</v>
      </c>
      <c r="O356" s="27">
        <f t="shared" si="53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6"/>
        <v>147.71812080536915</v>
      </c>
      <c r="K357" s="11">
        <f t="shared" si="54"/>
        <v>164.00878422876306</v>
      </c>
      <c r="L357" s="11">
        <f t="shared" si="55"/>
        <v>149.8749580518884</v>
      </c>
      <c r="M357" s="27">
        <f t="shared" si="57"/>
        <v>138.33333333333334</v>
      </c>
      <c r="N357" s="27">
        <f t="shared" ref="N357:N368" si="58">(1+(F357-U356)/U356)*100</f>
        <v>187.83542039355993</v>
      </c>
      <c r="O357" s="27">
        <f t="shared" ref="O357:O368" si="59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6"/>
        <v>146.6442953020134</v>
      </c>
      <c r="K358" s="11">
        <f t="shared" si="54"/>
        <v>161.13853979968803</v>
      </c>
      <c r="L358" s="11">
        <f t="shared" si="55"/>
        <v>153.53773366239525</v>
      </c>
      <c r="M358" s="27">
        <f t="shared" si="57"/>
        <v>138.33333333333334</v>
      </c>
      <c r="N358" s="27">
        <f t="shared" si="58"/>
        <v>178.89087656529517</v>
      </c>
      <c r="O358" s="27">
        <f t="shared" si="59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6"/>
        <v>148.72483221476512</v>
      </c>
      <c r="K359" s="11">
        <f t="shared" si="54"/>
        <v>161.9921333252735</v>
      </c>
      <c r="L359" s="11">
        <f t="shared" si="55"/>
        <v>154.37167830562865</v>
      </c>
      <c r="M359" s="27">
        <f t="shared" si="57"/>
        <v>151.66666666666666</v>
      </c>
      <c r="N359" s="27">
        <f t="shared" si="58"/>
        <v>194.5438282647585</v>
      </c>
      <c r="O359" s="27">
        <f t="shared" si="59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6"/>
        <v>149.73154362416108</v>
      </c>
      <c r="K360" s="11">
        <f t="shared" si="54"/>
        <v>163.50657345131225</v>
      </c>
      <c r="L360" s="11">
        <f t="shared" si="55"/>
        <v>156.21063315993823</v>
      </c>
      <c r="M360" s="27">
        <f t="shared" si="57"/>
        <v>151.11111111111111</v>
      </c>
      <c r="N360" s="27">
        <f t="shared" si="58"/>
        <v>214.6690518783542</v>
      </c>
      <c r="O360" s="27">
        <f t="shared" si="59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6"/>
        <v>152.61744966442953</v>
      </c>
      <c r="K361" s="11">
        <f t="shared" si="54"/>
        <v>162.98340322595342</v>
      </c>
      <c r="L361" s="11">
        <f t="shared" si="55"/>
        <v>154.07231356190385</v>
      </c>
      <c r="M361" s="27">
        <f t="shared" si="57"/>
        <v>150.55555555555554</v>
      </c>
      <c r="N361" s="27">
        <f t="shared" si="58"/>
        <v>221.37745974955277</v>
      </c>
      <c r="O361" s="27">
        <f t="shared" si="59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6"/>
        <v>157.85234899328859</v>
      </c>
      <c r="K362" s="11">
        <f t="shared" si="54"/>
        <v>164.11486363091697</v>
      </c>
      <c r="L362" s="11">
        <f t="shared" si="55"/>
        <v>161.42702820365955</v>
      </c>
      <c r="M362" s="27">
        <f t="shared" si="57"/>
        <v>146.66666666666669</v>
      </c>
      <c r="N362" s="27">
        <f t="shared" si="58"/>
        <v>241.50268336314849</v>
      </c>
      <c r="O362" s="27">
        <f t="shared" si="59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6"/>
        <v>167.65100671140942</v>
      </c>
      <c r="K363" s="11">
        <f t="shared" si="54"/>
        <v>163.86704615574698</v>
      </c>
      <c r="L363" s="11">
        <f t="shared" si="55"/>
        <v>158.79689509807727</v>
      </c>
      <c r="M363" s="27">
        <f t="shared" si="57"/>
        <v>148.88888888888889</v>
      </c>
      <c r="N363" s="27">
        <f t="shared" si="58"/>
        <v>252.6833631484794</v>
      </c>
      <c r="O363" s="27">
        <f t="shared" si="59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6"/>
        <v>172.61744966442953</v>
      </c>
      <c r="K364" s="11">
        <f t="shared" si="54"/>
        <v>162.62795877989711</v>
      </c>
      <c r="L364" s="11">
        <f t="shared" si="55"/>
        <v>154.86238703769399</v>
      </c>
      <c r="M364" s="27">
        <f t="shared" si="57"/>
        <v>161.11111111111111</v>
      </c>
      <c r="N364" s="27">
        <f t="shared" si="58"/>
        <v>252.6833631484794</v>
      </c>
      <c r="O364" s="27">
        <f t="shared" si="59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6"/>
        <v>175.57046979865771</v>
      </c>
      <c r="K365" s="11">
        <f t="shared" si="54"/>
        <v>164.41775165612472</v>
      </c>
      <c r="L365" s="11">
        <f t="shared" si="55"/>
        <v>165.70366739972832</v>
      </c>
      <c r="M365" s="27">
        <f t="shared" si="57"/>
        <v>153.33333333333331</v>
      </c>
      <c r="N365" s="27">
        <f t="shared" si="58"/>
        <v>277.28085867620752</v>
      </c>
      <c r="O365" s="27">
        <f t="shared" si="59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6"/>
        <v>175.03355704697987</v>
      </c>
      <c r="K366" s="11">
        <f t="shared" si="54"/>
        <v>168.84559823141686</v>
      </c>
      <c r="L366" s="11">
        <f t="shared" si="55"/>
        <v>163.71197249066881</v>
      </c>
      <c r="M366" s="27">
        <f t="shared" si="57"/>
        <v>146.11111111111111</v>
      </c>
      <c r="N366" s="27">
        <f t="shared" si="58"/>
        <v>263.86404293381037</v>
      </c>
      <c r="O366" s="27">
        <f t="shared" si="59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6"/>
        <v>174.09395973154363</v>
      </c>
      <c r="K367" s="11">
        <f t="shared" si="54"/>
        <v>169.67165648198346</v>
      </c>
      <c r="L367" s="11">
        <f t="shared" si="55"/>
        <v>166.66285353595629</v>
      </c>
      <c r="M367" s="27">
        <f t="shared" si="57"/>
        <v>138.33333333333334</v>
      </c>
      <c r="N367" s="27">
        <f t="shared" si="58"/>
        <v>268.33631484794279</v>
      </c>
      <c r="O367" s="27">
        <f t="shared" si="59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6"/>
        <v>170.60402684563755</v>
      </c>
      <c r="K368" s="11">
        <f t="shared" si="54"/>
        <v>168.90066878145464</v>
      </c>
      <c r="L368" s="11">
        <f t="shared" si="55"/>
        <v>165.4440113650767</v>
      </c>
      <c r="M368" s="27">
        <f t="shared" si="57"/>
        <v>150</v>
      </c>
      <c r="N368" s="27">
        <f t="shared" si="58"/>
        <v>245.97495527728083</v>
      </c>
      <c r="O368" s="27">
        <f t="shared" si="59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60">(1+(B369-Q369)/Q369)*100</f>
        <v>167.78523489932886</v>
      </c>
      <c r="K369" s="11">
        <f t="shared" si="54"/>
        <v>169.61658593194568</v>
      </c>
      <c r="L369" s="11">
        <f t="shared" si="55"/>
        <v>176.52050688289481</v>
      </c>
      <c r="M369" s="27">
        <f t="shared" ref="M369" si="61">(1+(E369-T368)/T368)*100</f>
        <v>165.55555555555554</v>
      </c>
      <c r="N369" s="27">
        <f t="shared" ref="N369" si="62">(1+(F369-U368)/U368)*100</f>
        <v>268.33631484794279</v>
      </c>
      <c r="O369" s="27">
        <f t="shared" ref="O369" si="63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4">(1+(B370-Q370)/Q370)*100</f>
        <v>169.79865771812081</v>
      </c>
      <c r="K370" s="11">
        <f t="shared" si="54"/>
        <v>170.05715033224786</v>
      </c>
      <c r="L370" s="11">
        <f t="shared" si="55"/>
        <v>171.3457734556516</v>
      </c>
      <c r="M370" s="27">
        <f t="shared" ref="M370:M388" si="65">(1+(E370-T369)/T369)*100</f>
        <v>160</v>
      </c>
      <c r="N370" s="27">
        <f t="shared" ref="N370:N388" si="66">(1+(F370-U369)/U369)*100</f>
        <v>286.2254025044723</v>
      </c>
      <c r="O370" s="27">
        <f t="shared" ref="O370:O388" si="67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7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4"/>
        <v>171.14093959731542</v>
      </c>
      <c r="K371" s="11">
        <f t="shared" si="54"/>
        <v>171.26370825117542</v>
      </c>
      <c r="L371" s="11">
        <f t="shared" si="55"/>
        <v>176.76512979385762</v>
      </c>
      <c r="M371" s="27">
        <f t="shared" si="65"/>
        <v>153.33333333333331</v>
      </c>
      <c r="N371" s="27">
        <f t="shared" si="66"/>
        <v>277.28085867620752</v>
      </c>
      <c r="O371" s="27">
        <f t="shared" si="67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4"/>
        <v>176.17449664429529</v>
      </c>
      <c r="K372" s="11">
        <f t="shared" si="54"/>
        <v>169.33623899985338</v>
      </c>
      <c r="L372" s="11">
        <f t="shared" si="55"/>
        <v>172.83062173347435</v>
      </c>
      <c r="M372" s="27">
        <f t="shared" si="65"/>
        <v>155.55555555555557</v>
      </c>
      <c r="N372" s="27">
        <f t="shared" si="66"/>
        <v>254.91949910554564</v>
      </c>
      <c r="O372" s="27">
        <f t="shared" si="67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4"/>
        <v>177.98657718120805</v>
      </c>
      <c r="K373" s="11">
        <f t="shared" si="54"/>
        <v>170.63039692574102</v>
      </c>
      <c r="L373" s="11">
        <f t="shared" si="55"/>
        <v>175.05447411543011</v>
      </c>
      <c r="M373" s="27">
        <f t="shared" si="65"/>
        <v>178.88888888888889</v>
      </c>
      <c r="N373" s="27">
        <f t="shared" si="66"/>
        <v>250.44722719141325</v>
      </c>
      <c r="O373" s="27">
        <f t="shared" si="67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4"/>
        <v>179.06040268456377</v>
      </c>
      <c r="K374" s="11">
        <f t="shared" si="54"/>
        <v>172.77814837721414</v>
      </c>
      <c r="L374" s="11">
        <f t="shared" si="55"/>
        <v>168.38291696956281</v>
      </c>
      <c r="M374" s="27">
        <f t="shared" si="65"/>
        <v>188.88888888888889</v>
      </c>
      <c r="N374" s="27">
        <f t="shared" si="66"/>
        <v>237.03041144901613</v>
      </c>
      <c r="O374" s="27">
        <f t="shared" si="67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4"/>
        <v>179.46308724832215</v>
      </c>
      <c r="K375" s="11">
        <f t="shared" si="54"/>
        <v>172.53891156643724</v>
      </c>
      <c r="L375" s="11">
        <f t="shared" si="55"/>
        <v>171.00977530804457</v>
      </c>
      <c r="M375" s="27">
        <f t="shared" si="65"/>
        <v>197.22222222222223</v>
      </c>
      <c r="N375" s="27">
        <f t="shared" si="66"/>
        <v>232.55813953488374</v>
      </c>
      <c r="O375" s="27">
        <f t="shared" si="67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4"/>
        <v>177.65100671140939</v>
      </c>
      <c r="K376" s="11">
        <f t="shared" si="54"/>
        <v>172.86933486666388</v>
      </c>
      <c r="L376" s="11">
        <f t="shared" si="55"/>
        <v>174.58076903676198</v>
      </c>
      <c r="M376" s="27">
        <f t="shared" si="65"/>
        <v>186.66666666666666</v>
      </c>
      <c r="N376" s="27">
        <f t="shared" si="66"/>
        <v>254.91949910554564</v>
      </c>
      <c r="O376" s="27">
        <f t="shared" si="67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4"/>
        <v>176.77852348993289</v>
      </c>
      <c r="K377" s="11">
        <f t="shared" si="54"/>
        <v>172.26355881624838</v>
      </c>
      <c r="L377" s="11">
        <f t="shared" si="55"/>
        <v>172.87011335833446</v>
      </c>
      <c r="M377" s="27">
        <f t="shared" si="65"/>
        <v>186.11111111111111</v>
      </c>
      <c r="N377" s="27">
        <f t="shared" si="66"/>
        <v>257.15563506261179</v>
      </c>
      <c r="O377" s="27">
        <f t="shared" si="67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4"/>
        <v>175.9731543624161</v>
      </c>
      <c r="K378" s="11">
        <f t="shared" si="54"/>
        <v>180.41400022183865</v>
      </c>
      <c r="L378" s="11">
        <f t="shared" si="55"/>
        <v>172.99841253421653</v>
      </c>
      <c r="M378" s="27">
        <f t="shared" si="65"/>
        <v>216.11111111111114</v>
      </c>
      <c r="N378" s="27">
        <f t="shared" si="66"/>
        <v>259.391771019678</v>
      </c>
      <c r="O378" s="27">
        <f t="shared" si="67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4"/>
        <v>174.56375838926175</v>
      </c>
      <c r="K379" s="11">
        <f t="shared" si="54"/>
        <v>179.25751867104543</v>
      </c>
      <c r="L379" s="11">
        <f t="shared" si="55"/>
        <v>194.33884212259974</v>
      </c>
      <c r="M379" s="27">
        <f t="shared" si="65"/>
        <v>248.88888888888889</v>
      </c>
      <c r="N379" s="27">
        <f t="shared" si="66"/>
        <v>250.44722719141325</v>
      </c>
      <c r="O379" s="27">
        <f t="shared" si="67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4"/>
        <v>173.28859060402684</v>
      </c>
      <c r="K380" s="11">
        <f t="shared" si="54"/>
        <v>180.15770247366675</v>
      </c>
      <c r="L380" s="11">
        <f t="shared" si="55"/>
        <v>194.54567395287003</v>
      </c>
      <c r="M380" s="27">
        <f t="shared" si="65"/>
        <v>259.44444444444446</v>
      </c>
      <c r="N380" s="27">
        <f t="shared" si="66"/>
        <v>250.44722719141325</v>
      </c>
      <c r="O380" s="27">
        <f t="shared" si="67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4"/>
        <v>174.49664429530202</v>
      </c>
      <c r="K381" s="11">
        <f t="shared" si="54"/>
        <v>177.37663969675927</v>
      </c>
      <c r="L381" s="11">
        <f t="shared" si="55"/>
        <v>197.32548943031475</v>
      </c>
      <c r="M381" s="27">
        <f t="shared" si="65"/>
        <v>237.22222222222223</v>
      </c>
      <c r="N381" s="27">
        <f t="shared" si="66"/>
        <v>261.62790697674421</v>
      </c>
      <c r="O381" s="27">
        <f t="shared" si="67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4"/>
        <v>181.54362416107384</v>
      </c>
      <c r="K382" s="11">
        <f t="shared" si="54"/>
        <v>174.62311219487069</v>
      </c>
      <c r="L382" s="11">
        <f t="shared" si="55"/>
        <v>205.15173915912061</v>
      </c>
      <c r="M382" s="27">
        <f t="shared" si="65"/>
        <v>248.33333333333334</v>
      </c>
      <c r="N382" s="27">
        <f t="shared" si="66"/>
        <v>263.86404293381037</v>
      </c>
      <c r="O382" s="27">
        <f t="shared" si="67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4"/>
        <v>187.98657718120805</v>
      </c>
      <c r="K383" s="11">
        <f t="shared" si="54"/>
        <v>176.22015814596605</v>
      </c>
      <c r="L383" s="11">
        <f t="shared" si="55"/>
        <v>199.27136026452604</v>
      </c>
      <c r="M383" s="27">
        <f t="shared" si="65"/>
        <v>252.22222222222223</v>
      </c>
      <c r="N383" s="27">
        <f t="shared" si="66"/>
        <v>289.57960644007159</v>
      </c>
      <c r="O383" s="27">
        <f t="shared" si="67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4"/>
        <v>188.45637583892616</v>
      </c>
      <c r="K384" s="11">
        <f t="shared" si="54"/>
        <v>178.29509839185943</v>
      </c>
      <c r="L384" s="11">
        <f t="shared" si="55"/>
        <v>192.81896285612819</v>
      </c>
      <c r="M384" s="27">
        <f t="shared" si="65"/>
        <v>243.33333333333337</v>
      </c>
      <c r="N384" s="27">
        <f t="shared" si="66"/>
        <v>295.16994633273703</v>
      </c>
      <c r="O384" s="27">
        <f t="shared" si="67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4"/>
        <v>187.98657718120805</v>
      </c>
      <c r="K385" s="11">
        <f t="shared" si="54"/>
        <v>181.26890809389911</v>
      </c>
      <c r="L385" s="11">
        <f t="shared" si="55"/>
        <v>192.02778460485547</v>
      </c>
      <c r="M385" s="27">
        <f t="shared" si="65"/>
        <v>361.11111111111114</v>
      </c>
      <c r="N385" s="27">
        <f t="shared" si="66"/>
        <v>313.0590339892666</v>
      </c>
      <c r="O385" s="27">
        <f t="shared" si="67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4"/>
        <v>187.24832214765101</v>
      </c>
      <c r="K386" s="11">
        <f t="shared" si="54"/>
        <v>192.75111777677461</v>
      </c>
      <c r="L386" s="11">
        <f t="shared" si="55"/>
        <v>193.37492595161714</v>
      </c>
      <c r="M386" s="27">
        <f t="shared" si="65"/>
        <v>236.66666666666666</v>
      </c>
      <c r="N386" s="27">
        <f t="shared" si="66"/>
        <v>313.0590339892666</v>
      </c>
      <c r="O386" s="27">
        <f t="shared" si="67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4"/>
        <v>187.04697986577182</v>
      </c>
      <c r="K387" s="11">
        <f t="shared" si="54"/>
        <v>181.98482524439015</v>
      </c>
      <c r="L387" s="11">
        <f t="shared" si="55"/>
        <v>202.86906496688982</v>
      </c>
      <c r="M387" s="27">
        <f t="shared" si="65"/>
        <v>224.44444444444446</v>
      </c>
      <c r="N387" s="27">
        <f t="shared" si="66"/>
        <v>328.7119856887299</v>
      </c>
      <c r="O387" s="27">
        <f t="shared" si="67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4"/>
        <v>186.24161073825502</v>
      </c>
      <c r="K388" s="11">
        <f t="shared" si="54"/>
        <v>186.6451210686327</v>
      </c>
      <c r="L388" s="11">
        <f t="shared" si="55"/>
        <v>200.83181555429627</v>
      </c>
      <c r="M388" s="27">
        <f t="shared" si="65"/>
        <v>222.22222222222223</v>
      </c>
      <c r="N388" s="27">
        <f t="shared" si="66"/>
        <v>322.00357781753132</v>
      </c>
      <c r="O388" s="27">
        <f t="shared" si="67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8">(1+(B389-Q389)/Q389)*100</f>
        <v>185.90604026845639</v>
      </c>
      <c r="K389" s="11">
        <f t="shared" si="54"/>
        <v>177.31066283723032</v>
      </c>
      <c r="L389" s="11">
        <f t="shared" si="55"/>
        <v>191.63704128274836</v>
      </c>
      <c r="M389" s="27">
        <f t="shared" ref="M389:M390" si="69">(1+(E389-T388)/T388)*100</f>
        <v>216.66666666666669</v>
      </c>
      <c r="N389" s="27">
        <f t="shared" ref="N389:N390" si="70">(1+(F389-U388)/U388)*100</f>
        <v>313.0590339892666</v>
      </c>
      <c r="O389" s="27">
        <f t="shared" ref="O389:O390" si="71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8"/>
        <v>184.42953020134229</v>
      </c>
      <c r="K390" s="11">
        <f t="shared" si="54"/>
        <v>176.5672104117204</v>
      </c>
      <c r="L390" s="11">
        <f t="shared" si="55"/>
        <v>180.49639617698921</v>
      </c>
      <c r="M390" s="27">
        <f t="shared" si="69"/>
        <v>201.11111111111111</v>
      </c>
      <c r="N390" s="27">
        <f t="shared" si="70"/>
        <v>304.11449016100175</v>
      </c>
      <c r="O390" s="27">
        <f t="shared" si="71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2">(1+(B391-Q391)/Q391)*100</f>
        <v>182.95302013422818</v>
      </c>
      <c r="K391" s="11">
        <f t="shared" si="54"/>
        <v>177.55848031240032</v>
      </c>
      <c r="L391" s="11">
        <f t="shared" si="55"/>
        <v>185.30761527256658</v>
      </c>
      <c r="M391" s="27">
        <f t="shared" ref="M391" si="73">(1+(E391-T390)/T390)*100</f>
        <v>200</v>
      </c>
      <c r="N391" s="27">
        <f t="shared" ref="N391" si="74">(1+(F391-U390)/U390)*100</f>
        <v>306.35062611806802</v>
      </c>
      <c r="O391" s="27">
        <f t="shared" ref="O391" si="75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6">(1+(B392-Q392)/Q392)*100</f>
        <v>183.3557046979866</v>
      </c>
      <c r="K392" s="11">
        <f t="shared" si="54"/>
        <v>177.25559228719257</v>
      </c>
      <c r="L392" s="11">
        <f t="shared" si="55"/>
        <v>186.69752301128892</v>
      </c>
      <c r="M392" s="27">
        <f t="shared" ref="M392:M397" si="77">(1+(E392-T391)/T391)*100</f>
        <v>200</v>
      </c>
      <c r="N392" s="27">
        <f t="shared" ref="N392:N397" si="78">(1+(F392-U391)/U391)*100</f>
        <v>304.11449016100175</v>
      </c>
      <c r="O392" s="27">
        <f t="shared" ref="O392:O397" si="79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8" t="s">
        <v>17</v>
      </c>
      <c r="G393" s="58" t="s">
        <v>17</v>
      </c>
      <c r="I393" s="10">
        <v>40184</v>
      </c>
      <c r="J393" s="27">
        <f t="shared" si="76"/>
        <v>187.71812080536913</v>
      </c>
      <c r="K393" s="11">
        <f t="shared" ref="K393:K456" si="80">(C393+Y393)/R393*100</f>
        <v>179.06581027411369</v>
      </c>
      <c r="L393" s="11">
        <f t="shared" ref="L393:L456" si="81">(D393+Z393)/S393*100</f>
        <v>198.34714659927448</v>
      </c>
      <c r="M393" s="27">
        <f t="shared" si="77"/>
        <v>211.11111111111111</v>
      </c>
      <c r="N393" s="37" t="s">
        <v>17</v>
      </c>
      <c r="O393" s="37" t="s">
        <v>17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6"/>
        <v>193.22147651006711</v>
      </c>
      <c r="K394" s="11">
        <f t="shared" si="80"/>
        <v>178.48756949871708</v>
      </c>
      <c r="L394" s="11">
        <f t="shared" si="81"/>
        <v>195.4817983379084</v>
      </c>
      <c r="M394" s="27">
        <f t="shared" si="77"/>
        <v>214.44444444444443</v>
      </c>
      <c r="N394" s="27">
        <f t="shared" si="78"/>
        <v>322.00357781753132</v>
      </c>
      <c r="O394" s="27">
        <f t="shared" si="79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6"/>
        <v>192.61744966442956</v>
      </c>
      <c r="K395" s="11">
        <f t="shared" si="80"/>
        <v>178.48756949871708</v>
      </c>
      <c r="L395" s="11">
        <f t="shared" si="81"/>
        <v>193.34347873987403</v>
      </c>
      <c r="M395" s="27">
        <f t="shared" si="77"/>
        <v>217.22222222222226</v>
      </c>
      <c r="N395" s="27">
        <f t="shared" si="78"/>
        <v>313.0590339892666</v>
      </c>
      <c r="O395" s="27">
        <f t="shared" si="79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6"/>
        <v>190.13422818791946</v>
      </c>
      <c r="K396" s="11">
        <f t="shared" si="80"/>
        <v>178.79045752392483</v>
      </c>
      <c r="L396" s="11">
        <f t="shared" si="81"/>
        <v>195.22519998614428</v>
      </c>
      <c r="M396" s="27">
        <f t="shared" si="77"/>
        <v>227.77777777777777</v>
      </c>
      <c r="N396" s="27">
        <f t="shared" si="78"/>
        <v>306.35062611806802</v>
      </c>
      <c r="O396" s="27">
        <f t="shared" si="79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6"/>
        <v>186.64429530201343</v>
      </c>
      <c r="K397" s="11">
        <f t="shared" si="80"/>
        <v>181.29970688765178</v>
      </c>
      <c r="L397" s="11">
        <f t="shared" si="81"/>
        <v>194.62707898208959</v>
      </c>
      <c r="M397" s="27">
        <f t="shared" si="77"/>
        <v>222.22222222222223</v>
      </c>
      <c r="N397" s="27">
        <f t="shared" si="78"/>
        <v>299.64221824686945</v>
      </c>
      <c r="O397" s="27">
        <f t="shared" si="79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9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6"/>
        <v>185.83892617449663</v>
      </c>
      <c r="K398" s="11">
        <f t="shared" si="80"/>
        <v>182.26344151331278</v>
      </c>
      <c r="L398" s="11">
        <f t="shared" si="81"/>
        <v>202.64577747471856</v>
      </c>
      <c r="M398" s="27">
        <f t="shared" ref="M398:M404" si="82">(1+(E398-T397)/T397)*100</f>
        <v>198.88888888888889</v>
      </c>
      <c r="N398" s="27">
        <f t="shared" ref="N398:N404" si="83">(1+(F398-U397)/U397)*100</f>
        <v>281.75313059033994</v>
      </c>
      <c r="O398" s="27">
        <f t="shared" ref="O398:O404" si="84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6"/>
        <v>184.96644295302011</v>
      </c>
      <c r="K399" s="11">
        <f t="shared" si="80"/>
        <v>185.09957484025804</v>
      </c>
      <c r="L399" s="11">
        <f t="shared" si="81"/>
        <v>203.97153562549985</v>
      </c>
      <c r="M399" s="27">
        <f t="shared" si="82"/>
        <v>169.44444444444443</v>
      </c>
      <c r="N399" s="27">
        <f t="shared" si="83"/>
        <v>272.80858676207515</v>
      </c>
      <c r="O399" s="27">
        <f t="shared" si="84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6"/>
        <v>190.06711409395973</v>
      </c>
      <c r="K400" s="11">
        <f t="shared" si="80"/>
        <v>182.31851206335057</v>
      </c>
      <c r="L400" s="11">
        <f t="shared" si="81"/>
        <v>197.29997847963259</v>
      </c>
      <c r="M400" s="27">
        <f t="shared" si="82"/>
        <v>176.11111111111111</v>
      </c>
      <c r="N400" s="27">
        <f t="shared" si="83"/>
        <v>281.75313059033994</v>
      </c>
      <c r="O400" s="27">
        <f t="shared" si="84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6"/>
        <v>192.01342281879198</v>
      </c>
      <c r="K401" s="11">
        <f t="shared" si="80"/>
        <v>178.95131470807405</v>
      </c>
      <c r="L401" s="11">
        <f t="shared" si="81"/>
        <v>198.2218360589975</v>
      </c>
      <c r="M401" s="27">
        <f t="shared" si="82"/>
        <v>191.66666666666666</v>
      </c>
      <c r="N401" s="27">
        <f t="shared" si="83"/>
        <v>290.69767441860461</v>
      </c>
      <c r="O401" s="27">
        <f t="shared" si="84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6"/>
        <v>194.8993288590604</v>
      </c>
      <c r="K402" s="11">
        <f t="shared" si="80"/>
        <v>179.52955548347066</v>
      </c>
      <c r="L402" s="11">
        <f t="shared" si="81"/>
        <v>202.66954082290903</v>
      </c>
      <c r="M402" s="27">
        <f t="shared" si="82"/>
        <v>173.88888888888889</v>
      </c>
      <c r="N402" s="27">
        <f t="shared" si="83"/>
        <v>304.11449016100175</v>
      </c>
      <c r="O402" s="27">
        <f t="shared" si="84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6"/>
        <v>196.24161073825505</v>
      </c>
      <c r="K403" s="11">
        <f t="shared" si="80"/>
        <v>186.38583896317328</v>
      </c>
      <c r="L403" s="11">
        <f t="shared" si="81"/>
        <v>203.2468871143783</v>
      </c>
      <c r="M403" s="27">
        <f t="shared" si="82"/>
        <v>157.22222222222223</v>
      </c>
      <c r="N403" s="27">
        <f t="shared" si="83"/>
        <v>313.0590339892666</v>
      </c>
      <c r="O403" s="27">
        <f t="shared" si="84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6"/>
        <v>197.71812080536915</v>
      </c>
      <c r="K404" s="11">
        <f t="shared" si="80"/>
        <v>177.76729788226194</v>
      </c>
      <c r="L404" s="11">
        <f t="shared" si="81"/>
        <v>186.39692868186734</v>
      </c>
      <c r="M404" s="27">
        <f t="shared" si="82"/>
        <v>153.88888888888889</v>
      </c>
      <c r="N404" s="27">
        <f t="shared" si="83"/>
        <v>317.5313059033989</v>
      </c>
      <c r="O404" s="27">
        <f t="shared" si="84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5">(1+(B405-Q405)/Q405)*100</f>
        <v>197.24832214765101</v>
      </c>
      <c r="K405" s="11">
        <f t="shared" si="80"/>
        <v>176.94123963169537</v>
      </c>
      <c r="L405" s="11">
        <f t="shared" si="81"/>
        <v>184.17307629991157</v>
      </c>
      <c r="M405" s="27">
        <f t="shared" ref="M405" si="86">(1+(E405-T404)/T404)*100</f>
        <v>153.33333333333331</v>
      </c>
      <c r="N405" s="27">
        <f t="shared" ref="N405" si="87">(1+(F405-U404)/U404)*100</f>
        <v>308.58676207513417</v>
      </c>
      <c r="O405" s="27">
        <f t="shared" ref="O405" si="88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9">(1+(B406-Q406)/Q406)*100</f>
        <v>202.34899328859061</v>
      </c>
      <c r="K406" s="11">
        <f t="shared" si="80"/>
        <v>179.65415368794848</v>
      </c>
      <c r="L406" s="11">
        <f t="shared" si="81"/>
        <v>182.97601247694203</v>
      </c>
      <c r="M406" s="27">
        <f t="shared" ref="M406:M440" si="90">(1+(E406-T405)/T405)*100</f>
        <v>152.77777777777777</v>
      </c>
      <c r="N406" s="27">
        <f t="shared" ref="N406:N440" si="91">(1+(F406-U405)/U405)*100</f>
        <v>299.64221824686945</v>
      </c>
      <c r="O406" s="27">
        <f t="shared" ref="O406:O440" si="92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9"/>
        <v>205.9731543624161</v>
      </c>
      <c r="K407" s="11">
        <f t="shared" si="80"/>
        <v>179.98457698817512</v>
      </c>
      <c r="L407" s="11">
        <f t="shared" si="81"/>
        <v>183.95963949203784</v>
      </c>
      <c r="M407" s="27">
        <f t="shared" si="90"/>
        <v>152.77777777777777</v>
      </c>
      <c r="N407" s="27">
        <f t="shared" si="91"/>
        <v>313.0590339892666</v>
      </c>
      <c r="O407" s="27">
        <f t="shared" si="92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9"/>
        <v>206.30872483221475</v>
      </c>
      <c r="K408" s="11">
        <f t="shared" si="80"/>
        <v>180.12225336326955</v>
      </c>
      <c r="L408" s="11">
        <f t="shared" si="81"/>
        <v>183.42505959252924</v>
      </c>
      <c r="M408" s="27">
        <f t="shared" si="90"/>
        <v>152.77777777777777</v>
      </c>
      <c r="N408" s="27">
        <f t="shared" si="91"/>
        <v>313.0590339892666</v>
      </c>
      <c r="O408" s="27">
        <f t="shared" si="92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9"/>
        <v>206.57718120805367</v>
      </c>
      <c r="K409" s="11">
        <f t="shared" si="80"/>
        <v>180.23239446334509</v>
      </c>
      <c r="L409" s="11">
        <f t="shared" si="81"/>
        <v>183.87410670811647</v>
      </c>
      <c r="M409" s="27">
        <f t="shared" si="90"/>
        <v>171.11111111111111</v>
      </c>
      <c r="N409" s="27">
        <f t="shared" si="91"/>
        <v>308.58676207513417</v>
      </c>
      <c r="O409" s="27">
        <f t="shared" si="92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9"/>
        <v>209.53020134228186</v>
      </c>
      <c r="K410" s="11">
        <f t="shared" si="80"/>
        <v>178.68259493927164</v>
      </c>
      <c r="L410" s="11">
        <f t="shared" si="81"/>
        <v>180.37256105076668</v>
      </c>
      <c r="M410" s="27">
        <f t="shared" si="90"/>
        <v>188.88888888888889</v>
      </c>
      <c r="N410" s="27">
        <f t="shared" si="91"/>
        <v>313.0590339892666</v>
      </c>
      <c r="O410" s="27">
        <f t="shared" si="92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9"/>
        <v>209.86577181208054</v>
      </c>
      <c r="K411" s="11">
        <f t="shared" si="80"/>
        <v>178.59998911421496</v>
      </c>
      <c r="L411" s="11">
        <f t="shared" si="81"/>
        <v>179.17510207586739</v>
      </c>
      <c r="M411" s="27">
        <f t="shared" si="90"/>
        <v>212.77777777777777</v>
      </c>
      <c r="N411" s="27">
        <f t="shared" si="91"/>
        <v>322.00357781753132</v>
      </c>
      <c r="O411" s="27">
        <f t="shared" si="92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9"/>
        <v>207.65100671140937</v>
      </c>
      <c r="K412" s="11">
        <f t="shared" si="80"/>
        <v>178.87534186440382</v>
      </c>
      <c r="L412" s="11">
        <f t="shared" si="81"/>
        <v>179.45308362361189</v>
      </c>
      <c r="M412" s="27">
        <f t="shared" si="90"/>
        <v>231.66666666666663</v>
      </c>
      <c r="N412" s="27">
        <f t="shared" si="91"/>
        <v>322.00357781753132</v>
      </c>
      <c r="O412" s="27">
        <f t="shared" si="92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9"/>
        <v>202.75167785234899</v>
      </c>
      <c r="K413" s="11">
        <f t="shared" si="80"/>
        <v>178.93041241444161</v>
      </c>
      <c r="L413" s="11">
        <f t="shared" si="81"/>
        <v>180.24426187488461</v>
      </c>
      <c r="M413" s="27">
        <f t="shared" si="90"/>
        <v>187.77777777777777</v>
      </c>
      <c r="N413" s="27">
        <f t="shared" si="91"/>
        <v>326.47584973166369</v>
      </c>
      <c r="O413" s="27">
        <f t="shared" si="92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9"/>
        <v>200</v>
      </c>
      <c r="K414" s="11">
        <f t="shared" si="80"/>
        <v>184.37121974908138</v>
      </c>
      <c r="L414" s="11">
        <f t="shared" si="81"/>
        <v>175.00399002092152</v>
      </c>
      <c r="M414" s="27">
        <f t="shared" si="90"/>
        <v>174.44444444444446</v>
      </c>
      <c r="N414" s="27">
        <f t="shared" si="91"/>
        <v>319.76744186046511</v>
      </c>
      <c r="O414" s="27">
        <f t="shared" si="92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9"/>
        <v>197.71812080536915</v>
      </c>
      <c r="K415" s="11">
        <f t="shared" si="80"/>
        <v>184.48136084915691</v>
      </c>
      <c r="L415" s="11">
        <f t="shared" si="81"/>
        <v>172.05310897563405</v>
      </c>
      <c r="M415" s="27">
        <f t="shared" si="90"/>
        <v>163.33333333333334</v>
      </c>
      <c r="N415" s="27">
        <f t="shared" si="91"/>
        <v>313.0590339892666</v>
      </c>
      <c r="O415" s="27">
        <f t="shared" si="92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9"/>
        <v>196.51006711409394</v>
      </c>
      <c r="K416" s="11">
        <f t="shared" si="80"/>
        <v>180.79163399662619</v>
      </c>
      <c r="L416" s="11">
        <f t="shared" si="81"/>
        <v>168.13998411123112</v>
      </c>
      <c r="M416" s="27">
        <f t="shared" si="90"/>
        <v>166.11111111111109</v>
      </c>
      <c r="N416" s="27">
        <f t="shared" si="91"/>
        <v>306.35062611806802</v>
      </c>
      <c r="O416" s="27">
        <f t="shared" si="92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9"/>
        <v>198.72483221476509</v>
      </c>
      <c r="K417" s="11">
        <f t="shared" si="80"/>
        <v>183.9306553487792</v>
      </c>
      <c r="L417" s="11">
        <f t="shared" si="81"/>
        <v>169.74372380975691</v>
      </c>
      <c r="M417" s="27">
        <f t="shared" si="90"/>
        <v>165.55555555555554</v>
      </c>
      <c r="N417" s="27">
        <f t="shared" si="91"/>
        <v>297.40608228980318</v>
      </c>
      <c r="O417" s="27">
        <f t="shared" si="92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9"/>
        <v>198.38926174496643</v>
      </c>
      <c r="K418" s="11">
        <f t="shared" si="80"/>
        <v>184.48136084915691</v>
      </c>
      <c r="L418" s="11">
        <f t="shared" si="81"/>
        <v>176.69326250336866</v>
      </c>
      <c r="M418" s="27">
        <f t="shared" si="90"/>
        <v>164.44444444444443</v>
      </c>
      <c r="N418" s="27">
        <f t="shared" si="91"/>
        <v>277.28085867620752</v>
      </c>
      <c r="O418" s="27">
        <f t="shared" si="92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9"/>
        <v>196.24161073825505</v>
      </c>
      <c r="K419" s="11">
        <f t="shared" si="80"/>
        <v>184.29811546838641</v>
      </c>
      <c r="L419" s="11">
        <f t="shared" si="81"/>
        <v>177.58991502780924</v>
      </c>
      <c r="M419" s="27">
        <f t="shared" si="90"/>
        <v>180.55555555555557</v>
      </c>
      <c r="N419" s="27">
        <f t="shared" si="91"/>
        <v>250.44722719141325</v>
      </c>
      <c r="O419" s="27">
        <f t="shared" si="92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9"/>
        <v>194.83221476510067</v>
      </c>
      <c r="K420" s="11">
        <f t="shared" si="80"/>
        <v>187.68495429570939</v>
      </c>
      <c r="L420" s="11">
        <f t="shared" si="81"/>
        <v>188.02491466621706</v>
      </c>
      <c r="M420" s="27">
        <f t="shared" si="90"/>
        <v>215.55555555555554</v>
      </c>
      <c r="N420" s="27">
        <f t="shared" si="91"/>
        <v>228.08586762075134</v>
      </c>
      <c r="O420" s="27">
        <f t="shared" si="92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9"/>
        <v>194.56375838926175</v>
      </c>
      <c r="K421" s="11">
        <f t="shared" si="80"/>
        <v>188.81390057148371</v>
      </c>
      <c r="L421" s="11">
        <f t="shared" si="81"/>
        <v>192.83613376179446</v>
      </c>
      <c r="M421" s="27">
        <f t="shared" si="90"/>
        <v>236.11111111111111</v>
      </c>
      <c r="N421" s="27">
        <f t="shared" si="91"/>
        <v>250.44722719141325</v>
      </c>
      <c r="O421" s="27">
        <f t="shared" si="92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9"/>
        <v>195.90604026845639</v>
      </c>
      <c r="K422" s="11">
        <f t="shared" si="80"/>
        <v>195.17454910084641</v>
      </c>
      <c r="L422" s="11">
        <f t="shared" si="81"/>
        <v>191.23239406326866</v>
      </c>
      <c r="M422" s="27">
        <f t="shared" si="90"/>
        <v>215.55555555555554</v>
      </c>
      <c r="N422" s="27">
        <f t="shared" si="91"/>
        <v>257.15563506261179</v>
      </c>
      <c r="O422" s="27">
        <f t="shared" si="92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9"/>
        <v>196.51006711409394</v>
      </c>
      <c r="K423" s="11">
        <f t="shared" si="80"/>
        <v>196.11340497441378</v>
      </c>
      <c r="L423" s="11">
        <f t="shared" si="81"/>
        <v>194.86176544879294</v>
      </c>
      <c r="M423" s="27">
        <f t="shared" si="90"/>
        <v>206.11111111111109</v>
      </c>
      <c r="N423" s="27">
        <f t="shared" si="91"/>
        <v>268.33631484794279</v>
      </c>
      <c r="O423" s="27">
        <f t="shared" si="92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9"/>
        <v>200.73825503355707</v>
      </c>
      <c r="K424" s="11">
        <f t="shared" si="80"/>
        <v>199.50024380173676</v>
      </c>
      <c r="L424" s="11">
        <f t="shared" si="81"/>
        <v>219.98702072569696</v>
      </c>
      <c r="M424" s="27">
        <f t="shared" si="90"/>
        <v>240.55555555555554</v>
      </c>
      <c r="N424" s="27">
        <f t="shared" si="91"/>
        <v>268.33631484794279</v>
      </c>
      <c r="O424" s="27">
        <f t="shared" si="92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9"/>
        <v>199.93288590604027</v>
      </c>
      <c r="K425" s="11">
        <f t="shared" si="80"/>
        <v>216.35183211329502</v>
      </c>
      <c r="L425" s="11">
        <f t="shared" si="81"/>
        <v>218.55434659501393</v>
      </c>
      <c r="M425" s="27">
        <f t="shared" si="90"/>
        <v>242.7777777777778</v>
      </c>
      <c r="N425" s="27">
        <f t="shared" si="91"/>
        <v>277.28085867620752</v>
      </c>
      <c r="O425" s="27">
        <f t="shared" si="92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9"/>
        <v>198.45637583892616</v>
      </c>
      <c r="K426" s="11">
        <f t="shared" si="80"/>
        <v>223.37332724311102</v>
      </c>
      <c r="L426" s="11">
        <f t="shared" si="81"/>
        <v>226.74411065548563</v>
      </c>
      <c r="M426" s="27">
        <f t="shared" si="90"/>
        <v>253.33333333333331</v>
      </c>
      <c r="N426" s="27">
        <f t="shared" si="91"/>
        <v>290.69767441860461</v>
      </c>
      <c r="O426" s="27">
        <f t="shared" si="92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9"/>
        <v>197.18120805369131</v>
      </c>
      <c r="K427" s="11">
        <f t="shared" si="80"/>
        <v>228.45433292587109</v>
      </c>
      <c r="L427" s="11">
        <f t="shared" si="81"/>
        <v>230.99666342302885</v>
      </c>
      <c r="M427" s="27">
        <f t="shared" si="90"/>
        <v>281.11111111111109</v>
      </c>
      <c r="N427" s="27">
        <f t="shared" si="91"/>
        <v>286.2254025044723</v>
      </c>
      <c r="O427" s="27">
        <f t="shared" si="92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9"/>
        <v>196.71140939597316</v>
      </c>
      <c r="K428" s="11">
        <f t="shared" si="80"/>
        <v>224.07622419786821</v>
      </c>
      <c r="L428" s="11">
        <f t="shared" si="81"/>
        <v>214.95926643777094</v>
      </c>
      <c r="M428" s="27">
        <f t="shared" si="90"/>
        <v>275</v>
      </c>
      <c r="N428" s="27">
        <f t="shared" si="91"/>
        <v>290.69767441860461</v>
      </c>
      <c r="O428" s="27">
        <f t="shared" si="92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9"/>
        <v>197.51677852348993</v>
      </c>
      <c r="K429" s="11">
        <f t="shared" si="80"/>
        <v>215.81564169220241</v>
      </c>
      <c r="L429" s="11">
        <f t="shared" si="81"/>
        <v>180.21157296971214</v>
      </c>
      <c r="M429" s="27">
        <f t="shared" si="90"/>
        <v>263.88888888888886</v>
      </c>
      <c r="N429" s="27">
        <f t="shared" si="91"/>
        <v>304.11449016100175</v>
      </c>
      <c r="O429" s="27">
        <f t="shared" si="92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9"/>
        <v>198.65771812080538</v>
      </c>
      <c r="K430" s="11">
        <f t="shared" si="80"/>
        <v>214.19106046608812</v>
      </c>
      <c r="L430" s="11">
        <f t="shared" si="81"/>
        <v>197.93824243741722</v>
      </c>
      <c r="M430" s="27">
        <f t="shared" si="90"/>
        <v>302.77777777777777</v>
      </c>
      <c r="N430" s="27">
        <f t="shared" si="91"/>
        <v>290.69767441860461</v>
      </c>
      <c r="O430" s="27">
        <f t="shared" si="92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9"/>
        <v>198.05369127516778</v>
      </c>
      <c r="K431" s="11">
        <f t="shared" si="80"/>
        <v>201.38715758230609</v>
      </c>
      <c r="L431" s="11">
        <f t="shared" si="81"/>
        <v>181.28073276872934</v>
      </c>
      <c r="M431" s="27">
        <f t="shared" si="90"/>
        <v>310.55555555555554</v>
      </c>
      <c r="N431" s="27">
        <f t="shared" si="91"/>
        <v>286.2254025044723</v>
      </c>
      <c r="O431" s="27">
        <f t="shared" si="92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9"/>
        <v>201.34228187919464</v>
      </c>
      <c r="K432" s="11">
        <f t="shared" si="80"/>
        <v>213.02799909342417</v>
      </c>
      <c r="L432" s="11">
        <f t="shared" si="81"/>
        <v>240.34200995654297</v>
      </c>
      <c r="M432" s="27">
        <f t="shared" si="90"/>
        <v>357.77777777777777</v>
      </c>
      <c r="N432" s="27">
        <f t="shared" si="91"/>
        <v>272.80858676207515</v>
      </c>
      <c r="O432" s="27">
        <f t="shared" si="92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9"/>
        <v>205.77181208053688</v>
      </c>
      <c r="K433" s="11">
        <f t="shared" si="80"/>
        <v>216.11194989553937</v>
      </c>
      <c r="L433" s="11">
        <f t="shared" si="81"/>
        <v>231.78873156440542</v>
      </c>
      <c r="M433" s="27">
        <f t="shared" si="90"/>
        <v>330</v>
      </c>
      <c r="N433" s="27">
        <f t="shared" si="91"/>
        <v>268.33631484794279</v>
      </c>
      <c r="O433" s="27">
        <f t="shared" si="92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9"/>
        <v>206.24161073825502</v>
      </c>
      <c r="K434" s="11">
        <f t="shared" si="80"/>
        <v>215.42356802006722</v>
      </c>
      <c r="L434" s="11">
        <f t="shared" si="81"/>
        <v>223.77003307177645</v>
      </c>
      <c r="M434" s="27">
        <f t="shared" si="90"/>
        <v>307.22222222222223</v>
      </c>
      <c r="N434" s="27">
        <f t="shared" si="91"/>
        <v>263.86404293381037</v>
      </c>
      <c r="O434" s="27">
        <f t="shared" si="92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9"/>
        <v>205.83892617449666</v>
      </c>
      <c r="K435" s="11">
        <f t="shared" si="80"/>
        <v>198.4343033334145</v>
      </c>
      <c r="L435" s="11">
        <f t="shared" si="81"/>
        <v>177.79616171403711</v>
      </c>
      <c r="M435" s="27">
        <f t="shared" si="90"/>
        <v>272.77777777777777</v>
      </c>
      <c r="N435" s="27">
        <f t="shared" si="91"/>
        <v>263.86404293381037</v>
      </c>
      <c r="O435" s="27">
        <f t="shared" si="92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9"/>
        <v>205.83892617449666</v>
      </c>
      <c r="K436" s="11">
        <f t="shared" si="80"/>
        <v>187.52205418955668</v>
      </c>
      <c r="L436" s="11">
        <f t="shared" si="81"/>
        <v>174.32023251580134</v>
      </c>
      <c r="M436" s="27">
        <f t="shared" si="90"/>
        <v>246.66666666666669</v>
      </c>
      <c r="N436" s="27">
        <f t="shared" si="91"/>
        <v>272.80858676207515</v>
      </c>
      <c r="O436" s="27">
        <f t="shared" si="92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9"/>
        <v>209.1275167785235</v>
      </c>
      <c r="K437" s="11">
        <f t="shared" si="80"/>
        <v>186.61339011393343</v>
      </c>
      <c r="L437" s="11">
        <f t="shared" si="81"/>
        <v>171.17690270669078</v>
      </c>
      <c r="M437" s="27">
        <f t="shared" si="90"/>
        <v>254.44444444444443</v>
      </c>
      <c r="N437" s="27">
        <f t="shared" si="91"/>
        <v>259.391771019678</v>
      </c>
      <c r="O437" s="27">
        <f t="shared" si="92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9"/>
        <v>213.69127516778525</v>
      </c>
      <c r="K438" s="11">
        <f t="shared" si="80"/>
        <v>184.0801448121959</v>
      </c>
      <c r="L438" s="11">
        <f t="shared" si="81"/>
        <v>169.93667733983082</v>
      </c>
      <c r="M438" s="27">
        <f t="shared" si="90"/>
        <v>227.77777777777777</v>
      </c>
      <c r="N438" s="27">
        <f t="shared" si="91"/>
        <v>263.86404293381037</v>
      </c>
      <c r="O438" s="27">
        <f t="shared" si="92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9"/>
        <v>212.81879194630869</v>
      </c>
      <c r="K439" s="11">
        <f t="shared" si="80"/>
        <v>185.62212021325354</v>
      </c>
      <c r="L439" s="11">
        <f t="shared" si="81"/>
        <v>167.60590897797334</v>
      </c>
      <c r="M439" s="27">
        <f t="shared" si="90"/>
        <v>255.55555555555554</v>
      </c>
      <c r="N439" s="27">
        <f t="shared" si="91"/>
        <v>239.26654740608225</v>
      </c>
      <c r="O439" s="27">
        <f t="shared" si="92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9"/>
        <v>212.21476510067117</v>
      </c>
      <c r="K440" s="11">
        <f t="shared" si="80"/>
        <v>187.127476770134</v>
      </c>
      <c r="L440" s="11">
        <f t="shared" si="81"/>
        <v>170.58041615416889</v>
      </c>
      <c r="M440" s="27">
        <f t="shared" si="90"/>
        <v>258.88888888888886</v>
      </c>
      <c r="N440" s="27">
        <f t="shared" si="91"/>
        <v>237.03041144901613</v>
      </c>
      <c r="O440" s="27">
        <f t="shared" si="92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3">(1+(B441-Q441)/Q441)*100</f>
        <v>214.56375838926175</v>
      </c>
      <c r="K441" s="11">
        <f t="shared" si="80"/>
        <v>186.65937709481292</v>
      </c>
      <c r="L441" s="11">
        <f t="shared" si="81"/>
        <v>177.95761876738752</v>
      </c>
      <c r="M441" s="27">
        <f t="shared" ref="M441" si="94">(1+(E441-T440)/T440)*100</f>
        <v>310.55555555555554</v>
      </c>
      <c r="N441" s="27">
        <f t="shared" ref="N441" si="95">(1+(F441-U440)/U440)*100</f>
        <v>237.03041144901613</v>
      </c>
      <c r="O441" s="27">
        <f t="shared" ref="O441" si="96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7">(1+(B442-Q442)/Q442)*100</f>
        <v>216.84563758389262</v>
      </c>
      <c r="K442" s="11">
        <f t="shared" si="80"/>
        <v>187.07240622009621</v>
      </c>
      <c r="L442" s="11">
        <f t="shared" si="81"/>
        <v>189.46177820481253</v>
      </c>
      <c r="M442" s="27">
        <f t="shared" ref="M442:M443" si="98">(1+(E442-T441)/T441)*100</f>
        <v>322.77777777777777</v>
      </c>
      <c r="N442" s="27">
        <f t="shared" ref="N442:N443" si="99">(1+(F442-U441)/U441)*100</f>
        <v>243.7388193202147</v>
      </c>
      <c r="O442" s="27">
        <f t="shared" ref="O442:O443" si="100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7"/>
        <v>218.12080536912754</v>
      </c>
      <c r="K443" s="11">
        <f t="shared" si="80"/>
        <v>190.45924504741922</v>
      </c>
      <c r="L443" s="11">
        <f t="shared" si="81"/>
        <v>191.40764903902382</v>
      </c>
      <c r="M443" s="27">
        <f t="shared" si="98"/>
        <v>287.77777777777777</v>
      </c>
      <c r="N443" s="27">
        <f t="shared" si="99"/>
        <v>232.55813953488374</v>
      </c>
      <c r="O443" s="27">
        <f t="shared" si="100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7"/>
        <v>221.07382550335569</v>
      </c>
      <c r="K444" s="11">
        <f t="shared" si="80"/>
        <v>189.44043987172043</v>
      </c>
      <c r="L444" s="11">
        <f t="shared" si="81"/>
        <v>183.04681941070936</v>
      </c>
      <c r="M444" s="27">
        <f t="shared" ref="M444" si="101">(1+(E444-T443)/T443)*100</f>
        <v>268.33333333333337</v>
      </c>
      <c r="N444" s="27">
        <f t="shared" ref="N444" si="102">(1+(F444-U443)/U443)*100</f>
        <v>232.55813953488374</v>
      </c>
      <c r="O444" s="27">
        <f t="shared" ref="O444" si="103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17</v>
      </c>
      <c r="G445" s="19" t="s">
        <v>17</v>
      </c>
      <c r="I445" s="10">
        <v>40548</v>
      </c>
      <c r="J445" s="27">
        <f t="shared" si="97"/>
        <v>223.48993288590603</v>
      </c>
      <c r="K445" s="11">
        <f t="shared" si="80"/>
        <v>200.05384802441424</v>
      </c>
      <c r="L445" s="11">
        <f t="shared" si="81"/>
        <v>174.71358609425243</v>
      </c>
      <c r="M445" s="27">
        <f t="shared" ref="M445" si="104">(1+(E445-T444)/T444)*100</f>
        <v>229.44444444444443</v>
      </c>
      <c r="N445" s="27">
        <f t="shared" ref="N445" si="105">(1+(F445-U444)/U444)*100</f>
        <v>0</v>
      </c>
      <c r="O445" s="27">
        <f t="shared" ref="O445" si="106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7"/>
        <v>223.48993288590603</v>
      </c>
      <c r="K446" s="11">
        <f t="shared" si="80"/>
        <v>200.96251210003749</v>
      </c>
      <c r="L446" s="11">
        <f t="shared" si="81"/>
        <v>172.66079928013943</v>
      </c>
      <c r="M446" s="27">
        <f t="shared" ref="M446:M453" si="107">(1+(E446-T445)/T445)*100</f>
        <v>250</v>
      </c>
      <c r="N446" s="27">
        <f t="shared" ref="N446:N453" si="108">(1+(F446-U445)/U445)*100</f>
        <v>237.03041144901613</v>
      </c>
      <c r="O446" s="27">
        <f t="shared" ref="O446:O453" si="109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7"/>
        <v>228.65771812080538</v>
      </c>
      <c r="K447" s="11">
        <f t="shared" si="80"/>
        <v>203.52329267679389</v>
      </c>
      <c r="L447" s="11">
        <f t="shared" si="81"/>
        <v>182.19770468737281</v>
      </c>
      <c r="M447" s="27">
        <f t="shared" si="107"/>
        <v>254.44444444444443</v>
      </c>
      <c r="N447" s="27">
        <f t="shared" si="108"/>
        <v>241.50268336314849</v>
      </c>
      <c r="O447" s="27">
        <f t="shared" si="109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7"/>
        <v>230.20134228187919</v>
      </c>
      <c r="K448" s="11">
        <f t="shared" si="80"/>
        <v>200.49441242471642</v>
      </c>
      <c r="L448" s="11">
        <f t="shared" si="81"/>
        <v>174.3073053706259</v>
      </c>
      <c r="M448" s="27">
        <f t="shared" si="107"/>
        <v>253.33333333333331</v>
      </c>
      <c r="N448" s="27">
        <f t="shared" si="108"/>
        <v>223.61359570661898</v>
      </c>
      <c r="O448" s="27">
        <f t="shared" si="109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7"/>
        <v>230.73825503355704</v>
      </c>
      <c r="K449" s="11">
        <f t="shared" si="80"/>
        <v>206.15828516740126</v>
      </c>
      <c r="L449" s="11">
        <f t="shared" si="81"/>
        <v>181.43779091948602</v>
      </c>
      <c r="M449" s="27">
        <f t="shared" si="107"/>
        <v>305.55555555555554</v>
      </c>
      <c r="N449" s="27">
        <f t="shared" si="108"/>
        <v>219.14132379248659</v>
      </c>
      <c r="O449" s="27">
        <f t="shared" si="109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7"/>
        <v>235.7718120805369</v>
      </c>
      <c r="K450" s="11">
        <f t="shared" si="80"/>
        <v>208.5813893690632</v>
      </c>
      <c r="L450" s="11">
        <f t="shared" si="81"/>
        <v>193.54067984436065</v>
      </c>
      <c r="M450" s="27">
        <f t="shared" si="107"/>
        <v>298.88888888888891</v>
      </c>
      <c r="N450" s="27">
        <f t="shared" si="108"/>
        <v>219.14132379248659</v>
      </c>
      <c r="O450" s="27">
        <f t="shared" si="109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7"/>
        <v>237.18120805369125</v>
      </c>
      <c r="K451" s="11">
        <f t="shared" si="80"/>
        <v>207.75533111849663</v>
      </c>
      <c r="L451" s="11">
        <f t="shared" si="81"/>
        <v>184.5597375326162</v>
      </c>
      <c r="M451" s="27">
        <f t="shared" si="107"/>
        <v>324.44444444444446</v>
      </c>
      <c r="N451" s="27">
        <f t="shared" si="108"/>
        <v>237.03041144901613</v>
      </c>
      <c r="O451" s="27">
        <f t="shared" si="109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7"/>
        <v>239.79865771812081</v>
      </c>
      <c r="K452" s="11">
        <f t="shared" si="80"/>
        <v>209.51758871970534</v>
      </c>
      <c r="L452" s="11">
        <f t="shared" si="81"/>
        <v>185.00878464820346</v>
      </c>
      <c r="M452" s="27">
        <f t="shared" si="107"/>
        <v>298.88888888888891</v>
      </c>
      <c r="N452" s="27">
        <f t="shared" si="108"/>
        <v>252.6833631484794</v>
      </c>
      <c r="O452" s="27">
        <f t="shared" si="109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7"/>
        <v>249.39597315436242</v>
      </c>
      <c r="K453" s="11">
        <f t="shared" si="80"/>
        <v>209.62566032647939</v>
      </c>
      <c r="L453" s="11">
        <f t="shared" si="81"/>
        <v>181.26150335009859</v>
      </c>
      <c r="M453" s="27">
        <f t="shared" si="107"/>
        <v>276.66666666666669</v>
      </c>
      <c r="N453" s="27">
        <f t="shared" si="108"/>
        <v>250.44722719141325</v>
      </c>
      <c r="O453" s="27">
        <f t="shared" si="109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10">(1+(B454-Q454)/Q454)*100</f>
        <v>259.79865771812081</v>
      </c>
      <c r="K454" s="11">
        <f t="shared" si="80"/>
        <v>209.29523702625278</v>
      </c>
      <c r="L454" s="11">
        <f t="shared" si="81"/>
        <v>183.7633372797988</v>
      </c>
      <c r="M454" s="27">
        <f t="shared" ref="M454:M494" si="111">(1+(E454-T453)/T453)*100</f>
        <v>351.66666666666669</v>
      </c>
      <c r="N454" s="27">
        <f t="shared" ref="N454:N494" si="112">(1+(F454-U453)/U453)*100</f>
        <v>263.86404293381037</v>
      </c>
      <c r="O454" s="27">
        <f t="shared" ref="O454:O494" si="113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10"/>
        <v>262.2818791946309</v>
      </c>
      <c r="K455" s="11">
        <f t="shared" si="80"/>
        <v>208.93727845100724</v>
      </c>
      <c r="L455" s="11">
        <f t="shared" si="81"/>
        <v>189.10913627488478</v>
      </c>
      <c r="M455" s="27">
        <f t="shared" si="111"/>
        <v>308.88888888888891</v>
      </c>
      <c r="N455" s="27">
        <f t="shared" si="112"/>
        <v>268.33631484794279</v>
      </c>
      <c r="O455" s="27">
        <f t="shared" si="113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10"/>
        <v>262.21476510067112</v>
      </c>
      <c r="K456" s="11">
        <f t="shared" si="80"/>
        <v>216.50947908120091</v>
      </c>
      <c r="L456" s="11">
        <f t="shared" si="81"/>
        <v>168.26052019404949</v>
      </c>
      <c r="M456" s="27">
        <f t="shared" si="111"/>
        <v>272.77777777777777</v>
      </c>
      <c r="N456" s="27">
        <f t="shared" si="112"/>
        <v>263.86404293381037</v>
      </c>
      <c r="O456" s="27">
        <f t="shared" si="113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10"/>
        <v>263.89261744966444</v>
      </c>
      <c r="K457" s="11">
        <f t="shared" ref="K457:K488" si="114">(C457+Y457)/R457*100</f>
        <v>208.27643185055399</v>
      </c>
      <c r="L457" s="11">
        <f t="shared" ref="L457:L488" si="115">(D457+Z457)/S457*100</f>
        <v>176.02262033491434</v>
      </c>
      <c r="M457" s="27">
        <f t="shared" si="111"/>
        <v>281.66666666666663</v>
      </c>
      <c r="N457" s="27">
        <f t="shared" si="112"/>
        <v>263.86404293381037</v>
      </c>
      <c r="O457" s="27">
        <f t="shared" si="113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10"/>
        <v>266.8456375838926</v>
      </c>
      <c r="K458" s="11">
        <f t="shared" si="114"/>
        <v>210.78158392564731</v>
      </c>
      <c r="L458" s="11">
        <f t="shared" si="115"/>
        <v>177.38869143727544</v>
      </c>
      <c r="M458" s="27">
        <f t="shared" si="111"/>
        <v>262.22222222222223</v>
      </c>
      <c r="N458" s="27">
        <f t="shared" si="112"/>
        <v>259.391771019678</v>
      </c>
      <c r="O458" s="27">
        <f t="shared" si="113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10"/>
        <v>273.69127516778525</v>
      </c>
      <c r="K459" s="11">
        <f t="shared" si="114"/>
        <v>213.89307000278146</v>
      </c>
      <c r="L459" s="11">
        <f t="shared" si="115"/>
        <v>173.34726739699047</v>
      </c>
      <c r="M459" s="27">
        <f t="shared" si="111"/>
        <v>238.33333333333334</v>
      </c>
      <c r="N459" s="27">
        <f t="shared" si="112"/>
        <v>237.03041144901613</v>
      </c>
      <c r="O459" s="27">
        <f t="shared" si="113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10"/>
        <v>275.50335570469804</v>
      </c>
      <c r="K460" s="11">
        <f t="shared" si="114"/>
        <v>211.8003891013461</v>
      </c>
      <c r="L460" s="11">
        <f t="shared" si="115"/>
        <v>183.24768713588969</v>
      </c>
      <c r="M460" s="27">
        <f t="shared" si="111"/>
        <v>229.44444444444443</v>
      </c>
      <c r="N460" s="27">
        <f t="shared" si="112"/>
        <v>232.55813953488374</v>
      </c>
      <c r="O460" s="27">
        <f t="shared" si="113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10"/>
        <v>275.03355704697981</v>
      </c>
      <c r="K461" s="11">
        <f t="shared" si="114"/>
        <v>205.46727584700233</v>
      </c>
      <c r="L461" s="11">
        <f t="shared" si="115"/>
        <v>173.58248255277425</v>
      </c>
      <c r="M461" s="27">
        <f t="shared" si="111"/>
        <v>223.33333333333334</v>
      </c>
      <c r="N461" s="27">
        <f t="shared" si="112"/>
        <v>225.84973166368516</v>
      </c>
      <c r="O461" s="27">
        <f t="shared" si="113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10"/>
        <v>276.77852348993281</v>
      </c>
      <c r="K462" s="11">
        <f t="shared" si="114"/>
        <v>207.96621509451629</v>
      </c>
      <c r="L462" s="11">
        <f t="shared" si="115"/>
        <v>175.01761012383815</v>
      </c>
      <c r="M462" s="27">
        <f t="shared" si="111"/>
        <v>255.55555555555554</v>
      </c>
      <c r="N462" s="27">
        <f t="shared" si="112"/>
        <v>228.08586762075134</v>
      </c>
      <c r="O462" s="27">
        <f t="shared" si="113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10"/>
        <v>275.43624161073825</v>
      </c>
      <c r="K463" s="11">
        <f t="shared" si="114"/>
        <v>207.93867981949739</v>
      </c>
      <c r="L463" s="11">
        <f t="shared" si="115"/>
        <v>181.02628819431479</v>
      </c>
      <c r="M463" s="27">
        <f t="shared" si="111"/>
        <v>236.11111111111111</v>
      </c>
      <c r="N463" s="27">
        <f t="shared" si="112"/>
        <v>237.03041144901613</v>
      </c>
      <c r="O463" s="27">
        <f t="shared" si="113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10"/>
        <v>272.55033557046977</v>
      </c>
      <c r="K464" s="11">
        <f t="shared" si="114"/>
        <v>207.80100344440297</v>
      </c>
      <c r="L464" s="11">
        <f t="shared" si="115"/>
        <v>188.8311547271403</v>
      </c>
      <c r="M464" s="27">
        <f t="shared" si="111"/>
        <v>234.44444444444446</v>
      </c>
      <c r="N464" s="27">
        <f t="shared" si="112"/>
        <v>237.03041144901613</v>
      </c>
      <c r="O464" s="27">
        <f t="shared" si="113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10"/>
        <v>268.25503355704694</v>
      </c>
      <c r="K465" s="11">
        <f t="shared" si="114"/>
        <v>208.54445586991289</v>
      </c>
      <c r="L465" s="11">
        <f t="shared" si="115"/>
        <v>183.01492542048678</v>
      </c>
      <c r="M465" s="27">
        <f t="shared" si="111"/>
        <v>249.44444444444446</v>
      </c>
      <c r="N465" s="27">
        <f t="shared" si="112"/>
        <v>230.32200357781755</v>
      </c>
      <c r="O465" s="27">
        <f t="shared" si="113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10"/>
        <v>264.96644295302013</v>
      </c>
      <c r="K466" s="11">
        <f t="shared" si="114"/>
        <v>213.11008271924433</v>
      </c>
      <c r="L466" s="11">
        <f t="shared" si="115"/>
        <v>185.12477160492631</v>
      </c>
      <c r="M466" s="27">
        <f t="shared" si="111"/>
        <v>257.22222222222217</v>
      </c>
      <c r="N466" s="27">
        <f t="shared" si="112"/>
        <v>239.26654740608225</v>
      </c>
      <c r="O466" s="27">
        <f t="shared" si="113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10"/>
        <v>264.42953020134229</v>
      </c>
      <c r="K467" s="11">
        <f t="shared" si="114"/>
        <v>212.64198304392329</v>
      </c>
      <c r="L467" s="11">
        <f t="shared" si="115"/>
        <v>191.68941277089189</v>
      </c>
      <c r="M467" s="27">
        <f t="shared" si="111"/>
        <v>248.33333333333334</v>
      </c>
      <c r="N467" s="27">
        <f t="shared" si="112"/>
        <v>237.03041144901613</v>
      </c>
      <c r="O467" s="27">
        <f t="shared" si="113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10"/>
        <v>265.36912751677858</v>
      </c>
      <c r="K468" s="11">
        <f t="shared" si="114"/>
        <v>212.14634809358333</v>
      </c>
      <c r="L468" s="11">
        <f t="shared" si="115"/>
        <v>188.11841904217445</v>
      </c>
      <c r="M468" s="27">
        <f t="shared" si="111"/>
        <v>247.77777777777777</v>
      </c>
      <c r="N468" s="27">
        <f t="shared" si="112"/>
        <v>241.50268336314849</v>
      </c>
      <c r="O468" s="27">
        <f t="shared" si="113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10"/>
        <v>265.1006711409396</v>
      </c>
      <c r="K469" s="11">
        <f t="shared" si="114"/>
        <v>213.44050601947097</v>
      </c>
      <c r="L469" s="11">
        <f t="shared" si="115"/>
        <v>180.63430044905408</v>
      </c>
      <c r="M469" s="27">
        <f t="shared" si="111"/>
        <v>250</v>
      </c>
      <c r="N469" s="27">
        <f t="shared" si="112"/>
        <v>241.50268336314849</v>
      </c>
      <c r="O469" s="27">
        <f t="shared" si="113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10"/>
        <v>260.93959731543623</v>
      </c>
      <c r="K470" s="11">
        <f t="shared" si="114"/>
        <v>211.73331896830004</v>
      </c>
      <c r="L470" s="11">
        <f t="shared" si="115"/>
        <v>181.96005859983541</v>
      </c>
      <c r="M470" s="27">
        <f t="shared" si="111"/>
        <v>247.22222222222223</v>
      </c>
      <c r="N470" s="27">
        <f t="shared" si="112"/>
        <v>232.55813953488374</v>
      </c>
      <c r="O470" s="27">
        <f t="shared" si="113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10"/>
        <v>258.38926174496646</v>
      </c>
      <c r="K471" s="11">
        <f t="shared" si="114"/>
        <v>210.74245485062039</v>
      </c>
      <c r="L471" s="11">
        <f t="shared" si="115"/>
        <v>181.52273847909638</v>
      </c>
      <c r="M471" s="27">
        <f t="shared" si="111"/>
        <v>255.55555555555554</v>
      </c>
      <c r="N471" s="27">
        <f t="shared" si="112"/>
        <v>232.55813953488374</v>
      </c>
      <c r="O471" s="27">
        <f t="shared" si="113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10"/>
        <v>261.67785234899327</v>
      </c>
      <c r="K472" s="11">
        <f t="shared" si="114"/>
        <v>210.74245485062039</v>
      </c>
      <c r="L472" s="11">
        <f t="shared" si="115"/>
        <v>180.34666270017746</v>
      </c>
      <c r="M472" s="27">
        <f t="shared" si="111"/>
        <v>249.44444444444446</v>
      </c>
      <c r="N472" s="27">
        <f t="shared" si="112"/>
        <v>237.03041144901613</v>
      </c>
      <c r="O472" s="27">
        <f t="shared" si="113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10"/>
        <v>263.28859060402687</v>
      </c>
      <c r="K473" s="11">
        <f t="shared" si="114"/>
        <v>212.47717717681022</v>
      </c>
      <c r="L473" s="11">
        <f t="shared" si="115"/>
        <v>181.15922414743054</v>
      </c>
      <c r="M473" s="27">
        <f t="shared" si="111"/>
        <v>239.44444444444443</v>
      </c>
      <c r="N473" s="27">
        <f t="shared" si="112"/>
        <v>230.32200357781755</v>
      </c>
      <c r="O473" s="27">
        <f t="shared" si="113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10"/>
        <v>265.03355704697987</v>
      </c>
      <c r="K474" s="11">
        <f t="shared" si="114"/>
        <v>212.532247726848</v>
      </c>
      <c r="L474" s="11">
        <f t="shared" si="115"/>
        <v>172.07136585578436</v>
      </c>
      <c r="M474" s="27">
        <f t="shared" si="111"/>
        <v>216.66666666666669</v>
      </c>
      <c r="N474" s="27">
        <f t="shared" si="112"/>
        <v>228.08586762075134</v>
      </c>
      <c r="O474" s="27">
        <f t="shared" si="113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10"/>
        <v>264.2281879194631</v>
      </c>
      <c r="K475" s="11">
        <f t="shared" si="114"/>
        <v>211.52081910640433</v>
      </c>
      <c r="L475" s="11">
        <f t="shared" si="115"/>
        <v>165.30687058759827</v>
      </c>
      <c r="M475" s="27">
        <f t="shared" si="111"/>
        <v>201.11111111111111</v>
      </c>
      <c r="N475" s="27">
        <f t="shared" si="112"/>
        <v>232.55813953488374</v>
      </c>
      <c r="O475" s="27">
        <f t="shared" si="113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10"/>
        <v>261.54362416107386</v>
      </c>
      <c r="K476" s="11">
        <f t="shared" si="114"/>
        <v>211.71356603153652</v>
      </c>
      <c r="L476" s="11">
        <f t="shared" si="115"/>
        <v>166.65401193435997</v>
      </c>
      <c r="M476" s="27">
        <f t="shared" si="111"/>
        <v>209.44444444444446</v>
      </c>
      <c r="N476" s="27">
        <f t="shared" si="112"/>
        <v>225.84973166368516</v>
      </c>
      <c r="O476" s="27">
        <f t="shared" si="113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10"/>
        <v>257.38255033557044</v>
      </c>
      <c r="K477" s="11">
        <f t="shared" si="114"/>
        <v>211.32807218127212</v>
      </c>
      <c r="L477" s="11">
        <f t="shared" si="115"/>
        <v>174.48026166316581</v>
      </c>
      <c r="M477" s="27">
        <f t="shared" si="111"/>
        <v>235</v>
      </c>
      <c r="N477" s="27">
        <f t="shared" si="112"/>
        <v>228.08586762075134</v>
      </c>
      <c r="O477" s="27">
        <f t="shared" si="113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10"/>
        <v>255.70469798657723</v>
      </c>
      <c r="K478" s="11">
        <f t="shared" si="114"/>
        <v>213.3381472576508</v>
      </c>
      <c r="L478" s="11">
        <f t="shared" si="115"/>
        <v>173.94568176365721</v>
      </c>
      <c r="M478" s="27">
        <f t="shared" si="111"/>
        <v>241.66666666666669</v>
      </c>
      <c r="N478" s="27">
        <f t="shared" si="112"/>
        <v>237.03041144901613</v>
      </c>
      <c r="O478" s="27">
        <f t="shared" si="113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10"/>
        <v>256.37583892617448</v>
      </c>
      <c r="K479" s="11">
        <f t="shared" si="114"/>
        <v>211.96138350670651</v>
      </c>
      <c r="L479" s="11">
        <f t="shared" si="115"/>
        <v>177.15316116070878</v>
      </c>
      <c r="M479" s="27">
        <f t="shared" si="111"/>
        <v>254.44444444444443</v>
      </c>
      <c r="N479" s="27">
        <f t="shared" si="112"/>
        <v>243.7388193202147</v>
      </c>
      <c r="O479" s="27">
        <f t="shared" si="113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10"/>
        <v>259.59731543624162</v>
      </c>
      <c r="K480" s="11">
        <f t="shared" si="114"/>
        <v>212.30374552249134</v>
      </c>
      <c r="L480" s="11">
        <f t="shared" si="115"/>
        <v>175.39462963191266</v>
      </c>
      <c r="M480" s="27">
        <f t="shared" si="111"/>
        <v>255.55555555555554</v>
      </c>
      <c r="N480" s="27">
        <f t="shared" si="112"/>
        <v>241.50268336314849</v>
      </c>
      <c r="O480" s="27">
        <f t="shared" si="113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10"/>
        <v>259.19463087248323</v>
      </c>
      <c r="K481" s="11">
        <f t="shared" si="114"/>
        <v>211.83564584717027</v>
      </c>
      <c r="L481" s="11">
        <f t="shared" si="115"/>
        <v>181.80958842601581</v>
      </c>
      <c r="M481" s="27">
        <f t="shared" si="111"/>
        <v>263.88888888888886</v>
      </c>
      <c r="N481" s="27">
        <f t="shared" si="112"/>
        <v>241.50268336314849</v>
      </c>
      <c r="O481" s="27">
        <f t="shared" si="113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10"/>
        <v>257.24832214765104</v>
      </c>
      <c r="K482" s="11">
        <f t="shared" si="114"/>
        <v>218.71946460189179</v>
      </c>
      <c r="L482" s="11">
        <f t="shared" si="115"/>
        <v>203.19278440635969</v>
      </c>
      <c r="M482" s="27">
        <f t="shared" si="111"/>
        <v>287.77777777777777</v>
      </c>
      <c r="N482" s="27">
        <f t="shared" si="112"/>
        <v>245.97495527728083</v>
      </c>
      <c r="O482" s="27">
        <f t="shared" si="113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10"/>
        <v>254.09395973154366</v>
      </c>
      <c r="K483" s="11">
        <f t="shared" si="114"/>
        <v>218.3064354766085</v>
      </c>
      <c r="L483" s="11">
        <f t="shared" si="115"/>
        <v>188.22454722011898</v>
      </c>
      <c r="M483" s="27">
        <f t="shared" si="111"/>
        <v>312.77777777777777</v>
      </c>
      <c r="N483" s="27">
        <f t="shared" si="112"/>
        <v>245.97495527728083</v>
      </c>
      <c r="O483" s="27">
        <f t="shared" si="113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10"/>
        <v>251.61073825503357</v>
      </c>
      <c r="K484" s="11">
        <f t="shared" si="114"/>
        <v>219.39303105017876</v>
      </c>
      <c r="L484" s="11">
        <f t="shared" si="115"/>
        <v>206.99548194499465</v>
      </c>
      <c r="M484" s="27">
        <f t="shared" si="111"/>
        <v>312.22222222222223</v>
      </c>
      <c r="N484" s="27">
        <f t="shared" si="112"/>
        <v>245.97495527728083</v>
      </c>
      <c r="O484" s="27">
        <f t="shared" si="113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10"/>
        <v>249.73154362416102</v>
      </c>
      <c r="K485" s="11">
        <f t="shared" si="114"/>
        <v>218.45683169953665</v>
      </c>
      <c r="L485" s="11">
        <f t="shared" si="115"/>
        <v>213.04692640743198</v>
      </c>
      <c r="M485" s="27">
        <f t="shared" si="111"/>
        <v>291.66666666666669</v>
      </c>
      <c r="N485" s="27">
        <f t="shared" si="112"/>
        <v>250.44722719141325</v>
      </c>
      <c r="O485" s="27">
        <f t="shared" si="113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10"/>
        <v>255.1006711409396</v>
      </c>
      <c r="K486" s="11">
        <f t="shared" si="114"/>
        <v>218.62204334964997</v>
      </c>
      <c r="L486" s="11">
        <f t="shared" si="115"/>
        <v>186.31793143200215</v>
      </c>
      <c r="M486" s="27">
        <f t="shared" si="111"/>
        <v>275.55555555555554</v>
      </c>
      <c r="N486" s="27">
        <f t="shared" si="112"/>
        <v>263.86404293381037</v>
      </c>
      <c r="O486" s="27">
        <f t="shared" si="113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10"/>
        <v>256.71140939597319</v>
      </c>
      <c r="K487" s="11">
        <f t="shared" si="114"/>
        <v>218.18147894934779</v>
      </c>
      <c r="L487" s="11">
        <f t="shared" si="115"/>
        <v>188.45625103003653</v>
      </c>
      <c r="M487" s="27">
        <f t="shared" si="111"/>
        <v>273.88888888888891</v>
      </c>
      <c r="N487" s="27">
        <f t="shared" si="112"/>
        <v>263.86404293381037</v>
      </c>
      <c r="O487" s="27">
        <f t="shared" si="113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10"/>
        <v>261.20805369127515</v>
      </c>
      <c r="K488" s="11">
        <f t="shared" si="114"/>
        <v>217.773548197618</v>
      </c>
      <c r="L488" s="11">
        <f t="shared" si="115"/>
        <v>181.18695477632286</v>
      </c>
      <c r="M488" s="27">
        <f t="shared" si="111"/>
        <v>269.44444444444446</v>
      </c>
      <c r="N488" s="27">
        <f t="shared" si="112"/>
        <v>259.391771019678</v>
      </c>
      <c r="O488" s="27">
        <f t="shared" si="113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10"/>
        <v>260.8724832214765</v>
      </c>
      <c r="K489" s="11">
        <f t="shared" ref="K489:K505" si="116">(C489+Y489)/R489*100</f>
        <v>216.72720774690032</v>
      </c>
      <c r="L489" s="11">
        <f t="shared" ref="L489:L505" si="117">(D489+Z489)/S489*100</f>
        <v>181.55046910798873</v>
      </c>
      <c r="M489" s="27">
        <f t="shared" si="111"/>
        <v>246.11111111111111</v>
      </c>
      <c r="N489" s="27">
        <f t="shared" si="112"/>
        <v>254.91949910554564</v>
      </c>
      <c r="O489" s="27">
        <f t="shared" si="113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10"/>
        <v>267.58389261744969</v>
      </c>
      <c r="K490" s="11">
        <f t="shared" si="116"/>
        <v>216.89241939701364</v>
      </c>
      <c r="L490" s="11">
        <f t="shared" si="117"/>
        <v>180.52407570093223</v>
      </c>
      <c r="M490" s="27">
        <f t="shared" si="111"/>
        <v>246.11111111111111</v>
      </c>
      <c r="N490" s="27">
        <f t="shared" si="112"/>
        <v>252.6833631484794</v>
      </c>
      <c r="O490" s="27">
        <f t="shared" si="113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10"/>
        <v>269.12751677852344</v>
      </c>
      <c r="K491" s="11">
        <f t="shared" si="116"/>
        <v>218.51700062312793</v>
      </c>
      <c r="L491" s="11">
        <f t="shared" si="117"/>
        <v>182.44856333916317</v>
      </c>
      <c r="M491" s="27">
        <f t="shared" si="111"/>
        <v>235</v>
      </c>
      <c r="N491" s="27">
        <f t="shared" si="112"/>
        <v>257.15563506261179</v>
      </c>
      <c r="O491" s="27">
        <f t="shared" si="113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10"/>
        <v>266.04026845637583</v>
      </c>
      <c r="K492" s="11">
        <f t="shared" si="116"/>
        <v>218.40685952305239</v>
      </c>
      <c r="L492" s="11">
        <f t="shared" si="117"/>
        <v>185.46359397239166</v>
      </c>
      <c r="M492" s="27">
        <f t="shared" si="111"/>
        <v>225</v>
      </c>
      <c r="N492" s="27">
        <f t="shared" si="112"/>
        <v>254.91949910554564</v>
      </c>
      <c r="O492" s="27">
        <f t="shared" si="113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10"/>
        <v>263.82550335570471</v>
      </c>
      <c r="K493" s="11">
        <f t="shared" si="116"/>
        <v>218.38041841290919</v>
      </c>
      <c r="L493" s="11">
        <f t="shared" si="117"/>
        <v>189.80537313600476</v>
      </c>
      <c r="M493" s="27">
        <f t="shared" si="111"/>
        <v>233.33333333333331</v>
      </c>
      <c r="N493" s="27">
        <f t="shared" si="112"/>
        <v>250.44722719141325</v>
      </c>
      <c r="O493" s="27">
        <f t="shared" si="113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10"/>
        <v>261.34228187919462</v>
      </c>
      <c r="K494" s="11">
        <f t="shared" si="116"/>
        <v>219.37168831358909</v>
      </c>
      <c r="L494" s="11">
        <f t="shared" si="117"/>
        <v>198.70078266382782</v>
      </c>
      <c r="M494" s="27">
        <f t="shared" si="111"/>
        <v>211.11111111111111</v>
      </c>
      <c r="N494" s="27">
        <f t="shared" si="112"/>
        <v>250.44722719141325</v>
      </c>
      <c r="O494" s="27">
        <f t="shared" si="113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10"/>
        <v>256.37583892617448</v>
      </c>
      <c r="K495" s="11">
        <f t="shared" si="116"/>
        <v>218.10506566272034</v>
      </c>
      <c r="L495" s="11">
        <f t="shared" si="117"/>
        <v>193.16253490491874</v>
      </c>
      <c r="M495" s="27">
        <f t="shared" ref="M495" si="118">(1+(E495-T494)/T494)*100</f>
        <v>196.11111111111111</v>
      </c>
      <c r="N495" s="27">
        <f t="shared" ref="N495" si="119">(1+(F495-U494)/U494)*100</f>
        <v>257.15563506261179</v>
      </c>
      <c r="O495" s="27">
        <f t="shared" ref="O495" si="120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10"/>
        <v>254.36241610738256</v>
      </c>
      <c r="K496" s="11">
        <f t="shared" si="116"/>
        <v>219.92239381396681</v>
      </c>
      <c r="L496" s="11">
        <f t="shared" si="117"/>
        <v>188.37269900532172</v>
      </c>
      <c r="M496" s="27">
        <f t="shared" ref="M496" si="121">(1+(E496-T495)/T495)*100</f>
        <v>190</v>
      </c>
      <c r="N496" s="27">
        <f t="shared" ref="N496" si="122">(1+(F496-U495)/U495)*100</f>
        <v>254.91949910554564</v>
      </c>
      <c r="O496" s="27">
        <f t="shared" ref="O496" si="123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4">(1+(B497-Q497)/Q497)*100</f>
        <v>253.69127516778525</v>
      </c>
      <c r="K497" s="11">
        <f t="shared" si="116"/>
        <v>221.60919751549875</v>
      </c>
      <c r="L497" s="11">
        <f t="shared" si="117"/>
        <v>191.7645015517239</v>
      </c>
      <c r="M497" s="27">
        <f t="shared" ref="M497" si="125">(1+(E497-T496)/T496)*100</f>
        <v>190.55555555555554</v>
      </c>
      <c r="N497" s="27">
        <f t="shared" ref="N497" si="126">(1+(F497-U496)/U496)*100</f>
        <v>250.44722719141325</v>
      </c>
      <c r="O497" s="27">
        <f t="shared" ref="O497" si="127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4"/>
        <v>256.91275167785233</v>
      </c>
      <c r="K498" s="11">
        <f t="shared" si="116"/>
        <v>221.58166224047986</v>
      </c>
      <c r="L498" s="11">
        <f t="shared" si="117"/>
        <v>188.81362050643645</v>
      </c>
      <c r="M498" s="27">
        <f t="shared" ref="M498:M505" si="128">(1+(E498-T497)/T497)*100</f>
        <v>201.66666666666666</v>
      </c>
      <c r="N498" s="27">
        <f t="shared" ref="N498:N503" si="129">(1+(F498-U497)/U497)*100</f>
        <v>250.44722719141325</v>
      </c>
      <c r="O498" s="27">
        <f t="shared" ref="O498:O501" si="130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4"/>
        <v>258.65771812080538</v>
      </c>
      <c r="K499" s="11">
        <f t="shared" si="116"/>
        <v>219.51651661406339</v>
      </c>
      <c r="L499" s="11">
        <f t="shared" si="117"/>
        <v>186.67530090840205</v>
      </c>
      <c r="M499" s="27">
        <f t="shared" si="128"/>
        <v>201.11111111111111</v>
      </c>
      <c r="N499" s="27">
        <f t="shared" si="129"/>
        <v>228.08586762075134</v>
      </c>
      <c r="O499" s="27">
        <f t="shared" si="130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4"/>
        <v>258.25503355704694</v>
      </c>
      <c r="K500" s="11">
        <f t="shared" si="116"/>
        <v>221.05849201512103</v>
      </c>
      <c r="L500" s="11">
        <f t="shared" si="117"/>
        <v>189.88278030545362</v>
      </c>
      <c r="M500" s="27">
        <f t="shared" si="128"/>
        <v>213.88888888888889</v>
      </c>
      <c r="N500" s="27">
        <f t="shared" si="129"/>
        <v>228.08586762075134</v>
      </c>
      <c r="O500" s="27">
        <f t="shared" si="130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4"/>
        <v>258.38926174496646</v>
      </c>
      <c r="K501" s="11">
        <f t="shared" si="116"/>
        <v>224.83342170391026</v>
      </c>
      <c r="L501" s="11">
        <f t="shared" si="117"/>
        <v>191.03747288839219</v>
      </c>
      <c r="M501" s="27">
        <f t="shared" si="128"/>
        <v>256.66666666666663</v>
      </c>
      <c r="N501" s="27">
        <f t="shared" si="129"/>
        <v>219.14132379248659</v>
      </c>
      <c r="O501" s="27">
        <f t="shared" si="130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4092.6434736842111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4"/>
        <v>258.79194630872479</v>
      </c>
      <c r="K502" s="11">
        <f t="shared" si="116"/>
        <v>224.66821005379694</v>
      </c>
      <c r="L502" s="11">
        <f t="shared" si="117"/>
        <v>195.61347682818578</v>
      </c>
      <c r="M502" s="27">
        <f t="shared" si="128"/>
        <v>219.44444444444446</v>
      </c>
      <c r="N502" s="27">
        <f t="shared" si="129"/>
        <v>210.19677996422183</v>
      </c>
      <c r="O502" s="27">
        <f t="shared" ref="O502:O503" si="131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4092.6434736842111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4"/>
        <v>264.63087248322148</v>
      </c>
      <c r="K503" s="11">
        <f t="shared" si="116"/>
        <v>225.71455050451462</v>
      </c>
      <c r="L503" s="11">
        <f t="shared" si="117"/>
        <v>192.91919413466246</v>
      </c>
      <c r="M503" s="27">
        <f t="shared" si="128"/>
        <v>235</v>
      </c>
      <c r="N503" s="27">
        <f t="shared" si="129"/>
        <v>223.61359570661898</v>
      </c>
      <c r="O503" s="27">
        <f t="shared" si="131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4092.6434736842111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4"/>
        <v>265.7718120805369</v>
      </c>
      <c r="K504" s="11">
        <f t="shared" si="116"/>
        <v>225.74208577953351</v>
      </c>
      <c r="L504" s="11">
        <f t="shared" si="117"/>
        <v>191.40098722005806</v>
      </c>
      <c r="M504" s="27">
        <f t="shared" si="128"/>
        <v>225</v>
      </c>
      <c r="N504" s="27">
        <f t="shared" ref="N504:N517" si="132">(1+(F504-U503)/U503)*100</f>
        <v>223.61359570661898</v>
      </c>
      <c r="O504" s="27">
        <f t="shared" ref="O504:O517" si="133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4092.6434736842111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4"/>
        <v>271.87919463087252</v>
      </c>
      <c r="K505" s="11">
        <f t="shared" si="116"/>
        <v>225.38412720428798</v>
      </c>
      <c r="L505" s="11">
        <f t="shared" si="117"/>
        <v>194.56570022514893</v>
      </c>
      <c r="M505" s="27">
        <f t="shared" si="128"/>
        <v>212.77777777777777</v>
      </c>
      <c r="N505" s="27">
        <f t="shared" si="132"/>
        <v>219.14132379248659</v>
      </c>
      <c r="O505" s="27">
        <f t="shared" si="133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4092.6434736842111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46" si="134">(1+(B506-Q506)/Q506)*100</f>
        <v>274.76510067114094</v>
      </c>
      <c r="K506" s="11">
        <f t="shared" ref="K506:K513" si="135">(C506+Y506)/R506*100</f>
        <v>224.5602688772729</v>
      </c>
      <c r="L506" s="11">
        <f t="shared" ref="L506:L546" si="136">(D506+Z506)/S506*100</f>
        <v>195.16442971259858</v>
      </c>
      <c r="M506" s="27">
        <f t="shared" ref="M506:M517" si="137">(1+(E506-T505)/T505)*100</f>
        <v>192.77777777777777</v>
      </c>
      <c r="N506" s="27">
        <f t="shared" si="132"/>
        <v>219.14132379248659</v>
      </c>
      <c r="O506" s="27">
        <f t="shared" si="133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4084.1834210526322</v>
      </c>
      <c r="Z506" s="68">
        <v>4697</v>
      </c>
    </row>
    <row r="507" spans="1:26" x14ac:dyDescent="0.3">
      <c r="A507" s="61">
        <v>40982</v>
      </c>
      <c r="B507" s="19">
        <v>4.1230000000000002</v>
      </c>
      <c r="C507" s="2">
        <v>-4</v>
      </c>
      <c r="D507" s="2">
        <v>-116</v>
      </c>
      <c r="E507" s="2">
        <v>345</v>
      </c>
      <c r="F507" s="19">
        <v>49</v>
      </c>
      <c r="G507" s="19">
        <v>30</v>
      </c>
      <c r="I507" s="10">
        <v>40982</v>
      </c>
      <c r="J507" s="27">
        <f t="shared" si="134"/>
        <v>276.71140939597319</v>
      </c>
      <c r="K507" s="11">
        <f t="shared" si="135"/>
        <v>224.69794525236733</v>
      </c>
      <c r="L507" s="11">
        <f t="shared" si="136"/>
        <v>195.9128415719106</v>
      </c>
      <c r="M507" s="27">
        <f t="shared" si="137"/>
        <v>191.66666666666666</v>
      </c>
      <c r="N507" s="27">
        <f t="shared" si="132"/>
        <v>219.14132379248659</v>
      </c>
      <c r="O507" s="27">
        <f t="shared" si="133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4084.1834210526322</v>
      </c>
      <c r="Z507" s="68">
        <v>4697</v>
      </c>
    </row>
    <row r="508" spans="1:26" x14ac:dyDescent="0.3">
      <c r="A508" s="61">
        <v>40989</v>
      </c>
      <c r="B508" s="19">
        <v>4.1840000000000002</v>
      </c>
      <c r="C508" s="2" t="s">
        <v>17</v>
      </c>
      <c r="D508" s="2">
        <v>-203</v>
      </c>
      <c r="E508" s="2">
        <v>362</v>
      </c>
      <c r="F508" s="19">
        <v>49</v>
      </c>
      <c r="G508" s="19">
        <v>29</v>
      </c>
      <c r="I508" s="10">
        <v>40989</v>
      </c>
      <c r="J508" s="27">
        <f t="shared" si="134"/>
        <v>280.80536912751677</v>
      </c>
      <c r="K508" s="11">
        <f t="shared" si="135"/>
        <v>224.91822745251841</v>
      </c>
      <c r="L508" s="11">
        <f t="shared" si="136"/>
        <v>192.19216547133078</v>
      </c>
      <c r="M508" s="27">
        <f t="shared" si="137"/>
        <v>201.11111111111111</v>
      </c>
      <c r="N508" s="27">
        <f t="shared" si="132"/>
        <v>219.14132379248659</v>
      </c>
      <c r="O508" s="27">
        <f t="shared" si="133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4084.1834210526322</v>
      </c>
      <c r="Z508" s="68">
        <v>4697</v>
      </c>
    </row>
    <row r="509" spans="1:26" x14ac:dyDescent="0.3">
      <c r="A509" s="61">
        <v>40996</v>
      </c>
      <c r="B509" s="19">
        <v>4.1900000000000004</v>
      </c>
      <c r="C509" s="2">
        <v>17.5</v>
      </c>
      <c r="D509" s="2">
        <v>-212.5</v>
      </c>
      <c r="E509" s="2">
        <v>353</v>
      </c>
      <c r="F509" s="19">
        <v>51</v>
      </c>
      <c r="G509" s="19">
        <v>29.5</v>
      </c>
      <c r="I509" s="10">
        <v>40996</v>
      </c>
      <c r="J509" s="27">
        <f t="shared" si="134"/>
        <v>281.20805369127515</v>
      </c>
      <c r="K509" s="11">
        <f t="shared" si="135"/>
        <v>225.88196207817944</v>
      </c>
      <c r="L509" s="11">
        <f t="shared" si="136"/>
        <v>191.78588474770424</v>
      </c>
      <c r="M509" s="27">
        <f t="shared" si="137"/>
        <v>196.11111111111111</v>
      </c>
      <c r="N509" s="27">
        <f t="shared" si="132"/>
        <v>228.08586762075134</v>
      </c>
      <c r="O509" s="27">
        <f t="shared" si="133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4084.1834210526322</v>
      </c>
      <c r="Z509" s="68">
        <v>4697</v>
      </c>
    </row>
    <row r="510" spans="1:26" x14ac:dyDescent="0.3">
      <c r="A510" s="61">
        <v>41003</v>
      </c>
      <c r="B510" s="19">
        <v>4.1420000000000003</v>
      </c>
      <c r="C510" s="2">
        <v>12.5</v>
      </c>
      <c r="D510" s="2">
        <v>-241</v>
      </c>
      <c r="E510" s="2">
        <v>325</v>
      </c>
      <c r="F510" s="19">
        <v>51</v>
      </c>
      <c r="G510" s="19">
        <v>29.5</v>
      </c>
      <c r="I510" s="10">
        <v>41003</v>
      </c>
      <c r="J510" s="27">
        <f t="shared" si="134"/>
        <v>277.98657718120808</v>
      </c>
      <c r="K510" s="11">
        <f>(C510+Y510)/R510*100</f>
        <v>227.16445374280903</v>
      </c>
      <c r="L510" s="11">
        <f t="shared" si="136"/>
        <v>192.30999813549613</v>
      </c>
      <c r="M510" s="27">
        <f t="shared" si="137"/>
        <v>180.55555555555557</v>
      </c>
      <c r="N510" s="27">
        <f t="shared" si="132"/>
        <v>228.08586762075134</v>
      </c>
      <c r="O510" s="27">
        <f t="shared" si="133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4112.4715789473676</v>
      </c>
      <c r="Z510" s="68">
        <v>4737.7552631578947</v>
      </c>
    </row>
    <row r="511" spans="1:26" x14ac:dyDescent="0.3">
      <c r="A511" s="61">
        <v>41010</v>
      </c>
      <c r="B511" s="19">
        <v>4.1479999999999997</v>
      </c>
      <c r="C511" s="2">
        <v>14</v>
      </c>
      <c r="D511" s="2">
        <v>-204</v>
      </c>
      <c r="E511" s="2">
        <v>320</v>
      </c>
      <c r="F511" s="19">
        <v>51</v>
      </c>
      <c r="G511" s="19">
        <v>29</v>
      </c>
      <c r="I511" s="10">
        <v>41010</v>
      </c>
      <c r="J511" s="27">
        <f t="shared" si="134"/>
        <v>278.3892617449664</v>
      </c>
      <c r="K511" s="11">
        <f t="shared" si="135"/>
        <v>227.24705956786568</v>
      </c>
      <c r="L511" s="11">
        <f t="shared" si="136"/>
        <v>193.89235463804158</v>
      </c>
      <c r="M511" s="27">
        <f t="shared" si="137"/>
        <v>177.77777777777777</v>
      </c>
      <c r="N511" s="27">
        <f t="shared" si="132"/>
        <v>228.08586762075134</v>
      </c>
      <c r="O511" s="27">
        <f t="shared" si="133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4112.4715789473676</v>
      </c>
      <c r="Z511" s="68">
        <v>4737.7552631578947</v>
      </c>
    </row>
    <row r="512" spans="1:26" x14ac:dyDescent="0.3">
      <c r="A512" s="61">
        <v>41017</v>
      </c>
      <c r="B512" s="19">
        <v>4.1269999999999998</v>
      </c>
      <c r="C512" s="2">
        <v>-10</v>
      </c>
      <c r="D512" s="2">
        <v>-362.5</v>
      </c>
      <c r="E512" s="2">
        <v>328</v>
      </c>
      <c r="F512" s="19">
        <v>52.5</v>
      </c>
      <c r="G512" s="19">
        <v>29.5</v>
      </c>
      <c r="I512" s="10">
        <v>41017</v>
      </c>
      <c r="J512" s="27">
        <f t="shared" si="134"/>
        <v>276.97986577181206</v>
      </c>
      <c r="K512" s="11">
        <f t="shared" si="135"/>
        <v>225.92536636695914</v>
      </c>
      <c r="L512" s="11">
        <f t="shared" si="136"/>
        <v>187.11388151227257</v>
      </c>
      <c r="M512" s="27">
        <f t="shared" si="137"/>
        <v>182.22222222222223</v>
      </c>
      <c r="N512" s="27">
        <f t="shared" si="132"/>
        <v>234.79427549194992</v>
      </c>
      <c r="O512" s="27">
        <f t="shared" si="133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4112.4715789473676</v>
      </c>
      <c r="Z512" s="68">
        <v>4737.7552631578947</v>
      </c>
    </row>
    <row r="513" spans="1:26" x14ac:dyDescent="0.3">
      <c r="A513" s="61">
        <v>41024</v>
      </c>
      <c r="B513" s="19">
        <v>4.085</v>
      </c>
      <c r="C513" s="2">
        <v>0</v>
      </c>
      <c r="D513" s="2">
        <v>-247</v>
      </c>
      <c r="E513" s="2">
        <v>323</v>
      </c>
      <c r="F513" s="19">
        <v>53.5</v>
      </c>
      <c r="G513" s="19">
        <v>30</v>
      </c>
      <c r="I513" s="10">
        <v>41024</v>
      </c>
      <c r="J513" s="27">
        <f t="shared" si="134"/>
        <v>274.16107382550337</v>
      </c>
      <c r="K513" s="11">
        <f t="shared" si="135"/>
        <v>226.47607186733688</v>
      </c>
      <c r="L513" s="11">
        <f t="shared" si="136"/>
        <v>192.053399783732</v>
      </c>
      <c r="M513" s="27">
        <f t="shared" si="137"/>
        <v>179.44444444444443</v>
      </c>
      <c r="N513" s="27">
        <f t="shared" si="132"/>
        <v>239.26654740608225</v>
      </c>
      <c r="O513" s="27">
        <f t="shared" si="133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2">
        <v>4.0730000000000004</v>
      </c>
      <c r="C514" s="2">
        <v>-5</v>
      </c>
      <c r="D514" s="2">
        <v>-329</v>
      </c>
      <c r="E514" s="2">
        <v>337</v>
      </c>
      <c r="F514" s="72">
        <v>54</v>
      </c>
      <c r="G514" s="72">
        <v>30.5</v>
      </c>
      <c r="I514" s="10">
        <v>41031</v>
      </c>
      <c r="J514" s="27">
        <f t="shared" si="134"/>
        <v>273.3557046979866</v>
      </c>
      <c r="K514" s="11">
        <f t="shared" ref="K514:K526" si="138">(C514+Y514)/R514*100</f>
        <v>227.27768459058674</v>
      </c>
      <c r="L514" s="11">
        <f t="shared" si="136"/>
        <v>190.74479320698964</v>
      </c>
      <c r="M514" s="27">
        <f t="shared" si="137"/>
        <v>187.22222222222223</v>
      </c>
      <c r="N514" s="27">
        <f t="shared" si="132"/>
        <v>241.50268336314849</v>
      </c>
      <c r="O514" s="27">
        <f t="shared" si="133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72">
        <v>4.0570000000000004</v>
      </c>
      <c r="C515" s="2">
        <v>19</v>
      </c>
      <c r="D515" s="2">
        <v>-272</v>
      </c>
      <c r="E515" s="2">
        <v>350</v>
      </c>
      <c r="F515" s="72">
        <v>52</v>
      </c>
      <c r="G515" s="72">
        <v>29</v>
      </c>
      <c r="I515" s="10">
        <v>41038</v>
      </c>
      <c r="J515" s="27">
        <f t="shared" si="134"/>
        <v>272.28187919463085</v>
      </c>
      <c r="K515" s="11">
        <f t="shared" si="138"/>
        <v>228.59937779149328</v>
      </c>
      <c r="L515" s="11">
        <f t="shared" si="136"/>
        <v>193.18247754874884</v>
      </c>
      <c r="M515" s="27">
        <f t="shared" si="137"/>
        <v>194.44444444444443</v>
      </c>
      <c r="N515" s="27">
        <f t="shared" si="132"/>
        <v>232.55813953488374</v>
      </c>
      <c r="O515" s="27">
        <f t="shared" si="133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72">
        <v>4.0039999999999996</v>
      </c>
      <c r="C516" s="2">
        <v>22</v>
      </c>
      <c r="D516" s="2">
        <v>-302.5</v>
      </c>
      <c r="E516" s="2">
        <v>343</v>
      </c>
      <c r="F516" s="72">
        <v>50</v>
      </c>
      <c r="G516" s="72">
        <v>26.5</v>
      </c>
      <c r="I516" s="10">
        <v>41045</v>
      </c>
      <c r="J516" s="27">
        <f t="shared" si="134"/>
        <v>268.72483221476506</v>
      </c>
      <c r="K516" s="11">
        <f t="shared" si="138"/>
        <v>228.7645894416066</v>
      </c>
      <c r="L516" s="11">
        <f t="shared" si="136"/>
        <v>191.87810259394786</v>
      </c>
      <c r="M516" s="27">
        <f t="shared" si="137"/>
        <v>190.55555555555554</v>
      </c>
      <c r="N516" s="27">
        <f t="shared" si="132"/>
        <v>223.61359570661898</v>
      </c>
      <c r="O516" s="27">
        <f t="shared" si="133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72">
        <v>3.956</v>
      </c>
      <c r="C517" s="2">
        <v>8.5</v>
      </c>
      <c r="D517" s="2">
        <v>-254</v>
      </c>
      <c r="E517" s="2">
        <v>323</v>
      </c>
      <c r="F517" s="72">
        <v>51</v>
      </c>
      <c r="G517" s="72">
        <v>26.5</v>
      </c>
      <c r="I517" s="10">
        <v>41052</v>
      </c>
      <c r="J517" s="27">
        <f t="shared" si="134"/>
        <v>265.50335570469798</v>
      </c>
      <c r="K517" s="11">
        <f t="shared" si="138"/>
        <v>228.02113701609667</v>
      </c>
      <c r="L517" s="11">
        <f t="shared" si="136"/>
        <v>193.95227260404121</v>
      </c>
      <c r="M517" s="27">
        <f t="shared" si="137"/>
        <v>179.44444444444443</v>
      </c>
      <c r="N517" s="27">
        <f t="shared" si="132"/>
        <v>228.08586762075134</v>
      </c>
      <c r="O517" s="27">
        <f t="shared" si="133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19">
        <v>3.9</v>
      </c>
      <c r="C518" s="2">
        <v>9</v>
      </c>
      <c r="D518" s="2">
        <v>-269</v>
      </c>
      <c r="E518" s="2">
        <v>330</v>
      </c>
      <c r="F518" s="19">
        <v>50</v>
      </c>
      <c r="G518" s="19">
        <v>25.5</v>
      </c>
      <c r="I518" s="10">
        <v>41059</v>
      </c>
      <c r="J518" s="27">
        <f t="shared" si="134"/>
        <v>261.744966442953</v>
      </c>
      <c r="K518" s="11">
        <f t="shared" si="138"/>
        <v>228.04867229111557</v>
      </c>
      <c r="L518" s="11">
        <f t="shared" si="136"/>
        <v>193.3107767246309</v>
      </c>
      <c r="M518" s="27">
        <f t="shared" ref="M518:M546" si="139">(1+(E518-T517)/T517)*100</f>
        <v>183.33333333333334</v>
      </c>
      <c r="N518" s="27">
        <f t="shared" ref="N518:N546" si="140">(1+(F518-U517)/U517)*100</f>
        <v>223.61359570661898</v>
      </c>
      <c r="O518" s="27">
        <f t="shared" ref="O518:O546" si="141">(1+(G518-V517)/V517)*100</f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73">
        <v>3.85</v>
      </c>
      <c r="C519" s="2">
        <v>16.5</v>
      </c>
      <c r="D519" s="2">
        <v>-302</v>
      </c>
      <c r="E519" s="2">
        <v>285</v>
      </c>
      <c r="F519" s="73">
        <v>48.5</v>
      </c>
      <c r="G519" s="73">
        <v>24</v>
      </c>
      <c r="I519" s="10">
        <v>41066</v>
      </c>
      <c r="J519" s="27">
        <f t="shared" si="134"/>
        <v>258.38926174496646</v>
      </c>
      <c r="K519" s="11">
        <f t="shared" si="138"/>
        <v>229.89201117264932</v>
      </c>
      <c r="L519" s="11">
        <f t="shared" si="136"/>
        <v>192.87642775064987</v>
      </c>
      <c r="M519" s="27">
        <f t="shared" si="139"/>
        <v>158.33333333333334</v>
      </c>
      <c r="N519" s="27">
        <f t="shared" si="140"/>
        <v>216.90518783542041</v>
      </c>
      <c r="O519" s="27">
        <f t="shared" si="141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75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74">
        <v>3.7810000000000001</v>
      </c>
      <c r="C520" s="2">
        <v>5</v>
      </c>
      <c r="D520" s="2">
        <v>-487.5</v>
      </c>
      <c r="E520" s="2">
        <v>284</v>
      </c>
      <c r="F520" s="74">
        <v>49</v>
      </c>
      <c r="G520" s="74">
        <v>24.5</v>
      </c>
      <c r="I520" s="10">
        <v>41073</v>
      </c>
      <c r="J520" s="27">
        <f t="shared" si="134"/>
        <v>253.75838926174498</v>
      </c>
      <c r="K520" s="11">
        <f t="shared" si="138"/>
        <v>229.23596436542991</v>
      </c>
      <c r="L520" s="11">
        <f t="shared" si="136"/>
        <v>184.95384108884764</v>
      </c>
      <c r="M520" s="27">
        <f t="shared" si="139"/>
        <v>157.77777777777777</v>
      </c>
      <c r="N520" s="27">
        <f t="shared" si="140"/>
        <v>219.14132379248659</v>
      </c>
      <c r="O520" s="27">
        <f t="shared" si="141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74">
        <v>3.766</v>
      </c>
      <c r="C521" s="2">
        <v>12.5</v>
      </c>
      <c r="D521" s="2">
        <v>-556.5</v>
      </c>
      <c r="E521" s="2">
        <v>277</v>
      </c>
      <c r="F521" s="74">
        <v>50.5</v>
      </c>
      <c r="G521" s="74">
        <v>27</v>
      </c>
      <c r="I521" s="10">
        <v>41080</v>
      </c>
      <c r="J521" s="27">
        <f t="shared" si="134"/>
        <v>252.75167785234896</v>
      </c>
      <c r="K521" s="11">
        <f t="shared" si="138"/>
        <v>229.6489934907132</v>
      </c>
      <c r="L521" s="11">
        <f t="shared" si="136"/>
        <v>182.00296004356019</v>
      </c>
      <c r="M521" s="27">
        <f t="shared" si="139"/>
        <v>153.88888888888889</v>
      </c>
      <c r="N521" s="27">
        <f t="shared" si="140"/>
        <v>225.84973166368516</v>
      </c>
      <c r="O521" s="27">
        <f t="shared" si="141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74">
        <v>3.6779999999999999</v>
      </c>
      <c r="C522" s="2">
        <v>8</v>
      </c>
      <c r="D522" s="2">
        <v>-525</v>
      </c>
      <c r="E522" s="2">
        <v>270</v>
      </c>
      <c r="F522" s="74">
        <v>48.5</v>
      </c>
      <c r="G522" s="74">
        <v>25.5</v>
      </c>
      <c r="I522" s="10">
        <v>41087</v>
      </c>
      <c r="J522" s="27">
        <f t="shared" si="134"/>
        <v>246.8456375838926</v>
      </c>
      <c r="K522" s="11">
        <f t="shared" si="138"/>
        <v>229.40117601554323</v>
      </c>
      <c r="L522" s="11">
        <f t="shared" si="136"/>
        <v>183.35010139032184</v>
      </c>
      <c r="M522" s="27">
        <f t="shared" si="139"/>
        <v>150</v>
      </c>
      <c r="N522" s="27">
        <f t="shared" si="140"/>
        <v>216.90518783542041</v>
      </c>
      <c r="O522" s="27">
        <f t="shared" si="141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74">
        <v>3.6480000000000001</v>
      </c>
      <c r="C523" s="2">
        <v>2.5</v>
      </c>
      <c r="D523" s="2">
        <v>-356.5</v>
      </c>
      <c r="E523" s="2">
        <v>320</v>
      </c>
      <c r="F523" s="74">
        <v>48</v>
      </c>
      <c r="G523" s="74">
        <v>25</v>
      </c>
      <c r="I523" s="10">
        <v>41094</v>
      </c>
      <c r="J523" s="27">
        <f t="shared" si="134"/>
        <v>244.8322147651007</v>
      </c>
      <c r="K523" s="11">
        <f t="shared" si="138"/>
        <v>225.16849415708828</v>
      </c>
      <c r="L523" s="11">
        <f t="shared" si="136"/>
        <v>187.72897477953993</v>
      </c>
      <c r="M523" s="27">
        <f t="shared" si="139"/>
        <v>177.77777777777777</v>
      </c>
      <c r="N523" s="27">
        <f t="shared" si="140"/>
        <v>214.6690518783542</v>
      </c>
      <c r="O523" s="27">
        <f t="shared" si="141"/>
        <v>177.3049645390071</v>
      </c>
      <c r="Q523" s="4">
        <v>1.49</v>
      </c>
      <c r="R523" s="4">
        <v>1815.8525729999999</v>
      </c>
      <c r="S523" s="4">
        <v>2338.2847000000002</v>
      </c>
      <c r="T523" s="4">
        <v>180</v>
      </c>
      <c r="U523" s="4">
        <v>22.36</v>
      </c>
      <c r="V523" s="75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19">
        <v>3.6829999999999998</v>
      </c>
      <c r="C524" s="2">
        <v>-6.3</v>
      </c>
      <c r="D524" s="2">
        <v>-327</v>
      </c>
      <c r="E524" s="2">
        <v>353</v>
      </c>
      <c r="F524" s="19">
        <v>49</v>
      </c>
      <c r="G524" s="19">
        <v>27</v>
      </c>
      <c r="I524" s="10">
        <v>41101</v>
      </c>
      <c r="J524" s="27">
        <f t="shared" si="134"/>
        <v>247.18120805369125</v>
      </c>
      <c r="K524" s="11">
        <f t="shared" si="138"/>
        <v>224.6838732776076</v>
      </c>
      <c r="L524" s="11">
        <f t="shared" si="136"/>
        <v>188.99058333464424</v>
      </c>
      <c r="M524" s="27">
        <f t="shared" si="139"/>
        <v>196.11111111111111</v>
      </c>
      <c r="N524" s="27">
        <f t="shared" si="140"/>
        <v>219.14132379248659</v>
      </c>
      <c r="O524" s="27">
        <f t="shared" si="141"/>
        <v>191.48936170212767</v>
      </c>
      <c r="Q524" s="4">
        <v>1.49</v>
      </c>
      <c r="R524" s="4">
        <v>1815.8525733157076</v>
      </c>
      <c r="S524" s="4">
        <v>2338.2847000963566</v>
      </c>
      <c r="T524" s="4">
        <v>180</v>
      </c>
      <c r="U524" s="4">
        <v>22.36</v>
      </c>
      <c r="V524" s="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76">
        <v>3.6949999999999998</v>
      </c>
      <c r="C525" s="2">
        <v>12.5</v>
      </c>
      <c r="D525" s="2">
        <v>-231.5</v>
      </c>
      <c r="E525" s="2">
        <v>409</v>
      </c>
      <c r="F525" s="76">
        <v>50.5</v>
      </c>
      <c r="G525" s="76">
        <v>28.5</v>
      </c>
      <c r="I525" s="10">
        <v>41108</v>
      </c>
      <c r="J525" s="27">
        <f t="shared" si="134"/>
        <v>247.98657718120808</v>
      </c>
      <c r="K525" s="11">
        <f t="shared" si="138"/>
        <v>225.71919961831776</v>
      </c>
      <c r="L525" s="11">
        <f t="shared" si="136"/>
        <v>193.07477376688993</v>
      </c>
      <c r="M525" s="27">
        <f t="shared" si="139"/>
        <v>227.22222222222223</v>
      </c>
      <c r="N525" s="27">
        <f t="shared" si="140"/>
        <v>225.84973166368516</v>
      </c>
      <c r="O525" s="27">
        <f t="shared" si="141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76">
        <v>3.7829999999999999</v>
      </c>
      <c r="C526" s="2">
        <v>20</v>
      </c>
      <c r="D526" s="2">
        <v>-371</v>
      </c>
      <c r="E526" s="2">
        <v>350</v>
      </c>
      <c r="F526" s="76">
        <v>51</v>
      </c>
      <c r="G526" s="76">
        <v>29</v>
      </c>
      <c r="I526" s="10">
        <v>41115</v>
      </c>
      <c r="J526" s="27">
        <f t="shared" si="134"/>
        <v>253.89261744966447</v>
      </c>
      <c r="K526" s="11">
        <f t="shared" si="138"/>
        <v>226.13222878291683</v>
      </c>
      <c r="L526" s="11">
        <f t="shared" si="136"/>
        <v>187.10886209608441</v>
      </c>
      <c r="M526" s="27">
        <f t="shared" si="139"/>
        <v>194.44444444444443</v>
      </c>
      <c r="N526" s="27">
        <f t="shared" si="140"/>
        <v>228.08586762075134</v>
      </c>
      <c r="O526" s="27">
        <f t="shared" si="141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75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19">
        <v>3.7959999999999998</v>
      </c>
      <c r="C527" s="2">
        <v>-121.5</v>
      </c>
      <c r="D527" s="2">
        <v>-281.5</v>
      </c>
      <c r="E527" s="2">
        <v>355</v>
      </c>
      <c r="F527" s="19">
        <v>50.5</v>
      </c>
      <c r="G527" s="19">
        <v>28</v>
      </c>
      <c r="I527" s="10">
        <v>41122</v>
      </c>
      <c r="J527" s="27">
        <f t="shared" si="134"/>
        <v>254.76510067114094</v>
      </c>
      <c r="K527" s="11">
        <f t="shared" ref="K527:K546" si="142">(C527+Y527)/R527*100</f>
        <v>219.1438947802578</v>
      </c>
      <c r="L527" s="11">
        <f t="shared" si="136"/>
        <v>189.93103880248719</v>
      </c>
      <c r="M527" s="27">
        <f t="shared" si="139"/>
        <v>197.22222222222223</v>
      </c>
      <c r="N527" s="27">
        <f t="shared" si="140"/>
        <v>225.84973166368516</v>
      </c>
      <c r="O527" s="27">
        <f t="shared" si="141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19">
        <v>3.85</v>
      </c>
      <c r="C528" s="2">
        <v>-121.5</v>
      </c>
      <c r="D528" s="2">
        <v>-175</v>
      </c>
      <c r="E528" s="2">
        <v>305</v>
      </c>
      <c r="F528" s="19">
        <v>50</v>
      </c>
      <c r="G528" s="19">
        <v>28</v>
      </c>
      <c r="I528" s="10">
        <v>41129</v>
      </c>
      <c r="J528" s="27">
        <f t="shared" si="134"/>
        <v>258.38926174496646</v>
      </c>
      <c r="K528" s="11">
        <f t="shared" si="142"/>
        <v>219.1438948183586</v>
      </c>
      <c r="L528" s="11">
        <f t="shared" si="136"/>
        <v>194.48565955431485</v>
      </c>
      <c r="M528" s="27">
        <f t="shared" si="139"/>
        <v>169.44444444444443</v>
      </c>
      <c r="N528" s="27">
        <f t="shared" si="140"/>
        <v>223.61359570661898</v>
      </c>
      <c r="O528" s="27">
        <f t="shared" si="141"/>
        <v>198.58156028368796</v>
      </c>
      <c r="Q528" s="4">
        <v>1.49</v>
      </c>
      <c r="R528" s="4">
        <v>1815.8525729999999</v>
      </c>
      <c r="S528" s="4">
        <v>2338.2847000000002</v>
      </c>
      <c r="T528" s="4">
        <v>180</v>
      </c>
      <c r="U528" s="4">
        <v>22.36</v>
      </c>
      <c r="V528" s="75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19">
        <v>3.952</v>
      </c>
      <c r="C529" s="2">
        <v>-29.5</v>
      </c>
      <c r="D529" s="2">
        <v>-350</v>
      </c>
      <c r="E529" s="2">
        <v>365</v>
      </c>
      <c r="F529" s="19">
        <v>50</v>
      </c>
      <c r="G529" s="19">
        <v>27</v>
      </c>
      <c r="I529" s="10">
        <v>41136</v>
      </c>
      <c r="J529" s="27">
        <f t="shared" si="134"/>
        <v>265.23489932885906</v>
      </c>
      <c r="K529" s="11">
        <f t="shared" si="142"/>
        <v>224.21038538373287</v>
      </c>
      <c r="L529" s="11">
        <f t="shared" si="136"/>
        <v>187.00154095318013</v>
      </c>
      <c r="M529" s="27">
        <f t="shared" si="139"/>
        <v>202.77777777777777</v>
      </c>
      <c r="N529" s="27">
        <f t="shared" si="140"/>
        <v>223.61359570661898</v>
      </c>
      <c r="O529" s="27">
        <f t="shared" si="141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19">
        <v>4.0259999999999998</v>
      </c>
      <c r="C530" s="2">
        <v>15</v>
      </c>
      <c r="D530" s="2">
        <v>-369</v>
      </c>
      <c r="E530" s="2">
        <v>330</v>
      </c>
      <c r="F530" s="19">
        <v>50</v>
      </c>
      <c r="G530" s="19">
        <v>27</v>
      </c>
      <c r="I530" s="10">
        <v>41143</v>
      </c>
      <c r="J530" s="27">
        <f t="shared" si="134"/>
        <v>270.20134228187914</v>
      </c>
      <c r="K530" s="11">
        <f t="shared" si="142"/>
        <v>226.66102486041368</v>
      </c>
      <c r="L530" s="11">
        <f t="shared" si="136"/>
        <v>186.18897950592702</v>
      </c>
      <c r="M530" s="27">
        <f t="shared" si="139"/>
        <v>183.33333333333334</v>
      </c>
      <c r="N530" s="27">
        <f t="shared" si="140"/>
        <v>223.61359570661898</v>
      </c>
      <c r="O530" s="27">
        <f t="shared" si="141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19">
        <v>4.0890000000000004</v>
      </c>
      <c r="C531" s="2">
        <v>16</v>
      </c>
      <c r="D531" s="2">
        <v>-367</v>
      </c>
      <c r="E531" s="2">
        <v>438</v>
      </c>
      <c r="F531" s="19">
        <v>50</v>
      </c>
      <c r="G531" s="19">
        <v>26.5</v>
      </c>
      <c r="I531" s="10">
        <v>41150</v>
      </c>
      <c r="J531" s="27">
        <f t="shared" si="134"/>
        <v>274.42953020134229</v>
      </c>
      <c r="K531" s="11">
        <f t="shared" si="142"/>
        <v>226.71609544986876</v>
      </c>
      <c r="L531" s="11">
        <f t="shared" si="136"/>
        <v>186.27451229752444</v>
      </c>
      <c r="M531" s="27">
        <f t="shared" si="139"/>
        <v>243.33333333333337</v>
      </c>
      <c r="N531" s="27">
        <f t="shared" si="140"/>
        <v>223.61359570661898</v>
      </c>
      <c r="O531" s="27">
        <f t="shared" si="141"/>
        <v>187.94326241134752</v>
      </c>
      <c r="Q531" s="4">
        <v>1.49</v>
      </c>
      <c r="R531" s="4">
        <v>1815.8525729999999</v>
      </c>
      <c r="S531" s="4">
        <v>2338.2847000000002</v>
      </c>
      <c r="T531" s="4">
        <v>180</v>
      </c>
      <c r="U531" s="4">
        <v>22.36</v>
      </c>
      <c r="V531" s="75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19">
        <v>4.1269999999999998</v>
      </c>
      <c r="C532" s="2">
        <v>18.5</v>
      </c>
      <c r="D532" s="2">
        <v>-397</v>
      </c>
      <c r="E532" s="2">
        <v>500</v>
      </c>
      <c r="F532" s="19">
        <v>49</v>
      </c>
      <c r="G532" s="19">
        <v>25.5</v>
      </c>
      <c r="I532" s="10">
        <v>41157</v>
      </c>
      <c r="J532" s="27">
        <f t="shared" si="134"/>
        <v>276.97986577181206</v>
      </c>
      <c r="K532" s="11">
        <f t="shared" si="142"/>
        <v>226.89617321062502</v>
      </c>
      <c r="L532" s="11">
        <f t="shared" si="136"/>
        <v>182.90544345706743</v>
      </c>
      <c r="M532" s="27">
        <f t="shared" si="139"/>
        <v>277.77777777777777</v>
      </c>
      <c r="N532" s="27">
        <f t="shared" si="140"/>
        <v>219.14132379248659</v>
      </c>
      <c r="O532" s="27">
        <f t="shared" si="141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77">
        <v>4.1319999999999997</v>
      </c>
      <c r="C533" s="2">
        <v>25</v>
      </c>
      <c r="D533" s="2">
        <v>-187.5</v>
      </c>
      <c r="E533" s="2">
        <v>550</v>
      </c>
      <c r="F533" s="77">
        <v>48</v>
      </c>
      <c r="G533" s="77">
        <v>24</v>
      </c>
      <c r="I533" s="10">
        <v>41164</v>
      </c>
      <c r="J533" s="27">
        <f t="shared" si="134"/>
        <v>277.31543624161066</v>
      </c>
      <c r="K533" s="11">
        <f t="shared" si="142"/>
        <v>227.25413182538139</v>
      </c>
      <c r="L533" s="11">
        <f t="shared" si="136"/>
        <v>191.86500258073792</v>
      </c>
      <c r="M533" s="27">
        <f t="shared" si="139"/>
        <v>305.55555555555554</v>
      </c>
      <c r="N533" s="27">
        <f t="shared" si="140"/>
        <v>214.6690518783542</v>
      </c>
      <c r="O533" s="27">
        <f t="shared" si="141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75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77">
        <v>4.1349999999999998</v>
      </c>
      <c r="C534" s="2">
        <v>-9</v>
      </c>
      <c r="D534" s="2">
        <v>500</v>
      </c>
      <c r="E534" s="2">
        <v>625</v>
      </c>
      <c r="F534" s="77">
        <v>48</v>
      </c>
      <c r="G534" s="77">
        <v>24</v>
      </c>
      <c r="I534" s="10">
        <v>41171</v>
      </c>
      <c r="J534" s="27">
        <f t="shared" si="134"/>
        <v>277.5167785234899</v>
      </c>
      <c r="K534" s="11">
        <f t="shared" si="142"/>
        <v>225.3817330845863</v>
      </c>
      <c r="L534" s="11">
        <f t="shared" si="136"/>
        <v>221.26689704580434</v>
      </c>
      <c r="M534" s="27">
        <f t="shared" si="139"/>
        <v>347.22222222222223</v>
      </c>
      <c r="N534" s="27">
        <f t="shared" si="140"/>
        <v>214.6690518783542</v>
      </c>
      <c r="O534" s="27">
        <f t="shared" si="141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19">
        <v>4.0860000000000003</v>
      </c>
      <c r="C535" s="2">
        <v>17</v>
      </c>
      <c r="D535" s="2">
        <v>385</v>
      </c>
      <c r="E535" s="2">
        <v>608</v>
      </c>
      <c r="F535" s="19">
        <v>47</v>
      </c>
      <c r="G535" s="19">
        <v>24</v>
      </c>
      <c r="I535" s="10">
        <v>41178</v>
      </c>
      <c r="J535" s="27">
        <f t="shared" si="134"/>
        <v>274.2281879194631</v>
      </c>
      <c r="K535" s="11">
        <f t="shared" si="142"/>
        <v>226.81356742500262</v>
      </c>
      <c r="L535" s="11">
        <f t="shared" si="136"/>
        <v>216.34876197924058</v>
      </c>
      <c r="M535" s="27">
        <f t="shared" si="139"/>
        <v>337.77777777777777</v>
      </c>
      <c r="N535" s="27">
        <f t="shared" si="140"/>
        <v>210.19677996422183</v>
      </c>
      <c r="O535" s="27">
        <f t="shared" si="141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75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9">
        <v>4.0789999999999997</v>
      </c>
      <c r="C536" s="2">
        <v>17</v>
      </c>
      <c r="D536" s="2">
        <v>289.5</v>
      </c>
      <c r="E536" s="2">
        <v>633</v>
      </c>
      <c r="F536" s="78">
        <v>47</v>
      </c>
      <c r="G536" s="78">
        <v>24</v>
      </c>
      <c r="H536" s="5"/>
      <c r="I536" s="10">
        <v>41185</v>
      </c>
      <c r="J536" s="27">
        <f t="shared" si="134"/>
        <v>273.75838926174492</v>
      </c>
      <c r="K536" s="11">
        <f t="shared" si="142"/>
        <v>232.7243214040725</v>
      </c>
      <c r="L536" s="11">
        <f t="shared" si="136"/>
        <v>220.35950675153532</v>
      </c>
      <c r="M536" s="27">
        <f t="shared" si="139"/>
        <v>351.66666666666669</v>
      </c>
      <c r="N536" s="27">
        <f t="shared" si="140"/>
        <v>210.19677996422183</v>
      </c>
      <c r="O536" s="27">
        <f t="shared" si="141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79">
        <v>4.0940000000000003</v>
      </c>
      <c r="C537" s="2">
        <v>19</v>
      </c>
      <c r="D537" s="2">
        <v>196</v>
      </c>
      <c r="E537" s="2">
        <v>513</v>
      </c>
      <c r="F537" s="79">
        <v>49</v>
      </c>
      <c r="G537" s="79">
        <v>27</v>
      </c>
      <c r="H537" s="5"/>
      <c r="I537" s="10">
        <v>41192</v>
      </c>
      <c r="J537" s="27">
        <f t="shared" si="134"/>
        <v>274.76510067114094</v>
      </c>
      <c r="K537" s="11">
        <f t="shared" si="142"/>
        <v>232.83446254462908</v>
      </c>
      <c r="L537" s="11">
        <f t="shared" si="136"/>
        <v>216.36084911212686</v>
      </c>
      <c r="M537" s="27">
        <f t="shared" si="139"/>
        <v>285</v>
      </c>
      <c r="N537" s="27">
        <f t="shared" si="140"/>
        <v>219.14132379248659</v>
      </c>
      <c r="O537" s="27">
        <f t="shared" si="141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75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78">
        <v>4.1500000000000004</v>
      </c>
      <c r="C538" s="2">
        <v>0</v>
      </c>
      <c r="D538" s="2">
        <v>-100</v>
      </c>
      <c r="E538" s="2">
        <v>500</v>
      </c>
      <c r="F538" s="80">
        <v>49</v>
      </c>
      <c r="G538" s="80">
        <v>27</v>
      </c>
      <c r="H538" s="5"/>
      <c r="I538" s="10">
        <v>41199</v>
      </c>
      <c r="J538" s="27">
        <f t="shared" si="134"/>
        <v>278.52348993288592</v>
      </c>
      <c r="K538" s="11">
        <f t="shared" si="142"/>
        <v>231.78812205343036</v>
      </c>
      <c r="L538" s="11">
        <f t="shared" si="136"/>
        <v>203.70199708284744</v>
      </c>
      <c r="M538" s="27">
        <f t="shared" si="139"/>
        <v>277.77777777777777</v>
      </c>
      <c r="N538" s="27">
        <f t="shared" si="140"/>
        <v>219.14132379248659</v>
      </c>
      <c r="O538" s="27">
        <f t="shared" si="141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78">
        <v>4.1159999999999997</v>
      </c>
      <c r="C539" s="2">
        <v>0</v>
      </c>
      <c r="D539" s="2">
        <v>-219</v>
      </c>
      <c r="E539" s="2">
        <v>588</v>
      </c>
      <c r="F539" s="81">
        <v>49</v>
      </c>
      <c r="G539" s="81">
        <v>28</v>
      </c>
      <c r="H539" s="5"/>
      <c r="I539" s="10">
        <v>41206</v>
      </c>
      <c r="J539" s="27">
        <f t="shared" si="134"/>
        <v>276.24161073825502</v>
      </c>
      <c r="K539" s="11">
        <f t="shared" si="142"/>
        <v>231.7881220937295</v>
      </c>
      <c r="L539" s="11">
        <f t="shared" si="136"/>
        <v>198.61279644771005</v>
      </c>
      <c r="M539" s="27">
        <f t="shared" si="139"/>
        <v>326.66666666666669</v>
      </c>
      <c r="N539" s="27">
        <f t="shared" si="140"/>
        <v>219.14132379248659</v>
      </c>
      <c r="O539" s="27">
        <f t="shared" si="141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75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78">
        <v>4.0359999999999996</v>
      </c>
      <c r="C540" s="2">
        <v>-12</v>
      </c>
      <c r="D540" s="2">
        <v>-212.5</v>
      </c>
      <c r="E540" s="2">
        <v>547</v>
      </c>
      <c r="F540" s="82">
        <v>47.5</v>
      </c>
      <c r="G540" s="82">
        <v>27</v>
      </c>
      <c r="H540" s="5"/>
      <c r="I540" s="10">
        <v>41213</v>
      </c>
      <c r="J540" s="27">
        <f t="shared" si="134"/>
        <v>270.8724832214765</v>
      </c>
      <c r="K540" s="11">
        <f t="shared" si="142"/>
        <v>231.12727545297707</v>
      </c>
      <c r="L540" s="11">
        <f t="shared" si="136"/>
        <v>198.89077798727007</v>
      </c>
      <c r="M540" s="27">
        <f t="shared" si="139"/>
        <v>303.88888888888886</v>
      </c>
      <c r="N540" s="27">
        <f t="shared" si="140"/>
        <v>212.43291592128801</v>
      </c>
      <c r="O540" s="27">
        <f t="shared" si="141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9">
        <v>4.01</v>
      </c>
      <c r="C541" s="2">
        <v>0</v>
      </c>
      <c r="D541" s="2">
        <v>-241.5</v>
      </c>
      <c r="E541" s="2">
        <v>595</v>
      </c>
      <c r="F541" s="83">
        <v>47</v>
      </c>
      <c r="G541" s="83">
        <v>26.5</v>
      </c>
      <c r="H541" s="5"/>
      <c r="I541" s="10">
        <v>41220</v>
      </c>
      <c r="J541" s="27">
        <f t="shared" si="134"/>
        <v>269.12751677852344</v>
      </c>
      <c r="K541" s="11">
        <f t="shared" si="142"/>
        <v>233.60789943554408</v>
      </c>
      <c r="L541" s="11">
        <f t="shared" si="136"/>
        <v>198.88278743275717</v>
      </c>
      <c r="M541" s="27">
        <f t="shared" si="139"/>
        <v>330.55555555555554</v>
      </c>
      <c r="N541" s="27">
        <f t="shared" si="140"/>
        <v>210.19677996422183</v>
      </c>
      <c r="O541" s="27">
        <f t="shared" si="141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75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9">
        <v>3.98</v>
      </c>
      <c r="C542" s="2">
        <v>-5.5</v>
      </c>
      <c r="D542" s="2">
        <v>-244</v>
      </c>
      <c r="E542" s="2">
        <v>533</v>
      </c>
      <c r="F542" s="19">
        <v>46</v>
      </c>
      <c r="G542" s="19">
        <v>26</v>
      </c>
      <c r="I542" s="10">
        <v>41227</v>
      </c>
      <c r="J542" s="27">
        <f t="shared" si="134"/>
        <v>267.11409395973158</v>
      </c>
      <c r="K542" s="11">
        <f t="shared" si="142"/>
        <v>233.30501136972083</v>
      </c>
      <c r="L542" s="11">
        <f t="shared" si="136"/>
        <v>198.77587144465986</v>
      </c>
      <c r="M542" s="27">
        <f t="shared" si="139"/>
        <v>296.11111111111114</v>
      </c>
      <c r="N542" s="27">
        <f t="shared" si="140"/>
        <v>205.72450805008947</v>
      </c>
      <c r="O542" s="27">
        <f t="shared" si="141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9">
        <v>3.976</v>
      </c>
      <c r="C543" s="2">
        <v>12.5</v>
      </c>
      <c r="D543" s="2">
        <v>-134.5</v>
      </c>
      <c r="E543" s="2">
        <v>600</v>
      </c>
      <c r="F543" s="19">
        <v>46</v>
      </c>
      <c r="G543" s="19">
        <v>26</v>
      </c>
      <c r="I543" s="10">
        <v>41234</v>
      </c>
      <c r="J543" s="27">
        <f t="shared" si="134"/>
        <v>266.8456375838926</v>
      </c>
      <c r="K543" s="11">
        <f t="shared" si="142"/>
        <v>234.29628131113591</v>
      </c>
      <c r="L543" s="11">
        <f t="shared" si="136"/>
        <v>203.45879137273934</v>
      </c>
      <c r="M543" s="27">
        <f t="shared" si="139"/>
        <v>333.33333333333337</v>
      </c>
      <c r="N543" s="27">
        <f t="shared" si="140"/>
        <v>205.72450805008947</v>
      </c>
      <c r="O543" s="27">
        <f t="shared" si="141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75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9">
        <v>4.0339999999999998</v>
      </c>
      <c r="C544" s="2">
        <v>-12.5</v>
      </c>
      <c r="D544" s="2">
        <v>-142</v>
      </c>
      <c r="E544" s="2">
        <v>613</v>
      </c>
      <c r="F544" s="19">
        <v>46.5</v>
      </c>
      <c r="G544" s="19">
        <v>26.5</v>
      </c>
      <c r="I544" s="10">
        <v>41241</v>
      </c>
      <c r="J544" s="27">
        <f t="shared" si="134"/>
        <v>270.73825503355698</v>
      </c>
      <c r="K544" s="11">
        <f t="shared" si="142"/>
        <v>232.91951751945641</v>
      </c>
      <c r="L544" s="11">
        <f t="shared" si="136"/>
        <v>203.13804342464999</v>
      </c>
      <c r="M544" s="27">
        <f t="shared" si="139"/>
        <v>340.55555555555554</v>
      </c>
      <c r="N544" s="27">
        <f t="shared" si="140"/>
        <v>207.96064400715562</v>
      </c>
      <c r="O544" s="27">
        <f t="shared" si="141"/>
        <v>187.94326241134752</v>
      </c>
      <c r="Q544" s="4">
        <v>1.49</v>
      </c>
      <c r="R544" s="4">
        <v>1815.8525733157076</v>
      </c>
      <c r="S544" s="4">
        <v>2338.2847000963566</v>
      </c>
      <c r="T544" s="4">
        <v>180</v>
      </c>
      <c r="U544" s="4">
        <v>22.36</v>
      </c>
      <c r="V544" s="4">
        <v>14.1</v>
      </c>
      <c r="X544" s="61">
        <v>41241</v>
      </c>
      <c r="Y544" s="68">
        <v>4241.9750526315793</v>
      </c>
      <c r="Z544" s="68">
        <v>4891.9457894736843</v>
      </c>
    </row>
    <row r="545" spans="1:26" x14ac:dyDescent="0.3">
      <c r="A545" s="61">
        <v>41248</v>
      </c>
      <c r="B545" s="19">
        <v>4.0270000000000001</v>
      </c>
      <c r="C545" s="2">
        <v>-12.5</v>
      </c>
      <c r="D545" s="2">
        <v>-173</v>
      </c>
      <c r="E545" s="2">
        <v>575</v>
      </c>
      <c r="F545" s="19">
        <v>46.5</v>
      </c>
      <c r="G545" s="19">
        <v>26</v>
      </c>
      <c r="I545" s="10">
        <v>41248</v>
      </c>
      <c r="J545" s="27">
        <f t="shared" si="134"/>
        <v>270.26845637583892</v>
      </c>
      <c r="K545" s="11">
        <f t="shared" si="142"/>
        <v>232.85940080845049</v>
      </c>
      <c r="L545" s="11">
        <f t="shared" si="136"/>
        <v>201.7198648582914</v>
      </c>
      <c r="M545" s="27">
        <f t="shared" si="139"/>
        <v>319.44444444444446</v>
      </c>
      <c r="N545" s="27">
        <f t="shared" si="140"/>
        <v>207.96064400715562</v>
      </c>
      <c r="O545" s="27">
        <f t="shared" si="141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75">
        <v>14.1</v>
      </c>
      <c r="X545" s="61">
        <v>41248</v>
      </c>
      <c r="Y545" s="68">
        <v>4240.8834210526311</v>
      </c>
      <c r="Z545" s="68">
        <v>4889.7847368421053</v>
      </c>
    </row>
    <row r="546" spans="1:26" x14ac:dyDescent="0.3">
      <c r="A546" s="61">
        <v>41255</v>
      </c>
      <c r="B546" s="84">
        <v>3.9910000000000001</v>
      </c>
      <c r="C546" s="2">
        <v>0</v>
      </c>
      <c r="D546" s="2">
        <v>-169</v>
      </c>
      <c r="E546" s="2">
        <v>600</v>
      </c>
      <c r="F546" s="19">
        <v>45.5</v>
      </c>
      <c r="G546" s="19">
        <v>25</v>
      </c>
      <c r="I546" s="10">
        <v>41255</v>
      </c>
      <c r="J546" s="27">
        <f t="shared" si="134"/>
        <v>267.85234899328867</v>
      </c>
      <c r="K546" s="11">
        <f t="shared" si="142"/>
        <v>233.54778268404232</v>
      </c>
      <c r="L546" s="11">
        <f t="shared" si="136"/>
        <v>201.89093042614124</v>
      </c>
      <c r="M546" s="27">
        <f t="shared" si="139"/>
        <v>333.33333333333337</v>
      </c>
      <c r="N546" s="27">
        <f t="shared" si="140"/>
        <v>203.48837209302326</v>
      </c>
      <c r="O546" s="27">
        <f t="shared" si="141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75">
        <v>14.1</v>
      </c>
      <c r="X546" s="61">
        <v>41255</v>
      </c>
      <c r="Y546" s="68">
        <v>4240.8834210526311</v>
      </c>
      <c r="Z546" s="68">
        <v>4889.7847368421053</v>
      </c>
    </row>
    <row r="547" spans="1:26" x14ac:dyDescent="0.3">
      <c r="A547" s="61">
        <v>41262</v>
      </c>
      <c r="B547" s="19">
        <v>3.95</v>
      </c>
      <c r="C547" s="2">
        <v>0</v>
      </c>
      <c r="D547" s="2">
        <v>25</v>
      </c>
      <c r="E547" s="2">
        <v>575</v>
      </c>
      <c r="F547" s="19">
        <v>45</v>
      </c>
      <c r="G547" s="19">
        <v>24</v>
      </c>
      <c r="I547" s="10">
        <v>41262</v>
      </c>
      <c r="J547" s="27">
        <f t="shared" ref="J547" si="143">(1+(B547-Q547)/Q547)*100</f>
        <v>265.1006711409396</v>
      </c>
      <c r="K547" s="11">
        <f t="shared" ref="K547" si="144">(C547+Y547)/R547*100</f>
        <v>233.54778264343724</v>
      </c>
      <c r="L547" s="11">
        <f t="shared" ref="L547" si="145">(D547+Z547)/S547*100</f>
        <v>210.18761045819508</v>
      </c>
      <c r="M547" s="27">
        <f t="shared" ref="M547" si="146">(1+(E547-T546)/T546)*100</f>
        <v>319.44444444444446</v>
      </c>
      <c r="N547" s="27">
        <f t="shared" ref="N547" si="147">(1+(F547-U546)/U546)*100</f>
        <v>201.25223613595705</v>
      </c>
      <c r="O547" s="27">
        <f t="shared" ref="O547" si="148">(1+(G547-V546)/V546)*100</f>
        <v>170.21276595744681</v>
      </c>
      <c r="Q547" s="4">
        <v>1.49</v>
      </c>
      <c r="R547" s="4">
        <v>1815.8525733157076</v>
      </c>
      <c r="S547" s="4">
        <v>2338.2847000963566</v>
      </c>
      <c r="T547" s="4">
        <v>180</v>
      </c>
      <c r="U547" s="4">
        <v>22.36</v>
      </c>
      <c r="V547" s="4">
        <v>14.1</v>
      </c>
      <c r="X547" s="61">
        <v>41262</v>
      </c>
      <c r="Y547" s="68">
        <v>4240.8834210526311</v>
      </c>
      <c r="Z547" s="68">
        <v>4889.7847368421053</v>
      </c>
    </row>
    <row r="548" spans="1:26" x14ac:dyDescent="0.3">
      <c r="A548" s="61">
        <v>41269</v>
      </c>
      <c r="B548" s="19">
        <v>3.92</v>
      </c>
      <c r="C548" s="2">
        <v>12.5</v>
      </c>
      <c r="D548" s="2">
        <v>38</v>
      </c>
      <c r="E548" s="2">
        <v>563</v>
      </c>
      <c r="F548" s="19">
        <v>44.5</v>
      </c>
      <c r="G548" s="19">
        <v>24</v>
      </c>
      <c r="I548" s="10">
        <v>41269</v>
      </c>
      <c r="J548" s="27">
        <f t="shared" ref="J548" si="149">(1+(B548-Q548)/Q548)*100</f>
        <v>263.08724832214762</v>
      </c>
      <c r="K548" s="11">
        <f t="shared" ref="K548" si="150">(C548+Y548)/R548*100</f>
        <v>234.23616455963418</v>
      </c>
      <c r="L548" s="11">
        <f t="shared" ref="L548" si="151">(D548+Z548)/S548*100</f>
        <v>210.7435735623684</v>
      </c>
      <c r="M548" s="27">
        <f t="shared" ref="M548" si="152">(1+(E548-T547)/T547)*100</f>
        <v>312.77777777777777</v>
      </c>
      <c r="N548" s="27">
        <f t="shared" ref="N548" si="153">(1+(F548-U547)/U547)*100</f>
        <v>199.01610017889089</v>
      </c>
      <c r="O548" s="27">
        <f t="shared" ref="O548" si="154">(1+(G548-V547)/V547)*100</f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75">
        <v>14.1</v>
      </c>
      <c r="X548" s="61">
        <v>41269</v>
      </c>
      <c r="Y548" s="68">
        <v>4240.8834210526311</v>
      </c>
      <c r="Z548" s="68">
        <v>4889.7847368421053</v>
      </c>
    </row>
    <row r="549" spans="1:26" x14ac:dyDescent="0.3">
      <c r="A549" s="61">
        <v>41276</v>
      </c>
      <c r="B549" s="19">
        <v>3.92</v>
      </c>
      <c r="C549" s="2">
        <v>12.5</v>
      </c>
      <c r="D549" s="2">
        <v>60.5</v>
      </c>
      <c r="E549" s="2">
        <v>500</v>
      </c>
      <c r="F549" s="19">
        <v>44.5</v>
      </c>
      <c r="G549" s="19">
        <v>24</v>
      </c>
      <c r="I549" s="10">
        <v>41276</v>
      </c>
      <c r="J549" s="27">
        <f t="shared" ref="J549" si="155">(1+(B549-Q549)/Q549)*100</f>
        <v>263.08724832214762</v>
      </c>
      <c r="K549" s="11">
        <f t="shared" ref="K549" si="156">(C549+Y549)/R549*100</f>
        <v>234.28916561637971</v>
      </c>
      <c r="L549" s="11">
        <f t="shared" ref="L549" si="157">(D549+Z549)/S549*100</f>
        <v>211.54548842891901</v>
      </c>
      <c r="M549" s="27">
        <f t="shared" ref="M549" si="158">(1+(E549-T548)/T548)*100</f>
        <v>277.77777777777777</v>
      </c>
      <c r="N549" s="27">
        <f t="shared" ref="N549" si="159">(1+(F549-U548)/U548)*100</f>
        <v>199.01610017889089</v>
      </c>
      <c r="O549" s="27">
        <f t="shared" ref="O549" si="160">(1+(G549-V548)/V548)*100</f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75">
        <v>14.1</v>
      </c>
      <c r="X549" s="61">
        <v>41276</v>
      </c>
      <c r="Y549" s="68">
        <v>4241.8458421052619</v>
      </c>
      <c r="Z549" s="68">
        <v>4886.0357894736835</v>
      </c>
    </row>
    <row r="550" spans="1:26" x14ac:dyDescent="0.3">
      <c r="A550" s="61">
        <v>41283</v>
      </c>
      <c r="B550" s="19">
        <v>3.91</v>
      </c>
      <c r="C550" s="2">
        <v>-12.5</v>
      </c>
      <c r="D550" s="2">
        <v>2</v>
      </c>
      <c r="E550" s="2">
        <v>373</v>
      </c>
      <c r="F550" s="19">
        <v>44.5</v>
      </c>
      <c r="G550" s="19">
        <v>24</v>
      </c>
      <c r="I550" s="10">
        <v>41283</v>
      </c>
      <c r="J550" s="27">
        <f t="shared" ref="J550:J600" si="161">(1+(B550-Q550)/Q550)*100</f>
        <v>262.41610738255031</v>
      </c>
      <c r="K550" s="11">
        <f t="shared" ref="K550:L648" si="162">(C550+Y550)/R550*100</f>
        <v>232.91240186519602</v>
      </c>
      <c r="L550" s="11">
        <f t="shared" ref="L550:L556" si="163">(D550+Z550)/S550*100</f>
        <v>209.04365449911566</v>
      </c>
      <c r="M550" s="27">
        <f t="shared" ref="M550:N599" si="164">(1+(E550-T549)/T549)*100</f>
        <v>207.2222222222222</v>
      </c>
      <c r="N550" s="27">
        <f t="shared" ref="N550:N556" si="165">(1+(F550-U549)/U549)*100</f>
        <v>199.01610017889089</v>
      </c>
      <c r="O550" s="27">
        <f t="shared" ref="O550:O599" si="166">(1+(G550-V549)/V549)*100</f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75">
        <v>14.1</v>
      </c>
      <c r="X550" s="61">
        <v>41283</v>
      </c>
      <c r="Y550" s="68">
        <v>4241.8458421052619</v>
      </c>
      <c r="Z550" s="68">
        <v>4886.0357894736835</v>
      </c>
    </row>
    <row r="551" spans="1:26" x14ac:dyDescent="0.3">
      <c r="A551" s="61">
        <v>41290</v>
      </c>
      <c r="B551" s="19">
        <v>3.8940000000000001</v>
      </c>
      <c r="C551" s="2">
        <v>12.5</v>
      </c>
      <c r="D551" s="2">
        <v>-62.5</v>
      </c>
      <c r="E551" s="2">
        <v>348</v>
      </c>
      <c r="F551" s="19">
        <v>46.5</v>
      </c>
      <c r="G551" s="19">
        <v>27</v>
      </c>
      <c r="I551" s="10">
        <v>41290</v>
      </c>
      <c r="J551" s="27">
        <f t="shared" si="161"/>
        <v>261.34228187919462</v>
      </c>
      <c r="K551" s="11">
        <f t="shared" si="162"/>
        <v>234.28916561637971</v>
      </c>
      <c r="L551" s="11">
        <f t="shared" si="163"/>
        <v>206.28522221753764</v>
      </c>
      <c r="M551" s="27">
        <f t="shared" si="164"/>
        <v>193.33333333333334</v>
      </c>
      <c r="N551" s="27">
        <f t="shared" si="165"/>
        <v>207.96064400715562</v>
      </c>
      <c r="O551" s="27">
        <f t="shared" si="166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75">
        <v>14.1</v>
      </c>
      <c r="X551" s="61">
        <v>41290</v>
      </c>
      <c r="Y551" s="68">
        <v>4241.8458421052619</v>
      </c>
      <c r="Z551" s="68">
        <v>4886.0357894736835</v>
      </c>
    </row>
    <row r="552" spans="1:26" x14ac:dyDescent="0.3">
      <c r="A552" s="61">
        <v>41297</v>
      </c>
      <c r="B552" s="19">
        <v>3.9020000000000001</v>
      </c>
      <c r="C552" s="2" t="s">
        <v>17</v>
      </c>
      <c r="D552" s="2">
        <v>-82</v>
      </c>
      <c r="E552" s="2">
        <v>333</v>
      </c>
      <c r="F552" s="19">
        <v>46</v>
      </c>
      <c r="G552" s="19">
        <v>24</v>
      </c>
      <c r="I552" s="10">
        <v>41297</v>
      </c>
      <c r="J552" s="27">
        <f t="shared" si="161"/>
        <v>261.87919463087246</v>
      </c>
      <c r="K552" s="11">
        <f t="shared" si="162"/>
        <v>233.60078370017359</v>
      </c>
      <c r="L552" s="11">
        <f t="shared" si="163"/>
        <v>205.45127756580359</v>
      </c>
      <c r="M552" s="27">
        <f t="shared" si="164"/>
        <v>185</v>
      </c>
      <c r="N552" s="27">
        <f t="shared" si="165"/>
        <v>205.72450805008947</v>
      </c>
      <c r="O552" s="27">
        <f t="shared" si="166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4886.0357894736835</v>
      </c>
    </row>
    <row r="553" spans="1:26" x14ac:dyDescent="0.3">
      <c r="A553" s="61">
        <v>41304</v>
      </c>
      <c r="B553" s="19">
        <v>3.927</v>
      </c>
      <c r="C553" s="2">
        <v>10</v>
      </c>
      <c r="D553" s="2">
        <v>-115</v>
      </c>
      <c r="E553" s="2">
        <v>330</v>
      </c>
      <c r="F553" s="19">
        <v>46</v>
      </c>
      <c r="G553" s="19">
        <v>24</v>
      </c>
      <c r="I553" s="10">
        <v>41304</v>
      </c>
      <c r="J553" s="27">
        <f t="shared" si="161"/>
        <v>263.55704697986585</v>
      </c>
      <c r="K553" s="11">
        <f t="shared" si="162"/>
        <v>234.15148924126132</v>
      </c>
      <c r="L553" s="11">
        <f t="shared" si="163"/>
        <v>204.03998663950901</v>
      </c>
      <c r="M553" s="27">
        <f t="shared" si="164"/>
        <v>183.33333333333334</v>
      </c>
      <c r="N553" s="27">
        <f t="shared" si="165"/>
        <v>205.72450805008947</v>
      </c>
      <c r="O553" s="27">
        <f t="shared" si="166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75">
        <v>14.1</v>
      </c>
      <c r="X553" s="61">
        <v>41304</v>
      </c>
      <c r="Y553" s="68">
        <v>4241.8458421052619</v>
      </c>
      <c r="Z553" s="68">
        <v>4886.0357894736835</v>
      </c>
    </row>
    <row r="554" spans="1:26" x14ac:dyDescent="0.3">
      <c r="A554" s="61">
        <v>41311</v>
      </c>
      <c r="B554" s="19">
        <v>4.0220000000000002</v>
      </c>
      <c r="C554" s="2">
        <v>-6</v>
      </c>
      <c r="D554" s="2">
        <v>-77</v>
      </c>
      <c r="E554" s="2">
        <v>323</v>
      </c>
      <c r="F554" s="19">
        <v>46</v>
      </c>
      <c r="G554" s="19">
        <v>24</v>
      </c>
      <c r="I554" s="10">
        <v>41311</v>
      </c>
      <c r="J554" s="27">
        <f t="shared" si="161"/>
        <v>269.93288590604027</v>
      </c>
      <c r="K554" s="11">
        <f t="shared" si="162"/>
        <v>232.76098393861585</v>
      </c>
      <c r="L554" s="11">
        <f t="shared" si="163"/>
        <v>205.61770636488586</v>
      </c>
      <c r="M554" s="27">
        <f t="shared" si="164"/>
        <v>179.44444444444443</v>
      </c>
      <c r="N554" s="27">
        <f t="shared" si="165"/>
        <v>205.72450805008947</v>
      </c>
      <c r="O554" s="27">
        <f t="shared" si="166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75">
        <v>14.1</v>
      </c>
      <c r="X554" s="61">
        <v>41311</v>
      </c>
      <c r="Y554" s="68">
        <v>4232.596315789473</v>
      </c>
      <c r="Z554" s="68">
        <v>4884.9273684210521</v>
      </c>
    </row>
    <row r="555" spans="1:26" x14ac:dyDescent="0.3">
      <c r="A555" s="61">
        <v>41318</v>
      </c>
      <c r="B555" s="19">
        <v>4.1040000000000001</v>
      </c>
      <c r="C555" s="2">
        <v>0</v>
      </c>
      <c r="D555" s="2">
        <v>35</v>
      </c>
      <c r="E555" s="2">
        <v>325</v>
      </c>
      <c r="F555" s="19">
        <v>46</v>
      </c>
      <c r="G555" s="19">
        <v>24</v>
      </c>
      <c r="I555" s="10">
        <v>41318</v>
      </c>
      <c r="J555" s="27">
        <f t="shared" si="161"/>
        <v>275.43624161073825</v>
      </c>
      <c r="K555" s="11">
        <f t="shared" si="162"/>
        <v>233.09140723889996</v>
      </c>
      <c r="L555" s="11">
        <f t="shared" si="163"/>
        <v>210.40754226468025</v>
      </c>
      <c r="M555" s="27">
        <f t="shared" si="164"/>
        <v>180.55555555555557</v>
      </c>
      <c r="N555" s="27">
        <f t="shared" si="165"/>
        <v>205.72450805008947</v>
      </c>
      <c r="O555" s="27">
        <f t="shared" si="166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75">
        <v>14.1</v>
      </c>
      <c r="X555" s="61">
        <v>41318</v>
      </c>
      <c r="Y555" s="68">
        <v>4232.596315789473</v>
      </c>
      <c r="Z555" s="68">
        <v>4884.9273684210521</v>
      </c>
    </row>
    <row r="556" spans="1:26" x14ac:dyDescent="0.3">
      <c r="A556" s="61">
        <v>41325</v>
      </c>
      <c r="B556" s="19">
        <v>4.157</v>
      </c>
      <c r="C556" s="2">
        <v>0</v>
      </c>
      <c r="D556" s="2">
        <v>171</v>
      </c>
      <c r="E556" s="2">
        <v>325</v>
      </c>
      <c r="F556" s="19">
        <v>46.5</v>
      </c>
      <c r="G556" s="19">
        <v>24.5</v>
      </c>
      <c r="I556" s="10">
        <v>41325</v>
      </c>
      <c r="J556" s="27">
        <f t="shared" si="161"/>
        <v>278.99328859060404</v>
      </c>
      <c r="K556" s="11">
        <f t="shared" si="162"/>
        <v>233.09140723889996</v>
      </c>
      <c r="L556" s="11">
        <f t="shared" si="163"/>
        <v>216.22377157157345</v>
      </c>
      <c r="M556" s="27">
        <f t="shared" si="164"/>
        <v>180.55555555555557</v>
      </c>
      <c r="N556" s="27">
        <f t="shared" si="165"/>
        <v>207.96064400715562</v>
      </c>
      <c r="O556" s="27">
        <f t="shared" si="166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75">
        <v>14.1</v>
      </c>
      <c r="X556" s="61">
        <v>41325</v>
      </c>
      <c r="Y556" s="68">
        <v>4232.596315789473</v>
      </c>
      <c r="Z556" s="68">
        <v>4884.9273684210521</v>
      </c>
    </row>
    <row r="557" spans="1:26" x14ac:dyDescent="0.3">
      <c r="A557" s="61">
        <v>41332</v>
      </c>
      <c r="B557" s="19">
        <v>4.1589999999999998</v>
      </c>
      <c r="C557" s="2">
        <v>-27.5</v>
      </c>
      <c r="D557" s="2">
        <v>-64.58</v>
      </c>
      <c r="E557" s="2">
        <v>327</v>
      </c>
      <c r="F557" s="19">
        <v>46.5</v>
      </c>
      <c r="G557" s="19">
        <v>25</v>
      </c>
      <c r="I557" s="10">
        <v>41332</v>
      </c>
      <c r="J557" s="27">
        <f t="shared" si="161"/>
        <v>279.12751677852344</v>
      </c>
      <c r="K557" s="11">
        <f t="shared" si="162"/>
        <v>231.57696711259791</v>
      </c>
      <c r="L557" s="11">
        <f t="shared" si="162"/>
        <v>206.14886495305947</v>
      </c>
      <c r="M557" s="27">
        <f t="shared" si="164"/>
        <v>181.66666666666666</v>
      </c>
      <c r="N557" s="27">
        <f t="shared" si="164"/>
        <v>207.96064400715562</v>
      </c>
      <c r="O557" s="27">
        <f t="shared" si="166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75">
        <v>14.1</v>
      </c>
      <c r="X557" s="61">
        <v>41332</v>
      </c>
      <c r="Y557" s="68">
        <v>4232.596315789473</v>
      </c>
      <c r="Z557" s="68">
        <v>4884.9273684210521</v>
      </c>
    </row>
    <row r="558" spans="1:26" x14ac:dyDescent="0.3">
      <c r="A558" s="61">
        <v>41339</v>
      </c>
      <c r="B558" s="19">
        <v>4.13</v>
      </c>
      <c r="C558" s="2">
        <v>-15</v>
      </c>
      <c r="D558" s="2">
        <v>-55.5</v>
      </c>
      <c r="E558" s="2">
        <v>325</v>
      </c>
      <c r="F558" s="19">
        <v>47</v>
      </c>
      <c r="G558" s="19">
        <v>25</v>
      </c>
      <c r="I558" s="10">
        <v>41339</v>
      </c>
      <c r="J558" s="27">
        <f t="shared" si="161"/>
        <v>277.18120805369131</v>
      </c>
      <c r="K558" s="11">
        <f t="shared" si="162"/>
        <v>231.43496480085091</v>
      </c>
      <c r="L558" s="11">
        <f t="shared" si="162"/>
        <v>205.92870806896229</v>
      </c>
      <c r="M558" s="27">
        <f t="shared" si="164"/>
        <v>180.55555555555557</v>
      </c>
      <c r="N558" s="27">
        <f t="shared" si="164"/>
        <v>210.19677996422183</v>
      </c>
      <c r="O558" s="27">
        <f t="shared" si="166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75">
        <v>14.1</v>
      </c>
      <c r="X558" s="61">
        <v>41339</v>
      </c>
      <c r="Y558" s="68">
        <v>4217.5177631578954</v>
      </c>
      <c r="Z558" s="68">
        <v>4870.6994736842107</v>
      </c>
    </row>
    <row r="559" spans="1:26" x14ac:dyDescent="0.3">
      <c r="A559" s="61">
        <v>41346</v>
      </c>
      <c r="B559" s="19">
        <v>4.0888</v>
      </c>
      <c r="C559" s="2">
        <v>-6.5</v>
      </c>
      <c r="D559" s="2">
        <v>-31.5</v>
      </c>
      <c r="E559" s="2">
        <v>325</v>
      </c>
      <c r="F559" s="19">
        <v>48</v>
      </c>
      <c r="G559" s="19">
        <v>25</v>
      </c>
      <c r="I559" s="10">
        <v>41346</v>
      </c>
      <c r="J559" s="27">
        <f t="shared" si="161"/>
        <v>274.41610738255031</v>
      </c>
      <c r="K559" s="11">
        <f t="shared" si="162"/>
        <v>231.90306443593425</v>
      </c>
      <c r="L559" s="11">
        <f t="shared" si="162"/>
        <v>206.95510146753281</v>
      </c>
      <c r="M559" s="27">
        <f t="shared" si="164"/>
        <v>180.55555555555557</v>
      </c>
      <c r="N559" s="27">
        <f t="shared" si="164"/>
        <v>214.6690518783542</v>
      </c>
      <c r="O559" s="27">
        <f t="shared" si="166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9">
        <v>4.0819999999999999</v>
      </c>
      <c r="C560" s="2">
        <v>-12.5</v>
      </c>
      <c r="D560" s="2">
        <v>3</v>
      </c>
      <c r="E560" s="2">
        <v>307</v>
      </c>
      <c r="F560" s="19">
        <v>48</v>
      </c>
      <c r="G560" s="19">
        <v>25</v>
      </c>
      <c r="I560" s="10">
        <v>41353</v>
      </c>
      <c r="J560" s="27">
        <f t="shared" si="161"/>
        <v>273.95973154362412</v>
      </c>
      <c r="K560" s="11">
        <f t="shared" si="162"/>
        <v>231.57264117596927</v>
      </c>
      <c r="L560" s="11">
        <f t="shared" si="162"/>
        <v>208.43054199876562</v>
      </c>
      <c r="M560" s="27">
        <f t="shared" si="164"/>
        <v>170.55555555555557</v>
      </c>
      <c r="N560" s="27">
        <f t="shared" si="164"/>
        <v>214.6690518783542</v>
      </c>
      <c r="O560" s="27">
        <f t="shared" si="166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75">
        <v>14.1</v>
      </c>
      <c r="X560" s="61">
        <v>41353</v>
      </c>
      <c r="Y560" s="68">
        <v>4217.5177631578954</v>
      </c>
      <c r="Z560" s="68">
        <v>4870.6994736842107</v>
      </c>
    </row>
    <row r="561" spans="1:33" x14ac:dyDescent="0.3">
      <c r="A561" s="61">
        <v>41360</v>
      </c>
      <c r="B561" s="19">
        <v>4.0060000000000002</v>
      </c>
      <c r="C561" s="2">
        <v>0</v>
      </c>
      <c r="D561" s="2">
        <v>-121</v>
      </c>
      <c r="E561" s="2">
        <v>293</v>
      </c>
      <c r="F561" s="19">
        <v>49</v>
      </c>
      <c r="G561" s="19">
        <v>26</v>
      </c>
      <c r="I561" s="10">
        <v>41360</v>
      </c>
      <c r="J561" s="27">
        <f t="shared" si="161"/>
        <v>268.85906040268458</v>
      </c>
      <c r="K561" s="11">
        <f t="shared" si="162"/>
        <v>232.2610230515611</v>
      </c>
      <c r="L561" s="11">
        <f t="shared" si="162"/>
        <v>203.12750939542181</v>
      </c>
      <c r="M561" s="27">
        <f t="shared" si="164"/>
        <v>162.77777777777777</v>
      </c>
      <c r="N561" s="27">
        <f t="shared" si="164"/>
        <v>219.14132379248659</v>
      </c>
      <c r="O561" s="27">
        <f t="shared" si="166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75">
        <v>14.1</v>
      </c>
      <c r="X561" s="61">
        <v>41360</v>
      </c>
      <c r="Y561" s="68">
        <v>4217.5177631578954</v>
      </c>
      <c r="Z561" s="68">
        <v>4870.6994736842107</v>
      </c>
    </row>
    <row r="562" spans="1:33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61"/>
        <v>267.98657718120802</v>
      </c>
      <c r="K562" s="11">
        <f t="shared" si="162"/>
        <v>233.80971850921762</v>
      </c>
      <c r="L562" s="11">
        <f t="shared" si="162"/>
        <v>204.62975769329853</v>
      </c>
      <c r="M562" s="27">
        <f t="shared" si="164"/>
        <v>146.11111111111111</v>
      </c>
      <c r="N562" s="27">
        <f t="shared" si="164"/>
        <v>219.14132379248659</v>
      </c>
      <c r="O562" s="27">
        <f t="shared" si="166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75">
        <v>14.1</v>
      </c>
      <c r="X562" s="61">
        <v>41367</v>
      </c>
      <c r="Y562" s="68">
        <v>4250.6397894736847</v>
      </c>
      <c r="Z562" s="68">
        <v>4934.8263157894735</v>
      </c>
    </row>
    <row r="563" spans="1:33" x14ac:dyDescent="0.3">
      <c r="A563" s="61">
        <v>41374</v>
      </c>
      <c r="B563" s="19">
        <v>3.9769999999999999</v>
      </c>
      <c r="C563" s="2">
        <v>-3</v>
      </c>
      <c r="D563" s="2">
        <v>-211</v>
      </c>
      <c r="E563" s="2">
        <v>285</v>
      </c>
      <c r="F563" s="19">
        <v>47.5</v>
      </c>
      <c r="G563" s="19">
        <v>25</v>
      </c>
      <c r="I563" s="10">
        <v>41374</v>
      </c>
      <c r="J563" s="27">
        <f t="shared" si="161"/>
        <v>266.91275167785238</v>
      </c>
      <c r="K563" s="11">
        <f t="shared" si="162"/>
        <v>233.91985960931231</v>
      </c>
      <c r="L563" s="11">
        <f t="shared" si="162"/>
        <v>202.02100778358911</v>
      </c>
      <c r="M563" s="27">
        <f t="shared" si="164"/>
        <v>158.33333333333334</v>
      </c>
      <c r="N563" s="27">
        <f t="shared" si="164"/>
        <v>212.43291592128801</v>
      </c>
      <c r="O563" s="27">
        <f t="shared" si="166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75">
        <v>14.1</v>
      </c>
      <c r="X563" s="61">
        <v>41374</v>
      </c>
      <c r="Y563" s="68">
        <v>4250.6397894736847</v>
      </c>
      <c r="Z563" s="68">
        <v>4934.8263157894735</v>
      </c>
    </row>
    <row r="564" spans="1:33" x14ac:dyDescent="0.3">
      <c r="A564" s="61">
        <v>41381</v>
      </c>
      <c r="B564" s="19">
        <v>3.9420000000000002</v>
      </c>
      <c r="C564" s="2">
        <v>-3</v>
      </c>
      <c r="D564" s="2">
        <v>-220.5</v>
      </c>
      <c r="E564" s="2">
        <v>273</v>
      </c>
      <c r="F564" s="19">
        <v>47.5</v>
      </c>
      <c r="G564" s="19">
        <v>25</v>
      </c>
      <c r="I564" s="10">
        <v>41381</v>
      </c>
      <c r="J564" s="27">
        <f t="shared" si="161"/>
        <v>264.56375838926175</v>
      </c>
      <c r="K564" s="11">
        <f t="shared" si="162"/>
        <v>233.91985960931231</v>
      </c>
      <c r="L564" s="11">
        <f t="shared" si="162"/>
        <v>201.61472705994581</v>
      </c>
      <c r="M564" s="27">
        <f t="shared" si="164"/>
        <v>151.66666666666666</v>
      </c>
      <c r="N564" s="27">
        <f t="shared" si="164"/>
        <v>212.43291592128801</v>
      </c>
      <c r="O564" s="27">
        <f t="shared" si="166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75">
        <v>14.1</v>
      </c>
      <c r="X564" s="61">
        <v>41381</v>
      </c>
      <c r="Y564" s="68">
        <v>4250.6397894736847</v>
      </c>
      <c r="Z564" s="68">
        <v>4934.8263157894735</v>
      </c>
    </row>
    <row r="565" spans="1:33" x14ac:dyDescent="0.3">
      <c r="A565" s="61">
        <v>41388</v>
      </c>
      <c r="B565" s="85">
        <v>3.887</v>
      </c>
      <c r="C565" s="2">
        <v>0</v>
      </c>
      <c r="D565" s="2">
        <v>-212.5</v>
      </c>
      <c r="E565" s="2" t="s">
        <v>17</v>
      </c>
      <c r="F565" s="85">
        <v>47.5</v>
      </c>
      <c r="G565" s="85">
        <v>25</v>
      </c>
      <c r="I565" s="10">
        <v>41388</v>
      </c>
      <c r="J565" s="27">
        <f t="shared" si="161"/>
        <v>260.8724832214765</v>
      </c>
      <c r="K565" s="11">
        <f t="shared" si="162"/>
        <v>234.08507125945434</v>
      </c>
      <c r="L565" s="11">
        <f t="shared" si="162"/>
        <v>201.95685819564542</v>
      </c>
      <c r="M565" s="37" t="s">
        <v>17</v>
      </c>
      <c r="N565" s="27">
        <f t="shared" si="164"/>
        <v>212.43291592128801</v>
      </c>
      <c r="O565" s="27">
        <f t="shared" si="166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75">
        <v>14.1</v>
      </c>
      <c r="X565" s="61">
        <v>41388</v>
      </c>
      <c r="Y565" s="68">
        <v>4250.6397894736847</v>
      </c>
      <c r="Z565" s="68">
        <v>4934.8263157894735</v>
      </c>
    </row>
    <row r="566" spans="1:33" x14ac:dyDescent="0.3">
      <c r="A566" s="61">
        <v>41395</v>
      </c>
      <c r="B566" s="85">
        <v>3.851</v>
      </c>
      <c r="C566" s="2">
        <v>0</v>
      </c>
      <c r="D566" s="2">
        <v>-104.5</v>
      </c>
      <c r="E566" s="2" t="s">
        <v>17</v>
      </c>
      <c r="F566" s="85">
        <v>46.5</v>
      </c>
      <c r="G566" s="85">
        <v>24.5</v>
      </c>
      <c r="I566" s="10">
        <v>41395</v>
      </c>
      <c r="J566" s="27">
        <f t="shared" si="161"/>
        <v>258.45637583892619</v>
      </c>
      <c r="K566" s="11">
        <f t="shared" si="162"/>
        <v>233.09054784847424</v>
      </c>
      <c r="L566" s="11">
        <f t="shared" si="162"/>
        <v>204.09729360473872</v>
      </c>
      <c r="M566" s="37" t="s">
        <v>17</v>
      </c>
      <c r="N566" s="27">
        <f t="shared" si="164"/>
        <v>207.96064400715562</v>
      </c>
      <c r="O566" s="27">
        <f t="shared" si="166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75">
        <v>14.1</v>
      </c>
      <c r="X566" s="61">
        <v>41395</v>
      </c>
      <c r="Y566" s="68">
        <v>4232.5807105263157</v>
      </c>
      <c r="Z566" s="68">
        <v>4876.8757894736846</v>
      </c>
    </row>
    <row r="567" spans="1:33" x14ac:dyDescent="0.3">
      <c r="A567" s="61">
        <v>41402</v>
      </c>
      <c r="B567" s="85">
        <v>3.8450000000000002</v>
      </c>
      <c r="C567" s="2">
        <v>0</v>
      </c>
      <c r="D567" s="2">
        <v>-117.5</v>
      </c>
      <c r="E567" s="2">
        <v>288</v>
      </c>
      <c r="F567" s="85">
        <v>45</v>
      </c>
      <c r="G567" s="85">
        <v>24</v>
      </c>
      <c r="I567" s="10">
        <v>41402</v>
      </c>
      <c r="J567" s="27">
        <f t="shared" si="161"/>
        <v>258.05369127516781</v>
      </c>
      <c r="K567" s="11">
        <f t="shared" si="162"/>
        <v>233.09054784847424</v>
      </c>
      <c r="L567" s="11">
        <f t="shared" si="162"/>
        <v>203.5413305092269</v>
      </c>
      <c r="M567" s="27">
        <f t="shared" si="164"/>
        <v>160</v>
      </c>
      <c r="N567" s="27">
        <f t="shared" si="164"/>
        <v>201.25223613595705</v>
      </c>
      <c r="O567" s="27">
        <f t="shared" si="166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75">
        <v>14.1</v>
      </c>
      <c r="X567" s="61">
        <v>41402</v>
      </c>
      <c r="Y567" s="68">
        <v>4232.5807105263157</v>
      </c>
      <c r="Z567" s="68">
        <v>4876.8757894736846</v>
      </c>
    </row>
    <row r="568" spans="1:33" x14ac:dyDescent="0.3">
      <c r="A568" s="61">
        <v>41409</v>
      </c>
      <c r="B568" s="19">
        <v>3.8660000000000001</v>
      </c>
      <c r="C568" s="2">
        <v>0</v>
      </c>
      <c r="D568" s="2">
        <v>-90.5</v>
      </c>
      <c r="E568" s="2">
        <v>278</v>
      </c>
      <c r="F568" s="19">
        <v>45</v>
      </c>
      <c r="G568" s="19">
        <v>24</v>
      </c>
      <c r="I568" s="10">
        <v>41409</v>
      </c>
      <c r="J568" s="27">
        <f t="shared" si="161"/>
        <v>259.46308724832215</v>
      </c>
      <c r="K568" s="11">
        <f t="shared" si="162"/>
        <v>233.09054784847424</v>
      </c>
      <c r="L568" s="11">
        <f t="shared" si="162"/>
        <v>204.69602309221301</v>
      </c>
      <c r="M568" s="27">
        <f t="shared" si="164"/>
        <v>154.44444444444443</v>
      </c>
      <c r="N568" s="27">
        <f t="shared" si="164"/>
        <v>201.25223613595705</v>
      </c>
      <c r="O568" s="27">
        <f t="shared" si="166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75">
        <v>14.1</v>
      </c>
      <c r="X568" s="61">
        <v>41409</v>
      </c>
      <c r="Y568" s="68">
        <v>4232.5807105263157</v>
      </c>
      <c r="Z568" s="68">
        <v>4876.8757894736846</v>
      </c>
    </row>
    <row r="569" spans="1:33" x14ac:dyDescent="0.3">
      <c r="A569" s="61">
        <v>41416</v>
      </c>
      <c r="B569" s="86">
        <v>3.89</v>
      </c>
      <c r="C569" s="2">
        <v>8.5</v>
      </c>
      <c r="D569" s="2">
        <v>-90</v>
      </c>
      <c r="E569" s="2">
        <v>273</v>
      </c>
      <c r="F569" s="86">
        <v>44.5</v>
      </c>
      <c r="G569" s="86">
        <v>23.5</v>
      </c>
      <c r="I569" s="10">
        <v>41416</v>
      </c>
      <c r="J569" s="27">
        <f t="shared" si="161"/>
        <v>261.07382550335575</v>
      </c>
      <c r="K569" s="11">
        <f t="shared" si="162"/>
        <v>233.55864752387672</v>
      </c>
      <c r="L569" s="11">
        <f t="shared" si="162"/>
        <v>204.71740628819424</v>
      </c>
      <c r="M569" s="27">
        <f t="shared" si="164"/>
        <v>151.66666666666666</v>
      </c>
      <c r="N569" s="27">
        <f t="shared" si="164"/>
        <v>199.01610017889089</v>
      </c>
      <c r="O569" s="27">
        <f t="shared" si="166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75">
        <v>14.1</v>
      </c>
      <c r="X569" s="61">
        <v>41416</v>
      </c>
      <c r="Y569" s="68">
        <v>4232.5807105263157</v>
      </c>
      <c r="Z569" s="68">
        <v>4876.8757894736846</v>
      </c>
    </row>
    <row r="570" spans="1:33" x14ac:dyDescent="0.3">
      <c r="A570" s="61">
        <v>41423</v>
      </c>
      <c r="B570" s="86">
        <v>3.88</v>
      </c>
      <c r="C570" s="2">
        <v>8.5</v>
      </c>
      <c r="D570" s="2">
        <v>-75</v>
      </c>
      <c r="E570" s="2">
        <v>310</v>
      </c>
      <c r="F570" s="86">
        <v>45</v>
      </c>
      <c r="G570" s="86">
        <v>23.5</v>
      </c>
      <c r="I570" s="10">
        <v>41423</v>
      </c>
      <c r="J570" s="27">
        <f t="shared" si="161"/>
        <v>260.40268456375838</v>
      </c>
      <c r="K570" s="11">
        <f t="shared" si="162"/>
        <v>233.55864752387672</v>
      </c>
      <c r="L570" s="11">
        <f t="shared" si="162"/>
        <v>205.35890216763102</v>
      </c>
      <c r="M570" s="27">
        <f t="shared" si="164"/>
        <v>172.22222222222223</v>
      </c>
      <c r="N570" s="27">
        <f t="shared" si="164"/>
        <v>201.25223613595705</v>
      </c>
      <c r="O570" s="27">
        <f t="shared" si="166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75">
        <v>14.1</v>
      </c>
      <c r="X570" s="61">
        <v>41423</v>
      </c>
      <c r="Y570" s="68">
        <v>4232.5807105263157</v>
      </c>
      <c r="Z570" s="68">
        <v>4876.8757894736846</v>
      </c>
    </row>
    <row r="571" spans="1:33" x14ac:dyDescent="0.3">
      <c r="A571" s="61">
        <v>41430</v>
      </c>
      <c r="B571" s="86">
        <v>3.8690000000000002</v>
      </c>
      <c r="C571" s="2">
        <v>6.5</v>
      </c>
      <c r="D571" s="2">
        <v>-25</v>
      </c>
      <c r="E571" s="2">
        <v>315</v>
      </c>
      <c r="F571" s="86">
        <v>44</v>
      </c>
      <c r="G571" s="86">
        <v>22.5</v>
      </c>
      <c r="I571" s="10">
        <v>41430</v>
      </c>
      <c r="J571" s="27">
        <f t="shared" si="161"/>
        <v>259.66442953020135</v>
      </c>
      <c r="K571" s="11">
        <f t="shared" si="162"/>
        <v>234.83305251322241</v>
      </c>
      <c r="L571" s="11">
        <f t="shared" si="162"/>
        <v>207.47228220665122</v>
      </c>
      <c r="M571" s="27">
        <f t="shared" si="164"/>
        <v>175</v>
      </c>
      <c r="N571" s="27">
        <f t="shared" si="164"/>
        <v>196.77996422182468</v>
      </c>
      <c r="O571" s="27">
        <f t="shared" si="166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75">
        <v>14.1</v>
      </c>
      <c r="X571" s="61">
        <v>41430</v>
      </c>
      <c r="Y571" s="68">
        <v>4257.7220263157906</v>
      </c>
      <c r="Z571" s="68">
        <v>4876.2926315789482</v>
      </c>
    </row>
    <row r="572" spans="1:33" x14ac:dyDescent="0.3">
      <c r="A572" s="61">
        <v>41437</v>
      </c>
      <c r="B572" s="87">
        <v>3.8490000000000002</v>
      </c>
      <c r="C572" s="2">
        <v>0</v>
      </c>
      <c r="D572" s="2">
        <v>-37.5</v>
      </c>
      <c r="E572" s="2">
        <v>293</v>
      </c>
      <c r="F572" s="87">
        <v>44</v>
      </c>
      <c r="G572" s="87">
        <v>22.5</v>
      </c>
      <c r="I572" s="10">
        <v>41437</v>
      </c>
      <c r="J572" s="27">
        <f t="shared" si="161"/>
        <v>258.32214765100667</v>
      </c>
      <c r="K572" s="11">
        <f t="shared" si="162"/>
        <v>234.47509393791469</v>
      </c>
      <c r="L572" s="11">
        <f t="shared" si="162"/>
        <v>206.93770230712062</v>
      </c>
      <c r="M572" s="27">
        <f t="shared" si="164"/>
        <v>162.77777777777777</v>
      </c>
      <c r="N572" s="27">
        <f t="shared" si="164"/>
        <v>196.77996422182468</v>
      </c>
      <c r="O572" s="27">
        <f t="shared" si="166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75">
        <v>14.1</v>
      </c>
      <c r="X572" s="61">
        <v>41437</v>
      </c>
      <c r="Y572" s="68">
        <v>4257.7220263157906</v>
      </c>
      <c r="Z572" s="68">
        <v>4876.2926315789482</v>
      </c>
    </row>
    <row r="573" spans="1:33" x14ac:dyDescent="0.3">
      <c r="A573" s="61">
        <v>41444</v>
      </c>
      <c r="B573" s="87">
        <v>3.8410000000000002</v>
      </c>
      <c r="C573" s="2">
        <v>0</v>
      </c>
      <c r="D573" s="2">
        <v>100</v>
      </c>
      <c r="E573" s="2">
        <v>295</v>
      </c>
      <c r="F573" s="87">
        <v>45.5</v>
      </c>
      <c r="G573" s="87">
        <v>24</v>
      </c>
      <c r="I573" s="10">
        <v>41444</v>
      </c>
      <c r="J573" s="27">
        <f t="shared" si="161"/>
        <v>257.78523489932883</v>
      </c>
      <c r="K573" s="11">
        <f t="shared" si="162"/>
        <v>234.47509393791469</v>
      </c>
      <c r="L573" s="11">
        <f t="shared" si="162"/>
        <v>212.81808120195745</v>
      </c>
      <c r="M573" s="27">
        <f t="shared" si="164"/>
        <v>163.88888888888889</v>
      </c>
      <c r="N573" s="27">
        <f t="shared" si="164"/>
        <v>203.48837209302326</v>
      </c>
      <c r="O573" s="27">
        <f t="shared" si="166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75">
        <v>14.1</v>
      </c>
      <c r="W573" s="5"/>
      <c r="X573" s="61">
        <v>41444</v>
      </c>
      <c r="Y573" s="68">
        <v>4257.7220263157906</v>
      </c>
      <c r="Z573" s="68">
        <v>4876.2926315789482</v>
      </c>
      <c r="AC573" s="10"/>
      <c r="AD573" s="11"/>
      <c r="AE573" s="11"/>
      <c r="AF573" s="11"/>
      <c r="AG573" s="11"/>
    </row>
    <row r="574" spans="1:33" x14ac:dyDescent="0.3">
      <c r="A574" s="61">
        <v>41451</v>
      </c>
      <c r="B574" s="87">
        <v>3.8380000000000001</v>
      </c>
      <c r="C574" s="2">
        <v>4</v>
      </c>
      <c r="D574" s="2">
        <v>-69</v>
      </c>
      <c r="E574" s="2">
        <v>323</v>
      </c>
      <c r="F574" s="87">
        <v>46</v>
      </c>
      <c r="G574" s="87">
        <v>24</v>
      </c>
      <c r="I574" s="10">
        <v>41451</v>
      </c>
      <c r="J574" s="27">
        <f t="shared" si="161"/>
        <v>257.58389261744964</v>
      </c>
      <c r="K574" s="11">
        <f t="shared" si="162"/>
        <v>234.69537613810405</v>
      </c>
      <c r="L574" s="11">
        <f t="shared" si="162"/>
        <v>205.59056096030343</v>
      </c>
      <c r="M574" s="27">
        <f t="shared" si="164"/>
        <v>179.44444444444443</v>
      </c>
      <c r="N574" s="27">
        <f t="shared" si="164"/>
        <v>205.72450805008947</v>
      </c>
      <c r="O574" s="27">
        <f t="shared" si="166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75">
        <v>14.1</v>
      </c>
      <c r="W574" s="5"/>
      <c r="X574" s="61">
        <v>41451</v>
      </c>
      <c r="Y574" s="68">
        <v>4257.7220263157906</v>
      </c>
      <c r="Z574" s="68">
        <v>4876.2926315789482</v>
      </c>
      <c r="AC574" s="10"/>
      <c r="AD574" s="11"/>
      <c r="AE574" s="11"/>
      <c r="AF574" s="11"/>
      <c r="AG574" s="11"/>
    </row>
    <row r="575" spans="1:33" x14ac:dyDescent="0.3">
      <c r="A575" s="61">
        <v>41458</v>
      </c>
      <c r="B575" s="86">
        <v>3.8170000000000002</v>
      </c>
      <c r="C575" s="2">
        <v>4</v>
      </c>
      <c r="D575" s="2">
        <v>-75</v>
      </c>
      <c r="E575" s="2">
        <v>307</v>
      </c>
      <c r="F575" s="86">
        <v>46</v>
      </c>
      <c r="G575" s="86">
        <v>24</v>
      </c>
      <c r="I575" s="10">
        <v>41458</v>
      </c>
      <c r="J575" s="27">
        <f t="shared" si="161"/>
        <v>256.17449664429535</v>
      </c>
      <c r="K575" s="11">
        <f t="shared" si="162"/>
        <v>234.15483695101429</v>
      </c>
      <c r="L575" s="11">
        <f t="shared" si="162"/>
        <v>204.72548688541244</v>
      </c>
      <c r="M575" s="27">
        <f t="shared" si="164"/>
        <v>170.55555555555557</v>
      </c>
      <c r="N575" s="27">
        <f t="shared" si="164"/>
        <v>205.72450805008947</v>
      </c>
      <c r="O575" s="27">
        <f t="shared" si="166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75">
        <v>14.1</v>
      </c>
      <c r="W575" s="5"/>
      <c r="X575" s="61">
        <v>41458</v>
      </c>
      <c r="Y575" s="68">
        <v>4247.9066315789478</v>
      </c>
      <c r="Z575" s="68">
        <v>4862.064736842106</v>
      </c>
      <c r="AC575" s="10"/>
      <c r="AD575" s="11"/>
      <c r="AE575" s="11"/>
      <c r="AF575" s="11"/>
      <c r="AG575" s="11"/>
    </row>
    <row r="576" spans="1:33" x14ac:dyDescent="0.3">
      <c r="A576" s="61">
        <v>41465</v>
      </c>
      <c r="B576" s="19">
        <v>3.8279999999999998</v>
      </c>
      <c r="C576" s="2">
        <v>0.5</v>
      </c>
      <c r="D576" s="2">
        <v>-151</v>
      </c>
      <c r="E576" s="2">
        <v>288</v>
      </c>
      <c r="F576" s="19">
        <v>45.5</v>
      </c>
      <c r="G576" s="19">
        <v>24</v>
      </c>
      <c r="I576" s="10">
        <v>41465</v>
      </c>
      <c r="J576" s="27">
        <f t="shared" si="161"/>
        <v>256.91275167785233</v>
      </c>
      <c r="K576" s="11">
        <f t="shared" si="162"/>
        <v>233.9620900258486</v>
      </c>
      <c r="L576" s="11">
        <f t="shared" si="162"/>
        <v>201.47524109626622</v>
      </c>
      <c r="M576" s="27">
        <f t="shared" si="164"/>
        <v>160</v>
      </c>
      <c r="N576" s="27">
        <f t="shared" si="164"/>
        <v>203.48837209302326</v>
      </c>
      <c r="O576" s="27">
        <f t="shared" si="166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75">
        <v>14.1</v>
      </c>
      <c r="W576" s="5"/>
      <c r="X576" s="61">
        <v>41465</v>
      </c>
      <c r="Y576" s="68">
        <v>4247.9066315789478</v>
      </c>
      <c r="Z576" s="68">
        <v>4862.064736842106</v>
      </c>
      <c r="AC576" s="10"/>
      <c r="AD576" s="11"/>
      <c r="AE576" s="11"/>
      <c r="AF576" s="11"/>
      <c r="AG576" s="11"/>
    </row>
    <row r="577" spans="1:33" x14ac:dyDescent="0.3">
      <c r="A577" s="61">
        <v>41472</v>
      </c>
      <c r="B577" s="19">
        <v>3.867</v>
      </c>
      <c r="C577" s="2">
        <v>0.5</v>
      </c>
      <c r="D577" s="2">
        <v>-100</v>
      </c>
      <c r="E577" s="2">
        <v>282</v>
      </c>
      <c r="F577" s="19">
        <v>45.5</v>
      </c>
      <c r="G577" s="19">
        <v>24</v>
      </c>
      <c r="I577" s="10">
        <v>41472</v>
      </c>
      <c r="J577" s="27">
        <f t="shared" si="161"/>
        <v>259.53020134228188</v>
      </c>
      <c r="K577" s="11">
        <f t="shared" si="162"/>
        <v>233.9620900258486</v>
      </c>
      <c r="L577" s="11">
        <f t="shared" si="162"/>
        <v>203.65632708635118</v>
      </c>
      <c r="M577" s="27">
        <f t="shared" si="164"/>
        <v>156.66666666666666</v>
      </c>
      <c r="N577" s="27">
        <f t="shared" si="164"/>
        <v>203.48837209302326</v>
      </c>
      <c r="O577" s="27">
        <f t="shared" si="166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75">
        <v>14.1</v>
      </c>
      <c r="W577" s="5"/>
      <c r="X577" s="61">
        <v>41472</v>
      </c>
      <c r="Y577" s="68">
        <v>4247.9066315789478</v>
      </c>
      <c r="Z577" s="68">
        <v>4862.064736842106</v>
      </c>
      <c r="AC577" s="10"/>
      <c r="AD577" s="11"/>
      <c r="AE577" s="11"/>
      <c r="AF577" s="11"/>
      <c r="AG577" s="11"/>
    </row>
    <row r="578" spans="1:33" x14ac:dyDescent="0.3">
      <c r="A578" s="61">
        <v>41479</v>
      </c>
      <c r="B578" s="19">
        <v>3.903</v>
      </c>
      <c r="C578" s="2">
        <v>0</v>
      </c>
      <c r="D578" s="2">
        <v>-146</v>
      </c>
      <c r="E578" s="2">
        <v>265</v>
      </c>
      <c r="F578" s="19">
        <v>46.5</v>
      </c>
      <c r="G578" s="19">
        <v>24.75</v>
      </c>
      <c r="I578" s="10">
        <v>41479</v>
      </c>
      <c r="J578" s="27">
        <f t="shared" si="161"/>
        <v>261.94630872483219</v>
      </c>
      <c r="K578" s="11">
        <f t="shared" si="162"/>
        <v>233.93455475082493</v>
      </c>
      <c r="L578" s="11">
        <f t="shared" si="162"/>
        <v>201.68907305607848</v>
      </c>
      <c r="M578" s="27">
        <f t="shared" si="164"/>
        <v>147.22222222222223</v>
      </c>
      <c r="N578" s="27">
        <f t="shared" si="164"/>
        <v>207.96064400715562</v>
      </c>
      <c r="O578" s="27">
        <f t="shared" si="166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75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9">
        <v>3.915</v>
      </c>
      <c r="C579" s="2">
        <v>4</v>
      </c>
      <c r="D579" s="2">
        <v>-138</v>
      </c>
      <c r="E579" s="2">
        <v>258</v>
      </c>
      <c r="F579" s="19">
        <v>46</v>
      </c>
      <c r="G579" s="19">
        <v>24</v>
      </c>
      <c r="I579" s="10">
        <v>41486</v>
      </c>
      <c r="J579" s="27">
        <f t="shared" si="161"/>
        <v>262.75167785234902</v>
      </c>
      <c r="K579" s="11">
        <f t="shared" si="162"/>
        <v>234.15483695101429</v>
      </c>
      <c r="L579" s="11">
        <f t="shared" si="162"/>
        <v>202.0312041917781</v>
      </c>
      <c r="M579" s="27">
        <f t="shared" si="164"/>
        <v>143.33333333333334</v>
      </c>
      <c r="N579" s="27">
        <f t="shared" si="164"/>
        <v>205.72450805008947</v>
      </c>
      <c r="O579" s="27">
        <f t="shared" si="166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75">
        <v>14.1</v>
      </c>
      <c r="W579" s="5"/>
      <c r="X579" s="61">
        <v>41486</v>
      </c>
      <c r="Y579" s="68">
        <v>4247.9066315789478</v>
      </c>
      <c r="Z579" s="68">
        <v>4862.064736842106</v>
      </c>
      <c r="AC579" s="10"/>
      <c r="AD579" s="11"/>
      <c r="AE579" s="11"/>
      <c r="AF579" s="11"/>
      <c r="AG579" s="11"/>
    </row>
    <row r="580" spans="1:33" x14ac:dyDescent="0.3">
      <c r="A580" s="61">
        <v>41493</v>
      </c>
      <c r="B580" s="19">
        <v>3.9089999999999998</v>
      </c>
      <c r="C580" s="2">
        <v>0</v>
      </c>
      <c r="D580" s="2">
        <v>-62</v>
      </c>
      <c r="E580" s="2">
        <v>285</v>
      </c>
      <c r="F580" s="19">
        <v>46.5</v>
      </c>
      <c r="G580" s="19">
        <v>24.75</v>
      </c>
      <c r="I580" s="10">
        <v>41493</v>
      </c>
      <c r="J580" s="27">
        <f t="shared" si="161"/>
        <v>262.34899328859058</v>
      </c>
      <c r="K580" s="11">
        <f t="shared" si="162"/>
        <v>234.28709032617806</v>
      </c>
      <c r="L580" s="11">
        <f t="shared" si="162"/>
        <v>205.40121838704647</v>
      </c>
      <c r="M580" s="27">
        <f t="shared" si="164"/>
        <v>158.33333333333334</v>
      </c>
      <c r="N580" s="27">
        <f t="shared" si="164"/>
        <v>207.96064400715562</v>
      </c>
      <c r="O580" s="27">
        <f t="shared" si="166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75">
        <v>14.1</v>
      </c>
      <c r="X580" s="61">
        <v>41493</v>
      </c>
      <c r="Y580" s="68">
        <v>4254.3081578947376</v>
      </c>
      <c r="Z580" s="68">
        <v>4864.8652631578952</v>
      </c>
      <c r="AC580" s="10"/>
      <c r="AD580" s="11"/>
      <c r="AE580" s="11"/>
      <c r="AF580" s="11"/>
      <c r="AG580" s="11"/>
    </row>
    <row r="581" spans="1:33" x14ac:dyDescent="0.3">
      <c r="A581" s="61">
        <v>41500</v>
      </c>
      <c r="B581" s="19">
        <v>3.8959999999999999</v>
      </c>
      <c r="C581" s="2">
        <v>0</v>
      </c>
      <c r="D581" s="2">
        <v>-60.5</v>
      </c>
      <c r="E581" s="2">
        <v>352</v>
      </c>
      <c r="F581" s="19">
        <v>45.5</v>
      </c>
      <c r="G581" s="19">
        <v>24</v>
      </c>
      <c r="I581" s="10">
        <v>41500</v>
      </c>
      <c r="J581" s="27">
        <f t="shared" si="161"/>
        <v>261.47651006711408</v>
      </c>
      <c r="K581" s="11">
        <f t="shared" si="162"/>
        <v>234.28709032617806</v>
      </c>
      <c r="L581" s="11">
        <f t="shared" si="162"/>
        <v>205.46536797499019</v>
      </c>
      <c r="M581" s="27">
        <f t="shared" si="164"/>
        <v>195.55555555555557</v>
      </c>
      <c r="N581" s="27">
        <f t="shared" si="164"/>
        <v>203.48837209302326</v>
      </c>
      <c r="O581" s="27">
        <f t="shared" si="166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75">
        <v>14.1</v>
      </c>
      <c r="X581" s="61">
        <v>41500</v>
      </c>
      <c r="Y581" s="68">
        <v>4254.3081578947376</v>
      </c>
      <c r="Z581" s="68">
        <v>4864.8652631578952</v>
      </c>
      <c r="AC581" s="10"/>
      <c r="AD581" s="11"/>
      <c r="AE581" s="11"/>
      <c r="AF581" s="11"/>
      <c r="AG581" s="11"/>
    </row>
    <row r="582" spans="1:33" x14ac:dyDescent="0.3">
      <c r="A582" s="61">
        <v>41507</v>
      </c>
      <c r="B582" s="19">
        <v>3.9</v>
      </c>
      <c r="C582" s="2">
        <v>0</v>
      </c>
      <c r="D582" s="2">
        <v>-51</v>
      </c>
      <c r="E582" s="2">
        <v>355</v>
      </c>
      <c r="F582" s="19">
        <v>45</v>
      </c>
      <c r="G582" s="19">
        <v>24</v>
      </c>
      <c r="I582" s="10">
        <v>41507</v>
      </c>
      <c r="J582" s="27">
        <f t="shared" si="161"/>
        <v>261.744966442953</v>
      </c>
      <c r="K582" s="11">
        <f t="shared" si="162"/>
        <v>234.28709032617806</v>
      </c>
      <c r="L582" s="11">
        <f t="shared" si="162"/>
        <v>205.87164869863344</v>
      </c>
      <c r="M582" s="27">
        <f t="shared" si="164"/>
        <v>197.22222222222223</v>
      </c>
      <c r="N582" s="27">
        <f t="shared" si="164"/>
        <v>201.25223613595705</v>
      </c>
      <c r="O582" s="27">
        <f t="shared" si="166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75">
        <v>14.1</v>
      </c>
      <c r="X582" s="61">
        <v>41507</v>
      </c>
      <c r="Y582" s="68">
        <v>4254.3081578947376</v>
      </c>
      <c r="Z582" s="68">
        <v>4864.8652631578952</v>
      </c>
      <c r="AC582" s="10"/>
      <c r="AD582" s="11"/>
      <c r="AE582" s="11"/>
      <c r="AF582" s="11"/>
      <c r="AG582" s="11"/>
    </row>
    <row r="583" spans="1:33" x14ac:dyDescent="0.3">
      <c r="A583" s="61">
        <v>41514</v>
      </c>
      <c r="B583" s="19">
        <v>3.9129999999999998</v>
      </c>
      <c r="C583" s="2">
        <v>56</v>
      </c>
      <c r="D583" s="2">
        <v>44</v>
      </c>
      <c r="E583" s="2">
        <v>392</v>
      </c>
      <c r="F583" s="19">
        <v>45</v>
      </c>
      <c r="G583" s="19">
        <v>24.5</v>
      </c>
      <c r="I583" s="10">
        <v>41514</v>
      </c>
      <c r="J583" s="27">
        <f t="shared" si="161"/>
        <v>262.6174496644295</v>
      </c>
      <c r="K583" s="11">
        <f t="shared" si="162"/>
        <v>237.37104112882946</v>
      </c>
      <c r="L583" s="11">
        <f t="shared" si="162"/>
        <v>209.93445593506621</v>
      </c>
      <c r="M583" s="27">
        <f t="shared" si="164"/>
        <v>217.7777777777778</v>
      </c>
      <c r="N583" s="27">
        <f t="shared" si="164"/>
        <v>201.25223613595705</v>
      </c>
      <c r="O583" s="27">
        <f t="shared" si="166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75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9">
        <v>3.9809999999999999</v>
      </c>
      <c r="C584" s="2">
        <v>171</v>
      </c>
      <c r="D584" s="2">
        <v>191.5</v>
      </c>
      <c r="E584" s="2">
        <v>425</v>
      </c>
      <c r="F584" s="19">
        <v>45.5</v>
      </c>
      <c r="G584" s="19">
        <v>25</v>
      </c>
      <c r="I584" s="10">
        <v>41521</v>
      </c>
      <c r="J584" s="27">
        <f t="shared" si="161"/>
        <v>267.18120805369125</v>
      </c>
      <c r="K584" s="11">
        <f t="shared" si="162"/>
        <v>244.17188015962643</v>
      </c>
      <c r="L584" s="11">
        <f t="shared" si="162"/>
        <v>216.56840116490881</v>
      </c>
      <c r="M584" s="27">
        <f t="shared" si="164"/>
        <v>236.11111111111111</v>
      </c>
      <c r="N584" s="27">
        <f t="shared" si="164"/>
        <v>203.48837209302326</v>
      </c>
      <c r="O584" s="27">
        <f t="shared" si="166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75">
        <v>14.1</v>
      </c>
      <c r="X584" s="61">
        <v>41521</v>
      </c>
      <c r="Y584" s="68">
        <v>4262.8013684210528</v>
      </c>
      <c r="Z584" s="68">
        <v>4872.4857894736851</v>
      </c>
      <c r="AC584" s="10"/>
      <c r="AD584" s="11"/>
      <c r="AE584" s="11"/>
      <c r="AF584" s="11"/>
      <c r="AG584" s="11"/>
    </row>
    <row r="585" spans="1:33" x14ac:dyDescent="0.3">
      <c r="A585" s="61">
        <v>41528</v>
      </c>
      <c r="B585" s="19">
        <v>3.9809999999999999</v>
      </c>
      <c r="C585" s="2">
        <v>37.5</v>
      </c>
      <c r="D585" s="2">
        <v>200</v>
      </c>
      <c r="E585" s="2">
        <v>453</v>
      </c>
      <c r="F585" s="19">
        <v>47.5</v>
      </c>
      <c r="G585" s="19">
        <v>27</v>
      </c>
      <c r="I585" s="10">
        <v>41528</v>
      </c>
      <c r="J585" s="27">
        <f t="shared" si="161"/>
        <v>267.18120805369125</v>
      </c>
      <c r="K585" s="11">
        <f t="shared" si="162"/>
        <v>236.81996172830563</v>
      </c>
      <c r="L585" s="11">
        <f t="shared" si="162"/>
        <v>216.93191549658962</v>
      </c>
      <c r="M585" s="27">
        <f t="shared" si="164"/>
        <v>251.66666666666666</v>
      </c>
      <c r="N585" s="27">
        <f t="shared" si="164"/>
        <v>212.43291592128801</v>
      </c>
      <c r="O585" s="27">
        <f t="shared" si="166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75">
        <v>14.1</v>
      </c>
      <c r="X585" s="61">
        <v>41528</v>
      </c>
      <c r="Y585" s="68">
        <v>4262.8013684210528</v>
      </c>
      <c r="Z585" s="68">
        <v>4872.4857894736851</v>
      </c>
      <c r="AC585" s="10"/>
      <c r="AD585" s="11"/>
      <c r="AE585" s="11"/>
      <c r="AF585" s="11"/>
      <c r="AG585" s="11"/>
    </row>
    <row r="586" spans="1:33" x14ac:dyDescent="0.3">
      <c r="A586" s="61">
        <v>41535</v>
      </c>
      <c r="B586" s="19">
        <v>3.9740000000000002</v>
      </c>
      <c r="C586" s="2">
        <v>306.5</v>
      </c>
      <c r="D586" s="2">
        <v>150</v>
      </c>
      <c r="E586" s="2">
        <v>550</v>
      </c>
      <c r="F586" s="19">
        <v>50.5</v>
      </c>
      <c r="G586" s="19">
        <v>31</v>
      </c>
      <c r="I586" s="10">
        <v>41535</v>
      </c>
      <c r="J586" s="27">
        <f t="shared" si="161"/>
        <v>266.71140939597313</v>
      </c>
      <c r="K586" s="11">
        <f t="shared" si="162"/>
        <v>251.63393969104192</v>
      </c>
      <c r="L586" s="11">
        <f t="shared" si="162"/>
        <v>214.79359589846717</v>
      </c>
      <c r="M586" s="27">
        <f t="shared" si="164"/>
        <v>305.55555555555554</v>
      </c>
      <c r="N586" s="27">
        <f t="shared" si="164"/>
        <v>225.84973166368516</v>
      </c>
      <c r="O586" s="27">
        <f t="shared" si="166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75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9">
        <v>3.9489999999999998</v>
      </c>
      <c r="C587" s="2">
        <v>100</v>
      </c>
      <c r="D587" s="2">
        <v>612.5</v>
      </c>
      <c r="E587" s="2">
        <v>558</v>
      </c>
      <c r="F587" s="19">
        <v>52</v>
      </c>
      <c r="G587" s="19">
        <v>32</v>
      </c>
      <c r="I587" s="10">
        <v>41542</v>
      </c>
      <c r="J587" s="27">
        <f t="shared" si="161"/>
        <v>265.03355704697987</v>
      </c>
      <c r="K587" s="11">
        <f t="shared" si="162"/>
        <v>240.26187110626483</v>
      </c>
      <c r="L587" s="11">
        <f t="shared" si="162"/>
        <v>234.57305218110031</v>
      </c>
      <c r="M587" s="27">
        <f t="shared" si="164"/>
        <v>310</v>
      </c>
      <c r="N587" s="27">
        <f t="shared" si="164"/>
        <v>232.55813953488374</v>
      </c>
      <c r="O587" s="27">
        <f t="shared" si="166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75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9">
        <v>3.919</v>
      </c>
      <c r="C588" s="2" t="s">
        <v>17</v>
      </c>
      <c r="D588" s="2">
        <v>1012.5</v>
      </c>
      <c r="E588" s="2">
        <v>595</v>
      </c>
      <c r="F588" s="19">
        <v>58</v>
      </c>
      <c r="G588" s="19">
        <v>35</v>
      </c>
      <c r="I588" s="10">
        <v>41549</v>
      </c>
      <c r="J588" s="27">
        <f t="shared" si="161"/>
        <v>263.02013422818794</v>
      </c>
      <c r="K588" s="11">
        <f t="shared" si="162"/>
        <v>239.1216542074595</v>
      </c>
      <c r="L588" s="11">
        <f t="shared" si="162"/>
        <v>257.7210595982242</v>
      </c>
      <c r="M588" s="27">
        <f t="shared" si="164"/>
        <v>330.55555555555554</v>
      </c>
      <c r="N588" s="27">
        <f t="shared" si="164"/>
        <v>259.391771019678</v>
      </c>
      <c r="O588" s="27">
        <f t="shared" si="166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75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9">
        <v>3.8969999999999998</v>
      </c>
      <c r="C589" s="2">
        <v>425</v>
      </c>
      <c r="D589" s="2">
        <v>1012.5</v>
      </c>
      <c r="E589" s="2">
        <v>550</v>
      </c>
      <c r="F589" s="19">
        <v>56.5</v>
      </c>
      <c r="G589" s="19">
        <v>34</v>
      </c>
      <c r="I589" s="10">
        <v>41556</v>
      </c>
      <c r="J589" s="27">
        <f t="shared" si="161"/>
        <v>261.54362416107386</v>
      </c>
      <c r="K589" s="11">
        <f>(C589+Y589)/R589*100</f>
        <v>262.52663797758191</v>
      </c>
      <c r="L589" s="11">
        <f t="shared" si="162"/>
        <v>257.7210595982242</v>
      </c>
      <c r="M589" s="27">
        <f t="shared" si="164"/>
        <v>305.55555555555554</v>
      </c>
      <c r="N589" s="27">
        <f t="shared" si="164"/>
        <v>252.6833631484794</v>
      </c>
      <c r="O589" s="27">
        <f t="shared" si="166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75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9">
        <v>3.8860000000000001</v>
      </c>
      <c r="C590" s="2">
        <v>308.5</v>
      </c>
      <c r="D590" s="2">
        <v>1033.5</v>
      </c>
      <c r="E590" s="2">
        <v>625</v>
      </c>
      <c r="F590" s="19">
        <v>57.5</v>
      </c>
      <c r="G590" s="19">
        <v>33</v>
      </c>
      <c r="I590" s="10">
        <v>41563</v>
      </c>
      <c r="J590" s="27">
        <f t="shared" si="161"/>
        <v>260.80536912751677</v>
      </c>
      <c r="K590" s="11">
        <f t="shared" si="162"/>
        <v>256.11091889706603</v>
      </c>
      <c r="L590" s="11">
        <f t="shared" si="162"/>
        <v>258.61915382943567</v>
      </c>
      <c r="M590" s="27">
        <f t="shared" si="164"/>
        <v>347.22222222222223</v>
      </c>
      <c r="N590" s="27">
        <f t="shared" si="164"/>
        <v>257.15563506261179</v>
      </c>
      <c r="O590" s="27">
        <f t="shared" si="166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75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88">
        <v>3.8860000000000001</v>
      </c>
      <c r="C591" s="2">
        <v>250</v>
      </c>
      <c r="D591" s="2">
        <v>875</v>
      </c>
      <c r="E591" s="2">
        <v>641</v>
      </c>
      <c r="F591" s="88">
        <v>55.5</v>
      </c>
      <c r="G591" s="88">
        <v>32</v>
      </c>
      <c r="I591" s="10">
        <v>41570</v>
      </c>
      <c r="J591" s="27">
        <f t="shared" si="161"/>
        <v>260.80536912751677</v>
      </c>
      <c r="K591" s="11">
        <f t="shared" si="162"/>
        <v>252.88929171929624</v>
      </c>
      <c r="L591" s="11">
        <f t="shared" si="162"/>
        <v>251.84068070338731</v>
      </c>
      <c r="M591" s="27">
        <f t="shared" ref="M591:M599" si="167">(1+(E591-T590)/T590)*100</f>
        <v>356.11111111111109</v>
      </c>
      <c r="N591" s="27">
        <f t="shared" si="164"/>
        <v>248.21109123434707</v>
      </c>
      <c r="O591" s="27">
        <f t="shared" si="166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75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88">
        <v>3.87</v>
      </c>
      <c r="C592" s="2">
        <v>416.5</v>
      </c>
      <c r="D592" s="2">
        <v>1100</v>
      </c>
      <c r="E592" s="2">
        <v>618</v>
      </c>
      <c r="F592" s="88">
        <v>55</v>
      </c>
      <c r="G592" s="88">
        <v>31</v>
      </c>
      <c r="I592" s="10">
        <v>41577</v>
      </c>
      <c r="J592" s="27">
        <f t="shared" si="161"/>
        <v>259.73154362416108</v>
      </c>
      <c r="K592" s="11">
        <f t="shared" si="162"/>
        <v>262.0585383021795</v>
      </c>
      <c r="L592" s="11">
        <f t="shared" si="162"/>
        <v>261.46311889493859</v>
      </c>
      <c r="M592" s="27">
        <f t="shared" si="167"/>
        <v>343.33333333333331</v>
      </c>
      <c r="N592" s="27">
        <f t="shared" si="164"/>
        <v>245.97495527728083</v>
      </c>
      <c r="O592" s="27">
        <f t="shared" si="166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75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9">
        <v>3.8570000000000002</v>
      </c>
      <c r="C593" s="2">
        <v>908.5</v>
      </c>
      <c r="D593" s="2">
        <v>1696</v>
      </c>
      <c r="E593" s="2">
        <v>583</v>
      </c>
      <c r="F593" s="19">
        <v>54.5</v>
      </c>
      <c r="G593" s="89">
        <v>30.5</v>
      </c>
      <c r="H593" s="5"/>
      <c r="I593" s="10">
        <v>41584</v>
      </c>
      <c r="J593" s="27">
        <f t="shared" si="161"/>
        <v>258.85906040268452</v>
      </c>
      <c r="K593" s="11">
        <f t="shared" si="162"/>
        <v>289.53437336242678</v>
      </c>
      <c r="L593" s="11">
        <f t="shared" si="162"/>
        <v>287.56036422767505</v>
      </c>
      <c r="M593" s="27">
        <f t="shared" si="167"/>
        <v>323.88888888888891</v>
      </c>
      <c r="N593" s="27">
        <f t="shared" si="164"/>
        <v>243.7388193202147</v>
      </c>
      <c r="O593" s="27">
        <f t="shared" si="166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75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9">
        <v>3.8319999999999999</v>
      </c>
      <c r="C594" s="2">
        <v>525</v>
      </c>
      <c r="D594" s="2">
        <v>1125</v>
      </c>
      <c r="E594" s="2">
        <v>692</v>
      </c>
      <c r="F594" s="19">
        <v>54.5</v>
      </c>
      <c r="G594" s="90">
        <v>30</v>
      </c>
      <c r="H594" s="5"/>
      <c r="I594" s="10">
        <v>41591</v>
      </c>
      <c r="J594" s="27">
        <f t="shared" si="161"/>
        <v>257.18120805369125</v>
      </c>
      <c r="K594" s="11">
        <f t="shared" si="162"/>
        <v>268.4148174192693</v>
      </c>
      <c r="L594" s="11">
        <f t="shared" si="162"/>
        <v>263.14075441711606</v>
      </c>
      <c r="M594" s="27">
        <f t="shared" si="167"/>
        <v>384.44444444444446</v>
      </c>
      <c r="N594" s="27">
        <f t="shared" si="164"/>
        <v>243.7388193202147</v>
      </c>
      <c r="O594" s="27">
        <f t="shared" si="166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75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9">
        <v>3.8220000000000001</v>
      </c>
      <c r="C595" s="2">
        <v>425</v>
      </c>
      <c r="D595" s="2">
        <v>500</v>
      </c>
      <c r="E595" s="2">
        <v>650</v>
      </c>
      <c r="F595" s="19">
        <v>53</v>
      </c>
      <c r="G595" s="91">
        <v>28</v>
      </c>
      <c r="H595" s="5"/>
      <c r="I595" s="10">
        <v>41598</v>
      </c>
      <c r="J595" s="27">
        <f t="shared" si="161"/>
        <v>256.51006711409394</v>
      </c>
      <c r="K595" s="11">
        <f t="shared" si="162"/>
        <v>262.9077624145346</v>
      </c>
      <c r="L595" s="11">
        <f t="shared" si="162"/>
        <v>236.41175944058475</v>
      </c>
      <c r="M595" s="27">
        <f t="shared" si="167"/>
        <v>361.11111111111114</v>
      </c>
      <c r="N595" s="27">
        <f t="shared" si="164"/>
        <v>237.03041144901613</v>
      </c>
      <c r="O595" s="27">
        <f t="shared" si="166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75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9">
        <v>3.8439999999999999</v>
      </c>
      <c r="C596" s="2">
        <v>175</v>
      </c>
      <c r="D596" s="2">
        <v>535.5</v>
      </c>
      <c r="E596" s="2">
        <v>530</v>
      </c>
      <c r="F596" s="19">
        <v>53</v>
      </c>
      <c r="G596" s="19">
        <v>28</v>
      </c>
      <c r="I596" s="10">
        <v>41605</v>
      </c>
      <c r="J596" s="27">
        <f t="shared" si="161"/>
        <v>257.98657718120808</v>
      </c>
      <c r="K596" s="11">
        <f t="shared" si="162"/>
        <v>249.14012490269789</v>
      </c>
      <c r="L596" s="11">
        <f t="shared" si="162"/>
        <v>237.92996635525171</v>
      </c>
      <c r="M596" s="27">
        <f t="shared" si="167"/>
        <v>294.44444444444446</v>
      </c>
      <c r="N596" s="27">
        <f t="shared" si="164"/>
        <v>237.03041144901613</v>
      </c>
      <c r="O596" s="27">
        <f t="shared" si="166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75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91">
        <v>3.883</v>
      </c>
      <c r="C597" s="2">
        <v>175</v>
      </c>
      <c r="D597" s="2">
        <v>662.5</v>
      </c>
      <c r="E597" s="2">
        <v>542</v>
      </c>
      <c r="F597" s="91">
        <v>54.5</v>
      </c>
      <c r="G597" s="91">
        <v>29</v>
      </c>
      <c r="I597" s="10">
        <v>41612</v>
      </c>
      <c r="J597" s="27">
        <f t="shared" si="161"/>
        <v>260.60402684563758</v>
      </c>
      <c r="K597" s="11">
        <f t="shared" si="162"/>
        <v>248.59308883992753</v>
      </c>
      <c r="L597" s="11">
        <f t="shared" si="162"/>
        <v>242.20858631070351</v>
      </c>
      <c r="M597" s="27">
        <f t="shared" si="167"/>
        <v>301.11111111111109</v>
      </c>
      <c r="N597" s="27">
        <f t="shared" si="164"/>
        <v>243.7388193202147</v>
      </c>
      <c r="O597" s="27">
        <f t="shared" si="166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75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91">
        <v>3.879</v>
      </c>
      <c r="C598" s="2">
        <v>487.5</v>
      </c>
      <c r="D598" s="2">
        <v>1562.5</v>
      </c>
      <c r="E598" s="2">
        <v>538</v>
      </c>
      <c r="F598" s="91">
        <v>57</v>
      </c>
      <c r="G598" s="91">
        <v>30.5</v>
      </c>
      <c r="I598" s="10">
        <v>41619</v>
      </c>
      <c r="J598" s="27">
        <f t="shared" si="161"/>
        <v>260.33557046979865</v>
      </c>
      <c r="K598" s="11">
        <f t="shared" si="162"/>
        <v>265.80263572972342</v>
      </c>
      <c r="L598" s="11">
        <f t="shared" si="162"/>
        <v>280.69833907690855</v>
      </c>
      <c r="M598" s="27">
        <f t="shared" si="167"/>
        <v>298.88888888888891</v>
      </c>
      <c r="N598" s="27">
        <f t="shared" si="164"/>
        <v>254.91949910554564</v>
      </c>
      <c r="O598" s="27">
        <f t="shared" si="166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75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91">
        <v>3.87</v>
      </c>
      <c r="C599" s="2">
        <v>594</v>
      </c>
      <c r="D599" s="2">
        <v>1950</v>
      </c>
      <c r="E599" s="2">
        <v>577</v>
      </c>
      <c r="F599" s="91">
        <v>59.5</v>
      </c>
      <c r="G599" s="91">
        <v>31.5</v>
      </c>
      <c r="I599" s="10">
        <v>41626</v>
      </c>
      <c r="J599" s="27">
        <f t="shared" si="161"/>
        <v>259.73154362416108</v>
      </c>
      <c r="K599" s="11">
        <f t="shared" si="162"/>
        <v>271.66764930976586</v>
      </c>
      <c r="L599" s="11">
        <f t="shared" si="162"/>
        <v>297.27031596235798</v>
      </c>
      <c r="M599" s="27">
        <f t="shared" si="167"/>
        <v>320.55555555555554</v>
      </c>
      <c r="N599" s="27">
        <f t="shared" si="164"/>
        <v>266.10017889087658</v>
      </c>
      <c r="O599" s="27">
        <f t="shared" si="166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75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91">
        <v>3.87</v>
      </c>
      <c r="C600" s="2">
        <v>650</v>
      </c>
      <c r="D600" s="2">
        <v>1700</v>
      </c>
      <c r="E600" s="2">
        <v>590</v>
      </c>
      <c r="F600" s="91">
        <v>58</v>
      </c>
      <c r="G600" s="91">
        <v>29.5</v>
      </c>
      <c r="I600" s="10">
        <v>41633</v>
      </c>
      <c r="J600" s="27">
        <f t="shared" si="161"/>
        <v>259.73154362416108</v>
      </c>
      <c r="K600" s="11">
        <f t="shared" si="162"/>
        <v>274.75160011241729</v>
      </c>
      <c r="L600" s="11">
        <f t="shared" si="162"/>
        <v>286.5787179717455</v>
      </c>
      <c r="M600" s="27">
        <f t="shared" ref="M600" si="168">(1+(E600-T599)/T599)*100</f>
        <v>327.77777777777777</v>
      </c>
      <c r="N600" s="27">
        <f t="shared" ref="N600" si="169">(1+(F600-U599)/U599)*100</f>
        <v>259.391771019678</v>
      </c>
      <c r="O600" s="27">
        <f t="shared" ref="O600" si="170">(1+(G600-V599)/V599)*100</f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75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9">
        <v>3.9</v>
      </c>
      <c r="C601" s="2">
        <v>650</v>
      </c>
      <c r="D601" s="2">
        <v>1731</v>
      </c>
      <c r="E601" s="2">
        <v>587</v>
      </c>
      <c r="F601" s="19">
        <v>58</v>
      </c>
      <c r="G601" s="19">
        <v>29.5</v>
      </c>
      <c r="I601" s="10">
        <v>41640</v>
      </c>
      <c r="J601" s="27">
        <f t="shared" ref="J601:J649" si="171">(1+(B601-Q601)/Q601)*100</f>
        <v>261.744966442953</v>
      </c>
      <c r="K601" s="11">
        <f t="shared" si="162"/>
        <v>274.24694808403342</v>
      </c>
      <c r="L601" s="11">
        <f t="shared" ref="L601:L613" si="172">(D601+Z601)/S601*100</f>
        <v>287.29600039946507</v>
      </c>
      <c r="M601" s="27">
        <f t="shared" ref="M601" si="173">(1+(E601-T600)/T600)*100</f>
        <v>326.11111111111109</v>
      </c>
      <c r="N601" s="27">
        <f t="shared" ref="N601" si="174">(1+(F601-U600)/U600)*100</f>
        <v>259.391771019678</v>
      </c>
      <c r="O601" s="27">
        <f t="shared" ref="O601" si="175">(1+(G601-V600)/V600)*100</f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75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9">
        <v>3.91</v>
      </c>
      <c r="C602" s="2">
        <v>400</v>
      </c>
      <c r="D602" s="2">
        <v>1679</v>
      </c>
      <c r="E602" s="2">
        <v>568</v>
      </c>
      <c r="F602" s="94">
        <v>58</v>
      </c>
      <c r="G602" s="94">
        <v>29.5</v>
      </c>
      <c r="I602" s="10">
        <v>41647</v>
      </c>
      <c r="J602" s="27">
        <f t="shared" si="171"/>
        <v>262.41610738255031</v>
      </c>
      <c r="K602" s="27">
        <f t="shared" si="162"/>
        <v>260.47931057219677</v>
      </c>
      <c r="L602" s="27">
        <f t="shared" si="172"/>
        <v>285.07214801741765</v>
      </c>
      <c r="M602" s="27">
        <f t="shared" ref="M602:M649" si="176">(1+(E602-T601)/T601)*100</f>
        <v>315.55555555555554</v>
      </c>
      <c r="N602" s="27">
        <f t="shared" ref="N602:O648" si="177">(1+(F602-U601)/U601)*100</f>
        <v>259.391771019678</v>
      </c>
      <c r="O602" s="27">
        <f t="shared" ref="O602:O635" si="178">(1+(G602-V601)/V601)*100</f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75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95">
        <v>3.8860000000000001</v>
      </c>
      <c r="C603" s="2" t="s">
        <v>17</v>
      </c>
      <c r="D603" s="2">
        <v>2000</v>
      </c>
      <c r="E603" s="2">
        <v>560</v>
      </c>
      <c r="F603" s="95">
        <v>57</v>
      </c>
      <c r="G603" s="95">
        <v>28.5</v>
      </c>
      <c r="I603" s="10">
        <v>41654</v>
      </c>
      <c r="J603" s="27">
        <f t="shared" si="171"/>
        <v>260.80536912751677</v>
      </c>
      <c r="K603" s="27">
        <f t="shared" si="162"/>
        <v>238.45109055325801</v>
      </c>
      <c r="L603" s="27">
        <f t="shared" si="172"/>
        <v>298.80015983736416</v>
      </c>
      <c r="M603" s="27">
        <f t="shared" si="176"/>
        <v>311.11111111111114</v>
      </c>
      <c r="N603" s="27">
        <f t="shared" si="177"/>
        <v>254.91949910554564</v>
      </c>
      <c r="O603" s="27">
        <f t="shared" si="178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75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95">
        <v>3.8730000000000002</v>
      </c>
      <c r="C604" s="2">
        <v>975</v>
      </c>
      <c r="D604" s="2">
        <v>1737.5</v>
      </c>
      <c r="E604" s="2">
        <v>555</v>
      </c>
      <c r="F604" s="95">
        <v>56.5</v>
      </c>
      <c r="G604" s="95">
        <v>28</v>
      </c>
      <c r="I604" s="10">
        <v>41661</v>
      </c>
      <c r="J604" s="27">
        <f t="shared" si="171"/>
        <v>259.93288590604027</v>
      </c>
      <c r="K604" s="27">
        <f t="shared" si="162"/>
        <v>292.14487684942117</v>
      </c>
      <c r="L604" s="27">
        <f t="shared" si="172"/>
        <v>287.573981947221</v>
      </c>
      <c r="M604" s="27">
        <f t="shared" si="176"/>
        <v>308.33333333333337</v>
      </c>
      <c r="N604" s="27">
        <f t="shared" si="177"/>
        <v>252.6833631484794</v>
      </c>
      <c r="O604" s="27">
        <f t="shared" si="178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75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95">
        <v>3.9039999999999999</v>
      </c>
      <c r="C605" s="2">
        <v>1000</v>
      </c>
      <c r="D605" s="2">
        <v>1194</v>
      </c>
      <c r="E605" s="2">
        <v>590</v>
      </c>
      <c r="F605" s="95">
        <v>56.5</v>
      </c>
      <c r="G605" s="95">
        <v>28</v>
      </c>
      <c r="I605" s="10">
        <v>41668</v>
      </c>
      <c r="J605" s="27">
        <f t="shared" si="171"/>
        <v>262.01342281879192</v>
      </c>
      <c r="K605" s="27">
        <f t="shared" si="162"/>
        <v>293.52164060060483</v>
      </c>
      <c r="L605" s="27">
        <f t="shared" si="172"/>
        <v>264.33044791562941</v>
      </c>
      <c r="M605" s="27">
        <f t="shared" si="176"/>
        <v>327.77777777777777</v>
      </c>
      <c r="N605" s="27">
        <f t="shared" si="177"/>
        <v>252.6833631484794</v>
      </c>
      <c r="O605" s="27">
        <f t="shared" si="178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75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95">
        <v>3.9510000000000001</v>
      </c>
      <c r="C606" s="2">
        <v>800</v>
      </c>
      <c r="D606" s="2">
        <v>1146</v>
      </c>
      <c r="E606" s="2" t="s">
        <v>17</v>
      </c>
      <c r="F606" s="95">
        <v>56.5</v>
      </c>
      <c r="G606" s="95">
        <v>28</v>
      </c>
      <c r="I606" s="10">
        <v>41675</v>
      </c>
      <c r="J606" s="27">
        <f t="shared" si="171"/>
        <v>265.16778523489933</v>
      </c>
      <c r="K606" s="27">
        <f t="shared" si="162"/>
        <v>283.08464386958161</v>
      </c>
      <c r="L606" s="27">
        <f t="shared" si="172"/>
        <v>262.88613682454815</v>
      </c>
      <c r="M606" s="37" t="s">
        <v>17</v>
      </c>
      <c r="N606" s="27">
        <f t="shared" si="177"/>
        <v>252.6833631484794</v>
      </c>
      <c r="O606" s="27">
        <f t="shared" si="178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75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96">
        <v>3.9769999999999999</v>
      </c>
      <c r="C607" s="2">
        <v>900</v>
      </c>
      <c r="D607" s="2">
        <v>1850</v>
      </c>
      <c r="E607" s="2">
        <v>587</v>
      </c>
      <c r="F607" s="96">
        <v>55.5</v>
      </c>
      <c r="G607" s="96">
        <v>28</v>
      </c>
      <c r="I607" s="10">
        <v>41682</v>
      </c>
      <c r="J607" s="27">
        <f t="shared" si="171"/>
        <v>266.91275167785238</v>
      </c>
      <c r="K607" s="27">
        <f t="shared" si="162"/>
        <v>288.59169887431631</v>
      </c>
      <c r="L607" s="27">
        <f t="shared" si="172"/>
        <v>292.99367676611297</v>
      </c>
      <c r="M607" s="27">
        <f t="shared" si="176"/>
        <v>326.11111111111109</v>
      </c>
      <c r="N607" s="27">
        <f t="shared" si="177"/>
        <v>248.21109123434707</v>
      </c>
      <c r="O607" s="27">
        <f t="shared" si="178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75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96">
        <v>3.9889999999999999</v>
      </c>
      <c r="C608" s="2" t="s">
        <v>17</v>
      </c>
      <c r="D608" s="2">
        <v>1350</v>
      </c>
      <c r="E608" s="2">
        <v>600</v>
      </c>
      <c r="F608" s="96">
        <v>52</v>
      </c>
      <c r="G608" s="96">
        <v>27</v>
      </c>
      <c r="I608" s="10">
        <v>41689</v>
      </c>
      <c r="J608" s="27">
        <f t="shared" si="171"/>
        <v>267.7181208053691</v>
      </c>
      <c r="K608" s="27">
        <f t="shared" si="162"/>
        <v>239.02820383170419</v>
      </c>
      <c r="L608" s="27">
        <f t="shared" si="172"/>
        <v>271.61048078488795</v>
      </c>
      <c r="M608" s="27">
        <f t="shared" si="176"/>
        <v>333.33333333333337</v>
      </c>
      <c r="N608" s="27">
        <f t="shared" si="177"/>
        <v>232.55813953488374</v>
      </c>
      <c r="O608" s="27">
        <f t="shared" si="178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75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96">
        <v>4.0170000000000003</v>
      </c>
      <c r="C609" s="2" t="s">
        <v>17</v>
      </c>
      <c r="D609" s="2">
        <v>1712.5</v>
      </c>
      <c r="E609" s="2">
        <v>592</v>
      </c>
      <c r="F609" s="96">
        <v>53</v>
      </c>
      <c r="G609" s="96">
        <v>28</v>
      </c>
      <c r="I609" s="10">
        <v>41696</v>
      </c>
      <c r="J609" s="27">
        <f t="shared" si="171"/>
        <v>269.59731543624162</v>
      </c>
      <c r="K609" s="27">
        <f t="shared" si="162"/>
        <v>239.02820383170419</v>
      </c>
      <c r="L609" s="27">
        <f t="shared" si="172"/>
        <v>287.11329787127607</v>
      </c>
      <c r="M609" s="27">
        <f t="shared" si="176"/>
        <v>328.88888888888886</v>
      </c>
      <c r="N609" s="27">
        <f t="shared" si="177"/>
        <v>237.03041144901613</v>
      </c>
      <c r="O609" s="27">
        <f t="shared" si="178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75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96">
        <v>4.016</v>
      </c>
      <c r="C610" s="2">
        <v>1125</v>
      </c>
      <c r="D610" s="2">
        <v>1733.5</v>
      </c>
      <c r="E610" s="2">
        <v>620</v>
      </c>
      <c r="F610" s="96">
        <v>53</v>
      </c>
      <c r="G610" s="96">
        <v>28</v>
      </c>
      <c r="I610" s="10">
        <v>41703</v>
      </c>
      <c r="J610" s="27">
        <f t="shared" si="171"/>
        <v>269.53020134228188</v>
      </c>
      <c r="K610" s="27">
        <f t="shared" si="162"/>
        <v>300.72861479342606</v>
      </c>
      <c r="L610" s="27">
        <f t="shared" si="172"/>
        <v>288.01139210248755</v>
      </c>
      <c r="M610" s="27">
        <f t="shared" si="176"/>
        <v>344.44444444444446</v>
      </c>
      <c r="N610" s="27">
        <f t="shared" si="177"/>
        <v>237.03041144901613</v>
      </c>
      <c r="O610" s="27">
        <f t="shared" si="178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75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98">
        <v>4.0209999999999999</v>
      </c>
      <c r="C611" s="2">
        <v>1200</v>
      </c>
      <c r="D611" s="2">
        <v>2687.5</v>
      </c>
      <c r="E611" s="2">
        <v>625</v>
      </c>
      <c r="F611" s="98">
        <v>52</v>
      </c>
      <c r="G611" s="98">
        <v>28</v>
      </c>
      <c r="I611" s="10">
        <v>41710</v>
      </c>
      <c r="J611" s="27">
        <f t="shared" si="171"/>
        <v>269.86577181208054</v>
      </c>
      <c r="K611" s="27">
        <f t="shared" si="162"/>
        <v>304.85890604697704</v>
      </c>
      <c r="L611" s="27">
        <f t="shared" si="172"/>
        <v>328.81053003466491</v>
      </c>
      <c r="M611" s="27">
        <f t="shared" si="176"/>
        <v>347.22222222222223</v>
      </c>
      <c r="N611" s="27">
        <f t="shared" si="177"/>
        <v>232.55813953488374</v>
      </c>
      <c r="O611" s="27">
        <f t="shared" si="178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75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98">
        <v>4.0030000000000001</v>
      </c>
      <c r="C612" s="2">
        <v>1500</v>
      </c>
      <c r="D612" s="2">
        <v>3837.5</v>
      </c>
      <c r="E612" s="2">
        <v>578</v>
      </c>
      <c r="F612" s="98">
        <v>53</v>
      </c>
      <c r="G612" s="98">
        <v>30</v>
      </c>
      <c r="I612" s="10">
        <v>41717</v>
      </c>
      <c r="J612" s="27">
        <f t="shared" si="171"/>
        <v>268.65771812080538</v>
      </c>
      <c r="K612" s="27">
        <f t="shared" si="162"/>
        <v>321.38007106118107</v>
      </c>
      <c r="L612" s="27">
        <f t="shared" si="172"/>
        <v>377.99188079148252</v>
      </c>
      <c r="M612" s="27">
        <f t="shared" si="176"/>
        <v>321.11111111111114</v>
      </c>
      <c r="N612" s="27">
        <f t="shared" si="177"/>
        <v>237.03041144901613</v>
      </c>
      <c r="O612" s="27">
        <f t="shared" si="178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75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98">
        <v>3.988</v>
      </c>
      <c r="C613" s="2">
        <v>1875</v>
      </c>
      <c r="D613" s="2">
        <v>2158.5</v>
      </c>
      <c r="E613" s="2">
        <v>469</v>
      </c>
      <c r="F613" s="98">
        <v>53</v>
      </c>
      <c r="G613" s="98">
        <v>29</v>
      </c>
      <c r="I613" s="10">
        <v>41724</v>
      </c>
      <c r="J613" s="27">
        <f t="shared" si="171"/>
        <v>267.65100671140942</v>
      </c>
      <c r="K613" s="27">
        <f t="shared" si="162"/>
        <v>342.03152732893614</v>
      </c>
      <c r="L613" s="27">
        <f t="shared" si="172"/>
        <v>306.18710868652886</v>
      </c>
      <c r="M613" s="27">
        <f t="shared" si="176"/>
        <v>260.55555555555554</v>
      </c>
      <c r="N613" s="27">
        <f t="shared" si="177"/>
        <v>237.03041144901613</v>
      </c>
      <c r="O613" s="27">
        <f t="shared" si="178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75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98">
        <v>3.9750000000000001</v>
      </c>
      <c r="C614" s="2">
        <v>1875</v>
      </c>
      <c r="D614" s="2">
        <v>2537.5</v>
      </c>
      <c r="E614" s="2">
        <v>416</v>
      </c>
      <c r="F614" s="98">
        <v>51.5</v>
      </c>
      <c r="G614" s="98">
        <v>28</v>
      </c>
      <c r="I614" s="10">
        <v>41731</v>
      </c>
      <c r="J614" s="27">
        <f t="shared" si="171"/>
        <v>266.77852348993292</v>
      </c>
      <c r="K614" s="27">
        <f t="shared" si="162"/>
        <v>342.76977268914578</v>
      </c>
      <c r="L614" s="27">
        <f t="shared" ref="L614:L648" si="179">(D614+Z614)/S614*100</f>
        <v>323.95321327007923</v>
      </c>
      <c r="M614" s="27">
        <f t="shared" si="176"/>
        <v>231.11111111111109</v>
      </c>
      <c r="N614" s="27">
        <f t="shared" si="177"/>
        <v>230.32200357781755</v>
      </c>
      <c r="O614" s="27">
        <f t="shared" si="178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75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98">
        <v>3.9590000000000001</v>
      </c>
      <c r="C615" s="2">
        <v>1325</v>
      </c>
      <c r="D615" s="2">
        <v>1933.5</v>
      </c>
      <c r="E615" s="2">
        <v>370</v>
      </c>
      <c r="F615" s="98">
        <v>50</v>
      </c>
      <c r="G615" s="98">
        <v>27</v>
      </c>
      <c r="I615" s="10">
        <v>41738</v>
      </c>
      <c r="J615" s="27">
        <f t="shared" si="171"/>
        <v>265.70469798657717</v>
      </c>
      <c r="K615" s="27">
        <f t="shared" si="162"/>
        <v>312.48097016310504</v>
      </c>
      <c r="L615" s="27">
        <f t="shared" si="179"/>
        <v>298.12231252475937</v>
      </c>
      <c r="M615" s="27">
        <f t="shared" si="176"/>
        <v>205.55555555555554</v>
      </c>
      <c r="N615" s="27">
        <f t="shared" si="177"/>
        <v>223.61359570661898</v>
      </c>
      <c r="O615" s="27">
        <f t="shared" si="178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75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98">
        <v>3.952</v>
      </c>
      <c r="C616" s="2">
        <v>1000</v>
      </c>
      <c r="D616" s="2">
        <v>1275</v>
      </c>
      <c r="E616" s="2">
        <v>384</v>
      </c>
      <c r="F616" s="98">
        <v>50</v>
      </c>
      <c r="G616" s="98">
        <v>27</v>
      </c>
      <c r="I616" s="10">
        <v>41745</v>
      </c>
      <c r="J616" s="27">
        <f t="shared" si="171"/>
        <v>265.23489932885906</v>
      </c>
      <c r="K616" s="27">
        <f t="shared" si="162"/>
        <v>294.58304139771735</v>
      </c>
      <c r="L616" s="27">
        <f t="shared" si="179"/>
        <v>269.96064341748598</v>
      </c>
      <c r="M616" s="27">
        <f t="shared" si="176"/>
        <v>213.33333333333334</v>
      </c>
      <c r="N616" s="27">
        <f t="shared" si="177"/>
        <v>223.61359570661898</v>
      </c>
      <c r="O616" s="27">
        <f t="shared" si="178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75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99">
        <v>3.9710000000000001</v>
      </c>
      <c r="C617" s="2">
        <v>2500</v>
      </c>
      <c r="D617" s="2">
        <v>1500</v>
      </c>
      <c r="E617" s="2">
        <v>377</v>
      </c>
      <c r="F617" s="99">
        <v>47.5</v>
      </c>
      <c r="G617" s="99">
        <v>26.5</v>
      </c>
      <c r="I617" s="10">
        <v>41752</v>
      </c>
      <c r="J617" s="27">
        <f t="shared" si="171"/>
        <v>266.51006711409394</v>
      </c>
      <c r="K617" s="27">
        <f t="shared" si="162"/>
        <v>377.18886646873756</v>
      </c>
      <c r="L617" s="27">
        <f t="shared" si="179"/>
        <v>279.58308160903727</v>
      </c>
      <c r="M617" s="27">
        <f t="shared" si="176"/>
        <v>209.44444444444446</v>
      </c>
      <c r="N617" s="27">
        <f t="shared" si="177"/>
        <v>212.43291592128801</v>
      </c>
      <c r="O617" s="27">
        <f t="shared" si="178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75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99">
        <v>3.9750000000000001</v>
      </c>
      <c r="C618" s="2">
        <v>875</v>
      </c>
      <c r="D618" s="2">
        <v>850</v>
      </c>
      <c r="E618" s="2">
        <v>360</v>
      </c>
      <c r="F618" s="99">
        <v>47.5</v>
      </c>
      <c r="G618" s="99">
        <v>26.5</v>
      </c>
      <c r="I618" s="10">
        <v>41759</v>
      </c>
      <c r="J618" s="27">
        <f t="shared" si="171"/>
        <v>266.77852348993292</v>
      </c>
      <c r="K618" s="27">
        <f t="shared" si="162"/>
        <v>287.699222641799</v>
      </c>
      <c r="L618" s="27">
        <f t="shared" si="179"/>
        <v>251.7849268334447</v>
      </c>
      <c r="M618" s="27">
        <f t="shared" si="176"/>
        <v>200</v>
      </c>
      <c r="N618" s="27">
        <f t="shared" si="177"/>
        <v>212.43291592128801</v>
      </c>
      <c r="O618" s="27">
        <f t="shared" si="178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75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99">
        <v>3.964</v>
      </c>
      <c r="C619" s="2">
        <v>700</v>
      </c>
      <c r="D619" s="2">
        <v>537.5</v>
      </c>
      <c r="E619" s="2">
        <v>365</v>
      </c>
      <c r="F619" s="99">
        <v>47</v>
      </c>
      <c r="G619" s="99">
        <v>26.5</v>
      </c>
      <c r="I619" s="10">
        <v>41766</v>
      </c>
      <c r="J619" s="27">
        <f t="shared" si="171"/>
        <v>266.04026845637583</v>
      </c>
      <c r="K619" s="27">
        <f t="shared" si="162"/>
        <v>278.38763317929335</v>
      </c>
      <c r="L619" s="27">
        <f t="shared" si="179"/>
        <v>238.5918550510664</v>
      </c>
      <c r="M619" s="27">
        <f t="shared" si="176"/>
        <v>202.77777777777777</v>
      </c>
      <c r="N619" s="27">
        <f t="shared" si="177"/>
        <v>210.19677996422183</v>
      </c>
      <c r="O619" s="27">
        <f t="shared" si="178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75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99">
        <v>3.948</v>
      </c>
      <c r="C620" s="2">
        <v>200</v>
      </c>
      <c r="D620" s="2">
        <v>0</v>
      </c>
      <c r="E620" s="2">
        <v>355</v>
      </c>
      <c r="F620" s="99">
        <v>46.5</v>
      </c>
      <c r="G620" s="99">
        <v>26</v>
      </c>
      <c r="I620" s="10">
        <v>41773</v>
      </c>
      <c r="J620" s="27">
        <f t="shared" si="171"/>
        <v>264.96644295302013</v>
      </c>
      <c r="K620" s="27">
        <f t="shared" si="162"/>
        <v>250.8523581556199</v>
      </c>
      <c r="L620" s="27">
        <f t="shared" si="179"/>
        <v>215.60491937124948</v>
      </c>
      <c r="M620" s="27">
        <f t="shared" si="176"/>
        <v>197.22222222222223</v>
      </c>
      <c r="N620" s="27">
        <f t="shared" si="177"/>
        <v>207.96064400715562</v>
      </c>
      <c r="O620" s="27">
        <f t="shared" si="178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75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99">
        <v>3.9340000000000002</v>
      </c>
      <c r="C621" s="2">
        <v>450</v>
      </c>
      <c r="D621" s="2">
        <v>-188</v>
      </c>
      <c r="E621" s="2">
        <v>373</v>
      </c>
      <c r="F621" s="99">
        <v>47.5</v>
      </c>
      <c r="G621" s="99">
        <v>26.5</v>
      </c>
      <c r="I621" s="10">
        <v>41780</v>
      </c>
      <c r="J621" s="27">
        <f t="shared" si="171"/>
        <v>264.0268456375839</v>
      </c>
      <c r="K621" s="27">
        <f t="shared" si="162"/>
        <v>264.61999566745664</v>
      </c>
      <c r="L621" s="27">
        <f t="shared" si="179"/>
        <v>207.56483768230885</v>
      </c>
      <c r="M621" s="27">
        <f t="shared" si="176"/>
        <v>207.2222222222222</v>
      </c>
      <c r="N621" s="27">
        <f t="shared" si="177"/>
        <v>212.43291592128801</v>
      </c>
      <c r="O621" s="27">
        <f t="shared" si="178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75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99">
        <v>3.9249999999999998</v>
      </c>
      <c r="C622" s="2">
        <v>75</v>
      </c>
      <c r="D622" s="2">
        <v>225</v>
      </c>
      <c r="E622" s="2">
        <v>360</v>
      </c>
      <c r="F622" s="99">
        <v>47</v>
      </c>
      <c r="G622" s="99">
        <v>26</v>
      </c>
      <c r="I622" s="10">
        <v>41787</v>
      </c>
      <c r="J622" s="27">
        <f t="shared" si="171"/>
        <v>263.42281879194627</v>
      </c>
      <c r="K622" s="27">
        <f t="shared" si="162"/>
        <v>243.96853939970157</v>
      </c>
      <c r="L622" s="27">
        <f t="shared" si="179"/>
        <v>225.22735756280073</v>
      </c>
      <c r="M622" s="27">
        <f t="shared" si="176"/>
        <v>200</v>
      </c>
      <c r="N622" s="27">
        <f t="shared" si="177"/>
        <v>210.19677996422183</v>
      </c>
      <c r="O622" s="27">
        <f t="shared" si="178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75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00">
        <v>3.9180000000000001</v>
      </c>
      <c r="C623" s="2">
        <v>400</v>
      </c>
      <c r="D623" s="2">
        <v>168.5</v>
      </c>
      <c r="E623" s="2">
        <v>353</v>
      </c>
      <c r="F623" s="100">
        <v>46</v>
      </c>
      <c r="G623" s="100">
        <v>25</v>
      </c>
      <c r="H623" s="1" t="s">
        <v>21</v>
      </c>
      <c r="I623" s="10">
        <v>41794</v>
      </c>
      <c r="J623" s="27">
        <f t="shared" si="171"/>
        <v>262.95302013422821</v>
      </c>
      <c r="K623" s="27">
        <f t="shared" si="162"/>
        <v>263.85845401535192</v>
      </c>
      <c r="L623" s="27">
        <f t="shared" si="179"/>
        <v>222.23470050503252</v>
      </c>
      <c r="M623" s="27">
        <f t="shared" si="176"/>
        <v>196.11111111111111</v>
      </c>
      <c r="N623" s="27">
        <f t="shared" si="177"/>
        <v>205.72450805008947</v>
      </c>
      <c r="O623" s="27">
        <f t="shared" si="178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75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00">
        <v>3.8919999999999999</v>
      </c>
      <c r="C624" s="2">
        <v>0</v>
      </c>
      <c r="D624" s="2">
        <v>425</v>
      </c>
      <c r="E624" s="2">
        <v>373</v>
      </c>
      <c r="F624" s="100">
        <v>45</v>
      </c>
      <c r="G624" s="100">
        <v>24</v>
      </c>
      <c r="I624" s="10">
        <v>41801</v>
      </c>
      <c r="J624" s="27">
        <f t="shared" si="171"/>
        <v>261.20805369127515</v>
      </c>
      <c r="K624" s="27">
        <f t="shared" si="162"/>
        <v>241.8302339964132</v>
      </c>
      <c r="L624" s="27">
        <f t="shared" si="179"/>
        <v>233.20428004340096</v>
      </c>
      <c r="M624" s="27">
        <f t="shared" si="176"/>
        <v>207.2222222222222</v>
      </c>
      <c r="N624" s="27">
        <f t="shared" si="177"/>
        <v>201.25223613595705</v>
      </c>
      <c r="O624" s="27">
        <f t="shared" si="178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75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00">
        <v>3.8820000000000001</v>
      </c>
      <c r="C625" s="2">
        <v>-50</v>
      </c>
      <c r="D625" s="2">
        <v>800</v>
      </c>
      <c r="E625" s="2">
        <v>367</v>
      </c>
      <c r="F625" s="100">
        <v>44</v>
      </c>
      <c r="G625" s="100">
        <v>23</v>
      </c>
      <c r="I625" s="10">
        <v>41808</v>
      </c>
      <c r="J625" s="27">
        <f t="shared" si="171"/>
        <v>260.5369127516779</v>
      </c>
      <c r="K625" s="27">
        <f t="shared" si="162"/>
        <v>239.07670649404588</v>
      </c>
      <c r="L625" s="27">
        <f t="shared" si="179"/>
        <v>249.24167702931976</v>
      </c>
      <c r="M625" s="27">
        <f t="shared" si="176"/>
        <v>203.88888888888889</v>
      </c>
      <c r="N625" s="27">
        <f t="shared" si="177"/>
        <v>196.77996422182468</v>
      </c>
      <c r="O625" s="27">
        <f t="shared" si="178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75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00">
        <v>3.919</v>
      </c>
      <c r="C626" s="2">
        <v>400</v>
      </c>
      <c r="D626" s="2">
        <v>637.5</v>
      </c>
      <c r="E626" s="2">
        <v>369</v>
      </c>
      <c r="F626" s="100">
        <v>43.5</v>
      </c>
      <c r="G626" s="100">
        <v>23</v>
      </c>
      <c r="I626" s="10">
        <v>41815</v>
      </c>
      <c r="J626" s="27">
        <f t="shared" si="171"/>
        <v>263.02013422818794</v>
      </c>
      <c r="K626" s="27">
        <f t="shared" si="162"/>
        <v>263.85845401535192</v>
      </c>
      <c r="L626" s="27">
        <f t="shared" si="179"/>
        <v>242.29213833542161</v>
      </c>
      <c r="M626" s="27">
        <f t="shared" si="176"/>
        <v>204.99999999999997</v>
      </c>
      <c r="N626" s="27">
        <f t="shared" si="177"/>
        <v>194.5438282647585</v>
      </c>
      <c r="O626" s="27">
        <f t="shared" si="178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75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00">
        <v>3.92</v>
      </c>
      <c r="C627" s="2">
        <v>337.5</v>
      </c>
      <c r="D627" s="2">
        <v>875</v>
      </c>
      <c r="E627" s="2">
        <v>378</v>
      </c>
      <c r="F627" s="100">
        <v>42</v>
      </c>
      <c r="G627" s="100">
        <v>22</v>
      </c>
      <c r="I627" s="10">
        <v>41822</v>
      </c>
      <c r="J627" s="27">
        <f t="shared" si="171"/>
        <v>263.08724832214762</v>
      </c>
      <c r="K627" s="27">
        <f t="shared" si="162"/>
        <v>260.09837743294429</v>
      </c>
      <c r="L627" s="27">
        <f t="shared" si="179"/>
        <v>252.03013581978095</v>
      </c>
      <c r="M627" s="27">
        <f t="shared" si="176"/>
        <v>210</v>
      </c>
      <c r="N627" s="27">
        <f t="shared" si="177"/>
        <v>187.83542039355993</v>
      </c>
      <c r="O627" s="27">
        <f t="shared" si="178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75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00">
        <v>3.9129999999999998</v>
      </c>
      <c r="C628" s="2">
        <v>500</v>
      </c>
      <c r="D628" s="2">
        <v>300</v>
      </c>
      <c r="E628" s="2">
        <v>345</v>
      </c>
      <c r="F628" s="100">
        <v>43</v>
      </c>
      <c r="G628" s="100">
        <v>23.5</v>
      </c>
      <c r="I628" s="10">
        <v>41829</v>
      </c>
      <c r="J628" s="27">
        <f t="shared" si="171"/>
        <v>262.6174496644295</v>
      </c>
      <c r="K628" s="27">
        <f t="shared" si="162"/>
        <v>269.04734181563816</v>
      </c>
      <c r="L628" s="27">
        <f t="shared" si="179"/>
        <v>227.43946044137212</v>
      </c>
      <c r="M628" s="27">
        <f t="shared" si="176"/>
        <v>191.66666666666666</v>
      </c>
      <c r="N628" s="27">
        <f t="shared" si="177"/>
        <v>192.30769230769232</v>
      </c>
      <c r="O628" s="27">
        <f t="shared" si="178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75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00">
        <v>3.8940000000000001</v>
      </c>
      <c r="C629" s="2">
        <v>850</v>
      </c>
      <c r="D629" s="2">
        <v>1900</v>
      </c>
      <c r="E629" s="2">
        <v>405</v>
      </c>
      <c r="F629" s="100">
        <v>43</v>
      </c>
      <c r="G629" s="100">
        <v>24</v>
      </c>
      <c r="I629" s="10">
        <v>41836</v>
      </c>
      <c r="J629" s="27">
        <f t="shared" si="171"/>
        <v>261.34228187919462</v>
      </c>
      <c r="K629" s="27">
        <f t="shared" si="162"/>
        <v>288.32203433220951</v>
      </c>
      <c r="L629" s="27">
        <f t="shared" si="179"/>
        <v>295.86568758129226</v>
      </c>
      <c r="M629" s="27">
        <f t="shared" si="176"/>
        <v>225</v>
      </c>
      <c r="N629" s="27">
        <f t="shared" si="177"/>
        <v>192.30769230769232</v>
      </c>
      <c r="O629" s="27">
        <f t="shared" si="178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75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3">
      <c r="A630" s="61">
        <v>41843</v>
      </c>
      <c r="B630" s="100">
        <v>3.8690000000000002</v>
      </c>
      <c r="C630" s="2">
        <v>750</v>
      </c>
      <c r="D630" s="2">
        <v>1769</v>
      </c>
      <c r="E630" s="2">
        <v>547</v>
      </c>
      <c r="F630" s="100">
        <v>42.5</v>
      </c>
      <c r="G630" s="100">
        <v>23.5</v>
      </c>
      <c r="I630" s="10">
        <v>41843</v>
      </c>
      <c r="J630" s="27">
        <f t="shared" si="171"/>
        <v>259.66442953020135</v>
      </c>
      <c r="K630" s="27">
        <f t="shared" si="162"/>
        <v>282.81497932747482</v>
      </c>
      <c r="L630" s="27">
        <f t="shared" si="179"/>
        <v>290.2632902342113</v>
      </c>
      <c r="M630" s="27">
        <f t="shared" si="176"/>
        <v>303.88888888888886</v>
      </c>
      <c r="N630" s="27">
        <f t="shared" si="177"/>
        <v>190.07155635062611</v>
      </c>
      <c r="O630" s="27">
        <f t="shared" si="178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75">
        <v>14.1</v>
      </c>
      <c r="X630" s="61">
        <v>41843</v>
      </c>
      <c r="Y630" s="68">
        <v>4385.5030789473694</v>
      </c>
      <c r="Z630" s="68">
        <v>5018.1821052631576</v>
      </c>
    </row>
    <row r="631" spans="1:26" x14ac:dyDescent="0.3">
      <c r="A631" s="61">
        <v>41850</v>
      </c>
      <c r="B631" s="100">
        <v>3.8580000000000001</v>
      </c>
      <c r="C631" s="2">
        <v>1100</v>
      </c>
      <c r="D631" s="2">
        <v>2466.5</v>
      </c>
      <c r="E631" s="2">
        <v>560</v>
      </c>
      <c r="F631" s="100">
        <v>42</v>
      </c>
      <c r="G631" s="100">
        <v>23.25</v>
      </c>
      <c r="I631" s="10">
        <v>41850</v>
      </c>
      <c r="J631" s="27">
        <f t="shared" si="171"/>
        <v>258.92617449664431</v>
      </c>
      <c r="K631" s="27">
        <f t="shared" si="162"/>
        <v>302.08967184404622</v>
      </c>
      <c r="L631" s="27">
        <f t="shared" si="179"/>
        <v>320.09284862802025</v>
      </c>
      <c r="M631" s="27">
        <f t="shared" si="176"/>
        <v>311.11111111111114</v>
      </c>
      <c r="N631" s="27">
        <f t="shared" si="177"/>
        <v>187.83542039355993</v>
      </c>
      <c r="O631" s="27">
        <f t="shared" si="178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3">
      <c r="A632" s="61">
        <v>41857</v>
      </c>
      <c r="B632" s="98">
        <v>3.8530000000000002</v>
      </c>
      <c r="C632" s="2">
        <v>950</v>
      </c>
      <c r="D632" s="2">
        <v>2016.5</v>
      </c>
      <c r="E632" s="2">
        <v>468</v>
      </c>
      <c r="F632" s="98">
        <v>41.5</v>
      </c>
      <c r="G632" s="98">
        <v>23</v>
      </c>
      <c r="I632" s="10">
        <v>41857</v>
      </c>
      <c r="J632" s="27">
        <f t="shared" si="171"/>
        <v>258.59060402684565</v>
      </c>
      <c r="K632" s="27">
        <f t="shared" si="162"/>
        <v>293.83859335450234</v>
      </c>
      <c r="L632" s="27">
        <f t="shared" si="179"/>
        <v>300.41092222768884</v>
      </c>
      <c r="M632" s="27">
        <f t="shared" si="176"/>
        <v>260</v>
      </c>
      <c r="N632" s="27">
        <f t="shared" si="177"/>
        <v>185.59928443649375</v>
      </c>
      <c r="O632" s="27">
        <f t="shared" si="178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3">
      <c r="A633" s="61">
        <v>41864</v>
      </c>
      <c r="B633" s="98">
        <v>3.843</v>
      </c>
      <c r="C633" s="2">
        <v>1825</v>
      </c>
      <c r="D633" s="2">
        <v>1325</v>
      </c>
      <c r="E633" s="2">
        <v>442</v>
      </c>
      <c r="F633" s="98">
        <v>41.5</v>
      </c>
      <c r="G633" s="98">
        <v>22.75</v>
      </c>
      <c r="I633" s="10">
        <v>41864</v>
      </c>
      <c r="J633" s="27">
        <f t="shared" si="171"/>
        <v>257.91946308724835</v>
      </c>
      <c r="K633" s="27">
        <f t="shared" si="162"/>
        <v>342.02532464593077</v>
      </c>
      <c r="L633" s="27">
        <f t="shared" si="179"/>
        <v>270.83796218565459</v>
      </c>
      <c r="M633" s="27">
        <f t="shared" si="176"/>
        <v>245.55555555555557</v>
      </c>
      <c r="N633" s="27">
        <f t="shared" si="177"/>
        <v>185.59928443649375</v>
      </c>
      <c r="O633" s="27">
        <f t="shared" si="178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3">
      <c r="A634" s="61">
        <v>41871</v>
      </c>
      <c r="B634" s="101">
        <v>3.835</v>
      </c>
      <c r="C634" s="2" t="s">
        <v>32</v>
      </c>
      <c r="D634" s="2">
        <v>1150</v>
      </c>
      <c r="E634" s="2">
        <v>467</v>
      </c>
      <c r="F634" s="101">
        <v>43</v>
      </c>
      <c r="G634" s="101">
        <v>24</v>
      </c>
      <c r="I634" s="10">
        <v>41871</v>
      </c>
      <c r="J634" s="27">
        <f t="shared" si="171"/>
        <v>257.38255033557044</v>
      </c>
      <c r="K634" s="27">
        <f t="shared" si="162"/>
        <v>241.52157080952281</v>
      </c>
      <c r="L634" s="27">
        <f t="shared" si="179"/>
        <v>263.35384359222587</v>
      </c>
      <c r="M634" s="27">
        <f t="shared" si="176"/>
        <v>259.44444444444446</v>
      </c>
      <c r="N634" s="27">
        <f t="shared" si="177"/>
        <v>192.30769230769232</v>
      </c>
      <c r="O634" s="27">
        <f t="shared" si="178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4">
        <v>14.1</v>
      </c>
      <c r="X634" s="61">
        <v>41871</v>
      </c>
      <c r="Y634" s="68">
        <v>4385.675657894737</v>
      </c>
      <c r="Z634" s="68">
        <v>5007.9626315789474</v>
      </c>
    </row>
    <row r="635" spans="1:26" x14ac:dyDescent="0.3">
      <c r="A635" s="61">
        <v>41878</v>
      </c>
      <c r="B635" s="101">
        <v>3.8210000000000002</v>
      </c>
      <c r="C635" s="2">
        <v>1000</v>
      </c>
      <c r="D635" s="2">
        <v>924</v>
      </c>
      <c r="E635" s="2">
        <v>469</v>
      </c>
      <c r="F635" s="101">
        <v>44</v>
      </c>
      <c r="G635" s="101">
        <v>24.5</v>
      </c>
      <c r="I635" s="10">
        <v>41878</v>
      </c>
      <c r="J635" s="27">
        <f t="shared" si="171"/>
        <v>256.44295302013427</v>
      </c>
      <c r="K635" s="27">
        <f t="shared" si="162"/>
        <v>296.59212085686966</v>
      </c>
      <c r="L635" s="27">
        <f t="shared" si="179"/>
        <v>253.68863900871213</v>
      </c>
      <c r="M635" s="27">
        <f t="shared" si="176"/>
        <v>260.55555555555554</v>
      </c>
      <c r="N635" s="27">
        <f t="shared" si="177"/>
        <v>196.77996422182468</v>
      </c>
      <c r="O635" s="27">
        <f t="shared" si="178"/>
        <v>173.75886524822698</v>
      </c>
      <c r="Q635" s="4">
        <v>1.49</v>
      </c>
      <c r="R635" s="4">
        <v>1815.8525729999999</v>
      </c>
      <c r="S635" s="4">
        <v>2338.2847000000002</v>
      </c>
      <c r="T635" s="4">
        <v>180</v>
      </c>
      <c r="U635" s="4">
        <v>22.36</v>
      </c>
      <c r="V635" s="4">
        <v>14.1</v>
      </c>
      <c r="X635" s="61">
        <v>41878</v>
      </c>
      <c r="Y635" s="68">
        <v>4385.675657894737</v>
      </c>
      <c r="Z635" s="68">
        <v>5007.9626315789474</v>
      </c>
    </row>
    <row r="636" spans="1:26" x14ac:dyDescent="0.3">
      <c r="A636" s="61">
        <v>41885</v>
      </c>
      <c r="B636" s="95">
        <v>3.8140000000000001</v>
      </c>
      <c r="C636" s="2">
        <v>600</v>
      </c>
      <c r="D636" s="2">
        <v>1118</v>
      </c>
      <c r="E636" s="2">
        <v>596</v>
      </c>
      <c r="F636" s="95">
        <v>46</v>
      </c>
      <c r="G636" s="95">
        <v>26</v>
      </c>
      <c r="I636" s="10">
        <v>41885</v>
      </c>
      <c r="J636" s="27">
        <f t="shared" si="171"/>
        <v>255.9731543624161</v>
      </c>
      <c r="K636" s="27">
        <f t="shared" si="162"/>
        <v>274.34002021206345</v>
      </c>
      <c r="L636" s="27">
        <f t="shared" si="179"/>
        <v>261.44108294876429</v>
      </c>
      <c r="M636" s="27">
        <f t="shared" si="176"/>
        <v>331.11111111111109</v>
      </c>
      <c r="N636" s="27">
        <f t="shared" si="177"/>
        <v>205.72450805008947</v>
      </c>
      <c r="O636" s="27">
        <f t="shared" si="177"/>
        <v>184.39716312056737</v>
      </c>
      <c r="Q636" s="4">
        <v>1.49</v>
      </c>
      <c r="R636" s="4">
        <v>1815.8525729999999</v>
      </c>
      <c r="S636" s="4">
        <v>2338.2847000000002</v>
      </c>
      <c r="T636" s="4">
        <v>180</v>
      </c>
      <c r="U636" s="4">
        <v>22.36</v>
      </c>
      <c r="V636" s="4">
        <v>14.1</v>
      </c>
      <c r="X636" s="61">
        <v>41885</v>
      </c>
      <c r="Y636" s="68">
        <v>4381.610315789474</v>
      </c>
      <c r="Z636" s="68">
        <v>4995.2368421052643</v>
      </c>
    </row>
    <row r="637" spans="1:26" x14ac:dyDescent="0.3">
      <c r="A637" s="61">
        <v>41892</v>
      </c>
      <c r="B637" s="102">
        <v>3.8140000000000001</v>
      </c>
      <c r="C637" s="2">
        <v>1033</v>
      </c>
      <c r="D637" s="2">
        <v>1142.5</v>
      </c>
      <c r="E637" s="2">
        <v>667</v>
      </c>
      <c r="F637" s="102">
        <v>46.5</v>
      </c>
      <c r="G637" s="102">
        <v>26</v>
      </c>
      <c r="I637" s="10">
        <v>41892</v>
      </c>
      <c r="J637" s="27">
        <f t="shared" si="171"/>
        <v>255.9731543624161</v>
      </c>
      <c r="K637" s="27">
        <f t="shared" si="162"/>
        <v>298.18556838256461</v>
      </c>
      <c r="L637" s="27">
        <f t="shared" si="179"/>
        <v>262.48885955184431</v>
      </c>
      <c r="M637" s="27">
        <f t="shared" si="176"/>
        <v>370.55555555555554</v>
      </c>
      <c r="N637" s="27">
        <f t="shared" si="177"/>
        <v>207.96064400715562</v>
      </c>
      <c r="O637" s="27">
        <f t="shared" si="177"/>
        <v>184.39716312056737</v>
      </c>
      <c r="Q637" s="4">
        <v>1.49</v>
      </c>
      <c r="R637" s="4">
        <v>1815.8525729999999</v>
      </c>
      <c r="S637" s="4">
        <v>2338.2847000000002</v>
      </c>
      <c r="T637" s="4">
        <v>180</v>
      </c>
      <c r="U637" s="4">
        <v>22.36</v>
      </c>
      <c r="V637" s="4">
        <v>14.1</v>
      </c>
      <c r="X637" s="61">
        <v>41892</v>
      </c>
      <c r="Y637" s="68">
        <v>4381.610315789474</v>
      </c>
      <c r="Z637" s="68">
        <v>4995.2368421052643</v>
      </c>
    </row>
    <row r="638" spans="1:26" x14ac:dyDescent="0.3">
      <c r="A638" s="61">
        <v>41899</v>
      </c>
      <c r="B638" s="102">
        <v>3.8010000000000002</v>
      </c>
      <c r="C638" s="2">
        <v>0</v>
      </c>
      <c r="D638" s="2">
        <v>3000</v>
      </c>
      <c r="E638" s="2">
        <v>633</v>
      </c>
      <c r="F638" s="104">
        <v>46.5</v>
      </c>
      <c r="G638" s="103">
        <v>26</v>
      </c>
      <c r="I638" s="10">
        <v>41899</v>
      </c>
      <c r="J638" s="27">
        <f t="shared" si="171"/>
        <v>255.1006711409396</v>
      </c>
      <c r="K638" s="27">
        <f t="shared" si="162"/>
        <v>241.29769018365533</v>
      </c>
      <c r="L638" s="27">
        <f t="shared" si="179"/>
        <v>341.9274326220953</v>
      </c>
      <c r="M638" s="27">
        <f t="shared" si="176"/>
        <v>351.66666666666669</v>
      </c>
      <c r="N638" s="27">
        <f t="shared" si="177"/>
        <v>207.96064400715562</v>
      </c>
      <c r="O638" s="27">
        <f t="shared" si="177"/>
        <v>184.39716312056737</v>
      </c>
      <c r="Q638" s="4">
        <v>1.49</v>
      </c>
      <c r="R638" s="4">
        <v>1815.8525729999999</v>
      </c>
      <c r="S638" s="4">
        <v>2338.2847000000002</v>
      </c>
      <c r="T638" s="4">
        <v>180</v>
      </c>
      <c r="U638" s="4">
        <v>22.36</v>
      </c>
      <c r="V638" s="4">
        <v>14.1</v>
      </c>
      <c r="X638" s="61">
        <v>41899</v>
      </c>
      <c r="Y638" s="68">
        <v>4381.610315789474</v>
      </c>
      <c r="Z638" s="68">
        <v>4995.2368421052643</v>
      </c>
    </row>
    <row r="639" spans="1:26" x14ac:dyDescent="0.3">
      <c r="A639" s="61">
        <v>41906</v>
      </c>
      <c r="B639" s="102">
        <v>3.778</v>
      </c>
      <c r="C639" s="2">
        <v>0</v>
      </c>
      <c r="D639" s="2">
        <v>3425</v>
      </c>
      <c r="E639" s="2">
        <v>825</v>
      </c>
      <c r="F639" s="102">
        <v>45.5</v>
      </c>
      <c r="G639" s="102">
        <v>25.5</v>
      </c>
      <c r="I639" s="10">
        <v>41906</v>
      </c>
      <c r="J639" s="27">
        <f t="shared" si="171"/>
        <v>253.55704697986576</v>
      </c>
      <c r="K639" s="27">
        <f t="shared" si="162"/>
        <v>241.29769018365533</v>
      </c>
      <c r="L639" s="27">
        <f t="shared" si="179"/>
        <v>360.10314920613655</v>
      </c>
      <c r="M639" s="27">
        <f t="shared" si="176"/>
        <v>458.33333333333337</v>
      </c>
      <c r="N639" s="27">
        <f t="shared" si="177"/>
        <v>203.48837209302326</v>
      </c>
      <c r="O639" s="27">
        <f t="shared" si="177"/>
        <v>180.85106382978725</v>
      </c>
      <c r="Q639" s="4">
        <v>1.49</v>
      </c>
      <c r="R639" s="4">
        <v>1815.8525729999999</v>
      </c>
      <c r="S639" s="4">
        <v>2338.2847000000002</v>
      </c>
      <c r="T639" s="4">
        <v>180</v>
      </c>
      <c r="U639" s="4">
        <v>22.36</v>
      </c>
      <c r="V639" s="4">
        <v>14.1</v>
      </c>
      <c r="X639" s="61">
        <v>41906</v>
      </c>
      <c r="Y639" s="68">
        <v>4381.610315789474</v>
      </c>
      <c r="Z639" s="68">
        <v>4995.2368421052643</v>
      </c>
    </row>
    <row r="640" spans="1:26" x14ac:dyDescent="0.3">
      <c r="A640" s="61">
        <v>41913</v>
      </c>
      <c r="B640" s="102">
        <v>3.7549999999999999</v>
      </c>
      <c r="C640" s="2">
        <v>3000</v>
      </c>
      <c r="D640" s="2">
        <v>4625</v>
      </c>
      <c r="E640" s="2">
        <v>1067</v>
      </c>
      <c r="F640" s="102">
        <v>46</v>
      </c>
      <c r="G640" s="102">
        <v>25.5</v>
      </c>
      <c r="I640" s="10">
        <v>41913</v>
      </c>
      <c r="J640" s="27">
        <f t="shared" si="171"/>
        <v>252.01342281879192</v>
      </c>
      <c r="K640" s="27">
        <f t="shared" si="162"/>
        <v>410.78713080142364</v>
      </c>
      <c r="L640" s="27">
        <f t="shared" si="179"/>
        <v>413.16874625863005</v>
      </c>
      <c r="M640" s="27">
        <f t="shared" si="176"/>
        <v>592.77777777777783</v>
      </c>
      <c r="N640" s="27">
        <f t="shared" si="177"/>
        <v>205.72450805008947</v>
      </c>
      <c r="O640" s="27">
        <f t="shared" si="177"/>
        <v>180.85106382978725</v>
      </c>
      <c r="Q640" s="4">
        <v>1.49</v>
      </c>
      <c r="R640" s="4">
        <v>1815.8525729999999</v>
      </c>
      <c r="S640" s="4">
        <v>2338.2847000000002</v>
      </c>
      <c r="T640" s="4">
        <v>180</v>
      </c>
      <c r="U640" s="4">
        <v>22.36</v>
      </c>
      <c r="V640" s="4">
        <v>14.1</v>
      </c>
      <c r="X640" s="61">
        <v>41913</v>
      </c>
      <c r="Y640" s="68">
        <v>4459.2886842105263</v>
      </c>
      <c r="Z640" s="68">
        <v>5036.0615789473686</v>
      </c>
    </row>
    <row r="641" spans="1:26" x14ac:dyDescent="0.3">
      <c r="A641" s="61">
        <v>41920</v>
      </c>
      <c r="B641" s="102">
        <v>3.7330000000000001</v>
      </c>
      <c r="C641" s="2">
        <v>2625</v>
      </c>
      <c r="D641" s="2">
        <v>4000</v>
      </c>
      <c r="E641" s="2">
        <v>892</v>
      </c>
      <c r="F641" s="102">
        <v>47</v>
      </c>
      <c r="G641" s="102">
        <v>24.5</v>
      </c>
      <c r="I641" s="10">
        <v>41920</v>
      </c>
      <c r="J641" s="27">
        <f t="shared" si="171"/>
        <v>250.53691275167785</v>
      </c>
      <c r="K641" s="27">
        <f t="shared" si="162"/>
        <v>390.13567453366858</v>
      </c>
      <c r="L641" s="27">
        <f t="shared" si="179"/>
        <v>386.43975128209871</v>
      </c>
      <c r="M641" s="27">
        <f t="shared" si="176"/>
        <v>495.55555555555554</v>
      </c>
      <c r="N641" s="27">
        <f t="shared" si="177"/>
        <v>210.19677996422183</v>
      </c>
      <c r="O641" s="27">
        <f t="shared" si="177"/>
        <v>173.75886524822698</v>
      </c>
      <c r="Q641" s="4">
        <v>1.49</v>
      </c>
      <c r="R641" s="4">
        <v>1815.8525729999999</v>
      </c>
      <c r="S641" s="4">
        <v>2338.2847000000002</v>
      </c>
      <c r="T641" s="4">
        <v>180</v>
      </c>
      <c r="U641" s="4">
        <v>22.36</v>
      </c>
      <c r="V641" s="4">
        <v>14.1</v>
      </c>
      <c r="X641" s="61">
        <v>41920</v>
      </c>
      <c r="Y641" s="68">
        <v>4459.2886842105263</v>
      </c>
      <c r="Z641" s="68">
        <v>5036.0615789473686</v>
      </c>
    </row>
    <row r="642" spans="1:26" x14ac:dyDescent="0.3">
      <c r="A642" s="61">
        <v>41927</v>
      </c>
      <c r="B642" s="102">
        <v>3.698</v>
      </c>
      <c r="C642" s="2" t="s">
        <v>32</v>
      </c>
      <c r="D642" s="2">
        <v>4187.5</v>
      </c>
      <c r="E642" s="2">
        <v>833</v>
      </c>
      <c r="F642" s="102">
        <v>46</v>
      </c>
      <c r="G642" s="102">
        <v>25</v>
      </c>
      <c r="I642" s="10">
        <v>41927</v>
      </c>
      <c r="J642" s="27">
        <f t="shared" si="171"/>
        <v>248.18791946308724</v>
      </c>
      <c r="K642" s="27">
        <f t="shared" si="162"/>
        <v>245.57548065938315</v>
      </c>
      <c r="L642" s="27">
        <f t="shared" si="179"/>
        <v>394.45844977505811</v>
      </c>
      <c r="M642" s="27">
        <f>(1+(E642-T641)/T641)*100</f>
        <v>462.77777777777783</v>
      </c>
      <c r="N642" s="27">
        <f>(1+(F642-U641)/U641)*100</f>
        <v>205.72450805008947</v>
      </c>
      <c r="O642" s="27">
        <f>(1+(G642-V641)/V641)*100</f>
        <v>177.3049645390071</v>
      </c>
      <c r="Q642" s="4">
        <v>1.49</v>
      </c>
      <c r="R642" s="4">
        <v>1815.8525729999999</v>
      </c>
      <c r="S642" s="4">
        <v>2338.2847000000002</v>
      </c>
      <c r="T642" s="4">
        <v>180</v>
      </c>
      <c r="U642" s="4">
        <v>22.36</v>
      </c>
      <c r="V642" s="4">
        <v>14.1</v>
      </c>
      <c r="X642" s="61">
        <v>41927</v>
      </c>
      <c r="Y642" s="68">
        <v>4459.2886842105263</v>
      </c>
      <c r="Z642" s="68">
        <v>5036.0615789473686</v>
      </c>
    </row>
    <row r="643" spans="1:26" x14ac:dyDescent="0.3">
      <c r="A643" s="61">
        <v>41934</v>
      </c>
      <c r="B643" s="19">
        <v>3.6560000000000001</v>
      </c>
      <c r="C643" s="2">
        <v>2150</v>
      </c>
      <c r="D643" s="2">
        <v>2173</v>
      </c>
      <c r="E643" s="2">
        <v>873</v>
      </c>
      <c r="F643" s="19">
        <v>45.5</v>
      </c>
      <c r="G643" s="19">
        <v>24.5</v>
      </c>
      <c r="I643" s="10">
        <v>41934</v>
      </c>
      <c r="J643" s="27">
        <f t="shared" si="171"/>
        <v>245.36912751677855</v>
      </c>
      <c r="K643" s="27">
        <f t="shared" si="162"/>
        <v>363.97716326117882</v>
      </c>
      <c r="L643" s="27">
        <f t="shared" si="179"/>
        <v>308.3055531667024</v>
      </c>
      <c r="M643" s="27">
        <f t="shared" si="176"/>
        <v>484.99999999999994</v>
      </c>
      <c r="N643" s="27">
        <f t="shared" si="177"/>
        <v>203.48837209302326</v>
      </c>
      <c r="O643" s="27">
        <f t="shared" si="177"/>
        <v>173.75886524822698</v>
      </c>
      <c r="Q643" s="4">
        <v>1.49</v>
      </c>
      <c r="R643" s="4">
        <v>1815.8525729999999</v>
      </c>
      <c r="S643" s="4">
        <v>2338.2847000000002</v>
      </c>
      <c r="T643" s="4">
        <v>180</v>
      </c>
      <c r="U643" s="4">
        <v>22.36</v>
      </c>
      <c r="V643" s="4">
        <v>14.1</v>
      </c>
      <c r="X643" s="61">
        <v>41934</v>
      </c>
      <c r="Y643" s="68">
        <v>4459.2886842105263</v>
      </c>
      <c r="Z643" s="68">
        <v>5036.0615789473686</v>
      </c>
    </row>
    <row r="644" spans="1:26" x14ac:dyDescent="0.3">
      <c r="A644" s="61">
        <v>41941</v>
      </c>
      <c r="B644" s="19">
        <v>3.6349999999999998</v>
      </c>
      <c r="C644" s="2">
        <v>800</v>
      </c>
      <c r="D644" s="2">
        <v>1891.5</v>
      </c>
      <c r="E644" s="2">
        <v>875</v>
      </c>
      <c r="F644" s="19">
        <v>46</v>
      </c>
      <c r="G644" s="19">
        <v>24.5</v>
      </c>
      <c r="I644" s="10">
        <v>41941</v>
      </c>
      <c r="J644" s="27">
        <f t="shared" si="171"/>
        <v>243.95973154362417</v>
      </c>
      <c r="K644" s="27">
        <f t="shared" si="162"/>
        <v>289.63192069726063</v>
      </c>
      <c r="L644" s="27">
        <f t="shared" si="179"/>
        <v>296.26681382927273</v>
      </c>
      <c r="M644" s="27">
        <f t="shared" si="176"/>
        <v>486.11111111111109</v>
      </c>
      <c r="N644" s="27">
        <f t="shared" si="177"/>
        <v>205.72450805008947</v>
      </c>
      <c r="O644" s="27">
        <f t="shared" si="177"/>
        <v>173.75886524822698</v>
      </c>
      <c r="Q644" s="4">
        <v>1.49</v>
      </c>
      <c r="R644" s="4">
        <v>1815.8525729999999</v>
      </c>
      <c r="S644" s="4">
        <v>2338.2847000000002</v>
      </c>
      <c r="T644" s="4">
        <v>180</v>
      </c>
      <c r="U644" s="4">
        <v>22.36</v>
      </c>
      <c r="V644" s="4">
        <v>14.1</v>
      </c>
      <c r="X644" s="61">
        <v>41941</v>
      </c>
      <c r="Y644" s="68">
        <v>4459.2886842105263</v>
      </c>
      <c r="Z644" s="68">
        <v>5036.0615789473686</v>
      </c>
    </row>
    <row r="645" spans="1:26" x14ac:dyDescent="0.3">
      <c r="A645" s="61">
        <v>41948</v>
      </c>
      <c r="B645" s="105">
        <v>3.6230000000000002</v>
      </c>
      <c r="C645" s="2">
        <v>1100</v>
      </c>
      <c r="D645" s="2">
        <v>975</v>
      </c>
      <c r="E645" s="2">
        <v>850</v>
      </c>
      <c r="F645" s="105">
        <v>46</v>
      </c>
      <c r="G645" s="105">
        <v>25.5</v>
      </c>
      <c r="I645" s="10">
        <v>41948</v>
      </c>
      <c r="J645" s="27">
        <f t="shared" si="171"/>
        <v>243.1543624161074</v>
      </c>
      <c r="K645" s="27">
        <f t="shared" si="162"/>
        <v>305.8107135510453</v>
      </c>
      <c r="L645" s="27">
        <f t="shared" si="179"/>
        <v>256.49505968379754</v>
      </c>
      <c r="M645" s="27">
        <f t="shared" si="176"/>
        <v>472.22222222222223</v>
      </c>
      <c r="N645" s="27">
        <f t="shared" si="177"/>
        <v>205.72450805008947</v>
      </c>
      <c r="O645" s="27">
        <f t="shared" si="177"/>
        <v>180.85106382978725</v>
      </c>
      <c r="Q645" s="4">
        <v>1.49</v>
      </c>
      <c r="R645" s="4">
        <v>1815.8525729999999</v>
      </c>
      <c r="S645" s="4">
        <v>2338.2847000000002</v>
      </c>
      <c r="T645" s="4">
        <v>180</v>
      </c>
      <c r="U645" s="4">
        <v>22.36</v>
      </c>
      <c r="V645" s="4">
        <v>14.1</v>
      </c>
      <c r="X645" s="61">
        <v>41948</v>
      </c>
      <c r="Y645" s="68">
        <v>4453.0717105263147</v>
      </c>
      <c r="Z645" s="68">
        <v>5022.5847368421055</v>
      </c>
    </row>
    <row r="646" spans="1:26" x14ac:dyDescent="0.3">
      <c r="A646" s="61">
        <v>41955</v>
      </c>
      <c r="B646" s="105">
        <v>3.677</v>
      </c>
      <c r="C646" s="2">
        <v>612.5</v>
      </c>
      <c r="D646" s="2">
        <v>381.5</v>
      </c>
      <c r="E646" s="2">
        <v>767</v>
      </c>
      <c r="F646" s="105">
        <v>45.5</v>
      </c>
      <c r="G646" s="105">
        <v>25</v>
      </c>
      <c r="I646" s="10">
        <v>41955</v>
      </c>
      <c r="J646" s="27">
        <f t="shared" si="171"/>
        <v>246.77852348993289</v>
      </c>
      <c r="K646" s="27">
        <f t="shared" si="162"/>
        <v>278.96382040296368</v>
      </c>
      <c r="L646" s="27">
        <f t="shared" si="179"/>
        <v>231.11320605408338</v>
      </c>
      <c r="M646" s="27">
        <f t="shared" si="176"/>
        <v>426.11111111111109</v>
      </c>
      <c r="N646" s="27">
        <f t="shared" si="177"/>
        <v>203.48837209302326</v>
      </c>
      <c r="O646" s="27">
        <f t="shared" si="177"/>
        <v>177.3049645390071</v>
      </c>
      <c r="Q646" s="4">
        <v>1.49</v>
      </c>
      <c r="R646" s="4">
        <v>1815.8525729999999</v>
      </c>
      <c r="S646" s="4">
        <v>2338.2847000000002</v>
      </c>
      <c r="T646" s="4">
        <v>180</v>
      </c>
      <c r="U646" s="4">
        <v>22.36</v>
      </c>
      <c r="V646" s="4">
        <v>14.1</v>
      </c>
      <c r="X646" s="61">
        <v>41955</v>
      </c>
      <c r="Y646" s="68">
        <v>4453.0717105263147</v>
      </c>
      <c r="Z646" s="68">
        <v>5022.5847368421055</v>
      </c>
    </row>
    <row r="647" spans="1:26" x14ac:dyDescent="0.3">
      <c r="A647" s="61">
        <v>41962</v>
      </c>
      <c r="B647" s="105">
        <v>3.661</v>
      </c>
      <c r="C647" s="2">
        <v>550</v>
      </c>
      <c r="D647" s="2">
        <v>100</v>
      </c>
      <c r="E647" s="2">
        <v>669</v>
      </c>
      <c r="F647" s="105">
        <v>44.75</v>
      </c>
      <c r="G647" s="105">
        <v>24.5</v>
      </c>
      <c r="I647" s="10">
        <v>41962</v>
      </c>
      <c r="J647" s="27">
        <f t="shared" si="171"/>
        <v>245.70469798657717</v>
      </c>
      <c r="K647" s="27">
        <f t="shared" si="162"/>
        <v>275.5219110250045</v>
      </c>
      <c r="L647" s="27">
        <f t="shared" si="179"/>
        <v>219.07446671665366</v>
      </c>
      <c r="M647" s="27">
        <f t="shared" si="176"/>
        <v>371.66666666666669</v>
      </c>
      <c r="N647" s="27">
        <f t="shared" si="177"/>
        <v>200.13416815742397</v>
      </c>
      <c r="O647" s="27">
        <f t="shared" si="177"/>
        <v>173.75886524822698</v>
      </c>
      <c r="Q647" s="4">
        <v>1.49</v>
      </c>
      <c r="R647" s="4">
        <v>1815.8525729999999</v>
      </c>
      <c r="S647" s="4">
        <v>2338.2847000000002</v>
      </c>
      <c r="T647" s="4">
        <v>180</v>
      </c>
      <c r="U647" s="4">
        <v>22.36</v>
      </c>
      <c r="V647" s="4">
        <v>14.1</v>
      </c>
      <c r="X647" s="61">
        <v>41962</v>
      </c>
      <c r="Y647" s="68">
        <v>4453.0717105263147</v>
      </c>
      <c r="Z647" s="68">
        <v>5022.5847368421055</v>
      </c>
    </row>
    <row r="648" spans="1:26" x14ac:dyDescent="0.3">
      <c r="A648" s="61">
        <v>41969</v>
      </c>
      <c r="B648" s="105">
        <v>3.6280000000000001</v>
      </c>
      <c r="C648" s="2">
        <v>283.5</v>
      </c>
      <c r="D648" s="2">
        <v>-112.5</v>
      </c>
      <c r="E648" s="2">
        <v>550</v>
      </c>
      <c r="F648" s="105">
        <v>43.5</v>
      </c>
      <c r="G648" s="105">
        <v>24</v>
      </c>
      <c r="I648" s="10">
        <v>41969</v>
      </c>
      <c r="J648" s="27">
        <f t="shared" si="171"/>
        <v>243.48993288590606</v>
      </c>
      <c r="K648" s="27">
        <f t="shared" si="162"/>
        <v>260.8456094373866</v>
      </c>
      <c r="L648" s="27">
        <f t="shared" si="179"/>
        <v>209.98660842463303</v>
      </c>
      <c r="M648" s="27">
        <f t="shared" si="176"/>
        <v>305.55555555555554</v>
      </c>
      <c r="N648" s="27">
        <f t="shared" si="177"/>
        <v>194.5438282647585</v>
      </c>
      <c r="O648" s="27">
        <f t="shared" si="177"/>
        <v>170.21276595744681</v>
      </c>
      <c r="Q648" s="4">
        <v>1.49</v>
      </c>
      <c r="R648" s="4">
        <v>1815.8525729999999</v>
      </c>
      <c r="S648" s="4">
        <v>2338.2847000000002</v>
      </c>
      <c r="T648" s="4">
        <v>180</v>
      </c>
      <c r="U648" s="4">
        <v>22.36</v>
      </c>
      <c r="V648" s="4">
        <v>14.1</v>
      </c>
      <c r="X648" s="61">
        <v>41969</v>
      </c>
      <c r="Y648" s="68">
        <v>4453.0717105263147</v>
      </c>
      <c r="Z648" s="68">
        <v>5022.5847368421055</v>
      </c>
    </row>
    <row r="649" spans="1:26" x14ac:dyDescent="0.3">
      <c r="A649" s="61">
        <v>41976</v>
      </c>
      <c r="B649" s="105">
        <v>3.605</v>
      </c>
      <c r="C649" s="2">
        <v>225</v>
      </c>
      <c r="D649" s="2">
        <v>-62.5</v>
      </c>
      <c r="E649" s="2">
        <v>575</v>
      </c>
      <c r="F649" s="105" t="s">
        <v>17</v>
      </c>
      <c r="G649" s="105" t="s">
        <v>17</v>
      </c>
      <c r="I649" s="10">
        <v>41976</v>
      </c>
      <c r="J649" s="27">
        <f t="shared" si="171"/>
        <v>241.94630872483222</v>
      </c>
      <c r="K649" s="27">
        <f t="shared" ref="K649:L651" si="180">(C649+Y649)/R649*100</f>
        <v>256.98755799876966</v>
      </c>
      <c r="L649" s="27">
        <f t="shared" si="180"/>
        <v>210.56728599297369</v>
      </c>
      <c r="M649" s="27">
        <f t="shared" si="176"/>
        <v>319.44444444444446</v>
      </c>
      <c r="N649" s="37" t="s">
        <v>17</v>
      </c>
      <c r="O649" s="37" t="s">
        <v>17</v>
      </c>
      <c r="Q649" s="4">
        <v>1.49</v>
      </c>
      <c r="R649" s="4">
        <v>1815.8525729999999</v>
      </c>
      <c r="S649" s="4">
        <v>2338.2847000000002</v>
      </c>
      <c r="T649" s="4">
        <v>180</v>
      </c>
      <c r="U649" s="4">
        <v>22.36</v>
      </c>
      <c r="V649" s="4">
        <v>14.1</v>
      </c>
      <c r="X649" s="61">
        <v>41976</v>
      </c>
      <c r="Y649" s="68">
        <v>4441.5151842105261</v>
      </c>
      <c r="Z649" s="68">
        <v>4986.1626315789472</v>
      </c>
    </row>
    <row r="650" spans="1:26" x14ac:dyDescent="0.3">
      <c r="A650" s="61">
        <v>41983</v>
      </c>
      <c r="B650" s="105">
        <v>3.5350000000000001</v>
      </c>
      <c r="C650" s="2">
        <v>225</v>
      </c>
      <c r="D650" s="2">
        <v>-38</v>
      </c>
      <c r="E650" s="2">
        <v>503</v>
      </c>
      <c r="F650" s="105">
        <v>42.5</v>
      </c>
      <c r="G650" s="105">
        <v>23</v>
      </c>
      <c r="I650" s="10">
        <v>41983</v>
      </c>
      <c r="J650" s="27">
        <f t="shared" ref="J650" si="181">(1+(B650-Q650)/Q650)*100</f>
        <v>237.24832214765098</v>
      </c>
      <c r="K650" s="27">
        <f t="shared" si="180"/>
        <v>256.98755799876966</v>
      </c>
      <c r="L650" s="27">
        <f t="shared" si="180"/>
        <v>211.61506259605375</v>
      </c>
      <c r="M650" s="27">
        <f t="shared" ref="M650" si="182">(1+(E650-T649)/T649)*100</f>
        <v>279.44444444444446</v>
      </c>
      <c r="N650" s="27">
        <f t="shared" ref="N650" si="183">(1+(F650-U649)/U649)*100</f>
        <v>190.07155635062611</v>
      </c>
      <c r="O650" s="27">
        <f t="shared" ref="O650" si="184">(1+(G650-V649)/V649)*100</f>
        <v>163.12056737588651</v>
      </c>
      <c r="Q650" s="4">
        <v>1.49</v>
      </c>
      <c r="R650" s="4">
        <v>1815.8525729999999</v>
      </c>
      <c r="S650" s="4">
        <v>2338.2847000000002</v>
      </c>
      <c r="T650" s="4">
        <v>180</v>
      </c>
      <c r="U650" s="4">
        <v>22.36</v>
      </c>
      <c r="V650" s="4">
        <v>14.1</v>
      </c>
      <c r="X650" s="61">
        <v>41983</v>
      </c>
      <c r="Y650" s="68">
        <v>4441.5151842105261</v>
      </c>
      <c r="Z650" s="68">
        <v>4986.1626315789472</v>
      </c>
    </row>
    <row r="651" spans="1:26" x14ac:dyDescent="0.3">
      <c r="A651" s="61">
        <v>41990</v>
      </c>
      <c r="B651" s="105">
        <v>3.42</v>
      </c>
      <c r="C651" s="2" t="s">
        <v>32</v>
      </c>
      <c r="D651" s="2">
        <v>-138</v>
      </c>
      <c r="E651" s="2">
        <v>495</v>
      </c>
      <c r="F651" s="105">
        <v>41.5</v>
      </c>
      <c r="G651" s="105">
        <v>22.5</v>
      </c>
      <c r="I651" s="10">
        <v>41990</v>
      </c>
      <c r="J651" s="27">
        <f t="shared" ref="J651" si="185">(1+(B651-Q651)/Q651)*100</f>
        <v>229.53020134228188</v>
      </c>
      <c r="K651" s="27">
        <f t="shared" si="180"/>
        <v>244.59668423811664</v>
      </c>
      <c r="L651" s="27">
        <f t="shared" si="180"/>
        <v>207.3384233998087</v>
      </c>
      <c r="M651" s="27">
        <f t="shared" ref="M651" si="186">(1+(E651-T650)/T650)*100</f>
        <v>275</v>
      </c>
      <c r="N651" s="27">
        <f t="shared" ref="N651" si="187">(1+(F651-U650)/U650)*100</f>
        <v>185.59928443649375</v>
      </c>
      <c r="O651" s="27">
        <f t="shared" ref="O651" si="188">(1+(G651-V650)/V650)*100</f>
        <v>159.57446808510639</v>
      </c>
      <c r="Q651" s="4">
        <v>1.49</v>
      </c>
      <c r="R651" s="4">
        <v>1815.8525729999999</v>
      </c>
      <c r="S651" s="4">
        <v>2338.2847000000002</v>
      </c>
      <c r="T651" s="4">
        <v>180</v>
      </c>
      <c r="U651" s="4">
        <v>22.36</v>
      </c>
      <c r="V651" s="4">
        <v>14.1</v>
      </c>
      <c r="X651" s="61">
        <v>41990</v>
      </c>
      <c r="Y651" s="68">
        <v>4441.5151842105261</v>
      </c>
      <c r="Z651" s="68">
        <v>4986.1626315789472</v>
      </c>
    </row>
    <row r="652" spans="1:26" x14ac:dyDescent="0.3">
      <c r="B652" s="105"/>
      <c r="F652" s="105"/>
      <c r="G652" s="105"/>
      <c r="X652" s="61">
        <v>41997</v>
      </c>
      <c r="Y652" s="68">
        <v>4441.5151842105261</v>
      </c>
      <c r="Z652" s="68">
        <v>4986.1626315789472</v>
      </c>
    </row>
    <row r="653" spans="1:26" x14ac:dyDescent="0.3">
      <c r="B653" s="107"/>
      <c r="F653" s="107"/>
      <c r="G653" s="107"/>
      <c r="X653" s="61">
        <v>42004</v>
      </c>
      <c r="Y653" s="68">
        <v>4441.5151842105261</v>
      </c>
      <c r="Z653" s="68">
        <v>4986.1626315789472</v>
      </c>
    </row>
    <row r="654" spans="1:26" x14ac:dyDescent="0.3">
      <c r="B654" s="107"/>
      <c r="F654" s="107"/>
      <c r="G654" s="107"/>
      <c r="X654" s="61"/>
      <c r="Y654" s="68"/>
      <c r="Z654" s="68"/>
    </row>
    <row r="655" spans="1:26" x14ac:dyDescent="0.3">
      <c r="B655" s="107"/>
      <c r="F655" s="107"/>
      <c r="G655" s="107"/>
      <c r="X655" s="61"/>
      <c r="Y655" s="68"/>
      <c r="Z655" s="68"/>
    </row>
    <row r="656" spans="1:26" x14ac:dyDescent="0.3">
      <c r="B656" s="107"/>
      <c r="F656" s="107"/>
      <c r="G656" s="107"/>
      <c r="X656" s="61"/>
      <c r="Y656" s="68"/>
      <c r="Z656" s="68"/>
    </row>
    <row r="657" spans="2:26" x14ac:dyDescent="0.3">
      <c r="B657" s="105"/>
      <c r="F657" s="105"/>
      <c r="G657" s="105"/>
      <c r="X657" s="61"/>
      <c r="Y657" s="68"/>
      <c r="Z657" s="68"/>
    </row>
    <row r="658" spans="2:26" x14ac:dyDescent="0.3">
      <c r="X658" s="61"/>
      <c r="Y658" s="68"/>
      <c r="Z658" s="68"/>
    </row>
    <row r="659" spans="2:26" x14ac:dyDescent="0.3">
      <c r="H659" s="2"/>
      <c r="I659" s="19"/>
      <c r="J659" s="19"/>
    </row>
    <row r="660" spans="2:26" x14ac:dyDescent="0.3">
      <c r="D660" s="19"/>
      <c r="E660" s="92"/>
      <c r="H660" s="2"/>
      <c r="I660" s="19"/>
      <c r="J660" s="19"/>
    </row>
    <row r="661" spans="2:26" x14ac:dyDescent="0.3">
      <c r="D661" s="19"/>
      <c r="E661" s="19"/>
      <c r="H661" s="2"/>
      <c r="I661" s="19"/>
      <c r="J661" s="106"/>
    </row>
    <row r="662" spans="2:26" x14ac:dyDescent="0.3">
      <c r="D662" s="19"/>
      <c r="E662" s="19"/>
      <c r="H662" s="2"/>
      <c r="I662" s="19"/>
      <c r="J662" s="19"/>
    </row>
    <row r="663" spans="2:26" x14ac:dyDescent="0.3">
      <c r="D663" s="93"/>
      <c r="E663" s="93"/>
      <c r="H663" s="2"/>
      <c r="I663" s="19"/>
      <c r="J663" s="19"/>
    </row>
    <row r="664" spans="2:26" x14ac:dyDescent="0.3">
      <c r="H664" s="2"/>
      <c r="I664" s="19"/>
      <c r="J664" s="19"/>
    </row>
    <row r="665" spans="2:26" x14ac:dyDescent="0.3">
      <c r="H665" s="2"/>
      <c r="I665" s="19"/>
      <c r="J665" s="19"/>
      <c r="M665" s="1">
        <v>1</v>
      </c>
    </row>
  </sheetData>
  <mergeCells count="3">
    <mergeCell ref="F236:G236"/>
    <mergeCell ref="Y5:Z6"/>
    <mergeCell ref="J6:O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selection activeCell="E19" sqref="E19"/>
    </sheetView>
  </sheetViews>
  <sheetFormatPr defaultRowHeight="15" x14ac:dyDescent="0.25"/>
  <cols>
    <col min="1" max="1" width="2.90625" customWidth="1"/>
    <col min="2" max="2" width="11.81640625" customWidth="1"/>
    <col min="3" max="7" width="10.81640625" customWidth="1"/>
    <col min="8" max="8" width="11" customWidth="1"/>
    <col min="9" max="9" width="2.90625" customWidth="1"/>
    <col min="10" max="10" width="6.90625" customWidth="1"/>
  </cols>
  <sheetData>
    <row r="1" spans="1:10" ht="12.75" customHeight="1" x14ac:dyDescent="0.25">
      <c r="A1" s="48"/>
      <c r="B1" s="49" t="s">
        <v>29</v>
      </c>
      <c r="C1" s="39"/>
      <c r="D1" s="39"/>
      <c r="E1" s="39"/>
      <c r="F1" s="39"/>
      <c r="G1" s="39"/>
      <c r="H1" s="39"/>
      <c r="I1" s="69"/>
      <c r="J1" s="48"/>
    </row>
    <row r="2" spans="1:10" ht="14.25" customHeight="1" x14ac:dyDescent="0.25">
      <c r="A2" s="48"/>
      <c r="B2" s="40" t="s">
        <v>22</v>
      </c>
      <c r="C2" s="17"/>
      <c r="D2" s="17"/>
      <c r="E2" s="17"/>
      <c r="F2" s="17"/>
      <c r="G2" s="17"/>
      <c r="H2" s="17"/>
      <c r="I2" s="49"/>
      <c r="J2" s="48"/>
    </row>
    <row r="3" spans="1:10" x14ac:dyDescent="0.25">
      <c r="A3" s="48"/>
      <c r="B3" s="41"/>
      <c r="C3" s="42" t="s">
        <v>14</v>
      </c>
      <c r="D3" s="113" t="s">
        <v>9</v>
      </c>
      <c r="E3" s="113"/>
      <c r="F3" s="42" t="s">
        <v>15</v>
      </c>
      <c r="G3" s="43" t="s">
        <v>5</v>
      </c>
      <c r="H3" s="43"/>
      <c r="I3" s="22"/>
      <c r="J3" s="48"/>
    </row>
    <row r="4" spans="1:10" x14ac:dyDescent="0.25">
      <c r="A4" s="48"/>
      <c r="B4" s="44" t="s">
        <v>19</v>
      </c>
      <c r="C4" s="53"/>
      <c r="D4" s="42" t="s">
        <v>27</v>
      </c>
      <c r="E4" s="42" t="s">
        <v>25</v>
      </c>
      <c r="F4" s="45"/>
      <c r="G4" s="46" t="s">
        <v>11</v>
      </c>
      <c r="H4" s="46" t="s">
        <v>16</v>
      </c>
      <c r="I4" s="22"/>
      <c r="J4" s="48"/>
    </row>
    <row r="5" spans="1:10" x14ac:dyDescent="0.25">
      <c r="A5" s="48"/>
      <c r="B5" s="36">
        <f>Data!A4</f>
        <v>41990</v>
      </c>
      <c r="C5" s="52">
        <f>Data!B4</f>
        <v>229.53020134228188</v>
      </c>
      <c r="D5" s="52">
        <f>Data!C4</f>
        <v>244.59668423811664</v>
      </c>
      <c r="E5" s="52">
        <f>Data!D4</f>
        <v>207.3384233998087</v>
      </c>
      <c r="F5" s="52">
        <f>Data!E4</f>
        <v>275</v>
      </c>
      <c r="G5" s="52">
        <f>Data!F4</f>
        <v>185.59928443649375</v>
      </c>
      <c r="H5" s="52">
        <f>Data!G4</f>
        <v>159.57446808510639</v>
      </c>
      <c r="I5" s="22"/>
      <c r="J5" s="48"/>
    </row>
    <row r="6" spans="1:10" ht="9" customHeight="1" x14ac:dyDescent="0.25">
      <c r="A6" s="48"/>
      <c r="B6" s="25"/>
      <c r="C6" s="26">
        <f>Data!B5</f>
        <v>-6.3395810363837185E-3</v>
      </c>
      <c r="D6" s="26">
        <f>Data!C5</f>
        <v>-0.20634920634920634</v>
      </c>
      <c r="E6" s="26"/>
      <c r="F6" s="26">
        <f>Data!E5</f>
        <v>4.5454545454545456E-2</v>
      </c>
      <c r="G6" s="26">
        <f>Data!F5</f>
        <v>-1</v>
      </c>
      <c r="H6" s="26">
        <f>Data!G5</f>
        <v>-1</v>
      </c>
      <c r="I6" s="22"/>
      <c r="J6" s="48"/>
    </row>
    <row r="7" spans="1:10" ht="12" customHeight="1" x14ac:dyDescent="0.25">
      <c r="A7" s="48"/>
      <c r="B7" s="50">
        <f>Data!A650</f>
        <v>41983</v>
      </c>
      <c r="C7" s="51">
        <f>Data!J650</f>
        <v>237.24832214765098</v>
      </c>
      <c r="D7" s="51">
        <f>Data!K650</f>
        <v>256.98755799876966</v>
      </c>
      <c r="E7" s="51">
        <f>Data!L650</f>
        <v>211.61506259605375</v>
      </c>
      <c r="F7" s="51">
        <f>Data!M650</f>
        <v>279.44444444444446</v>
      </c>
      <c r="G7" s="51">
        <f>Data!N650</f>
        <v>190.07155635062611</v>
      </c>
      <c r="H7" s="51">
        <f>Data!O650</f>
        <v>163.12056737588651</v>
      </c>
      <c r="I7" s="22"/>
      <c r="J7" s="48"/>
    </row>
    <row r="8" spans="1:10" x14ac:dyDescent="0.25">
      <c r="A8" s="48"/>
      <c r="B8" s="47" t="s">
        <v>31</v>
      </c>
      <c r="C8" s="22"/>
      <c r="D8" s="22"/>
      <c r="E8" s="22"/>
      <c r="F8" s="22"/>
      <c r="G8" s="22"/>
      <c r="H8" s="22"/>
      <c r="I8" s="22"/>
      <c r="J8" s="48"/>
    </row>
    <row r="9" spans="1:10" ht="9" customHeight="1" x14ac:dyDescent="0.25">
      <c r="A9" s="48"/>
      <c r="B9" s="21" t="s">
        <v>30</v>
      </c>
      <c r="C9" s="22"/>
      <c r="D9" s="22"/>
      <c r="E9" s="22"/>
      <c r="F9" s="22"/>
      <c r="G9" s="22"/>
      <c r="H9" s="22"/>
      <c r="I9" s="22"/>
      <c r="J9" s="48"/>
    </row>
    <row r="10" spans="1:10" ht="8.25" customHeight="1" x14ac:dyDescent="0.25">
      <c r="A10" s="48"/>
      <c r="B10" s="112"/>
      <c r="C10" s="112"/>
      <c r="D10" s="112"/>
      <c r="E10" s="112"/>
      <c r="F10" s="112"/>
      <c r="G10" s="112"/>
      <c r="H10" s="112"/>
      <c r="I10" s="22"/>
      <c r="J10" s="48"/>
    </row>
    <row r="11" spans="1:10" ht="9.75" customHeight="1" x14ac:dyDescent="0.25">
      <c r="A11" s="48"/>
      <c r="B11" s="22" t="s">
        <v>18</v>
      </c>
      <c r="C11" s="22"/>
      <c r="D11" s="22"/>
      <c r="E11" s="22"/>
      <c r="F11" s="22"/>
      <c r="G11" s="22"/>
      <c r="H11" s="22"/>
      <c r="I11" s="22"/>
      <c r="J11" s="48"/>
    </row>
    <row r="12" spans="1:10" ht="15.6" x14ac:dyDescent="0.3">
      <c r="A12" s="48"/>
      <c r="B12" s="38"/>
      <c r="C12" s="97"/>
      <c r="D12" s="97"/>
      <c r="E12" s="97"/>
      <c r="F12" s="48"/>
      <c r="G12" s="48"/>
      <c r="H12" s="48"/>
      <c r="I12" s="48"/>
      <c r="J12" s="48"/>
    </row>
    <row r="13" spans="1:10" x14ac:dyDescent="0.25">
      <c r="A13" s="48"/>
      <c r="B13" s="48"/>
      <c r="C13" s="48"/>
      <c r="D13" s="48"/>
      <c r="E13" s="48"/>
      <c r="F13" s="48"/>
      <c r="G13" s="48"/>
      <c r="H13" s="48"/>
      <c r="I13" s="48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D6 F6:H6 E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Pierre Bahizi</cp:lastModifiedBy>
  <cp:lastPrinted>2010-12-15T17:27:58Z</cp:lastPrinted>
  <dcterms:created xsi:type="dcterms:W3CDTF">2003-11-24T15:34:41Z</dcterms:created>
  <dcterms:modified xsi:type="dcterms:W3CDTF">2014-12-18T14:31:41Z</dcterms:modified>
</cp:coreProperties>
</file>