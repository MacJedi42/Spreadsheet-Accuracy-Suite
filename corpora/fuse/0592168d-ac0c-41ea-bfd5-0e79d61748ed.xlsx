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90" windowWidth="15180" windowHeight="9210" activeTab="2"/>
  </bookViews>
  <sheets>
    <sheet name="Inc Exp Forecast" sheetId="6" r:id="rId1"/>
    <sheet name="Policy decisions" sheetId="2" r:id="rId2"/>
    <sheet name="Income Model" sheetId="5" r:id="rId3"/>
    <sheet name="Costing Model" sheetId="1" r:id="rId4"/>
    <sheet name="Staff Costing Schedule" sheetId="3" r:id="rId5"/>
    <sheet name="Pay Source data" sheetId="4" r:id="rId6"/>
  </sheets>
  <calcPr calcId="145621"/>
</workbook>
</file>

<file path=xl/calcChain.xml><?xml version="1.0" encoding="utf-8"?>
<calcChain xmlns="http://schemas.openxmlformats.org/spreadsheetml/2006/main">
  <c r="G24" i="2" l="1"/>
  <c r="A64" i="3" l="1"/>
  <c r="B64" i="3"/>
  <c r="C64" i="3"/>
  <c r="D64" i="3"/>
  <c r="E64" i="3"/>
  <c r="H64" i="3"/>
  <c r="J64" i="3"/>
  <c r="K64" i="3"/>
  <c r="L64" i="3"/>
  <c r="M64" i="3"/>
  <c r="N64" i="3"/>
  <c r="O64" i="3"/>
  <c r="P64" i="3"/>
  <c r="Q64" i="3"/>
  <c r="R64" i="3"/>
  <c r="S64" i="3"/>
  <c r="T64" i="3"/>
  <c r="U64" i="3"/>
  <c r="A65" i="3"/>
  <c r="B65" i="3"/>
  <c r="C65" i="3"/>
  <c r="D65" i="3"/>
  <c r="E65" i="3"/>
  <c r="H65" i="3"/>
  <c r="J65" i="3"/>
  <c r="K65" i="3"/>
  <c r="L65" i="3"/>
  <c r="M65" i="3"/>
  <c r="N65" i="3"/>
  <c r="O65" i="3"/>
  <c r="P65" i="3"/>
  <c r="Q65" i="3"/>
  <c r="R65" i="3"/>
  <c r="S65" i="3"/>
  <c r="T65" i="3"/>
  <c r="U65" i="3"/>
  <c r="A66" i="3"/>
  <c r="B66" i="3"/>
  <c r="C66" i="3"/>
  <c r="D66" i="3"/>
  <c r="E66" i="3"/>
  <c r="H66" i="3"/>
  <c r="J66" i="3"/>
  <c r="K66" i="3"/>
  <c r="L66" i="3"/>
  <c r="M66" i="3"/>
  <c r="N66" i="3"/>
  <c r="O66" i="3"/>
  <c r="P66" i="3"/>
  <c r="Q66" i="3"/>
  <c r="R66" i="3"/>
  <c r="S66" i="3"/>
  <c r="T66" i="3"/>
  <c r="U66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A63" i="3"/>
  <c r="C47" i="3"/>
  <c r="D47" i="3"/>
  <c r="E47" i="3" s="1"/>
  <c r="C48" i="3"/>
  <c r="D48" i="3"/>
  <c r="E48" i="3" s="1"/>
  <c r="C49" i="3"/>
  <c r="D49" i="3"/>
  <c r="E49" i="3" s="1"/>
  <c r="B48" i="3"/>
  <c r="B49" i="3"/>
  <c r="B47" i="3"/>
  <c r="H49" i="3"/>
  <c r="H48" i="3"/>
  <c r="H47" i="3"/>
  <c r="E35" i="3"/>
  <c r="H35" i="3"/>
  <c r="H34" i="3"/>
  <c r="E34" i="3"/>
  <c r="H33" i="3"/>
  <c r="E33" i="3"/>
  <c r="C33" i="3"/>
  <c r="D33" i="3"/>
  <c r="C34" i="3"/>
  <c r="D34" i="3"/>
  <c r="C35" i="3"/>
  <c r="D35" i="3"/>
  <c r="B34" i="3"/>
  <c r="B35" i="3"/>
  <c r="B33" i="3"/>
  <c r="E16" i="3"/>
  <c r="E15" i="3"/>
  <c r="E14" i="3"/>
  <c r="F33" i="3" l="1"/>
  <c r="F35" i="3"/>
  <c r="G35" i="3" s="1"/>
  <c r="I35" i="3" s="1"/>
  <c r="Q35" i="3" s="1"/>
  <c r="F49" i="3"/>
  <c r="G49" i="3" s="1"/>
  <c r="I49" i="3" s="1"/>
  <c r="G33" i="3"/>
  <c r="I33" i="3" s="1"/>
  <c r="F18" i="5"/>
  <c r="G18" i="5"/>
  <c r="H18" i="5"/>
  <c r="I18" i="5"/>
  <c r="E18" i="5"/>
  <c r="E22" i="5" s="1"/>
  <c r="F9" i="5"/>
  <c r="G9" i="5"/>
  <c r="H9" i="5"/>
  <c r="I9" i="5"/>
  <c r="E9" i="5"/>
  <c r="E13" i="5" s="1"/>
  <c r="F50" i="1"/>
  <c r="F44" i="1"/>
  <c r="I40" i="1"/>
  <c r="I39" i="1"/>
  <c r="I38" i="1"/>
  <c r="I32" i="1"/>
  <c r="I33" i="1"/>
  <c r="I34" i="1"/>
  <c r="I35" i="1"/>
  <c r="I31" i="1"/>
  <c r="E25" i="5"/>
  <c r="I24" i="3"/>
  <c r="K24" i="3" s="1"/>
  <c r="E27" i="3"/>
  <c r="E28" i="3"/>
  <c r="E29" i="3"/>
  <c r="E30" i="3"/>
  <c r="E31" i="3"/>
  <c r="I38" i="3"/>
  <c r="E41" i="3"/>
  <c r="E42" i="3"/>
  <c r="E43" i="3"/>
  <c r="E44" i="3"/>
  <c r="E45" i="3"/>
  <c r="I55" i="3"/>
  <c r="K55" i="3" s="1"/>
  <c r="E58" i="3"/>
  <c r="E59" i="3"/>
  <c r="E60" i="3"/>
  <c r="E61" i="3"/>
  <c r="F61" i="3" s="1"/>
  <c r="G61" i="3" s="1"/>
  <c r="I61" i="3" s="1"/>
  <c r="E62" i="3"/>
  <c r="K38" i="3"/>
  <c r="B15" i="6"/>
  <c r="B16" i="6"/>
  <c r="B19" i="6"/>
  <c r="B20" i="6"/>
  <c r="B22" i="6"/>
  <c r="C21" i="6"/>
  <c r="D21" i="6"/>
  <c r="E21" i="6"/>
  <c r="F21" i="6"/>
  <c r="G21" i="6"/>
  <c r="C2" i="6"/>
  <c r="D2" i="6"/>
  <c r="E2" i="6"/>
  <c r="F2" i="6"/>
  <c r="G2" i="6"/>
  <c r="B2" i="6"/>
  <c r="M21" i="3"/>
  <c r="R21" i="3" s="1"/>
  <c r="N21" i="3"/>
  <c r="S21" i="3" s="1"/>
  <c r="O21" i="3"/>
  <c r="T21" i="3" s="1"/>
  <c r="P21" i="3"/>
  <c r="U21" i="3" s="1"/>
  <c r="K21" i="3"/>
  <c r="J21" i="3" s="1"/>
  <c r="L21" i="3"/>
  <c r="Q21" i="3" s="1"/>
  <c r="K19" i="1"/>
  <c r="L19" i="1"/>
  <c r="M19" i="1"/>
  <c r="N19" i="1"/>
  <c r="O19" i="1"/>
  <c r="J19" i="1"/>
  <c r="F78" i="5"/>
  <c r="G78" i="5"/>
  <c r="H78" i="5"/>
  <c r="I78" i="5"/>
  <c r="E78" i="5"/>
  <c r="F69" i="5"/>
  <c r="G69" i="5"/>
  <c r="H69" i="5"/>
  <c r="I69" i="5"/>
  <c r="E69" i="5"/>
  <c r="F17" i="5"/>
  <c r="G17" i="5"/>
  <c r="H17" i="5"/>
  <c r="I17" i="5"/>
  <c r="E17" i="5"/>
  <c r="F8" i="5"/>
  <c r="G8" i="5"/>
  <c r="H8" i="5"/>
  <c r="I8" i="5"/>
  <c r="E8" i="5"/>
  <c r="D7" i="6"/>
  <c r="E7" i="6"/>
  <c r="F7" i="6"/>
  <c r="G7" i="6"/>
  <c r="C7" i="6"/>
  <c r="D62" i="5"/>
  <c r="E96" i="5"/>
  <c r="E105" i="5"/>
  <c r="E106" i="5"/>
  <c r="E95" i="5"/>
  <c r="G107" i="5"/>
  <c r="F107" i="5"/>
  <c r="E107" i="5"/>
  <c r="F98" i="5"/>
  <c r="E83" i="5"/>
  <c r="E74" i="5"/>
  <c r="E97" i="5"/>
  <c r="J40" i="1"/>
  <c r="J39" i="1"/>
  <c r="J25" i="1"/>
  <c r="J23" i="1"/>
  <c r="J24" i="1"/>
  <c r="B21" i="6" s="1"/>
  <c r="J26" i="1"/>
  <c r="J27" i="1"/>
  <c r="J22" i="1"/>
  <c r="E57" i="5"/>
  <c r="E48" i="5"/>
  <c r="D24" i="2"/>
  <c r="B25" i="2"/>
  <c r="C25" i="2"/>
  <c r="B26" i="2"/>
  <c r="C26" i="2"/>
  <c r="D26" i="2" s="1"/>
  <c r="F39" i="5" s="1"/>
  <c r="F106" i="5" s="1"/>
  <c r="B24" i="2"/>
  <c r="C24" i="2" s="1"/>
  <c r="F2" i="3"/>
  <c r="F14" i="3" s="1"/>
  <c r="F64" i="3" s="1"/>
  <c r="H38" i="3"/>
  <c r="H41" i="3"/>
  <c r="H42" i="3"/>
  <c r="H43" i="3"/>
  <c r="H44" i="3"/>
  <c r="H45" i="3"/>
  <c r="H62" i="3"/>
  <c r="H55" i="3"/>
  <c r="H58" i="3"/>
  <c r="H59" i="3"/>
  <c r="H60" i="3"/>
  <c r="H61" i="3"/>
  <c r="H27" i="3"/>
  <c r="H28" i="3"/>
  <c r="H29" i="3"/>
  <c r="H30" i="3"/>
  <c r="H31" i="3"/>
  <c r="F21" i="3"/>
  <c r="H24" i="3"/>
  <c r="E12" i="3"/>
  <c r="H11" i="3"/>
  <c r="H12" i="3"/>
  <c r="H10" i="3"/>
  <c r="E9" i="3"/>
  <c r="H9" i="3"/>
  <c r="E10" i="3"/>
  <c r="E11" i="3"/>
  <c r="E8" i="3"/>
  <c r="H8" i="3"/>
  <c r="F5" i="1"/>
  <c r="G5" i="1"/>
  <c r="H6" i="1"/>
  <c r="J6" i="1"/>
  <c r="H4" i="1"/>
  <c r="J4" i="1" s="1"/>
  <c r="H5" i="3"/>
  <c r="H9" i="1"/>
  <c r="J9" i="1" s="1"/>
  <c r="H10" i="1"/>
  <c r="J10" i="1" s="1"/>
  <c r="H11" i="1"/>
  <c r="J11" i="1" s="1"/>
  <c r="F31" i="5"/>
  <c r="F48" i="5" s="1"/>
  <c r="K31" i="1"/>
  <c r="K34" i="1"/>
  <c r="E104" i="5"/>
  <c r="E45" i="5" l="1"/>
  <c r="E47" i="5"/>
  <c r="E46" i="5"/>
  <c r="R32" i="3"/>
  <c r="R46" i="3"/>
  <c r="K35" i="3"/>
  <c r="F40" i="5"/>
  <c r="F57" i="5" s="1"/>
  <c r="E89" i="5"/>
  <c r="E26" i="2"/>
  <c r="H5" i="1"/>
  <c r="J5" i="1" s="1"/>
  <c r="J13" i="1" s="1"/>
  <c r="Q46" i="3"/>
  <c r="Q32" i="3"/>
  <c r="B23" i="6"/>
  <c r="K48" i="1"/>
  <c r="E108" i="5"/>
  <c r="F47" i="3"/>
  <c r="G47" i="3" s="1"/>
  <c r="I47" i="3" s="1"/>
  <c r="G14" i="3"/>
  <c r="B24" i="6"/>
  <c r="F28" i="5"/>
  <c r="R35" i="3"/>
  <c r="F29" i="3"/>
  <c r="G29" i="3" s="1"/>
  <c r="I29" i="3" s="1"/>
  <c r="Q29" i="3" s="1"/>
  <c r="H19" i="5"/>
  <c r="I20" i="5" s="1"/>
  <c r="F34" i="3"/>
  <c r="G34" i="3" s="1"/>
  <c r="I34" i="3" s="1"/>
  <c r="F48" i="3"/>
  <c r="G48" i="3" s="1"/>
  <c r="I48" i="3" s="1"/>
  <c r="Q48" i="3" s="1"/>
  <c r="F15" i="3"/>
  <c r="F16" i="3"/>
  <c r="R48" i="3"/>
  <c r="K48" i="3"/>
  <c r="Q49" i="3"/>
  <c r="K49" i="3"/>
  <c r="S49" i="3"/>
  <c r="R49" i="3"/>
  <c r="K47" i="3"/>
  <c r="S47" i="3"/>
  <c r="R47" i="3"/>
  <c r="Q47" i="3"/>
  <c r="K34" i="3"/>
  <c r="Q34" i="3"/>
  <c r="R34" i="3"/>
  <c r="S34" i="3"/>
  <c r="Q33" i="3"/>
  <c r="R33" i="3"/>
  <c r="K33" i="3"/>
  <c r="Q55" i="3"/>
  <c r="R24" i="3"/>
  <c r="H10" i="5"/>
  <c r="I11" i="5" s="1"/>
  <c r="I10" i="5"/>
  <c r="I19" i="5"/>
  <c r="F10" i="5"/>
  <c r="F13" i="5" s="1"/>
  <c r="R61" i="3"/>
  <c r="Q61" i="3"/>
  <c r="K61" i="3"/>
  <c r="F11" i="3"/>
  <c r="G11" i="3" s="1"/>
  <c r="I11" i="3" s="1"/>
  <c r="F55" i="3"/>
  <c r="G55" i="3" s="1"/>
  <c r="F5" i="3"/>
  <c r="G5" i="3" s="1"/>
  <c r="I5" i="3" s="1"/>
  <c r="F44" i="3"/>
  <c r="G44" i="3" s="1"/>
  <c r="I44" i="3" s="1"/>
  <c r="F38" i="3"/>
  <c r="G38" i="3" s="1"/>
  <c r="F30" i="3"/>
  <c r="G30" i="3" s="1"/>
  <c r="I30" i="3" s="1"/>
  <c r="F24" i="3"/>
  <c r="G24" i="3" s="1"/>
  <c r="F60" i="3"/>
  <c r="G60" i="3" s="1"/>
  <c r="I60" i="3" s="1"/>
  <c r="F31" i="3"/>
  <c r="G31" i="3" s="1"/>
  <c r="I31" i="3" s="1"/>
  <c r="F42" i="3"/>
  <c r="G42" i="3" s="1"/>
  <c r="I42" i="3" s="1"/>
  <c r="F8" i="3"/>
  <c r="G8" i="3" s="1"/>
  <c r="I8" i="3" s="1"/>
  <c r="F41" i="3"/>
  <c r="G41" i="3" s="1"/>
  <c r="I41" i="3" s="1"/>
  <c r="F59" i="3"/>
  <c r="G59" i="3" s="1"/>
  <c r="I59" i="3" s="1"/>
  <c r="F28" i="3"/>
  <c r="G28" i="3" s="1"/>
  <c r="I28" i="3" s="1"/>
  <c r="E62" i="5"/>
  <c r="C8" i="6" s="1"/>
  <c r="E49" i="5"/>
  <c r="C5" i="6" s="1"/>
  <c r="E55" i="5"/>
  <c r="E54" i="5"/>
  <c r="E56" i="5"/>
  <c r="K29" i="3"/>
  <c r="F12" i="3"/>
  <c r="G12" i="3" s="1"/>
  <c r="I12" i="3" s="1"/>
  <c r="F58" i="3"/>
  <c r="G58" i="3" s="1"/>
  <c r="I58" i="3" s="1"/>
  <c r="G38" i="5"/>
  <c r="G28" i="5"/>
  <c r="F26" i="2"/>
  <c r="F10" i="3"/>
  <c r="G10" i="3" s="1"/>
  <c r="I10" i="3" s="1"/>
  <c r="K39" i="1"/>
  <c r="K32" i="1"/>
  <c r="D25" i="2"/>
  <c r="G11" i="5"/>
  <c r="H12" i="5" s="1"/>
  <c r="F45" i="3"/>
  <c r="G45" i="3" s="1"/>
  <c r="I45" i="3" s="1"/>
  <c r="F19" i="5"/>
  <c r="G10" i="5"/>
  <c r="F80" i="5"/>
  <c r="H80" i="5"/>
  <c r="G71" i="5"/>
  <c r="I71" i="5"/>
  <c r="G19" i="5"/>
  <c r="G80" i="5"/>
  <c r="I80" i="5"/>
  <c r="H71" i="5"/>
  <c r="K33" i="1"/>
  <c r="G31" i="5"/>
  <c r="G48" i="5" s="1"/>
  <c r="G40" i="5"/>
  <c r="G57" i="5" s="1"/>
  <c r="K40" i="1"/>
  <c r="Q38" i="3"/>
  <c r="Q24" i="3"/>
  <c r="E99" i="5"/>
  <c r="F71" i="5"/>
  <c r="F9" i="3"/>
  <c r="G9" i="3" s="1"/>
  <c r="I9" i="3" s="1"/>
  <c r="F38" i="5"/>
  <c r="F29" i="5"/>
  <c r="F30" i="5"/>
  <c r="F37" i="5"/>
  <c r="E24" i="2"/>
  <c r="R55" i="3"/>
  <c r="R38" i="3"/>
  <c r="F62" i="3"/>
  <c r="G62" i="3" s="1"/>
  <c r="I62" i="3" s="1"/>
  <c r="F43" i="3"/>
  <c r="G43" i="3" s="1"/>
  <c r="I43" i="3" s="1"/>
  <c r="F27" i="3"/>
  <c r="G27" i="3" s="1"/>
  <c r="I27" i="3" s="1"/>
  <c r="K35" i="1"/>
  <c r="K38" i="1"/>
  <c r="T47" i="3" l="1"/>
  <c r="F65" i="3"/>
  <c r="G15" i="3"/>
  <c r="R29" i="3"/>
  <c r="S46" i="3"/>
  <c r="S32" i="3"/>
  <c r="S33" i="3"/>
  <c r="T48" i="3"/>
  <c r="S48" i="3"/>
  <c r="S35" i="3"/>
  <c r="I14" i="3"/>
  <c r="I64" i="3" s="1"/>
  <c r="G64" i="3"/>
  <c r="G39" i="5"/>
  <c r="G106" i="5" s="1"/>
  <c r="G30" i="5"/>
  <c r="G29" i="5"/>
  <c r="G37" i="5"/>
  <c r="F45" i="5"/>
  <c r="F66" i="3"/>
  <c r="G16" i="3"/>
  <c r="C22" i="6"/>
  <c r="C23" i="6"/>
  <c r="Q41" i="3"/>
  <c r="R41" i="3"/>
  <c r="S41" i="3"/>
  <c r="K41" i="3"/>
  <c r="Q27" i="3"/>
  <c r="K27" i="3"/>
  <c r="S27" i="3"/>
  <c r="T27" i="3"/>
  <c r="R27" i="3"/>
  <c r="H72" i="5"/>
  <c r="I73" i="5" s="1"/>
  <c r="G105" i="5"/>
  <c r="R44" i="3"/>
  <c r="K44" i="3"/>
  <c r="Q44" i="3"/>
  <c r="T44" i="3"/>
  <c r="S44" i="3"/>
  <c r="R43" i="3"/>
  <c r="Q43" i="3"/>
  <c r="S43" i="3"/>
  <c r="K43" i="3"/>
  <c r="F46" i="5"/>
  <c r="F74" i="5"/>
  <c r="G72" i="5"/>
  <c r="H73" i="5" s="1"/>
  <c r="H74" i="5" s="1"/>
  <c r="H81" i="5"/>
  <c r="I82" i="5" s="1"/>
  <c r="I81" i="5"/>
  <c r="R58" i="3"/>
  <c r="Q58" i="3"/>
  <c r="Q67" i="3" s="1"/>
  <c r="K58" i="3"/>
  <c r="S58" i="3"/>
  <c r="F24" i="2"/>
  <c r="S55" i="3"/>
  <c r="S24" i="3"/>
  <c r="S38" i="3"/>
  <c r="F105" i="5"/>
  <c r="H20" i="5"/>
  <c r="F83" i="5"/>
  <c r="G81" i="5"/>
  <c r="H82" i="5" s="1"/>
  <c r="R45" i="3"/>
  <c r="K45" i="3"/>
  <c r="Q45" i="3"/>
  <c r="S45" i="3"/>
  <c r="H40" i="5"/>
  <c r="H57" i="5" s="1"/>
  <c r="H39" i="5"/>
  <c r="H31" i="5"/>
  <c r="H48" i="5" s="1"/>
  <c r="G26" i="2"/>
  <c r="H38" i="5"/>
  <c r="H28" i="5"/>
  <c r="H37" i="5"/>
  <c r="H29" i="5"/>
  <c r="H30" i="5"/>
  <c r="S29" i="3"/>
  <c r="E58" i="5"/>
  <c r="R28" i="3"/>
  <c r="K28" i="3"/>
  <c r="Q28" i="3"/>
  <c r="S28" i="3"/>
  <c r="K42" i="3"/>
  <c r="S42" i="3"/>
  <c r="Q42" i="3"/>
  <c r="R42" i="3"/>
  <c r="Q30" i="3"/>
  <c r="K30" i="3"/>
  <c r="T30" i="3"/>
  <c r="R30" i="3"/>
  <c r="S30" i="3"/>
  <c r="R31" i="3"/>
  <c r="K31" i="3"/>
  <c r="Q31" i="3"/>
  <c r="S31" i="3"/>
  <c r="F47" i="5"/>
  <c r="F97" i="5"/>
  <c r="G20" i="5"/>
  <c r="H21" i="5" s="1"/>
  <c r="F22" i="5"/>
  <c r="F56" i="5" s="1"/>
  <c r="R60" i="3"/>
  <c r="S60" i="3"/>
  <c r="T60" i="3"/>
  <c r="Q60" i="3"/>
  <c r="K60" i="3"/>
  <c r="L34" i="1"/>
  <c r="L31" i="1"/>
  <c r="L39" i="1"/>
  <c r="L40" i="1"/>
  <c r="L32" i="1"/>
  <c r="L35" i="1"/>
  <c r="L33" i="1"/>
  <c r="E25" i="2"/>
  <c r="L38" i="1"/>
  <c r="Q62" i="3"/>
  <c r="R62" i="3"/>
  <c r="S62" i="3"/>
  <c r="T62" i="3"/>
  <c r="K62" i="3"/>
  <c r="F54" i="5"/>
  <c r="I72" i="5"/>
  <c r="H11" i="5"/>
  <c r="G13" i="5"/>
  <c r="G45" i="5" s="1"/>
  <c r="R59" i="3"/>
  <c r="R67" i="3" s="1"/>
  <c r="S59" i="3"/>
  <c r="Q59" i="3"/>
  <c r="T59" i="3"/>
  <c r="K59" i="3"/>
  <c r="S61" i="3"/>
  <c r="Q36" i="3" l="1"/>
  <c r="K21" i="1" s="1"/>
  <c r="C14" i="6" s="1"/>
  <c r="S67" i="3"/>
  <c r="T32" i="3"/>
  <c r="T46" i="3"/>
  <c r="T35" i="3"/>
  <c r="T49" i="3"/>
  <c r="T33" i="3"/>
  <c r="T34" i="3"/>
  <c r="I16" i="3"/>
  <c r="I66" i="3" s="1"/>
  <c r="G66" i="3"/>
  <c r="K67" i="3"/>
  <c r="I15" i="3"/>
  <c r="I65" i="3" s="1"/>
  <c r="G65" i="3"/>
  <c r="Q52" i="3"/>
  <c r="K30" i="1" s="1"/>
  <c r="C15" i="6" s="1"/>
  <c r="R52" i="3"/>
  <c r="L30" i="1" s="1"/>
  <c r="D15" i="6" s="1"/>
  <c r="G37" i="1"/>
  <c r="L37" i="1"/>
  <c r="D16" i="6" s="1"/>
  <c r="M37" i="1"/>
  <c r="E16" i="6" s="1"/>
  <c r="F49" i="5"/>
  <c r="D5" i="6" s="1"/>
  <c r="F62" i="5"/>
  <c r="D8" i="6" s="1"/>
  <c r="I74" i="5"/>
  <c r="D23" i="6"/>
  <c r="H83" i="5"/>
  <c r="H89" i="5" s="1"/>
  <c r="I83" i="5"/>
  <c r="O48" i="1" s="1"/>
  <c r="I12" i="5"/>
  <c r="I13" i="5" s="1"/>
  <c r="H13" i="5"/>
  <c r="G74" i="5"/>
  <c r="F25" i="2"/>
  <c r="M32" i="1"/>
  <c r="M39" i="1"/>
  <c r="M38" i="1"/>
  <c r="M34" i="1"/>
  <c r="M35" i="1"/>
  <c r="M40" i="1"/>
  <c r="M31" i="1"/>
  <c r="M33" i="1"/>
  <c r="H97" i="5"/>
  <c r="H47" i="5"/>
  <c r="F104" i="5"/>
  <c r="F108" i="5" s="1"/>
  <c r="F89" i="5"/>
  <c r="F55" i="5"/>
  <c r="F58" i="5" s="1"/>
  <c r="T38" i="3"/>
  <c r="T24" i="3"/>
  <c r="T55" i="3"/>
  <c r="T29" i="3"/>
  <c r="T61" i="3"/>
  <c r="K37" i="1"/>
  <c r="C16" i="6" s="1"/>
  <c r="L48" i="1"/>
  <c r="F95" i="5"/>
  <c r="H46" i="5"/>
  <c r="H96" i="5"/>
  <c r="I40" i="5"/>
  <c r="I57" i="5" s="1"/>
  <c r="I29" i="5"/>
  <c r="I30" i="5"/>
  <c r="I37" i="5"/>
  <c r="I28" i="5"/>
  <c r="I39" i="5"/>
  <c r="I38" i="5"/>
  <c r="I31" i="5"/>
  <c r="I48" i="5" s="1"/>
  <c r="T45" i="3"/>
  <c r="G22" i="5"/>
  <c r="S52" i="3"/>
  <c r="M30" i="1" s="1"/>
  <c r="E15" i="6" s="1"/>
  <c r="T58" i="3"/>
  <c r="T43" i="3"/>
  <c r="K36" i="3"/>
  <c r="G21" i="1" s="1"/>
  <c r="J21" i="1" s="1"/>
  <c r="B14" i="6" s="1"/>
  <c r="B17" i="6" s="1"/>
  <c r="K52" i="3"/>
  <c r="G30" i="1" s="1"/>
  <c r="T41" i="3"/>
  <c r="H95" i="5"/>
  <c r="H45" i="5"/>
  <c r="H106" i="5"/>
  <c r="H105" i="5"/>
  <c r="G46" i="5"/>
  <c r="G47" i="5"/>
  <c r="D22" i="6"/>
  <c r="T31" i="3"/>
  <c r="T42" i="3"/>
  <c r="T28" i="3"/>
  <c r="C6" i="6"/>
  <c r="C10" i="6" s="1"/>
  <c r="K44" i="1"/>
  <c r="C19" i="6" s="1"/>
  <c r="I21" i="5"/>
  <c r="I22" i="5" s="1"/>
  <c r="H22" i="5"/>
  <c r="H56" i="5" s="1"/>
  <c r="S36" i="3"/>
  <c r="M21" i="1" s="1"/>
  <c r="E14" i="6" s="1"/>
  <c r="G83" i="5"/>
  <c r="F96" i="5"/>
  <c r="R36" i="3"/>
  <c r="L21" i="1" s="1"/>
  <c r="D14" i="6" s="1"/>
  <c r="T67" i="3" l="1"/>
  <c r="N37" i="1" s="1"/>
  <c r="F16" i="6" s="1"/>
  <c r="H99" i="5"/>
  <c r="U46" i="3"/>
  <c r="U32" i="3"/>
  <c r="U35" i="3"/>
  <c r="U34" i="3"/>
  <c r="U33" i="3"/>
  <c r="U48" i="3"/>
  <c r="U49" i="3"/>
  <c r="U47" i="3"/>
  <c r="D17" i="6"/>
  <c r="D26" i="6" s="1"/>
  <c r="C17" i="6"/>
  <c r="C26" i="6" s="1"/>
  <c r="E22" i="6"/>
  <c r="E23" i="6"/>
  <c r="I104" i="5"/>
  <c r="G62" i="5"/>
  <c r="E8" i="6" s="1"/>
  <c r="I89" i="5"/>
  <c r="H104" i="5"/>
  <c r="H108" i="5" s="1"/>
  <c r="N48" i="1"/>
  <c r="I55" i="5"/>
  <c r="I105" i="5"/>
  <c r="L44" i="1"/>
  <c r="D19" i="6" s="1"/>
  <c r="D6" i="6"/>
  <c r="D10" i="6" s="1"/>
  <c r="G89" i="5"/>
  <c r="G104" i="5"/>
  <c r="G108" i="5" s="1"/>
  <c r="H54" i="5"/>
  <c r="B26" i="6"/>
  <c r="B29" i="6" s="1"/>
  <c r="B31" i="6" s="1"/>
  <c r="G56" i="5"/>
  <c r="G54" i="5"/>
  <c r="G55" i="5"/>
  <c r="I106" i="5"/>
  <c r="I56" i="5"/>
  <c r="I46" i="5"/>
  <c r="I96" i="5"/>
  <c r="F99" i="5"/>
  <c r="T52" i="3"/>
  <c r="N30" i="1" s="1"/>
  <c r="F15" i="6" s="1"/>
  <c r="M48" i="1"/>
  <c r="G96" i="5"/>
  <c r="G97" i="5"/>
  <c r="G95" i="5"/>
  <c r="E17" i="6"/>
  <c r="E26" i="6" s="1"/>
  <c r="H55" i="5"/>
  <c r="I95" i="5"/>
  <c r="I45" i="5"/>
  <c r="U55" i="3"/>
  <c r="U38" i="3"/>
  <c r="U24" i="3"/>
  <c r="U61" i="3"/>
  <c r="U29" i="3"/>
  <c r="U28" i="3"/>
  <c r="U45" i="3"/>
  <c r="U31" i="3"/>
  <c r="U27" i="3"/>
  <c r="U44" i="3"/>
  <c r="U58" i="3"/>
  <c r="U30" i="3"/>
  <c r="U60" i="3"/>
  <c r="U62" i="3"/>
  <c r="U59" i="3"/>
  <c r="U43" i="3"/>
  <c r="U41" i="3"/>
  <c r="U42" i="3"/>
  <c r="G49" i="5"/>
  <c r="E5" i="6" s="1"/>
  <c r="H62" i="5"/>
  <c r="F8" i="6" s="1"/>
  <c r="H49" i="5"/>
  <c r="F5" i="6" s="1"/>
  <c r="I47" i="5"/>
  <c r="I97" i="5"/>
  <c r="T36" i="3"/>
  <c r="N21" i="1" s="1"/>
  <c r="F14" i="6" s="1"/>
  <c r="I54" i="5"/>
  <c r="N40" i="1"/>
  <c r="N35" i="1"/>
  <c r="N39" i="1"/>
  <c r="N31" i="1"/>
  <c r="N34" i="1"/>
  <c r="N32" i="1"/>
  <c r="N33" i="1"/>
  <c r="N38" i="1"/>
  <c r="G25" i="2"/>
  <c r="U67" i="3" l="1"/>
  <c r="I108" i="5"/>
  <c r="F23" i="6"/>
  <c r="F22" i="6"/>
  <c r="I58" i="5"/>
  <c r="G6" i="6" s="1"/>
  <c r="U36" i="3"/>
  <c r="O21" i="1" s="1"/>
  <c r="G14" i="6" s="1"/>
  <c r="U52" i="3"/>
  <c r="O30" i="1" s="1"/>
  <c r="G15" i="6" s="1"/>
  <c r="I62" i="5"/>
  <c r="G8" i="6" s="1"/>
  <c r="I49" i="5"/>
  <c r="G5" i="6" s="1"/>
  <c r="G58" i="5"/>
  <c r="H58" i="5"/>
  <c r="O38" i="1"/>
  <c r="O40" i="1"/>
  <c r="O35" i="1"/>
  <c r="O32" i="1"/>
  <c r="O39" i="1"/>
  <c r="O31" i="1"/>
  <c r="O34" i="1"/>
  <c r="O33" i="1"/>
  <c r="F17" i="6"/>
  <c r="F26" i="6" s="1"/>
  <c r="O37" i="1"/>
  <c r="G16" i="6" s="1"/>
  <c r="I99" i="5"/>
  <c r="G99" i="5"/>
  <c r="G10" i="6" l="1"/>
  <c r="O44" i="1"/>
  <c r="G19" i="6" s="1"/>
  <c r="G22" i="6"/>
  <c r="N44" i="1"/>
  <c r="F19" i="6" s="1"/>
  <c r="F6" i="6"/>
  <c r="F10" i="6" s="1"/>
  <c r="G17" i="6"/>
  <c r="G26" i="6" s="1"/>
  <c r="G23" i="6"/>
  <c r="M44" i="1"/>
  <c r="E19" i="6" s="1"/>
  <c r="E6" i="6"/>
  <c r="E10" i="6" s="1"/>
  <c r="G31" i="6" l="1"/>
  <c r="F29" i="6"/>
  <c r="D29" i="6"/>
  <c r="G29" i="6"/>
  <c r="F31" i="6"/>
  <c r="D20" i="6"/>
  <c r="D24" i="6"/>
  <c r="N50" i="1"/>
  <c r="N49" i="1"/>
  <c r="F20" i="6"/>
  <c r="F24" i="6"/>
  <c r="L50" i="1"/>
  <c r="L49" i="1"/>
  <c r="M50" i="1"/>
  <c r="M49" i="1"/>
  <c r="E20" i="6"/>
  <c r="E24" i="6"/>
  <c r="E29" i="6"/>
  <c r="O50" i="1"/>
  <c r="O49" i="1"/>
  <c r="G20" i="6"/>
  <c r="G24" i="6"/>
  <c r="K50" i="1"/>
  <c r="K49" i="1"/>
  <c r="C20" i="6"/>
  <c r="C24" i="6"/>
  <c r="C29" i="6"/>
  <c r="C31" i="6"/>
  <c r="D31" i="6"/>
  <c r="E31" i="6"/>
</calcChain>
</file>

<file path=xl/sharedStrings.xml><?xml version="1.0" encoding="utf-8"?>
<sst xmlns="http://schemas.openxmlformats.org/spreadsheetml/2006/main" count="407" uniqueCount="226">
  <si>
    <t>Income</t>
  </si>
  <si>
    <t>Fees</t>
  </si>
  <si>
    <t>Fees paid by student</t>
  </si>
  <si>
    <t>Fees paid by employer</t>
  </si>
  <si>
    <t>Fees paid by third party</t>
  </si>
  <si>
    <t xml:space="preserve">Grant </t>
  </si>
  <si>
    <t xml:space="preserve">CFEE grant </t>
  </si>
  <si>
    <t>Widening Participation attributable</t>
  </si>
  <si>
    <t>Number of students</t>
  </si>
  <si>
    <t>Wastage %</t>
  </si>
  <si>
    <t>Number of students completing</t>
  </si>
  <si>
    <t>Teaching grant (B Courses only)</t>
  </si>
  <si>
    <t>Rate per student                 £</t>
  </si>
  <si>
    <t>Income            £</t>
  </si>
  <si>
    <t xml:space="preserve">TOTAL </t>
  </si>
  <si>
    <t>Aston University Costing of Collaborative Provision</t>
  </si>
  <si>
    <t>Costs</t>
  </si>
  <si>
    <t>Course Development</t>
  </si>
  <si>
    <t>Course Delivery</t>
  </si>
  <si>
    <t>Travel</t>
  </si>
  <si>
    <t>Accomodation</t>
  </si>
  <si>
    <t>Entertaining</t>
  </si>
  <si>
    <t>Commission paid for student recruitment</t>
  </si>
  <si>
    <t>Rate of staff delivering is it cost of backfill or actual cost of staff involved</t>
  </si>
  <si>
    <t xml:space="preserve">Direct Costs </t>
  </si>
  <si>
    <t>Sessional Lecturer</t>
  </si>
  <si>
    <t>Academic</t>
  </si>
  <si>
    <t>Reader</t>
  </si>
  <si>
    <t>Professor</t>
  </si>
  <si>
    <t>Lecturer</t>
  </si>
  <si>
    <t>Gross salary</t>
  </si>
  <si>
    <t>On costs</t>
  </si>
  <si>
    <t>HERA Grade - Spine Point</t>
  </si>
  <si>
    <t>Total Annual Cost</t>
  </si>
  <si>
    <t>Number of days per annum</t>
  </si>
  <si>
    <t>Rate per hour</t>
  </si>
  <si>
    <t>hours</t>
  </si>
  <si>
    <t xml:space="preserve">Staff costs </t>
  </si>
  <si>
    <t>Staff cost for development</t>
  </si>
  <si>
    <t>Consultancy</t>
  </si>
  <si>
    <t>Senior Lecturer</t>
  </si>
  <si>
    <t>SESSIONAL LECTURERS:</t>
  </si>
  <si>
    <t>Basic</t>
  </si>
  <si>
    <t>Hourly</t>
  </si>
  <si>
    <t>Rate</t>
  </si>
  <si>
    <t>£</t>
  </si>
  <si>
    <t>Holiday</t>
  </si>
  <si>
    <t>Pay</t>
  </si>
  <si>
    <t>Total</t>
  </si>
  <si>
    <t>Lecturer 1</t>
  </si>
  <si>
    <t>plus</t>
  </si>
  <si>
    <t>holiday pay</t>
  </si>
  <si>
    <t>Lecturer 2</t>
  </si>
  <si>
    <t>Lecturer 3</t>
  </si>
  <si>
    <t>On Costs</t>
  </si>
  <si>
    <t>Ni er</t>
  </si>
  <si>
    <t>Staff Cost</t>
  </si>
  <si>
    <t>N/A</t>
  </si>
  <si>
    <t>Cost Excl VAT</t>
  </si>
  <si>
    <t>Materials</t>
  </si>
  <si>
    <t>Franchise Cost for delivery of education by</t>
  </si>
  <si>
    <t>% of fees collected</t>
  </si>
  <si>
    <t>or</t>
  </si>
  <si>
    <t>another eligible body ( therefore nil VAT)</t>
  </si>
  <si>
    <t>STANDARD RATES AS ADVERTISED BY HR</t>
  </si>
  <si>
    <t>Normal grade range</t>
  </si>
  <si>
    <t>Teaching and Scholarship</t>
  </si>
  <si>
    <t>Grade 7 (22 - 28)</t>
  </si>
  <si>
    <t>Grade 8 -9 (30 - 43)</t>
  </si>
  <si>
    <t>Grade 10 (44-49)</t>
  </si>
  <si>
    <t>Grade 10 - 10+ (44-58)</t>
  </si>
  <si>
    <t>(and spine points)</t>
  </si>
  <si>
    <t>Professorial Grades</t>
  </si>
  <si>
    <t>Band 1</t>
  </si>
  <si>
    <t>Band 2</t>
  </si>
  <si>
    <t>Not fixed bands just a range</t>
  </si>
  <si>
    <t>Professorial (1-19)</t>
  </si>
  <si>
    <t>Quality / Collaborative Visits</t>
  </si>
  <si>
    <t>VAT Rate</t>
  </si>
  <si>
    <t>Cost Incl VAT</t>
  </si>
  <si>
    <t>Staff costing of activities</t>
  </si>
  <si>
    <t xml:space="preserve">WORKING </t>
  </si>
  <si>
    <t>Ongoing visits / Collaborative Visits</t>
  </si>
  <si>
    <t>Hours</t>
  </si>
  <si>
    <t>7.5 hrs per day</t>
  </si>
  <si>
    <t>Pay cost of Course Development</t>
  </si>
  <si>
    <t>Year 1</t>
  </si>
  <si>
    <t>Year 2</t>
  </si>
  <si>
    <t>Year 3</t>
  </si>
  <si>
    <t>Year 0 Cost of Time</t>
  </si>
  <si>
    <t>Hours Year 1</t>
  </si>
  <si>
    <t>Hours Year 2</t>
  </si>
  <si>
    <t>Hours Year 3</t>
  </si>
  <si>
    <t>Cost Year 1</t>
  </si>
  <si>
    <t>Inflation %</t>
  </si>
  <si>
    <t>Year 0</t>
  </si>
  <si>
    <t xml:space="preserve"> - </t>
  </si>
  <si>
    <t>Course Materials</t>
  </si>
  <si>
    <t>IT / Hardware</t>
  </si>
  <si>
    <t>IT costs</t>
  </si>
  <si>
    <t xml:space="preserve">Library </t>
  </si>
  <si>
    <t>Income Estimate</t>
  </si>
  <si>
    <t>Number of students - FTE</t>
  </si>
  <si>
    <t>Year 4</t>
  </si>
  <si>
    <t>Year 5</t>
  </si>
  <si>
    <t xml:space="preserve">First Year - 1FTE </t>
  </si>
  <si>
    <t>Second Year 1 FTE</t>
  </si>
  <si>
    <t>Placement Year 0.5 FTE</t>
  </si>
  <si>
    <t>Final Year 1 FTE</t>
  </si>
  <si>
    <t>Home</t>
  </si>
  <si>
    <t>International</t>
  </si>
  <si>
    <t>Withdrawal - Non Completion Rate</t>
  </si>
  <si>
    <t>Total Home Student FTE</t>
  </si>
  <si>
    <t>Total Intl  Students</t>
  </si>
  <si>
    <t>Fees paid by student per FTE</t>
  </si>
  <si>
    <t>Fees paid by employer per FTE</t>
  </si>
  <si>
    <t>Fees paid by third party per FTE</t>
  </si>
  <si>
    <t>Block rate paid per cohort</t>
  </si>
  <si>
    <t>Inflation rate defined</t>
  </si>
  <si>
    <t>Inflation Pay</t>
  </si>
  <si>
    <t>Other costs</t>
  </si>
  <si>
    <t>Compounded Interest</t>
  </si>
  <si>
    <t>Outstanding</t>
  </si>
  <si>
    <t>Fees Home</t>
  </si>
  <si>
    <t>Fees International</t>
  </si>
  <si>
    <t>RATE PER STUDENT / PER COHORT</t>
  </si>
  <si>
    <t>Estimated Income</t>
  </si>
  <si>
    <t>That FTE rolled forward automatically</t>
  </si>
  <si>
    <t xml:space="preserve">with withdrawal / non completion rate </t>
  </si>
  <si>
    <t>years</t>
  </si>
  <si>
    <t xml:space="preserve">applied to student numbers for future </t>
  </si>
  <si>
    <t xml:space="preserve">That income per student  / cohort </t>
  </si>
  <si>
    <t>increased for rate of inflation</t>
  </si>
  <si>
    <t>shown on assumption sheet</t>
  </si>
  <si>
    <t>Notes</t>
  </si>
  <si>
    <t>Notes re model</t>
  </si>
  <si>
    <t>Currency risk is ignored within the model</t>
  </si>
  <si>
    <t>Basis and assumption within model</t>
  </si>
  <si>
    <t xml:space="preserve">Fees paid by third party </t>
  </si>
  <si>
    <t>Number of cohorts</t>
  </si>
  <si>
    <t>Home Fees Sub total</t>
  </si>
  <si>
    <t>Cost Year 2</t>
  </si>
  <si>
    <t>Cost Year 3</t>
  </si>
  <si>
    <t>Cost Year 4</t>
  </si>
  <si>
    <t>Cost Year 5</t>
  </si>
  <si>
    <t>Hours Year 4</t>
  </si>
  <si>
    <t>Hours Year 5</t>
  </si>
  <si>
    <t xml:space="preserve">Insert commission % </t>
  </si>
  <si>
    <t>Assuming commission on all intl fees</t>
  </si>
  <si>
    <t>Scholarship / Bursary per student</t>
  </si>
  <si>
    <t>% Allowances</t>
  </si>
  <si>
    <t>Standard cost per cohort</t>
  </si>
  <si>
    <t xml:space="preserve">Franchise Delivery </t>
  </si>
  <si>
    <t>External assessor / examiner</t>
  </si>
  <si>
    <t>Examination costs</t>
  </si>
  <si>
    <t>Primary purpose Advertising</t>
  </si>
  <si>
    <t>Closed course advertising</t>
  </si>
  <si>
    <t xml:space="preserve">(Variable cost based on </t>
  </si>
  <si>
    <t>number of students/cohorts)</t>
  </si>
  <si>
    <t>TOTAL STUDENTS</t>
  </si>
  <si>
    <t>Costs per cohort</t>
  </si>
  <si>
    <t>Total number cohorts</t>
  </si>
  <si>
    <t>Linked to inflation and number of cohorts</t>
  </si>
  <si>
    <t>}</t>
  </si>
  <si>
    <t>}  Circular dependency</t>
  </si>
  <si>
    <t>Fees within franchise</t>
  </si>
  <si>
    <t>R</t>
  </si>
  <si>
    <t>Standard  Franchise Fee per student</t>
  </si>
  <si>
    <t>Overhead Rate</t>
  </si>
  <si>
    <t>Collaborative I &amp; E forecast</t>
  </si>
  <si>
    <t>INCOME</t>
  </si>
  <si>
    <t xml:space="preserve"> FOR COST PURPOSES - TO INCLUDE NUMBERS IN INCOME MODEL ABOVE</t>
  </si>
  <si>
    <t>Home Fees</t>
  </si>
  <si>
    <t>International Fees</t>
  </si>
  <si>
    <t>Scholarships / Bursaries</t>
  </si>
  <si>
    <t>Teaching Grants</t>
  </si>
  <si>
    <t>Scholarship / bursary rate</t>
  </si>
  <si>
    <t>% of income</t>
  </si>
  <si>
    <t>Home fees excluding block rate</t>
  </si>
  <si>
    <t>Net Total Fees</t>
  </si>
  <si>
    <t>COSTS</t>
  </si>
  <si>
    <t>Start up Costs</t>
  </si>
  <si>
    <t>Staff costs</t>
  </si>
  <si>
    <t>Delivery costs</t>
  </si>
  <si>
    <t>Management costs</t>
  </si>
  <si>
    <t>Overhead Costs</t>
  </si>
  <si>
    <t>Non- Pay Costs</t>
  </si>
  <si>
    <t>Commission</t>
  </si>
  <si>
    <t>Franchise Costs</t>
  </si>
  <si>
    <t>Definition of Years</t>
  </si>
  <si>
    <t>2012-13</t>
  </si>
  <si>
    <t>2013-14</t>
  </si>
  <si>
    <t>2014-15</t>
  </si>
  <si>
    <t>2015-16</t>
  </si>
  <si>
    <t>2016-17</t>
  </si>
  <si>
    <t>2017-18</t>
  </si>
  <si>
    <t>Surplus/ (Loss)</t>
  </si>
  <si>
    <t>Cumulative Surplus / (Loss)</t>
  </si>
  <si>
    <t>% of Total Staff Costs</t>
  </si>
  <si>
    <t>TOTAL NUMBER OF COHORTS</t>
  </si>
  <si>
    <t>£ PER COHORT</t>
  </si>
  <si>
    <t>Commission Rate</t>
  </si>
  <si>
    <t>Franchise Cost % Fee if relevant</t>
  </si>
  <si>
    <t>OR</t>
  </si>
  <si>
    <t>The model will w</t>
  </si>
  <si>
    <t xml:space="preserve"> </t>
  </si>
  <si>
    <t>Also could have different rate for placement year?</t>
  </si>
  <si>
    <t>Assumptions for placement year Yes or no?</t>
  </si>
  <si>
    <t>Add support costs on staff costs</t>
  </si>
  <si>
    <t>Home Intake</t>
  </si>
  <si>
    <t>International Intake</t>
  </si>
  <si>
    <t>1st year withdrawal rate</t>
  </si>
  <si>
    <t>2-4th year Withdrawal / non completion rate</t>
  </si>
  <si>
    <t>PAS Group Feedback</t>
  </si>
  <si>
    <t>Support Costs</t>
  </si>
  <si>
    <t>Administrator</t>
  </si>
  <si>
    <t>Senior Administrator</t>
  </si>
  <si>
    <t xml:space="preserve"> Team Manager</t>
  </si>
  <si>
    <t>Grade5- 6 (15-21)</t>
  </si>
  <si>
    <t>Grade7-8 (22-35)</t>
  </si>
  <si>
    <t>Grade  9-10 (36-58)</t>
  </si>
  <si>
    <t>Support Staff</t>
  </si>
  <si>
    <t>Note That the model could be used for student headcount</t>
  </si>
  <si>
    <t xml:space="preserve">However then the fee rate would have  would have to be </t>
  </si>
  <si>
    <t>per headcount.</t>
  </si>
  <si>
    <t xml:space="preserve">To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</si>
</sst>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;[Red]\(#,##0\)"/>
  </numFmts>
  <fonts count="1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</font>
    <font>
      <i/>
      <sz val="10"/>
      <name val="Arial"/>
      <family val="2"/>
    </font>
    <font>
      <sz val="10"/>
      <name val="Arial"/>
      <family val="2"/>
    </font>
    <font>
      <b/>
      <sz val="12.5"/>
      <color indexed="53"/>
      <name val="Arial"/>
      <family val="2"/>
    </font>
    <font>
      <b/>
      <sz val="12"/>
      <color indexed="5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u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0" fontId="0" fillId="0" borderId="0" xfId="0" applyNumberFormat="1" applyBorder="1"/>
    <xf numFmtId="10" fontId="0" fillId="0" borderId="8" xfId="0" applyNumberFormat="1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2" borderId="13" xfId="0" applyFill="1" applyBorder="1"/>
    <xf numFmtId="0" fontId="0" fillId="2" borderId="5" xfId="0" applyFill="1" applyBorder="1"/>
    <xf numFmtId="0" fontId="0" fillId="2" borderId="3" xfId="0" applyFill="1" applyBorder="1" applyAlignment="1">
      <alignment wrapText="1"/>
    </xf>
    <xf numFmtId="0" fontId="0" fillId="2" borderId="0" xfId="0" applyFill="1" applyBorder="1"/>
    <xf numFmtId="10" fontId="0" fillId="2" borderId="3" xfId="0" applyNumberFormat="1" applyFill="1" applyBorder="1" applyAlignment="1">
      <alignment wrapText="1"/>
    </xf>
    <xf numFmtId="10" fontId="0" fillId="2" borderId="0" xfId="0" applyNumberFormat="1" applyFill="1" applyBorder="1"/>
    <xf numFmtId="0" fontId="2" fillId="0" borderId="0" xfId="0" applyFont="1"/>
    <xf numFmtId="0" fontId="3" fillId="0" borderId="0" xfId="0" applyFont="1"/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11" xfId="0" applyBorder="1" applyAlignment="1">
      <alignment wrapText="1"/>
    </xf>
    <xf numFmtId="0" fontId="4" fillId="0" borderId="13" xfId="0" applyFont="1" applyBorder="1"/>
    <xf numFmtId="0" fontId="4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/>
    <xf numFmtId="10" fontId="6" fillId="0" borderId="0" xfId="0" applyNumberFormat="1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9" fillId="0" borderId="0" xfId="0" applyFont="1"/>
    <xf numFmtId="0" fontId="10" fillId="0" borderId="14" xfId="0" applyFont="1" applyFill="1" applyBorder="1" applyAlignment="1">
      <alignment horizontal="center"/>
    </xf>
    <xf numFmtId="3" fontId="10" fillId="0" borderId="15" xfId="0" applyNumberFormat="1" applyFont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3" fontId="10" fillId="3" borderId="15" xfId="0" applyNumberFormat="1" applyFont="1" applyFill="1" applyBorder="1" applyAlignment="1">
      <alignment horizontal="center"/>
    </xf>
    <xf numFmtId="3" fontId="10" fillId="3" borderId="17" xfId="0" applyNumberFormat="1" applyFont="1" applyFill="1" applyBorder="1" applyAlignment="1">
      <alignment horizontal="center"/>
    </xf>
    <xf numFmtId="0" fontId="10" fillId="0" borderId="18" xfId="0" applyFont="1" applyFill="1" applyBorder="1" applyAlignment="1">
      <alignment horizontal="center"/>
    </xf>
    <xf numFmtId="3" fontId="10" fillId="3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4" borderId="0" xfId="0" applyFill="1"/>
    <xf numFmtId="0" fontId="0" fillId="0" borderId="0" xfId="0" applyNumberFormat="1"/>
    <xf numFmtId="0" fontId="10" fillId="0" borderId="0" xfId="0" applyFont="1" applyFill="1" applyBorder="1" applyAlignment="1">
      <alignment horizontal="center"/>
    </xf>
    <xf numFmtId="0" fontId="0" fillId="0" borderId="0" xfId="0" applyFill="1" applyBorder="1"/>
    <xf numFmtId="0" fontId="10" fillId="0" borderId="0" xfId="0" applyFont="1" applyFill="1" applyBorder="1"/>
    <xf numFmtId="0" fontId="11" fillId="0" borderId="0" xfId="0" applyFont="1" applyFill="1" applyBorder="1" applyAlignment="1">
      <alignment horizontal="center"/>
    </xf>
    <xf numFmtId="3" fontId="10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/>
    <xf numFmtId="15" fontId="0" fillId="0" borderId="0" xfId="0" applyNumberFormat="1" applyFill="1" applyBorder="1"/>
    <xf numFmtId="0" fontId="0" fillId="0" borderId="0" xfId="0" applyFill="1"/>
    <xf numFmtId="0" fontId="0" fillId="0" borderId="21" xfId="0" applyBorder="1"/>
    <xf numFmtId="0" fontId="0" fillId="0" borderId="22" xfId="0" applyBorder="1"/>
    <xf numFmtId="0" fontId="2" fillId="0" borderId="23" xfId="0" applyFont="1" applyBorder="1"/>
    <xf numFmtId="0" fontId="2" fillId="0" borderId="0" xfId="0" applyFont="1" applyBorder="1"/>
    <xf numFmtId="0" fontId="0" fillId="0" borderId="24" xfId="0" applyBorder="1"/>
    <xf numFmtId="0" fontId="0" fillId="0" borderId="23" xfId="0" applyBorder="1"/>
    <xf numFmtId="0" fontId="10" fillId="0" borderId="23" xfId="0" applyFont="1" applyFill="1" applyBorder="1"/>
    <xf numFmtId="0" fontId="0" fillId="0" borderId="24" xfId="0" applyFill="1" applyBorder="1"/>
    <xf numFmtId="0" fontId="10" fillId="0" borderId="25" xfId="0" applyFont="1" applyFill="1" applyBorder="1"/>
    <xf numFmtId="3" fontId="10" fillId="0" borderId="26" xfId="0" applyNumberFormat="1" applyFont="1" applyFill="1" applyBorder="1" applyAlignment="1">
      <alignment horizontal="center"/>
    </xf>
    <xf numFmtId="0" fontId="10" fillId="0" borderId="26" xfId="0" applyFont="1" applyFill="1" applyBorder="1"/>
    <xf numFmtId="0" fontId="0" fillId="0" borderId="27" xfId="0" applyBorder="1"/>
    <xf numFmtId="0" fontId="10" fillId="0" borderId="26" xfId="0" applyFont="1" applyFill="1" applyBorder="1" applyAlignment="1">
      <alignment horizontal="center"/>
    </xf>
    <xf numFmtId="0" fontId="0" fillId="0" borderId="26" xfId="0" applyFill="1" applyBorder="1"/>
    <xf numFmtId="0" fontId="0" fillId="0" borderId="28" xfId="0" applyFill="1" applyBorder="1"/>
    <xf numFmtId="0" fontId="6" fillId="0" borderId="0" xfId="0" applyFont="1" applyAlignment="1">
      <alignment wrapText="1"/>
    </xf>
    <xf numFmtId="0" fontId="2" fillId="0" borderId="13" xfId="0" applyFont="1" applyBorder="1"/>
    <xf numFmtId="0" fontId="7" fillId="0" borderId="5" xfId="0" applyFont="1" applyBorder="1"/>
    <xf numFmtId="0" fontId="2" fillId="0" borderId="5" xfId="0" applyFont="1" applyBorder="1"/>
    <xf numFmtId="0" fontId="2" fillId="0" borderId="4" xfId="0" applyFont="1" applyBorder="1"/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0" fillId="0" borderId="13" xfId="0" applyBorder="1"/>
    <xf numFmtId="0" fontId="2" fillId="0" borderId="5" xfId="0" applyFont="1" applyBorder="1" applyAlignment="1">
      <alignment wrapText="1"/>
    </xf>
    <xf numFmtId="0" fontId="2" fillId="0" borderId="0" xfId="0" applyFont="1" applyFill="1" applyBorder="1" applyAlignment="1">
      <alignment wrapText="1"/>
    </xf>
    <xf numFmtId="9" fontId="0" fillId="0" borderId="0" xfId="0" applyNumberFormat="1"/>
    <xf numFmtId="0" fontId="2" fillId="0" borderId="5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2" fillId="0" borderId="8" xfId="0" applyFont="1" applyBorder="1"/>
    <xf numFmtId="0" fontId="2" fillId="0" borderId="20" xfId="0" applyFont="1" applyBorder="1"/>
    <xf numFmtId="0" fontId="2" fillId="0" borderId="27" xfId="0" applyFont="1" applyBorder="1"/>
    <xf numFmtId="10" fontId="0" fillId="0" borderId="6" xfId="0" applyNumberFormat="1" applyBorder="1"/>
    <xf numFmtId="0" fontId="2" fillId="0" borderId="6" xfId="0" applyFont="1" applyBorder="1"/>
    <xf numFmtId="0" fontId="0" fillId="0" borderId="6" xfId="0" applyFill="1" applyBorder="1"/>
    <xf numFmtId="0" fontId="2" fillId="0" borderId="29" xfId="0" applyFont="1" applyBorder="1"/>
    <xf numFmtId="0" fontId="0" fillId="0" borderId="29" xfId="0" applyBorder="1"/>
    <xf numFmtId="0" fontId="7" fillId="0" borderId="0" xfId="0" applyFont="1" applyFill="1" applyBorder="1"/>
    <xf numFmtId="0" fontId="7" fillId="0" borderId="0" xfId="0" applyFont="1"/>
    <xf numFmtId="0" fontId="0" fillId="0" borderId="26" xfId="0" applyBorder="1"/>
    <xf numFmtId="0" fontId="0" fillId="5" borderId="0" xfId="0" applyFill="1" applyBorder="1"/>
    <xf numFmtId="0" fontId="0" fillId="5" borderId="6" xfId="0" applyFill="1" applyBorder="1"/>
    <xf numFmtId="3" fontId="0" fillId="0" borderId="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4" borderId="0" xfId="0" applyNumberFormat="1" applyFill="1" applyBorder="1"/>
    <xf numFmtId="3" fontId="0" fillId="0" borderId="0" xfId="0" applyNumberFormat="1" applyFill="1" applyBorder="1"/>
    <xf numFmtId="3" fontId="0" fillId="0" borderId="6" xfId="0" applyNumberFormat="1" applyFill="1" applyBorder="1"/>
    <xf numFmtId="3" fontId="0" fillId="0" borderId="0" xfId="0" applyNumberFormat="1" applyBorder="1"/>
    <xf numFmtId="3" fontId="0" fillId="0" borderId="6" xfId="0" applyNumberFormat="1" applyBorder="1"/>
    <xf numFmtId="3" fontId="0" fillId="0" borderId="8" xfId="0" applyNumberFormat="1" applyFill="1" applyBorder="1"/>
    <xf numFmtId="3" fontId="0" fillId="0" borderId="9" xfId="0" applyNumberFormat="1" applyFill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30" xfId="0" applyNumberFormat="1" applyBorder="1"/>
    <xf numFmtId="3" fontId="0" fillId="0" borderId="26" xfId="0" applyNumberFormat="1" applyBorder="1"/>
    <xf numFmtId="3" fontId="0" fillId="0" borderId="31" xfId="0" applyNumberFormat="1" applyBorder="1"/>
    <xf numFmtId="3" fontId="2" fillId="0" borderId="0" xfId="0" applyNumberFormat="1" applyFont="1" applyBorder="1"/>
    <xf numFmtId="3" fontId="0" fillId="5" borderId="0" xfId="0" applyNumberFormat="1" applyFill="1" applyBorder="1"/>
    <xf numFmtId="3" fontId="0" fillId="5" borderId="6" xfId="0" applyNumberFormat="1" applyFill="1" applyBorder="1"/>
    <xf numFmtId="3" fontId="2" fillId="0" borderId="6" xfId="0" applyNumberFormat="1" applyFont="1" applyBorder="1"/>
    <xf numFmtId="3" fontId="0" fillId="0" borderId="13" xfId="0" applyNumberFormat="1" applyBorder="1"/>
    <xf numFmtId="3" fontId="0" fillId="0" borderId="5" xfId="0" applyNumberFormat="1" applyBorder="1"/>
    <xf numFmtId="3" fontId="2" fillId="0" borderId="5" xfId="0" applyNumberFormat="1" applyFont="1" applyBorder="1"/>
    <xf numFmtId="3" fontId="0" fillId="5" borderId="5" xfId="0" applyNumberFormat="1" applyFill="1" applyBorder="1"/>
    <xf numFmtId="3" fontId="2" fillId="0" borderId="7" xfId="0" applyNumberFormat="1" applyFont="1" applyBorder="1"/>
    <xf numFmtId="3" fontId="2" fillId="0" borderId="8" xfId="0" applyNumberFormat="1" applyFont="1" applyBorder="1"/>
    <xf numFmtId="3" fontId="2" fillId="0" borderId="9" xfId="0" applyNumberFormat="1" applyFont="1" applyBorder="1"/>
    <xf numFmtId="0" fontId="2" fillId="0" borderId="11" xfId="0" applyFont="1" applyBorder="1" applyAlignment="1">
      <alignment wrapText="1"/>
    </xf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0" fontId="0" fillId="0" borderId="0" xfId="0" applyAlignment="1">
      <alignment horizontal="center"/>
    </xf>
    <xf numFmtId="0" fontId="13" fillId="0" borderId="0" xfId="0" applyFont="1"/>
    <xf numFmtId="164" fontId="0" fillId="0" borderId="0" xfId="0" applyNumberFormat="1"/>
    <xf numFmtId="164" fontId="0" fillId="0" borderId="8" xfId="0" applyNumberFormat="1" applyBorder="1"/>
    <xf numFmtId="164" fontId="2" fillId="0" borderId="0" xfId="0" applyNumberFormat="1" applyFont="1"/>
    <xf numFmtId="164" fontId="0" fillId="0" borderId="0" xfId="0" applyNumberFormat="1" applyFill="1"/>
    <xf numFmtId="0" fontId="2" fillId="0" borderId="5" xfId="0" applyFont="1" applyFill="1" applyBorder="1"/>
    <xf numFmtId="10" fontId="0" fillId="0" borderId="0" xfId="0" applyNumberFormat="1" applyFill="1" applyBorder="1"/>
    <xf numFmtId="0" fontId="0" fillId="0" borderId="3" xfId="0" applyFill="1" applyBorder="1"/>
    <xf numFmtId="10" fontId="0" fillId="0" borderId="3" xfId="0" applyNumberFormat="1" applyBorder="1"/>
    <xf numFmtId="10" fontId="2" fillId="0" borderId="0" xfId="0" applyNumberFormat="1" applyFont="1"/>
    <xf numFmtId="0" fontId="2" fillId="0" borderId="0" xfId="0" applyFont="1" applyFill="1"/>
    <xf numFmtId="0" fontId="2" fillId="3" borderId="0" xfId="0" applyFont="1" applyFill="1"/>
    <xf numFmtId="0" fontId="0" fillId="0" borderId="4" xfId="0" applyBorder="1" applyAlignment="1">
      <alignment horizontal="center" wrapText="1"/>
    </xf>
    <xf numFmtId="9" fontId="0" fillId="3" borderId="0" xfId="0" applyNumberFormat="1" applyFill="1"/>
    <xf numFmtId="0" fontId="2" fillId="0" borderId="0" xfId="0" applyFont="1" applyAlignment="1">
      <alignment horizontal="right"/>
    </xf>
    <xf numFmtId="0" fontId="0" fillId="6" borderId="0" xfId="0" applyFill="1" applyAlignment="1">
      <alignment horizontal="left"/>
    </xf>
    <xf numFmtId="0" fontId="0" fillId="6" borderId="0" xfId="0" applyFill="1"/>
    <xf numFmtId="0" fontId="2" fillId="0" borderId="32" xfId="0" applyFont="1" applyFill="1" applyBorder="1"/>
    <xf numFmtId="0" fontId="0" fillId="9" borderId="0" xfId="0" applyFill="1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/>
    <xf numFmtId="0" fontId="0" fillId="0" borderId="0" xfId="0" applyNumberFormat="1" applyProtection="1"/>
    <xf numFmtId="9" fontId="0" fillId="0" borderId="0" xfId="0" applyNumberFormat="1" applyFill="1" applyProtection="1"/>
    <xf numFmtId="0" fontId="2" fillId="0" borderId="0" xfId="0" applyFont="1" applyProtection="1"/>
    <xf numFmtId="9" fontId="0" fillId="7" borderId="0" xfId="0" applyNumberFormat="1" applyFill="1" applyProtection="1">
      <protection locked="0"/>
    </xf>
    <xf numFmtId="9" fontId="0" fillId="4" borderId="0" xfId="0" applyNumberFormat="1" applyFill="1" applyProtection="1">
      <protection locked="0"/>
    </xf>
    <xf numFmtId="9" fontId="0" fillId="0" borderId="0" xfId="0" applyNumberFormat="1" applyProtection="1">
      <protection locked="0"/>
    </xf>
    <xf numFmtId="0" fontId="0" fillId="4" borderId="0" xfId="0" applyFill="1" applyProtection="1">
      <protection locked="0"/>
    </xf>
    <xf numFmtId="10" fontId="0" fillId="4" borderId="0" xfId="0" applyNumberFormat="1" applyFill="1" applyProtection="1">
      <protection locked="0"/>
    </xf>
    <xf numFmtId="0" fontId="2" fillId="0" borderId="13" xfId="0" applyFont="1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6" xfId="0" applyFill="1" applyBorder="1" applyProtection="1"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2" fillId="0" borderId="5" xfId="0" applyFont="1" applyBorder="1" applyProtection="1">
      <protection locked="0"/>
    </xf>
    <xf numFmtId="0" fontId="0" fillId="7" borderId="0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0" fillId="4" borderId="0" xfId="0" applyFill="1" applyBorder="1" applyProtection="1">
      <protection locked="0"/>
    </xf>
    <xf numFmtId="0" fontId="0" fillId="4" borderId="6" xfId="0" applyFill="1" applyBorder="1" applyProtection="1">
      <protection locked="0"/>
    </xf>
    <xf numFmtId="3" fontId="0" fillId="4" borderId="0" xfId="0" applyNumberFormat="1" applyFill="1" applyBorder="1" applyProtection="1">
      <protection locked="0"/>
    </xf>
    <xf numFmtId="3" fontId="0" fillId="4" borderId="8" xfId="0" applyNumberFormat="1" applyFill="1" applyBorder="1" applyProtection="1">
      <protection locked="0"/>
    </xf>
    <xf numFmtId="10" fontId="0" fillId="4" borderId="0" xfId="0" applyNumberFormat="1" applyFill="1" applyBorder="1" applyProtection="1">
      <protection locked="0"/>
    </xf>
    <xf numFmtId="10" fontId="0" fillId="0" borderId="0" xfId="0" applyNumberFormat="1" applyBorder="1" applyProtection="1">
      <protection locked="0"/>
    </xf>
    <xf numFmtId="0" fontId="0" fillId="4" borderId="8" xfId="0" applyFill="1" applyBorder="1" applyProtection="1">
      <protection locked="0"/>
    </xf>
    <xf numFmtId="0" fontId="2" fillId="4" borderId="0" xfId="0" applyFont="1" applyFill="1" applyProtection="1">
      <protection locked="0"/>
    </xf>
    <xf numFmtId="0" fontId="0" fillId="4" borderId="9" xfId="0" applyFill="1" applyBorder="1" applyProtection="1">
      <protection locked="0"/>
    </xf>
    <xf numFmtId="0" fontId="6" fillId="0" borderId="0" xfId="0" applyFont="1" applyProtection="1">
      <protection locked="0"/>
    </xf>
    <xf numFmtId="0" fontId="0" fillId="8" borderId="0" xfId="0" applyFill="1" applyProtection="1">
      <protection locked="0"/>
    </xf>
    <xf numFmtId="0" fontId="0" fillId="0" borderId="22" xfId="0" applyBorder="1" applyProtection="1">
      <protection locked="0"/>
    </xf>
    <xf numFmtId="0" fontId="0" fillId="8" borderId="0" xfId="0" applyFill="1" applyBorder="1" applyProtection="1">
      <protection locked="0"/>
    </xf>
    <xf numFmtId="0" fontId="7" fillId="0" borderId="8" xfId="0" applyFont="1" applyBorder="1" applyAlignment="1" applyProtection="1">
      <alignment wrapText="1"/>
      <protection locked="0"/>
    </xf>
    <xf numFmtId="0" fontId="0" fillId="4" borderId="5" xfId="0" applyFill="1" applyBorder="1" applyProtection="1">
      <protection locked="0"/>
    </xf>
    <xf numFmtId="0" fontId="0" fillId="8" borderId="5" xfId="0" applyFill="1" applyBorder="1" applyProtection="1">
      <protection locked="0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B26" sqref="B26"/>
    </sheetView>
  </sheetViews>
  <sheetFormatPr defaultRowHeight="12.75" x14ac:dyDescent="0.2"/>
  <cols>
    <col min="1" max="1" width="25.7109375" customWidth="1"/>
    <col min="2" max="2" width="9" bestFit="1" customWidth="1"/>
    <col min="3" max="3" width="11.140625" customWidth="1"/>
    <col min="4" max="4" width="9" bestFit="1" customWidth="1"/>
    <col min="5" max="7" width="9.7109375" bestFit="1" customWidth="1"/>
  </cols>
  <sheetData>
    <row r="1" spans="1:7" x14ac:dyDescent="0.2">
      <c r="A1" s="24" t="s">
        <v>169</v>
      </c>
    </row>
    <row r="2" spans="1:7" x14ac:dyDescent="0.2">
      <c r="B2" s="24" t="str">
        <f>'Policy decisions'!B8</f>
        <v>2012-13</v>
      </c>
      <c r="C2" s="24" t="str">
        <f>'Policy decisions'!C8</f>
        <v>2013-14</v>
      </c>
      <c r="D2" s="24" t="str">
        <f>'Policy decisions'!D8</f>
        <v>2014-15</v>
      </c>
      <c r="E2" s="24" t="str">
        <f>'Policy decisions'!E8</f>
        <v>2015-16</v>
      </c>
      <c r="F2" s="24" t="str">
        <f>'Policy decisions'!F8</f>
        <v>2016-17</v>
      </c>
      <c r="G2" s="24" t="str">
        <f>'Policy decisions'!G8</f>
        <v>2017-18</v>
      </c>
    </row>
    <row r="3" spans="1:7" x14ac:dyDescent="0.2">
      <c r="A3" s="24" t="s">
        <v>170</v>
      </c>
      <c r="C3" s="129" t="s">
        <v>45</v>
      </c>
      <c r="D3" s="129" t="s">
        <v>45</v>
      </c>
      <c r="E3" s="129" t="s">
        <v>45</v>
      </c>
      <c r="F3" s="129" t="s">
        <v>45</v>
      </c>
      <c r="G3" s="129" t="s">
        <v>45</v>
      </c>
    </row>
    <row r="5" spans="1:7" x14ac:dyDescent="0.2">
      <c r="A5" t="s">
        <v>172</v>
      </c>
      <c r="B5" s="131"/>
      <c r="C5" s="131">
        <f>'Income Model'!E49</f>
        <v>93600</v>
      </c>
      <c r="D5" s="131">
        <f>'Income Model'!F49</f>
        <v>187191</v>
      </c>
      <c r="E5" s="131">
        <f>'Income Model'!G49</f>
        <v>246695</v>
      </c>
      <c r="F5" s="131">
        <f>'Income Model'!H49</f>
        <v>241432</v>
      </c>
      <c r="G5" s="131">
        <f>'Income Model'!I49</f>
        <v>148935</v>
      </c>
    </row>
    <row r="6" spans="1:7" x14ac:dyDescent="0.2">
      <c r="A6" t="s">
        <v>173</v>
      </c>
      <c r="B6" s="131"/>
      <c r="C6" s="131">
        <f>'Income Model'!E58</f>
        <v>171800</v>
      </c>
      <c r="D6" s="131">
        <f>'Income Model'!F58</f>
        <v>291118.19999999995</v>
      </c>
      <c r="E6" s="131">
        <f>'Income Model'!G58</f>
        <v>338682.16</v>
      </c>
      <c r="F6" s="131">
        <f>'Income Model'!H58</f>
        <v>352486.75999999995</v>
      </c>
      <c r="G6" s="131">
        <f>'Income Model'!I58</f>
        <v>188549.19999999998</v>
      </c>
    </row>
    <row r="7" spans="1:7" x14ac:dyDescent="0.2">
      <c r="A7" t="s">
        <v>175</v>
      </c>
      <c r="B7" s="131"/>
      <c r="C7" s="131" t="str">
        <f>'Income Model'!E33</f>
        <v>Outstanding</v>
      </c>
      <c r="D7" s="131">
        <f>'Income Model'!F33</f>
        <v>0</v>
      </c>
      <c r="E7" s="131">
        <f>'Income Model'!G33</f>
        <v>0</v>
      </c>
      <c r="F7" s="131">
        <f>'Income Model'!H33</f>
        <v>0</v>
      </c>
      <c r="G7" s="131">
        <f>'Income Model'!I33</f>
        <v>0</v>
      </c>
    </row>
    <row r="8" spans="1:7" x14ac:dyDescent="0.2">
      <c r="A8" t="s">
        <v>174</v>
      </c>
      <c r="B8" s="131"/>
      <c r="C8" s="131">
        <f>-'Income Model'!E62</f>
        <v>-11040</v>
      </c>
      <c r="D8" s="131">
        <f>-'Income Model'!F62</f>
        <v>-21958.649999999998</v>
      </c>
      <c r="E8" s="131">
        <f>-'Income Model'!G62</f>
        <v>-27641</v>
      </c>
      <c r="F8" s="131">
        <f>-'Income Model'!H62</f>
        <v>-26664</v>
      </c>
      <c r="G8" s="131">
        <f>-'Income Model'!I62</f>
        <v>-15846</v>
      </c>
    </row>
    <row r="9" spans="1:7" x14ac:dyDescent="0.2">
      <c r="B9" s="132"/>
      <c r="C9" s="132"/>
      <c r="D9" s="132"/>
      <c r="E9" s="132"/>
      <c r="F9" s="132"/>
      <c r="G9" s="132"/>
    </row>
    <row r="10" spans="1:7" s="24" customFormat="1" x14ac:dyDescent="0.2">
      <c r="A10" s="24" t="s">
        <v>179</v>
      </c>
      <c r="B10" s="133">
        <v>0</v>
      </c>
      <c r="C10" s="133">
        <f>SUM(C5:C9)</f>
        <v>254360</v>
      </c>
      <c r="D10" s="133">
        <f>SUM(D5:D9)</f>
        <v>456350.54999999993</v>
      </c>
      <c r="E10" s="133">
        <f>SUM(E5:E9)</f>
        <v>557736.15999999992</v>
      </c>
      <c r="F10" s="133">
        <f>SUM(F5:F9)</f>
        <v>567254.76</v>
      </c>
      <c r="G10" s="133">
        <f>SUM(G5:G9)</f>
        <v>321638.19999999995</v>
      </c>
    </row>
    <row r="11" spans="1:7" x14ac:dyDescent="0.2">
      <c r="B11" s="131"/>
      <c r="C11" s="131"/>
      <c r="D11" s="131"/>
      <c r="E11" s="131"/>
      <c r="F11" s="131"/>
      <c r="G11" s="131"/>
    </row>
    <row r="12" spans="1:7" x14ac:dyDescent="0.2">
      <c r="A12" s="24" t="s">
        <v>180</v>
      </c>
      <c r="B12" s="131"/>
      <c r="C12" s="131"/>
      <c r="D12" s="131"/>
      <c r="E12" s="131"/>
      <c r="F12" s="131"/>
      <c r="G12" s="131"/>
    </row>
    <row r="13" spans="1:7" x14ac:dyDescent="0.2">
      <c r="A13" s="130" t="s">
        <v>182</v>
      </c>
      <c r="B13" s="131"/>
      <c r="C13" s="131"/>
      <c r="D13" s="131"/>
      <c r="E13" s="131"/>
      <c r="F13" s="131"/>
      <c r="G13" s="131"/>
    </row>
    <row r="14" spans="1:7" x14ac:dyDescent="0.2">
      <c r="A14" t="s">
        <v>181</v>
      </c>
      <c r="B14" s="131">
        <f>'Costing Model'!J21</f>
        <v>6566</v>
      </c>
      <c r="C14" s="131">
        <f>'Costing Model'!K21</f>
        <v>5541</v>
      </c>
      <c r="D14" s="131">
        <f>'Costing Model'!L21</f>
        <v>4204</v>
      </c>
      <c r="E14" s="131">
        <f>'Costing Model'!M21</f>
        <v>2111</v>
      </c>
      <c r="F14" s="131">
        <f>'Costing Model'!N21</f>
        <v>3166</v>
      </c>
      <c r="G14" s="131">
        <f>'Costing Model'!O21</f>
        <v>633</v>
      </c>
    </row>
    <row r="15" spans="1:7" x14ac:dyDescent="0.2">
      <c r="A15" t="s">
        <v>183</v>
      </c>
      <c r="B15" s="131">
        <f>'Costing Model'!J30</f>
        <v>0</v>
      </c>
      <c r="C15" s="131">
        <f>'Costing Model'!K30</f>
        <v>7268</v>
      </c>
      <c r="D15" s="131">
        <f>'Costing Model'!L30</f>
        <v>13739</v>
      </c>
      <c r="E15" s="131">
        <f>'Costing Model'!M30</f>
        <v>17155</v>
      </c>
      <c r="F15" s="131">
        <f>'Costing Model'!N30</f>
        <v>16268</v>
      </c>
      <c r="G15" s="131">
        <f>'Costing Model'!O30</f>
        <v>13142</v>
      </c>
    </row>
    <row r="16" spans="1:7" x14ac:dyDescent="0.2">
      <c r="A16" t="s">
        <v>184</v>
      </c>
      <c r="B16" s="132">
        <f>'Costing Model'!J37</f>
        <v>0</v>
      </c>
      <c r="C16" s="132">
        <f>'Costing Model'!K37</f>
        <v>1078</v>
      </c>
      <c r="D16" s="132">
        <f>'Costing Model'!L37</f>
        <v>1100</v>
      </c>
      <c r="E16" s="132">
        <f>'Costing Model'!M37</f>
        <v>1121</v>
      </c>
      <c r="F16" s="132">
        <f>'Costing Model'!N37</f>
        <v>1144</v>
      </c>
      <c r="G16" s="132">
        <f>'Costing Model'!O37</f>
        <v>1167</v>
      </c>
    </row>
    <row r="17" spans="1:7" x14ac:dyDescent="0.2">
      <c r="B17" s="133">
        <f t="shared" ref="B17:G17" si="0">SUM(B14:B16)</f>
        <v>6566</v>
      </c>
      <c r="C17" s="133">
        <f t="shared" si="0"/>
        <v>13887</v>
      </c>
      <c r="D17" s="133">
        <f t="shared" si="0"/>
        <v>19043</v>
      </c>
      <c r="E17" s="133">
        <f t="shared" si="0"/>
        <v>20387</v>
      </c>
      <c r="F17" s="133">
        <f t="shared" si="0"/>
        <v>20578</v>
      </c>
      <c r="G17" s="133">
        <f t="shared" si="0"/>
        <v>14942</v>
      </c>
    </row>
    <row r="18" spans="1:7" x14ac:dyDescent="0.2">
      <c r="A18" s="130" t="s">
        <v>186</v>
      </c>
      <c r="B18" s="131"/>
      <c r="C18" s="131"/>
      <c r="D18" s="131"/>
      <c r="E18" s="131"/>
      <c r="F18" s="131"/>
      <c r="G18" s="131"/>
    </row>
    <row r="19" spans="1:7" x14ac:dyDescent="0.2">
      <c r="A19" t="s">
        <v>187</v>
      </c>
      <c r="B19" s="131">
        <f>'Costing Model'!J44</f>
        <v>0</v>
      </c>
      <c r="C19" s="131">
        <f>'Costing Model'!K44</f>
        <v>20616</v>
      </c>
      <c r="D19" s="131">
        <f>'Costing Model'!L44</f>
        <v>34934</v>
      </c>
      <c r="E19" s="131">
        <f>'Costing Model'!M44</f>
        <v>40642</v>
      </c>
      <c r="F19" s="131">
        <f>'Costing Model'!N44</f>
        <v>42298</v>
      </c>
      <c r="G19" s="131">
        <f>'Costing Model'!O44</f>
        <v>22626</v>
      </c>
    </row>
    <row r="20" spans="1:7" x14ac:dyDescent="0.2">
      <c r="A20" t="s">
        <v>188</v>
      </c>
      <c r="B20" s="131">
        <f>'Costing Model'!J48+'Costing Model'!J49+'Costing Model'!J50</f>
        <v>0</v>
      </c>
      <c r="C20" s="131">
        <f ca="1">'Costing Model'!K48+'Costing Model'!K49+'Costing Model'!K50</f>
        <v>12500</v>
      </c>
      <c r="D20" s="131">
        <f ca="1">ROUND('Costing Model'!L48+'Costing Model'!L49+'Costing Model'!L50,0)</f>
        <v>23875</v>
      </c>
      <c r="E20" s="131">
        <f ca="1">ROUND('Costing Model'!M48+'Costing Model'!M49+'Costing Model'!M50,0)</f>
        <v>35685</v>
      </c>
      <c r="F20" s="131">
        <f ca="1">ROUND('Costing Model'!N48+'Costing Model'!N49+'Costing Model'!N50,0)</f>
        <v>33905</v>
      </c>
      <c r="G20" s="131">
        <f ca="1">ROUND('Costing Model'!O48+'Costing Model'!O49+'Costing Model'!O50,0)</f>
        <v>22030</v>
      </c>
    </row>
    <row r="21" spans="1:7" x14ac:dyDescent="0.2">
      <c r="A21" t="s">
        <v>181</v>
      </c>
      <c r="B21" s="131">
        <f>'Costing Model'!J22+'Costing Model'!J23+'Costing Model'!J24+'Costing Model'!J25+'Costing Model'!J26+'Costing Model'!J27</f>
        <v>25200</v>
      </c>
      <c r="C21" s="131">
        <f>'Costing Model'!K22+'Costing Model'!K23+'Costing Model'!K24+'Costing Model'!K25+'Costing Model'!K26+'Costing Model'!K27</f>
        <v>0</v>
      </c>
      <c r="D21" s="131">
        <f>'Costing Model'!L22+'Costing Model'!L23+'Costing Model'!L24+'Costing Model'!L25+'Costing Model'!L26+'Costing Model'!L27</f>
        <v>0</v>
      </c>
      <c r="E21" s="131">
        <f>'Costing Model'!M22+'Costing Model'!M23+'Costing Model'!M24+'Costing Model'!M25+'Costing Model'!M26+'Costing Model'!M27</f>
        <v>0</v>
      </c>
      <c r="F21" s="131">
        <f>'Costing Model'!N22+'Costing Model'!N23+'Costing Model'!N24+'Costing Model'!N25+'Costing Model'!N26+'Costing Model'!N27</f>
        <v>0</v>
      </c>
      <c r="G21" s="131">
        <f>'Costing Model'!O22+'Costing Model'!O23+'Costing Model'!O24+'Costing Model'!O25+'Costing Model'!O26+'Costing Model'!O27</f>
        <v>0</v>
      </c>
    </row>
    <row r="22" spans="1:7" x14ac:dyDescent="0.2">
      <c r="A22" t="s">
        <v>183</v>
      </c>
      <c r="B22" s="131">
        <f>'Costing Model'!J31+'Costing Model'!J32+'Costing Model'!J33+'Costing Model'!J34+'Costing Model'!J35</f>
        <v>0</v>
      </c>
      <c r="C22" s="131">
        <f>'Costing Model'!K31+'Costing Model'!K32+'Costing Model'!K33+'Costing Model'!K34+'Costing Model'!K35</f>
        <v>403</v>
      </c>
      <c r="D22" s="131">
        <f>'Costing Model'!L31+'Costing Model'!L32+'Costing Model'!L33+'Costing Model'!L34+'Costing Model'!L35</f>
        <v>825</v>
      </c>
      <c r="E22" s="131">
        <f>'Costing Model'!M31+'Costing Model'!M32+'Costing Model'!M33+'Costing Model'!M34+'Costing Model'!M35</f>
        <v>1261</v>
      </c>
      <c r="F22" s="131">
        <f>'Costing Model'!N31+'Costing Model'!N32+'Costing Model'!N33+'Costing Model'!N34+'Costing Model'!N35</f>
        <v>1287</v>
      </c>
      <c r="G22" s="131">
        <f>'Costing Model'!O31+'Costing Model'!O32+'Costing Model'!O33+'Costing Model'!O34+'Costing Model'!O35</f>
        <v>874</v>
      </c>
    </row>
    <row r="23" spans="1:7" x14ac:dyDescent="0.2">
      <c r="A23" t="s">
        <v>184</v>
      </c>
      <c r="B23" s="132">
        <f>'Costing Model'!J38+'Costing Model'!J39+'Costing Model'!J40</f>
        <v>2400</v>
      </c>
      <c r="C23" s="132">
        <f>'Costing Model'!K38+'Costing Model'!K39+'Costing Model'!K40</f>
        <v>2448</v>
      </c>
      <c r="D23" s="132">
        <f>'Costing Model'!L38+'Costing Model'!L39+'Costing Model'!L40</f>
        <v>4993</v>
      </c>
      <c r="E23" s="132">
        <f>'Costing Model'!M38+'Costing Model'!M39+'Costing Model'!M40</f>
        <v>7640</v>
      </c>
      <c r="F23" s="132">
        <f>'Costing Model'!N38+'Costing Model'!N39+'Costing Model'!N40</f>
        <v>7793</v>
      </c>
      <c r="G23" s="132">
        <f>'Costing Model'!O38+'Costing Model'!O39+'Costing Model'!O40</f>
        <v>5300</v>
      </c>
    </row>
    <row r="24" spans="1:7" x14ac:dyDescent="0.2">
      <c r="B24" s="133">
        <f t="shared" ref="B24:G24" si="1">SUM(B19:B23)</f>
        <v>27600</v>
      </c>
      <c r="C24" s="133">
        <f t="shared" ca="1" si="1"/>
        <v>35967</v>
      </c>
      <c r="D24" s="133">
        <f t="shared" ca="1" si="1"/>
        <v>64627</v>
      </c>
      <c r="E24" s="133">
        <f t="shared" ca="1" si="1"/>
        <v>85228</v>
      </c>
      <c r="F24" s="133">
        <f t="shared" ca="1" si="1"/>
        <v>85283</v>
      </c>
      <c r="G24" s="133">
        <f t="shared" ca="1" si="1"/>
        <v>50830</v>
      </c>
    </row>
    <row r="25" spans="1:7" x14ac:dyDescent="0.2">
      <c r="B25" s="133"/>
      <c r="C25" s="133"/>
      <c r="D25" s="133"/>
      <c r="E25" s="133"/>
      <c r="F25" s="133"/>
      <c r="G25" s="133"/>
    </row>
    <row r="26" spans="1:7" s="58" customFormat="1" x14ac:dyDescent="0.2">
      <c r="A26" s="58" t="s">
        <v>185</v>
      </c>
      <c r="B26" s="134">
        <f>ROUND('Policy decisions'!B33*'Inc Exp Forecast'!B17,0)</f>
        <v>2626</v>
      </c>
      <c r="C26" s="134">
        <f>ROUND('Policy decisions'!C33*'Inc Exp Forecast'!C17,0)</f>
        <v>5555</v>
      </c>
      <c r="D26" s="134">
        <f>ROUND('Policy decisions'!D33*'Inc Exp Forecast'!D17,0)</f>
        <v>7617</v>
      </c>
      <c r="E26" s="134">
        <f>ROUND('Policy decisions'!E33*'Inc Exp Forecast'!E17,0)</f>
        <v>8155</v>
      </c>
      <c r="F26" s="134">
        <f>ROUND('Policy decisions'!F33*'Inc Exp Forecast'!F17,0)</f>
        <v>8231</v>
      </c>
      <c r="G26" s="134">
        <f>ROUND('Policy decisions'!G33*'Inc Exp Forecast'!G17,0)</f>
        <v>5977</v>
      </c>
    </row>
    <row r="27" spans="1:7" x14ac:dyDescent="0.2">
      <c r="B27" s="132"/>
      <c r="C27" s="132"/>
      <c r="D27" s="132"/>
      <c r="E27" s="132"/>
      <c r="F27" s="132"/>
      <c r="G27" s="132"/>
    </row>
    <row r="28" spans="1:7" x14ac:dyDescent="0.2">
      <c r="B28" s="131"/>
      <c r="C28" s="131"/>
      <c r="D28" s="131"/>
      <c r="E28" s="131"/>
      <c r="F28" s="131"/>
      <c r="G28" s="131"/>
    </row>
    <row r="29" spans="1:7" s="24" customFormat="1" x14ac:dyDescent="0.2">
      <c r="A29" s="24" t="s">
        <v>196</v>
      </c>
      <c r="B29" s="133">
        <f t="shared" ref="B29:G29" si="2">ROUND(B10-B17-B24-B26,0)</f>
        <v>-36792</v>
      </c>
      <c r="C29" s="133">
        <f ca="1">ROUND(C10-C17-C24-C26,0)</f>
        <v>198951</v>
      </c>
      <c r="D29" s="133">
        <f t="shared" ca="1" si="2"/>
        <v>365064</v>
      </c>
      <c r="E29" s="133">
        <f t="shared" ca="1" si="2"/>
        <v>443966</v>
      </c>
      <c r="F29" s="133">
        <f t="shared" ca="1" si="2"/>
        <v>453163</v>
      </c>
      <c r="G29" s="133">
        <f t="shared" ca="1" si="2"/>
        <v>249889</v>
      </c>
    </row>
    <row r="30" spans="1:7" x14ac:dyDescent="0.2">
      <c r="B30" s="131"/>
      <c r="C30" s="131"/>
      <c r="D30" s="131"/>
      <c r="E30" s="131"/>
      <c r="F30" s="131"/>
      <c r="G30" s="131"/>
    </row>
    <row r="31" spans="1:7" x14ac:dyDescent="0.2">
      <c r="A31" t="s">
        <v>197</v>
      </c>
      <c r="B31" s="131">
        <f>B29</f>
        <v>-36792</v>
      </c>
      <c r="C31" s="131">
        <f ca="1">B31+C29</f>
        <v>162159</v>
      </c>
      <c r="D31" s="131">
        <f ca="1">C31+D29</f>
        <v>527223</v>
      </c>
      <c r="E31" s="131">
        <f ca="1">D31+E29</f>
        <v>971189</v>
      </c>
      <c r="F31" s="131">
        <f ca="1">E31+F29</f>
        <v>1424352</v>
      </c>
      <c r="G31" s="131">
        <f ca="1">F31+G29</f>
        <v>1674241</v>
      </c>
    </row>
  </sheetData>
  <sheetProtection sheet="1" objects="1" scenarios="1" selectLockedCells="1"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I47"/>
  <sheetViews>
    <sheetView topLeftCell="A13" workbookViewId="0">
      <selection activeCell="C36" sqref="C36"/>
    </sheetView>
  </sheetViews>
  <sheetFormatPr defaultRowHeight="12.75" x14ac:dyDescent="0.2"/>
  <cols>
    <col min="1" max="1" width="27.7109375" style="149" customWidth="1"/>
    <col min="2" max="16384" width="9.140625" style="149"/>
  </cols>
  <sheetData>
    <row r="1" spans="1:8" x14ac:dyDescent="0.2">
      <c r="A1" s="150" t="s">
        <v>137</v>
      </c>
    </row>
    <row r="3" spans="1:8" x14ac:dyDescent="0.2">
      <c r="A3" s="149" t="s">
        <v>23</v>
      </c>
      <c r="H3" s="149" t="s">
        <v>96</v>
      </c>
    </row>
    <row r="5" spans="1:8" x14ac:dyDescent="0.2">
      <c r="A5" s="149" t="s">
        <v>136</v>
      </c>
    </row>
    <row r="7" spans="1:8" x14ac:dyDescent="0.2">
      <c r="A7" s="150" t="s">
        <v>189</v>
      </c>
      <c r="B7" s="150" t="s">
        <v>95</v>
      </c>
      <c r="C7" s="150" t="s">
        <v>86</v>
      </c>
      <c r="D7" s="150" t="s">
        <v>87</v>
      </c>
      <c r="E7" s="150" t="s">
        <v>88</v>
      </c>
      <c r="F7" s="150" t="s">
        <v>103</v>
      </c>
      <c r="G7" s="150" t="s">
        <v>104</v>
      </c>
    </row>
    <row r="8" spans="1:8" x14ac:dyDescent="0.2">
      <c r="B8" s="158" t="s">
        <v>190</v>
      </c>
      <c r="C8" s="158" t="s">
        <v>191</v>
      </c>
      <c r="D8" s="158" t="s">
        <v>192</v>
      </c>
      <c r="E8" s="158" t="s">
        <v>193</v>
      </c>
      <c r="F8" s="158" t="s">
        <v>194</v>
      </c>
      <c r="G8" s="158" t="s">
        <v>195</v>
      </c>
    </row>
    <row r="15" spans="1:8" x14ac:dyDescent="0.2">
      <c r="A15" s="149" t="s">
        <v>118</v>
      </c>
    </row>
    <row r="17" spans="1:7" x14ac:dyDescent="0.2">
      <c r="B17" s="150" t="s">
        <v>95</v>
      </c>
      <c r="C17" s="150" t="s">
        <v>86</v>
      </c>
      <c r="D17" s="150" t="s">
        <v>87</v>
      </c>
      <c r="E17" s="150" t="s">
        <v>88</v>
      </c>
      <c r="F17" s="150" t="s">
        <v>103</v>
      </c>
      <c r="G17" s="150" t="s">
        <v>104</v>
      </c>
    </row>
    <row r="18" spans="1:7" x14ac:dyDescent="0.2">
      <c r="A18" s="149" t="s">
        <v>119</v>
      </c>
      <c r="B18" s="159">
        <v>0</v>
      </c>
      <c r="C18" s="159">
        <v>0.02</v>
      </c>
      <c r="D18" s="159">
        <v>0.02</v>
      </c>
      <c r="E18" s="159">
        <v>0.02</v>
      </c>
      <c r="F18" s="159">
        <v>0.02</v>
      </c>
      <c r="G18" s="159">
        <v>0.02</v>
      </c>
    </row>
    <row r="19" spans="1:7" x14ac:dyDescent="0.2">
      <c r="A19" s="149" t="s">
        <v>120</v>
      </c>
      <c r="B19" s="159">
        <v>0</v>
      </c>
      <c r="C19" s="159">
        <v>0.02</v>
      </c>
      <c r="D19" s="159">
        <v>0.02</v>
      </c>
      <c r="E19" s="159">
        <v>0.02</v>
      </c>
      <c r="F19" s="159">
        <v>0.02</v>
      </c>
      <c r="G19" s="159">
        <v>0.02</v>
      </c>
    </row>
    <row r="20" spans="1:7" x14ac:dyDescent="0.2">
      <c r="A20" s="149" t="s">
        <v>0</v>
      </c>
      <c r="B20" s="159">
        <v>0</v>
      </c>
      <c r="C20" s="159">
        <v>0</v>
      </c>
      <c r="D20" s="159">
        <v>0.02</v>
      </c>
      <c r="E20" s="159">
        <v>0.02</v>
      </c>
      <c r="F20" s="159">
        <v>0.02</v>
      </c>
      <c r="G20" s="159">
        <v>0.02</v>
      </c>
    </row>
    <row r="22" spans="1:7" x14ac:dyDescent="0.2">
      <c r="A22" s="149" t="s">
        <v>121</v>
      </c>
    </row>
    <row r="23" spans="1:7" x14ac:dyDescent="0.2">
      <c r="B23" s="154" t="s">
        <v>95</v>
      </c>
      <c r="C23" s="154" t="s">
        <v>86</v>
      </c>
      <c r="D23" s="154" t="s">
        <v>87</v>
      </c>
      <c r="E23" s="154" t="s">
        <v>88</v>
      </c>
      <c r="F23" s="154" t="s">
        <v>103</v>
      </c>
      <c r="G23" s="154" t="s">
        <v>104</v>
      </c>
    </row>
    <row r="24" spans="1:7" x14ac:dyDescent="0.2">
      <c r="A24" s="149" t="s">
        <v>119</v>
      </c>
      <c r="B24" s="151">
        <f>1</f>
        <v>1</v>
      </c>
      <c r="C24" s="152">
        <f>B24+C18</f>
        <v>1.02</v>
      </c>
      <c r="D24" s="151">
        <f t="shared" ref="D24:G26" si="0">ROUND(C24*(1+D18),4)</f>
        <v>1.0404</v>
      </c>
      <c r="E24" s="151">
        <f t="shared" si="0"/>
        <v>1.0611999999999999</v>
      </c>
      <c r="F24" s="151">
        <f t="shared" si="0"/>
        <v>1.0824</v>
      </c>
      <c r="G24" s="151">
        <f>ROUND(F24*(1+G18),4)</f>
        <v>1.1040000000000001</v>
      </c>
    </row>
    <row r="25" spans="1:7" x14ac:dyDescent="0.2">
      <c r="A25" s="149" t="s">
        <v>120</v>
      </c>
      <c r="B25" s="151">
        <f>1</f>
        <v>1</v>
      </c>
      <c r="C25" s="152">
        <f>B25+C19</f>
        <v>1.02</v>
      </c>
      <c r="D25" s="151">
        <f t="shared" si="0"/>
        <v>1.0404</v>
      </c>
      <c r="E25" s="151">
        <f t="shared" si="0"/>
        <v>1.0611999999999999</v>
      </c>
      <c r="F25" s="151">
        <f t="shared" si="0"/>
        <v>1.0824</v>
      </c>
      <c r="G25" s="151">
        <f t="shared" si="0"/>
        <v>1.1040000000000001</v>
      </c>
    </row>
    <row r="26" spans="1:7" x14ac:dyDescent="0.2">
      <c r="A26" s="149" t="s">
        <v>0</v>
      </c>
      <c r="B26" s="151">
        <f>1</f>
        <v>1</v>
      </c>
      <c r="C26" s="152">
        <f>B26+C20</f>
        <v>1</v>
      </c>
      <c r="D26" s="151">
        <f t="shared" si="0"/>
        <v>1.02</v>
      </c>
      <c r="E26" s="151">
        <f t="shared" si="0"/>
        <v>1.0404</v>
      </c>
      <c r="F26" s="151">
        <f t="shared" si="0"/>
        <v>1.0611999999999999</v>
      </c>
      <c r="G26" s="151">
        <f t="shared" si="0"/>
        <v>1.0824</v>
      </c>
    </row>
    <row r="29" spans="1:7" x14ac:dyDescent="0.2">
      <c r="A29" s="149" t="s">
        <v>176</v>
      </c>
    </row>
    <row r="30" spans="1:7" x14ac:dyDescent="0.2">
      <c r="A30" s="149" t="s">
        <v>177</v>
      </c>
      <c r="B30" s="156">
        <v>0.15</v>
      </c>
      <c r="C30" s="156">
        <v>0.15</v>
      </c>
      <c r="D30" s="156">
        <v>0.15</v>
      </c>
      <c r="E30" s="156">
        <v>0.15</v>
      </c>
      <c r="F30" s="156">
        <v>0.15</v>
      </c>
      <c r="G30" s="156">
        <v>0.15</v>
      </c>
    </row>
    <row r="32" spans="1:7" x14ac:dyDescent="0.2">
      <c r="A32" s="149" t="s">
        <v>168</v>
      </c>
    </row>
    <row r="33" spans="1:9" x14ac:dyDescent="0.2">
      <c r="A33" s="149" t="s">
        <v>198</v>
      </c>
      <c r="B33" s="153">
        <v>0.4</v>
      </c>
      <c r="C33" s="153">
        <v>0.4</v>
      </c>
      <c r="D33" s="153">
        <v>0.4</v>
      </c>
      <c r="E33" s="153">
        <v>0.4</v>
      </c>
      <c r="F33" s="153">
        <v>0.4</v>
      </c>
      <c r="G33" s="153">
        <v>0.4</v>
      </c>
    </row>
    <row r="35" spans="1:9" x14ac:dyDescent="0.2">
      <c r="A35" s="149" t="s">
        <v>211</v>
      </c>
      <c r="C35" s="155">
        <v>0.08</v>
      </c>
    </row>
    <row r="36" spans="1:9" x14ac:dyDescent="0.2">
      <c r="A36" s="149" t="s">
        <v>212</v>
      </c>
      <c r="C36" s="156">
        <v>0.05</v>
      </c>
    </row>
    <row r="37" spans="1:9" x14ac:dyDescent="0.2">
      <c r="B37" s="157"/>
      <c r="C37" s="157"/>
      <c r="D37" s="157"/>
      <c r="E37" s="157"/>
      <c r="F37" s="157"/>
      <c r="G37" s="157"/>
    </row>
    <row r="38" spans="1:9" x14ac:dyDescent="0.2">
      <c r="A38" s="149" t="s">
        <v>201</v>
      </c>
      <c r="C38" s="156">
        <v>0.1</v>
      </c>
    </row>
    <row r="40" spans="1:9" x14ac:dyDescent="0.2">
      <c r="A40" s="149" t="s">
        <v>202</v>
      </c>
      <c r="C40" s="156">
        <v>0</v>
      </c>
    </row>
    <row r="42" spans="1:9" x14ac:dyDescent="0.2">
      <c r="A42" s="160" t="s">
        <v>213</v>
      </c>
      <c r="B42" s="161"/>
      <c r="C42" s="161"/>
      <c r="D42" s="161"/>
      <c r="E42" s="161"/>
      <c r="F42" s="161"/>
      <c r="G42" s="161"/>
      <c r="H42" s="161"/>
      <c r="I42" s="162"/>
    </row>
    <row r="43" spans="1:9" x14ac:dyDescent="0.2">
      <c r="A43" s="163" t="s">
        <v>205</v>
      </c>
      <c r="B43" s="164"/>
      <c r="C43" s="164"/>
      <c r="D43" s="165"/>
      <c r="E43" s="165"/>
      <c r="F43" s="165"/>
      <c r="G43" s="165"/>
      <c r="H43" s="165"/>
      <c r="I43" s="166"/>
    </row>
    <row r="44" spans="1:9" x14ac:dyDescent="0.2">
      <c r="A44" s="163" t="s">
        <v>206</v>
      </c>
      <c r="B44" s="164"/>
      <c r="C44" s="164"/>
      <c r="D44" s="164"/>
      <c r="E44" s="164" t="s">
        <v>207</v>
      </c>
      <c r="F44" s="164"/>
      <c r="G44" s="164"/>
      <c r="H44" s="164"/>
      <c r="I44" s="167"/>
    </row>
    <row r="45" spans="1:9" x14ac:dyDescent="0.2">
      <c r="A45" s="168"/>
      <c r="B45" s="165"/>
      <c r="C45" s="165"/>
      <c r="D45" s="165"/>
      <c r="E45" s="165"/>
      <c r="F45" s="165"/>
      <c r="G45" s="165"/>
      <c r="H45" s="165"/>
      <c r="I45" s="166"/>
    </row>
    <row r="46" spans="1:9" x14ac:dyDescent="0.2">
      <c r="A46" s="163" t="s">
        <v>208</v>
      </c>
      <c r="B46" s="165"/>
      <c r="C46" s="165"/>
      <c r="D46" s="165"/>
      <c r="E46" s="165"/>
      <c r="F46" s="165"/>
      <c r="G46" s="165"/>
      <c r="H46" s="165"/>
      <c r="I46" s="166"/>
    </row>
    <row r="47" spans="1:9" x14ac:dyDescent="0.2">
      <c r="A47" s="169"/>
      <c r="B47" s="170"/>
      <c r="C47" s="170"/>
      <c r="D47" s="170"/>
      <c r="E47" s="170"/>
      <c r="F47" s="170"/>
      <c r="G47" s="170"/>
      <c r="H47" s="170"/>
      <c r="I47" s="171"/>
    </row>
  </sheetData>
  <sheetProtection sheet="1" objects="1" scenarios="1" selectLockedCells="1"/>
  <phoneticPr fontId="1" type="noConversion"/>
  <pageMargins left="0.25" right="0.25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  <pageSetUpPr fitToPage="1"/>
  </sheetPr>
  <dimension ref="A1:N112"/>
  <sheetViews>
    <sheetView tabSelected="1" workbookViewId="0">
      <selection activeCell="E29" sqref="E29"/>
    </sheetView>
  </sheetViews>
  <sheetFormatPr defaultRowHeight="12.75" x14ac:dyDescent="0.2"/>
  <cols>
    <col min="2" max="2" width="12.42578125" customWidth="1"/>
    <col min="3" max="3" width="19.28515625" customWidth="1"/>
  </cols>
  <sheetData>
    <row r="1" spans="1:14" x14ac:dyDescent="0.2">
      <c r="A1" s="24" t="s">
        <v>101</v>
      </c>
      <c r="H1" t="s">
        <v>205</v>
      </c>
    </row>
    <row r="2" spans="1:14" x14ac:dyDescent="0.2">
      <c r="A2" s="75"/>
      <c r="B2" s="5"/>
      <c r="C2" s="5"/>
      <c r="D2" s="5"/>
      <c r="E2" s="5"/>
      <c r="F2" s="5"/>
      <c r="G2" s="5"/>
      <c r="H2" s="5"/>
      <c r="I2" s="6"/>
      <c r="K2" s="24" t="s">
        <v>135</v>
      </c>
    </row>
    <row r="3" spans="1:14" x14ac:dyDescent="0.2">
      <c r="A3" s="172" t="s">
        <v>209</v>
      </c>
      <c r="B3" s="165"/>
      <c r="C3" s="165"/>
      <c r="D3" s="165"/>
      <c r="E3" s="173">
        <v>10</v>
      </c>
      <c r="F3" s="173">
        <v>10</v>
      </c>
      <c r="G3" s="173">
        <v>10</v>
      </c>
      <c r="H3" s="173">
        <v>0</v>
      </c>
      <c r="I3" s="173">
        <v>0</v>
      </c>
      <c r="K3" s="24"/>
    </row>
    <row r="4" spans="1:14" x14ac:dyDescent="0.2">
      <c r="A4" s="172" t="s">
        <v>210</v>
      </c>
      <c r="B4" s="165"/>
      <c r="C4" s="165"/>
      <c r="D4" s="165"/>
      <c r="E4" s="173">
        <v>15</v>
      </c>
      <c r="F4" s="173">
        <v>10</v>
      </c>
      <c r="G4" s="173">
        <v>10</v>
      </c>
      <c r="H4" s="173">
        <v>0</v>
      </c>
      <c r="I4" s="174">
        <v>0</v>
      </c>
      <c r="K4" s="24"/>
    </row>
    <row r="5" spans="1:14" x14ac:dyDescent="0.2">
      <c r="A5" s="77"/>
      <c r="B5" s="8"/>
      <c r="C5" s="8"/>
      <c r="D5" s="8"/>
      <c r="E5" s="8"/>
      <c r="F5" s="8"/>
      <c r="G5" s="8"/>
      <c r="H5" s="8"/>
      <c r="I5" s="9"/>
      <c r="K5" s="24"/>
    </row>
    <row r="6" spans="1:14" x14ac:dyDescent="0.2">
      <c r="A6" s="75" t="s">
        <v>109</v>
      </c>
      <c r="B6" s="8"/>
      <c r="C6" s="8"/>
      <c r="D6" s="8"/>
      <c r="E6" s="8"/>
      <c r="F6" s="8"/>
      <c r="G6" s="8"/>
      <c r="H6" s="8"/>
      <c r="I6" s="9"/>
      <c r="K6" s="24"/>
    </row>
    <row r="7" spans="1:14" x14ac:dyDescent="0.2">
      <c r="A7" s="77"/>
      <c r="B7" s="8"/>
      <c r="C7" s="8"/>
      <c r="D7" s="8"/>
      <c r="E7" s="13"/>
      <c r="F7" s="13"/>
      <c r="G7" s="13"/>
      <c r="H7" s="13"/>
      <c r="I7" s="90"/>
    </row>
    <row r="8" spans="1:14" x14ac:dyDescent="0.2">
      <c r="A8" s="77" t="s">
        <v>102</v>
      </c>
      <c r="B8" s="62"/>
      <c r="C8" s="62"/>
      <c r="D8" s="62"/>
      <c r="E8" s="62" t="str">
        <f>'Policy decisions'!C8</f>
        <v>2013-14</v>
      </c>
      <c r="F8" s="62" t="str">
        <f>'Policy decisions'!D8</f>
        <v>2014-15</v>
      </c>
      <c r="G8" s="62" t="str">
        <f>'Policy decisions'!E8</f>
        <v>2015-16</v>
      </c>
      <c r="H8" s="62" t="str">
        <f>'Policy decisions'!F8</f>
        <v>2016-17</v>
      </c>
      <c r="I8" s="62" t="str">
        <f>'Policy decisions'!G8</f>
        <v>2017-18</v>
      </c>
      <c r="K8" s="95" t="s">
        <v>127</v>
      </c>
      <c r="L8" s="96"/>
      <c r="M8" s="96"/>
      <c r="N8" s="96"/>
    </row>
    <row r="9" spans="1:14" x14ac:dyDescent="0.2">
      <c r="A9" s="7" t="s">
        <v>105</v>
      </c>
      <c r="B9" s="8"/>
      <c r="C9" s="8"/>
      <c r="D9" s="8"/>
      <c r="E9" s="50">
        <f>ROUND(E3*(1-'Policy decisions'!$C$35),1)</f>
        <v>9.1999999999999993</v>
      </c>
      <c r="F9" s="50">
        <f>ROUND(F3*(1-'Policy decisions'!$C$35),1)</f>
        <v>9.1999999999999993</v>
      </c>
      <c r="G9" s="50">
        <f>ROUND(G3*(1-'Policy decisions'!$C$35),1)</f>
        <v>9.1999999999999993</v>
      </c>
      <c r="H9" s="50">
        <f>ROUND(H3*(1-'Policy decisions'!$C$35),1)</f>
        <v>0</v>
      </c>
      <c r="I9" s="50">
        <f>ROUND(I3*(1-'Policy decisions'!$C$35),1)</f>
        <v>0</v>
      </c>
      <c r="K9" t="s">
        <v>128</v>
      </c>
    </row>
    <row r="10" spans="1:14" x14ac:dyDescent="0.2">
      <c r="A10" s="7" t="s">
        <v>106</v>
      </c>
      <c r="B10" s="8"/>
      <c r="C10" s="8"/>
      <c r="D10" s="8"/>
      <c r="E10" s="50"/>
      <c r="F10" s="50">
        <f>E9*(1-$E$25)</f>
        <v>8.7399999999999984</v>
      </c>
      <c r="G10" s="50">
        <f>F9*(1-$E$25)</f>
        <v>8.7399999999999984</v>
      </c>
      <c r="H10" s="50">
        <f>G9*(1-$E$25)</f>
        <v>8.7399999999999984</v>
      </c>
      <c r="I10" s="92">
        <f>H9*(1-$E$25)</f>
        <v>0</v>
      </c>
      <c r="K10" t="s">
        <v>130</v>
      </c>
    </row>
    <row r="11" spans="1:14" x14ac:dyDescent="0.2">
      <c r="A11" s="7" t="s">
        <v>107</v>
      </c>
      <c r="B11" s="8"/>
      <c r="C11" s="8"/>
      <c r="D11" s="8"/>
      <c r="E11" s="50"/>
      <c r="F11" s="50"/>
      <c r="G11" s="50">
        <f>ROUND(F10*0.5*(1-$E$25),1)</f>
        <v>4.2</v>
      </c>
      <c r="H11" s="50">
        <f>ROUND(G10*0.5*(1-$E$25),1)</f>
        <v>4.2</v>
      </c>
      <c r="I11" s="92">
        <f>ROUND(H10*0.5*(1-$E$25),1)</f>
        <v>4.2</v>
      </c>
      <c r="K11" t="s">
        <v>129</v>
      </c>
    </row>
    <row r="12" spans="1:14" x14ac:dyDescent="0.2">
      <c r="A12" s="7" t="s">
        <v>108</v>
      </c>
      <c r="B12" s="8"/>
      <c r="C12" s="8"/>
      <c r="D12" s="8"/>
      <c r="E12" s="50"/>
      <c r="F12" s="50"/>
      <c r="G12" s="50"/>
      <c r="H12" s="50">
        <f>ROUND(G11*2*(1-$E$25),1)</f>
        <v>8</v>
      </c>
      <c r="I12" s="92">
        <f>ROUND(H11*2*(1-$E$25),1)</f>
        <v>8</v>
      </c>
      <c r="L12" s="145"/>
      <c r="M12" s="146"/>
      <c r="N12" s="146"/>
    </row>
    <row r="13" spans="1:14" s="24" customFormat="1" ht="13.5" thickBot="1" x14ac:dyDescent="0.25">
      <c r="A13" s="77" t="s">
        <v>112</v>
      </c>
      <c r="B13" s="62"/>
      <c r="C13" s="62"/>
      <c r="D13" s="62"/>
      <c r="E13" s="89">
        <f>SUM(E9:E12)</f>
        <v>9.1999999999999993</v>
      </c>
      <c r="F13" s="89">
        <f>SUM(F9:F12)</f>
        <v>17.939999999999998</v>
      </c>
      <c r="G13" s="89">
        <f>SUM(G9:G12)</f>
        <v>22.139999999999997</v>
      </c>
      <c r="H13" s="89">
        <f>SUM(H9:H12)</f>
        <v>20.939999999999998</v>
      </c>
      <c r="I13" s="93">
        <f>SUM(I9:I12)</f>
        <v>12.2</v>
      </c>
    </row>
    <row r="14" spans="1:14" ht="13.5" thickTop="1" x14ac:dyDescent="0.2">
      <c r="A14" s="168" t="s">
        <v>139</v>
      </c>
      <c r="B14" s="165"/>
      <c r="C14" s="165"/>
      <c r="D14" s="165"/>
      <c r="E14" s="175">
        <v>1</v>
      </c>
      <c r="F14" s="175">
        <v>2</v>
      </c>
      <c r="G14" s="175">
        <v>3</v>
      </c>
      <c r="H14" s="175">
        <v>3</v>
      </c>
      <c r="I14" s="176">
        <v>2</v>
      </c>
      <c r="K14" t="s">
        <v>204</v>
      </c>
    </row>
    <row r="15" spans="1:14" x14ac:dyDescent="0.2">
      <c r="A15" s="77" t="s">
        <v>110</v>
      </c>
      <c r="B15" s="8"/>
      <c r="C15" s="8"/>
      <c r="D15" s="8"/>
      <c r="E15" s="8"/>
      <c r="F15" s="8"/>
      <c r="G15" s="8"/>
      <c r="H15" s="8"/>
      <c r="I15" s="9"/>
    </row>
    <row r="16" spans="1:14" x14ac:dyDescent="0.2">
      <c r="A16" s="7"/>
      <c r="B16" s="8"/>
      <c r="C16" s="8"/>
      <c r="D16" s="8"/>
      <c r="E16" s="8"/>
      <c r="F16" s="8"/>
      <c r="G16" s="8"/>
      <c r="H16" s="8"/>
      <c r="I16" s="9"/>
    </row>
    <row r="17" spans="1:11" x14ac:dyDescent="0.2">
      <c r="A17" s="77" t="s">
        <v>102</v>
      </c>
      <c r="B17" s="62"/>
      <c r="C17" s="62"/>
      <c r="D17" s="62"/>
      <c r="E17" s="62" t="str">
        <f>'Policy decisions'!C8</f>
        <v>2013-14</v>
      </c>
      <c r="F17" s="62" t="str">
        <f>'Policy decisions'!D8</f>
        <v>2014-15</v>
      </c>
      <c r="G17" s="62" t="str">
        <f>'Policy decisions'!E8</f>
        <v>2015-16</v>
      </c>
      <c r="H17" s="62" t="str">
        <f>'Policy decisions'!F8</f>
        <v>2016-17</v>
      </c>
      <c r="I17" s="62" t="str">
        <f>'Policy decisions'!G8</f>
        <v>2017-18</v>
      </c>
      <c r="K17" t="s">
        <v>222</v>
      </c>
    </row>
    <row r="18" spans="1:11" x14ac:dyDescent="0.2">
      <c r="A18" s="7" t="s">
        <v>105</v>
      </c>
      <c r="B18" s="8"/>
      <c r="C18" s="8"/>
      <c r="D18" s="8"/>
      <c r="E18" s="50">
        <f>ROUND(E4*(1-'Policy decisions'!$C$35),1)</f>
        <v>13.8</v>
      </c>
      <c r="F18" s="50">
        <f>ROUND(F4*(1-'Policy decisions'!$C$35),1)</f>
        <v>9.1999999999999993</v>
      </c>
      <c r="G18" s="50">
        <f>ROUND(G4*(1-'Policy decisions'!$C$35),1)</f>
        <v>9.1999999999999993</v>
      </c>
      <c r="H18" s="50">
        <f>ROUND(H4*(1-'Policy decisions'!$C$35),1)</f>
        <v>0</v>
      </c>
      <c r="I18" s="50">
        <f>ROUND(I4*(1-'Policy decisions'!$C$35),1)</f>
        <v>0</v>
      </c>
      <c r="K18" t="s">
        <v>223</v>
      </c>
    </row>
    <row r="19" spans="1:11" x14ac:dyDescent="0.2">
      <c r="A19" s="7" t="s">
        <v>106</v>
      </c>
      <c r="B19" s="8"/>
      <c r="C19" s="8"/>
      <c r="D19" s="8"/>
      <c r="E19" s="50"/>
      <c r="F19" s="50">
        <f>E18*(1-$E$25)</f>
        <v>13.11</v>
      </c>
      <c r="G19" s="50">
        <f>F18*(1-$E$25)</f>
        <v>8.7399999999999984</v>
      </c>
      <c r="H19" s="50">
        <f>G18*(1-$E$25)</f>
        <v>8.7399999999999984</v>
      </c>
      <c r="I19" s="92">
        <f>H18*(1-$E$25)</f>
        <v>0</v>
      </c>
      <c r="K19" t="s">
        <v>224</v>
      </c>
    </row>
    <row r="20" spans="1:11" x14ac:dyDescent="0.2">
      <c r="A20" s="7" t="s">
        <v>107</v>
      </c>
      <c r="B20" s="8"/>
      <c r="C20" s="8"/>
      <c r="D20" s="8"/>
      <c r="E20" s="50"/>
      <c r="F20" s="50"/>
      <c r="G20" s="50">
        <f>ROUND(F19*0.5*(1-$E$25),1)</f>
        <v>6.2</v>
      </c>
      <c r="H20" s="50">
        <f>ROUND(G19*0.5*(1-$E$25),1)</f>
        <v>4.2</v>
      </c>
      <c r="I20" s="92">
        <f>ROUND(H19*0.5*(1-$E$25),1)</f>
        <v>4.2</v>
      </c>
    </row>
    <row r="21" spans="1:11" x14ac:dyDescent="0.2">
      <c r="A21" s="7" t="s">
        <v>108</v>
      </c>
      <c r="B21" s="8"/>
      <c r="C21" s="8"/>
      <c r="D21" s="8"/>
      <c r="E21" s="50"/>
      <c r="F21" s="50"/>
      <c r="G21" s="50"/>
      <c r="H21" s="50">
        <f>ROUND(G20*2*(1-$E$25),1)</f>
        <v>11.8</v>
      </c>
      <c r="I21" s="92">
        <f>ROUND(H20*2*(1-$E$25),1)</f>
        <v>8</v>
      </c>
    </row>
    <row r="22" spans="1:11" ht="13.5" thickBot="1" x14ac:dyDescent="0.25">
      <c r="A22" s="7" t="s">
        <v>113</v>
      </c>
      <c r="B22" s="8"/>
      <c r="C22" s="8"/>
      <c r="D22" s="8"/>
      <c r="E22" s="70">
        <f>SUM(E18:E21)</f>
        <v>13.8</v>
      </c>
      <c r="F22" s="70">
        <f>SUM(F18:F21)</f>
        <v>22.31</v>
      </c>
      <c r="G22" s="70">
        <f>SUM(G18:G21)</f>
        <v>24.139999999999997</v>
      </c>
      <c r="H22" s="70">
        <f>SUM(H18:H21)</f>
        <v>24.74</v>
      </c>
      <c r="I22" s="94">
        <f>SUM(I18:I21)</f>
        <v>12.2</v>
      </c>
    </row>
    <row r="23" spans="1:11" ht="13.5" thickTop="1" x14ac:dyDescent="0.2">
      <c r="A23" s="168" t="s">
        <v>139</v>
      </c>
      <c r="B23" s="165"/>
      <c r="C23" s="165"/>
      <c r="D23" s="165"/>
      <c r="E23" s="175">
        <v>1</v>
      </c>
      <c r="F23" s="175">
        <v>2</v>
      </c>
      <c r="G23" s="175">
        <v>3</v>
      </c>
      <c r="H23" s="175">
        <v>3</v>
      </c>
      <c r="I23" s="176">
        <v>2</v>
      </c>
    </row>
    <row r="24" spans="1:11" x14ac:dyDescent="0.2">
      <c r="A24" s="168" t="s">
        <v>199</v>
      </c>
      <c r="B24" s="165"/>
      <c r="C24" s="165"/>
      <c r="D24" s="165"/>
      <c r="E24" s="175">
        <v>1</v>
      </c>
      <c r="F24" s="175">
        <v>2</v>
      </c>
      <c r="G24" s="175">
        <v>3</v>
      </c>
      <c r="H24" s="175">
        <v>3</v>
      </c>
      <c r="I24" s="176">
        <v>2</v>
      </c>
    </row>
    <row r="25" spans="1:11" x14ac:dyDescent="0.2">
      <c r="A25" s="77" t="s">
        <v>111</v>
      </c>
      <c r="B25" s="8"/>
      <c r="C25" s="8"/>
      <c r="D25" s="8"/>
      <c r="E25" s="136">
        <f>'Policy decisions'!C36</f>
        <v>0.05</v>
      </c>
      <c r="F25" s="13"/>
      <c r="G25" s="8"/>
      <c r="H25" s="8"/>
      <c r="I25" s="9"/>
    </row>
    <row r="26" spans="1:11" x14ac:dyDescent="0.2">
      <c r="A26" s="10"/>
      <c r="B26" s="11"/>
      <c r="C26" s="11"/>
      <c r="D26" s="11"/>
      <c r="E26" s="11"/>
      <c r="F26" s="11"/>
      <c r="G26" s="11"/>
      <c r="H26" s="11"/>
      <c r="I26" s="12"/>
    </row>
    <row r="27" spans="1:11" x14ac:dyDescent="0.2">
      <c r="A27" s="75" t="s">
        <v>125</v>
      </c>
      <c r="B27" s="5"/>
      <c r="C27" s="5"/>
      <c r="D27" s="5"/>
      <c r="E27" s="100" t="s">
        <v>45</v>
      </c>
      <c r="F27" s="100" t="s">
        <v>45</v>
      </c>
      <c r="G27" s="100" t="s">
        <v>45</v>
      </c>
      <c r="H27" s="100" t="s">
        <v>45</v>
      </c>
      <c r="I27" s="101" t="s">
        <v>45</v>
      </c>
    </row>
    <row r="28" spans="1:11" ht="15.75" x14ac:dyDescent="0.25">
      <c r="A28" s="30"/>
      <c r="B28" s="5" t="s">
        <v>123</v>
      </c>
      <c r="C28" s="5" t="s">
        <v>114</v>
      </c>
      <c r="D28" s="6"/>
      <c r="E28" s="177">
        <v>2000</v>
      </c>
      <c r="F28" s="103">
        <f>ROUND($E28*'Policy decisions'!D$26,0)</f>
        <v>2040</v>
      </c>
      <c r="G28" s="103">
        <f>ROUND($E28*'Policy decisions'!E$26,0)</f>
        <v>2081</v>
      </c>
      <c r="H28" s="103">
        <f>ROUND($E28*'Policy decisions'!F$26,0)</f>
        <v>2122</v>
      </c>
      <c r="I28" s="103">
        <f>ROUND($E28*'Policy decisions'!G$26,0)</f>
        <v>2165</v>
      </c>
      <c r="J28" s="7"/>
      <c r="K28" t="s">
        <v>131</v>
      </c>
    </row>
    <row r="29" spans="1:11" x14ac:dyDescent="0.2">
      <c r="A29" s="7"/>
      <c r="B29" s="8"/>
      <c r="C29" s="8" t="s">
        <v>115</v>
      </c>
      <c r="D29" s="9"/>
      <c r="E29" s="177">
        <v>5000</v>
      </c>
      <c r="F29" s="103">
        <f>ROUND($E29*'Policy decisions'!D$26,0)</f>
        <v>5100</v>
      </c>
      <c r="G29" s="103">
        <f>ROUND($E29*'Policy decisions'!E$26,0)</f>
        <v>5202</v>
      </c>
      <c r="H29" s="103">
        <f>ROUND($E29*'Policy decisions'!F$26,0)</f>
        <v>5306</v>
      </c>
      <c r="I29" s="103">
        <f>ROUND($E29*'Policy decisions'!G$26,0)</f>
        <v>5412</v>
      </c>
      <c r="J29" s="7"/>
      <c r="K29" t="s">
        <v>132</v>
      </c>
    </row>
    <row r="30" spans="1:11" x14ac:dyDescent="0.2">
      <c r="A30" s="7"/>
      <c r="B30" s="8"/>
      <c r="C30" s="8" t="s">
        <v>116</v>
      </c>
      <c r="D30" s="9"/>
      <c r="E30" s="177">
        <v>1000</v>
      </c>
      <c r="F30" s="103">
        <f>ROUND($E30*'Policy decisions'!D$26,0)</f>
        <v>1020</v>
      </c>
      <c r="G30" s="103">
        <f>ROUND($E30*'Policy decisions'!E$26,0)</f>
        <v>1040</v>
      </c>
      <c r="H30" s="103">
        <f>ROUND($E30*'Policy decisions'!F$26,0)</f>
        <v>1061</v>
      </c>
      <c r="I30" s="103">
        <f>ROUND($E30*'Policy decisions'!G$26,0)</f>
        <v>1082</v>
      </c>
      <c r="J30" s="7"/>
      <c r="K30" t="s">
        <v>133</v>
      </c>
    </row>
    <row r="31" spans="1:11" x14ac:dyDescent="0.2">
      <c r="A31" s="7"/>
      <c r="B31" s="8"/>
      <c r="C31" s="50" t="s">
        <v>117</v>
      </c>
      <c r="D31" s="9"/>
      <c r="E31" s="177">
        <v>20000</v>
      </c>
      <c r="F31" s="103">
        <f>ROUND($E31*'Policy decisions'!D$26,0)</f>
        <v>20400</v>
      </c>
      <c r="G31" s="103">
        <f>ROUND($E31*'Policy decisions'!E$26,0)</f>
        <v>20808</v>
      </c>
      <c r="H31" s="103">
        <f>ROUND($E31*'Policy decisions'!F$26,0)</f>
        <v>21224</v>
      </c>
      <c r="I31" s="103">
        <f>ROUND($E31*'Policy decisions'!G$26,0)</f>
        <v>21648</v>
      </c>
      <c r="J31" s="7"/>
    </row>
    <row r="32" spans="1:11" x14ac:dyDescent="0.2">
      <c r="A32" s="7"/>
      <c r="B32" s="8"/>
      <c r="C32" s="8"/>
      <c r="D32" s="9"/>
      <c r="E32" s="102"/>
      <c r="F32" s="103"/>
      <c r="G32" s="103"/>
      <c r="H32" s="103"/>
      <c r="I32" s="104"/>
      <c r="K32" s="148" t="s">
        <v>225</v>
      </c>
    </row>
    <row r="33" spans="1:10" x14ac:dyDescent="0.2">
      <c r="A33" s="7"/>
      <c r="B33" s="8" t="s">
        <v>5</v>
      </c>
      <c r="C33" s="98" t="s">
        <v>11</v>
      </c>
      <c r="D33" s="99"/>
      <c r="E33" s="115" t="s">
        <v>122</v>
      </c>
      <c r="F33" s="115"/>
      <c r="G33" s="115"/>
      <c r="H33" s="115"/>
      <c r="I33" s="116"/>
    </row>
    <row r="34" spans="1:10" x14ac:dyDescent="0.2">
      <c r="A34" s="7"/>
      <c r="B34" s="8"/>
      <c r="C34" s="98"/>
      <c r="D34" s="99"/>
      <c r="E34" s="115"/>
      <c r="F34" s="115"/>
      <c r="G34" s="115"/>
      <c r="H34" s="115"/>
      <c r="I34" s="116"/>
    </row>
    <row r="35" spans="1:10" x14ac:dyDescent="0.2">
      <c r="A35" s="7"/>
      <c r="B35" s="8"/>
      <c r="C35" s="8"/>
      <c r="D35" s="9"/>
      <c r="E35" s="105"/>
      <c r="F35" s="105"/>
      <c r="G35" s="105"/>
      <c r="H35" s="105"/>
      <c r="I35" s="106"/>
    </row>
    <row r="36" spans="1:10" x14ac:dyDescent="0.2">
      <c r="A36" s="7"/>
      <c r="B36" s="8" t="s">
        <v>124</v>
      </c>
      <c r="C36" s="8"/>
      <c r="D36" s="9"/>
      <c r="E36" s="105"/>
      <c r="F36" s="105"/>
      <c r="G36" s="105"/>
      <c r="H36" s="105"/>
      <c r="I36" s="106"/>
    </row>
    <row r="37" spans="1:10" x14ac:dyDescent="0.2">
      <c r="A37" s="7"/>
      <c r="B37" s="8"/>
      <c r="C37" s="5" t="s">
        <v>114</v>
      </c>
      <c r="D37" s="6"/>
      <c r="E37" s="177">
        <v>3000</v>
      </c>
      <c r="F37" s="103">
        <f>ROUND($E37*'Policy decisions'!D$26,0)</f>
        <v>3060</v>
      </c>
      <c r="G37" s="103">
        <f>ROUND($E37*'Policy decisions'!E$26,0)</f>
        <v>3121</v>
      </c>
      <c r="H37" s="103">
        <f>ROUND($E37*'Policy decisions'!F$26,0)</f>
        <v>3184</v>
      </c>
      <c r="I37" s="103">
        <f>ROUND($E37*'Policy decisions'!G$26,0)</f>
        <v>3247</v>
      </c>
      <c r="J37" s="7"/>
    </row>
    <row r="38" spans="1:10" x14ac:dyDescent="0.2">
      <c r="A38" s="7"/>
      <c r="B38" s="8"/>
      <c r="C38" s="8" t="s">
        <v>115</v>
      </c>
      <c r="D38" s="9"/>
      <c r="E38" s="177">
        <v>8000</v>
      </c>
      <c r="F38" s="103">
        <f>ROUND($E38*'Policy decisions'!D$26,0)</f>
        <v>8160</v>
      </c>
      <c r="G38" s="103">
        <f>ROUND($E38*'Policy decisions'!E$26,0)</f>
        <v>8323</v>
      </c>
      <c r="H38" s="103">
        <f>ROUND($E38*'Policy decisions'!F$26,0)</f>
        <v>8490</v>
      </c>
      <c r="I38" s="103">
        <f>ROUND($E38*'Policy decisions'!G$26,0)</f>
        <v>8659</v>
      </c>
      <c r="J38" s="7"/>
    </row>
    <row r="39" spans="1:10" x14ac:dyDescent="0.2">
      <c r="A39" s="7"/>
      <c r="B39" s="8"/>
      <c r="C39" s="8" t="s">
        <v>116</v>
      </c>
      <c r="D39" s="9"/>
      <c r="E39" s="177">
        <v>0</v>
      </c>
      <c r="F39" s="103">
        <f>ROUND($E39*'Policy decisions'!D$26,0)</f>
        <v>0</v>
      </c>
      <c r="G39" s="103">
        <f>ROUND($E39*'Policy decisions'!E$26,0)</f>
        <v>0</v>
      </c>
      <c r="H39" s="103">
        <f>ROUND($E39*'Policy decisions'!F$26,0)</f>
        <v>0</v>
      </c>
      <c r="I39" s="103">
        <f>ROUND($E39*'Policy decisions'!G$26,0)</f>
        <v>0</v>
      </c>
      <c r="J39" s="7"/>
    </row>
    <row r="40" spans="1:10" x14ac:dyDescent="0.2">
      <c r="A40" s="7"/>
      <c r="B40" s="8"/>
      <c r="C40" s="50" t="s">
        <v>117</v>
      </c>
      <c r="D40" s="9"/>
      <c r="E40" s="177">
        <v>20000</v>
      </c>
      <c r="F40" s="103">
        <f>ROUND($E40*'Policy decisions'!D$26,0)</f>
        <v>20400</v>
      </c>
      <c r="G40" s="103">
        <f>ROUND($E40*'Policy decisions'!E$26,0)</f>
        <v>20808</v>
      </c>
      <c r="H40" s="103">
        <f>ROUND($E40*'Policy decisions'!F$26,0)</f>
        <v>21224</v>
      </c>
      <c r="I40" s="103">
        <f>ROUND($E40*'Policy decisions'!G$26,0)</f>
        <v>21648</v>
      </c>
      <c r="J40" s="7"/>
    </row>
    <row r="41" spans="1:10" x14ac:dyDescent="0.2">
      <c r="A41" s="10"/>
      <c r="B41" s="11"/>
      <c r="C41" s="11"/>
      <c r="D41" s="12"/>
      <c r="E41" s="178"/>
      <c r="F41" s="107"/>
      <c r="G41" s="107"/>
      <c r="H41" s="107"/>
      <c r="I41" s="108"/>
    </row>
    <row r="42" spans="1:10" x14ac:dyDescent="0.2">
      <c r="A42" s="81"/>
      <c r="B42" s="5"/>
      <c r="C42" s="5"/>
      <c r="D42" s="5"/>
      <c r="E42" s="109"/>
      <c r="F42" s="109"/>
      <c r="G42" s="109"/>
      <c r="H42" s="109"/>
      <c r="I42" s="110"/>
    </row>
    <row r="43" spans="1:10" x14ac:dyDescent="0.2">
      <c r="A43" s="77" t="s">
        <v>126</v>
      </c>
      <c r="B43" s="62"/>
      <c r="C43" s="8"/>
      <c r="D43" s="8"/>
      <c r="E43" s="105"/>
      <c r="F43" s="105"/>
      <c r="G43" s="105"/>
      <c r="H43" s="105"/>
      <c r="I43" s="106"/>
    </row>
    <row r="44" spans="1:10" x14ac:dyDescent="0.2">
      <c r="A44" s="7"/>
      <c r="B44" s="8"/>
      <c r="C44" s="8"/>
      <c r="D44" s="8"/>
      <c r="E44" s="105"/>
      <c r="F44" s="105"/>
      <c r="G44" s="105"/>
      <c r="H44" s="105"/>
      <c r="I44" s="106"/>
    </row>
    <row r="45" spans="1:10" x14ac:dyDescent="0.2">
      <c r="A45" s="7"/>
      <c r="B45" s="81" t="s">
        <v>123</v>
      </c>
      <c r="C45" s="5" t="s">
        <v>2</v>
      </c>
      <c r="D45" s="6"/>
      <c r="E45" s="118">
        <f>ROUND(E28*E$13,0)</f>
        <v>18400</v>
      </c>
      <c r="F45" s="109">
        <f>ROUND(F28*F$13,0)</f>
        <v>36598</v>
      </c>
      <c r="G45" s="109">
        <f>ROUND(G28*G$13,0)</f>
        <v>46073</v>
      </c>
      <c r="H45" s="109">
        <f>ROUND(H28*H$13,0)</f>
        <v>44435</v>
      </c>
      <c r="I45" s="110">
        <f>ROUND(I28*I$13,0)</f>
        <v>26413</v>
      </c>
      <c r="J45" s="7"/>
    </row>
    <row r="46" spans="1:10" x14ac:dyDescent="0.2">
      <c r="A46" s="7"/>
      <c r="B46" s="7"/>
      <c r="C46" s="8" t="s">
        <v>3</v>
      </c>
      <c r="D46" s="9"/>
      <c r="E46" s="119">
        <f t="shared" ref="E46:I47" si="0">ROUND(E29*E$13,0)</f>
        <v>46000</v>
      </c>
      <c r="F46" s="105">
        <f t="shared" si="0"/>
        <v>91494</v>
      </c>
      <c r="G46" s="105">
        <f t="shared" si="0"/>
        <v>115172</v>
      </c>
      <c r="H46" s="105">
        <f t="shared" si="0"/>
        <v>111108</v>
      </c>
      <c r="I46" s="106">
        <f t="shared" si="0"/>
        <v>66026</v>
      </c>
      <c r="J46" s="7"/>
    </row>
    <row r="47" spans="1:10" x14ac:dyDescent="0.2">
      <c r="A47" s="7"/>
      <c r="B47" s="7"/>
      <c r="C47" s="8" t="s">
        <v>4</v>
      </c>
      <c r="D47" s="9"/>
      <c r="E47" s="119">
        <f t="shared" si="0"/>
        <v>9200</v>
      </c>
      <c r="F47" s="105">
        <f t="shared" si="0"/>
        <v>18299</v>
      </c>
      <c r="G47" s="105">
        <f t="shared" si="0"/>
        <v>23026</v>
      </c>
      <c r="H47" s="105">
        <f t="shared" si="0"/>
        <v>22217</v>
      </c>
      <c r="I47" s="106">
        <f t="shared" si="0"/>
        <v>13200</v>
      </c>
      <c r="J47" s="7"/>
    </row>
    <row r="48" spans="1:10" ht="13.5" thickBot="1" x14ac:dyDescent="0.25">
      <c r="A48" s="7"/>
      <c r="B48" s="7"/>
      <c r="C48" s="50" t="s">
        <v>117</v>
      </c>
      <c r="D48" s="8"/>
      <c r="E48" s="111">
        <f>ROUND(E31*E$14,0)</f>
        <v>20000</v>
      </c>
      <c r="F48" s="112">
        <f>ROUND(F31*F$14,0)</f>
        <v>40800</v>
      </c>
      <c r="G48" s="112">
        <f>ROUND(G31*G$14,0)</f>
        <v>62424</v>
      </c>
      <c r="H48" s="112">
        <f>ROUND(H31*H$14,0)</f>
        <v>63672</v>
      </c>
      <c r="I48" s="113">
        <f>ROUND(I31*I$14,0)</f>
        <v>43296</v>
      </c>
      <c r="J48" s="7"/>
    </row>
    <row r="49" spans="1:10" x14ac:dyDescent="0.2">
      <c r="A49" s="7"/>
      <c r="B49" s="77" t="s">
        <v>140</v>
      </c>
      <c r="C49" s="62"/>
      <c r="D49" s="91"/>
      <c r="E49" s="120">
        <f>SUM(E45:E48)</f>
        <v>93600</v>
      </c>
      <c r="F49" s="114">
        <f>SUM(F45:F48)</f>
        <v>187191</v>
      </c>
      <c r="G49" s="114">
        <f>SUM(G45:G48)</f>
        <v>246695</v>
      </c>
      <c r="H49" s="114">
        <f>SUM(H45:H48)</f>
        <v>241432</v>
      </c>
      <c r="I49" s="117">
        <f>SUM(I45:I48)</f>
        <v>148935</v>
      </c>
      <c r="J49" s="7"/>
    </row>
    <row r="50" spans="1:10" x14ac:dyDescent="0.2">
      <c r="A50" s="7"/>
      <c r="B50" s="7" t="s">
        <v>5</v>
      </c>
      <c r="C50" s="98" t="s">
        <v>11</v>
      </c>
      <c r="D50" s="99"/>
      <c r="E50" s="121"/>
      <c r="F50" s="115"/>
      <c r="G50" s="115"/>
      <c r="H50" s="115"/>
      <c r="I50" s="116"/>
    </row>
    <row r="51" spans="1:10" x14ac:dyDescent="0.2">
      <c r="A51" s="7"/>
      <c r="B51" s="7"/>
      <c r="C51" s="98" t="s">
        <v>6</v>
      </c>
      <c r="D51" s="99"/>
      <c r="E51" s="121"/>
      <c r="F51" s="115"/>
      <c r="G51" s="115"/>
      <c r="H51" s="115"/>
      <c r="I51" s="116"/>
    </row>
    <row r="52" spans="1:10" x14ac:dyDescent="0.2">
      <c r="A52" s="7"/>
      <c r="B52" s="7"/>
      <c r="C52" s="8"/>
      <c r="D52" s="9"/>
      <c r="E52" s="119"/>
      <c r="F52" s="105"/>
      <c r="G52" s="105"/>
      <c r="H52" s="105"/>
      <c r="I52" s="106"/>
    </row>
    <row r="53" spans="1:10" x14ac:dyDescent="0.2">
      <c r="A53" s="7"/>
      <c r="B53" s="7" t="s">
        <v>124</v>
      </c>
      <c r="C53" s="8"/>
      <c r="D53" s="9"/>
      <c r="E53" s="119"/>
      <c r="F53" s="105"/>
      <c r="G53" s="105"/>
      <c r="H53" s="105"/>
      <c r="I53" s="106"/>
    </row>
    <row r="54" spans="1:10" x14ac:dyDescent="0.2">
      <c r="A54" s="7"/>
      <c r="B54" s="7"/>
      <c r="C54" s="5" t="s">
        <v>2</v>
      </c>
      <c r="D54" s="6"/>
      <c r="E54" s="119">
        <f>E37*E$22</f>
        <v>41400</v>
      </c>
      <c r="F54" s="105">
        <f>F37*F$22</f>
        <v>68268.599999999991</v>
      </c>
      <c r="G54" s="105">
        <f>G37*G$22</f>
        <v>75340.939999999988</v>
      </c>
      <c r="H54" s="105">
        <f>H37*H$22</f>
        <v>78772.159999999989</v>
      </c>
      <c r="I54" s="106">
        <f>I37*I$22</f>
        <v>39613.399999999994</v>
      </c>
      <c r="J54" s="7"/>
    </row>
    <row r="55" spans="1:10" x14ac:dyDescent="0.2">
      <c r="A55" s="7"/>
      <c r="B55" s="7"/>
      <c r="C55" s="8" t="s">
        <v>3</v>
      </c>
      <c r="D55" s="9"/>
      <c r="E55" s="119">
        <f t="shared" ref="E55:I56" si="1">E38*E$22</f>
        <v>110400</v>
      </c>
      <c r="F55" s="105">
        <f t="shared" si="1"/>
        <v>182049.59999999998</v>
      </c>
      <c r="G55" s="105">
        <f t="shared" si="1"/>
        <v>200917.21999999997</v>
      </c>
      <c r="H55" s="105">
        <f t="shared" si="1"/>
        <v>210042.59999999998</v>
      </c>
      <c r="I55" s="106">
        <f t="shared" si="1"/>
        <v>105639.79999999999</v>
      </c>
      <c r="J55" s="7"/>
    </row>
    <row r="56" spans="1:10" x14ac:dyDescent="0.2">
      <c r="A56" s="7"/>
      <c r="B56" s="7"/>
      <c r="C56" s="8" t="s">
        <v>138</v>
      </c>
      <c r="D56" s="9"/>
      <c r="E56" s="119">
        <f t="shared" si="1"/>
        <v>0</v>
      </c>
      <c r="F56" s="105">
        <f t="shared" si="1"/>
        <v>0</v>
      </c>
      <c r="G56" s="105">
        <f t="shared" si="1"/>
        <v>0</v>
      </c>
      <c r="H56" s="105">
        <f t="shared" si="1"/>
        <v>0</v>
      </c>
      <c r="I56" s="106">
        <f t="shared" si="1"/>
        <v>0</v>
      </c>
      <c r="J56" s="7"/>
    </row>
    <row r="57" spans="1:10" ht="13.5" thickBot="1" x14ac:dyDescent="0.25">
      <c r="A57" s="7"/>
      <c r="B57" s="7"/>
      <c r="C57" s="50" t="s">
        <v>117</v>
      </c>
      <c r="D57" s="9"/>
      <c r="E57" s="111">
        <f>ROUND(E23*E40,0)</f>
        <v>20000</v>
      </c>
      <c r="F57" s="112">
        <f>ROUND(F23*F40,0)</f>
        <v>40800</v>
      </c>
      <c r="G57" s="112">
        <f>ROUND(G23*G40,0)</f>
        <v>62424</v>
      </c>
      <c r="H57" s="112">
        <f>ROUND(H23*H40,0)</f>
        <v>63672</v>
      </c>
      <c r="I57" s="113">
        <f>ROUND(I23*I40,0)</f>
        <v>43296</v>
      </c>
      <c r="J57" s="7"/>
    </row>
    <row r="58" spans="1:10" x14ac:dyDescent="0.2">
      <c r="A58" s="7"/>
      <c r="B58" s="10"/>
      <c r="C58" s="11"/>
      <c r="D58" s="12"/>
      <c r="E58" s="122">
        <f>SUM(E54:E57)</f>
        <v>171800</v>
      </c>
      <c r="F58" s="123">
        <f>SUM(F54:F57)</f>
        <v>291118.19999999995</v>
      </c>
      <c r="G58" s="123">
        <f>SUM(G54:G57)</f>
        <v>338682.16</v>
      </c>
      <c r="H58" s="123">
        <f>SUM(H54:H57)</f>
        <v>352486.75999999995</v>
      </c>
      <c r="I58" s="124">
        <f>SUM(I54:I57)</f>
        <v>188549.19999999998</v>
      </c>
    </row>
    <row r="59" spans="1:10" x14ac:dyDescent="0.2">
      <c r="A59" s="10"/>
      <c r="B59" s="11"/>
      <c r="C59" s="11"/>
      <c r="D59" s="11"/>
      <c r="E59" s="11"/>
      <c r="F59" s="11"/>
      <c r="G59" s="11"/>
      <c r="H59" s="11"/>
      <c r="I59" s="12"/>
    </row>
    <row r="61" spans="1:10" s="58" customFormat="1" x14ac:dyDescent="0.2">
      <c r="A61" s="58" t="s">
        <v>149</v>
      </c>
    </row>
    <row r="62" spans="1:10" x14ac:dyDescent="0.2">
      <c r="B62" t="s">
        <v>178</v>
      </c>
      <c r="D62" s="84">
        <f>'Policy decisions'!B30</f>
        <v>0.15</v>
      </c>
      <c r="E62">
        <f>'Policy decisions'!B30*('Income Model'!E45+'Income Model'!E46+'Income Model'!E47)</f>
        <v>11040</v>
      </c>
      <c r="F62">
        <f>'Policy decisions'!C30*('Income Model'!F45+'Income Model'!F46+'Income Model'!F47)</f>
        <v>21958.649999999998</v>
      </c>
      <c r="G62">
        <f>ROUND('Policy decisions'!D30*('Income Model'!G45+'Income Model'!G46+'Income Model'!G47),0)</f>
        <v>27641</v>
      </c>
      <c r="H62">
        <f>ROUND('Policy decisions'!E30*('Income Model'!H45+'Income Model'!H46+'Income Model'!H47),0)</f>
        <v>26664</v>
      </c>
      <c r="I62">
        <f>ROUND('Policy decisions'!F30*('Income Model'!I45+'Income Model'!I46+'Income Model'!I47),0)</f>
        <v>15846</v>
      </c>
    </row>
    <row r="64" spans="1:10" x14ac:dyDescent="0.2">
      <c r="A64" s="81"/>
      <c r="B64" s="5"/>
      <c r="C64" s="5"/>
      <c r="D64" s="5"/>
      <c r="E64" s="5"/>
      <c r="F64" s="5"/>
      <c r="G64" s="5"/>
      <c r="H64" s="5"/>
      <c r="I64" s="5"/>
      <c r="J64" s="6"/>
    </row>
    <row r="65" spans="1:10" x14ac:dyDescent="0.2">
      <c r="A65" s="135" t="s">
        <v>152</v>
      </c>
      <c r="B65" s="50"/>
      <c r="C65" s="8" t="s">
        <v>171</v>
      </c>
      <c r="D65" s="8"/>
      <c r="E65" s="8"/>
      <c r="F65" s="8"/>
      <c r="G65" s="8"/>
      <c r="H65" s="8"/>
      <c r="I65" s="8"/>
      <c r="J65" s="9"/>
    </row>
    <row r="66" spans="1:10" x14ac:dyDescent="0.2">
      <c r="A66" s="7"/>
      <c r="B66" s="8"/>
      <c r="C66" s="8"/>
      <c r="D66" s="8"/>
      <c r="E66" s="8"/>
      <c r="F66" s="8"/>
      <c r="G66" s="8"/>
      <c r="H66" s="8"/>
      <c r="I66" s="8"/>
      <c r="J66" s="9"/>
    </row>
    <row r="67" spans="1:10" x14ac:dyDescent="0.2">
      <c r="A67" s="75" t="s">
        <v>109</v>
      </c>
      <c r="B67" s="5"/>
      <c r="C67" s="5"/>
      <c r="D67" s="5"/>
      <c r="E67" s="5"/>
      <c r="F67" s="5"/>
      <c r="G67" s="5"/>
      <c r="H67" s="5"/>
      <c r="I67" s="6"/>
      <c r="J67" s="9"/>
    </row>
    <row r="68" spans="1:10" x14ac:dyDescent="0.2">
      <c r="A68" s="77"/>
      <c r="B68" s="8"/>
      <c r="C68" s="8"/>
      <c r="D68" s="8"/>
      <c r="E68" s="13"/>
      <c r="F68" s="13"/>
      <c r="G68" s="13"/>
      <c r="H68" s="13"/>
      <c r="I68" s="90"/>
      <c r="J68" s="9"/>
    </row>
    <row r="69" spans="1:10" x14ac:dyDescent="0.2">
      <c r="A69" s="77" t="s">
        <v>102</v>
      </c>
      <c r="B69" s="62"/>
      <c r="C69" s="62"/>
      <c r="D69" s="62"/>
      <c r="E69" s="62" t="str">
        <f>'Policy decisions'!C8</f>
        <v>2013-14</v>
      </c>
      <c r="F69" s="62" t="str">
        <f>'Policy decisions'!D8</f>
        <v>2014-15</v>
      </c>
      <c r="G69" s="62" t="str">
        <f>'Policy decisions'!E8</f>
        <v>2015-16</v>
      </c>
      <c r="H69" s="62" t="str">
        <f>'Policy decisions'!F8</f>
        <v>2016-17</v>
      </c>
      <c r="I69" s="62" t="str">
        <f>'Policy decisions'!G8</f>
        <v>2017-18</v>
      </c>
      <c r="J69" s="9"/>
    </row>
    <row r="70" spans="1:10" x14ac:dyDescent="0.2">
      <c r="A70" s="7" t="s">
        <v>105</v>
      </c>
      <c r="B70" s="8"/>
      <c r="C70" s="8"/>
      <c r="D70" s="8"/>
      <c r="E70" s="175">
        <v>10</v>
      </c>
      <c r="F70" s="175">
        <v>14</v>
      </c>
      <c r="G70" s="175">
        <v>16</v>
      </c>
      <c r="H70" s="175">
        <v>0</v>
      </c>
      <c r="I70" s="176">
        <v>0</v>
      </c>
      <c r="J70" s="9"/>
    </row>
    <row r="71" spans="1:10" x14ac:dyDescent="0.2">
      <c r="A71" s="7" t="s">
        <v>106</v>
      </c>
      <c r="B71" s="8"/>
      <c r="C71" s="8"/>
      <c r="D71" s="8"/>
      <c r="E71" s="50"/>
      <c r="F71" s="50">
        <f>E70*(1-$E$25)</f>
        <v>9.5</v>
      </c>
      <c r="G71" s="50">
        <f>F70*(1-$E$25)</f>
        <v>13.299999999999999</v>
      </c>
      <c r="H71" s="50">
        <f>G70*(1-$E$25)</f>
        <v>15.2</v>
      </c>
      <c r="I71" s="92">
        <f>H70*(1-$E$25)</f>
        <v>0</v>
      </c>
      <c r="J71" s="9"/>
    </row>
    <row r="72" spans="1:10" x14ac:dyDescent="0.2">
      <c r="A72" s="7" t="s">
        <v>107</v>
      </c>
      <c r="B72" s="8"/>
      <c r="C72" s="8"/>
      <c r="D72" s="8"/>
      <c r="E72" s="50"/>
      <c r="F72" s="50"/>
      <c r="G72" s="50">
        <f>ROUND(F71*(1-$E$25),2)</f>
        <v>9.0299999999999994</v>
      </c>
      <c r="H72" s="50">
        <f>ROUND(G71*(1-$E$25),2)</f>
        <v>12.64</v>
      </c>
      <c r="I72" s="50">
        <f>ROUND(H71*(1-$E$25),2)</f>
        <v>14.44</v>
      </c>
      <c r="J72" s="9"/>
    </row>
    <row r="73" spans="1:10" x14ac:dyDescent="0.2">
      <c r="A73" s="7" t="s">
        <v>108</v>
      </c>
      <c r="B73" s="8"/>
      <c r="C73" s="8"/>
      <c r="D73" s="8"/>
      <c r="E73" s="50"/>
      <c r="F73" s="50"/>
      <c r="G73" s="50"/>
      <c r="H73" s="50">
        <f>ROUND(G72*(1-$E$25),2)</f>
        <v>8.58</v>
      </c>
      <c r="I73" s="50">
        <f>ROUND(H72*(1-$E$25),2)</f>
        <v>12.01</v>
      </c>
      <c r="J73" s="9"/>
    </row>
    <row r="74" spans="1:10" ht="13.5" thickBot="1" x14ac:dyDescent="0.25">
      <c r="A74" s="77" t="s">
        <v>112</v>
      </c>
      <c r="B74" s="62"/>
      <c r="C74" s="62"/>
      <c r="D74" s="62"/>
      <c r="E74" s="89">
        <f>SUM(E70:E73)</f>
        <v>10</v>
      </c>
      <c r="F74" s="89">
        <f>SUM(F70:F73)</f>
        <v>23.5</v>
      </c>
      <c r="G74" s="89">
        <f>SUM(G70:G73)</f>
        <v>38.33</v>
      </c>
      <c r="H74" s="89">
        <f>SUM(H70:H73)</f>
        <v>36.42</v>
      </c>
      <c r="I74" s="93">
        <f>SUM(I70:I73)</f>
        <v>26.45</v>
      </c>
      <c r="J74" s="9"/>
    </row>
    <row r="75" spans="1:10" ht="13.5" thickTop="1" x14ac:dyDescent="0.2">
      <c r="A75" s="7" t="s">
        <v>139</v>
      </c>
      <c r="B75" s="8"/>
      <c r="C75" s="8"/>
      <c r="D75" s="8"/>
      <c r="E75" s="175">
        <v>1</v>
      </c>
      <c r="F75" s="175">
        <v>2</v>
      </c>
      <c r="G75" s="175">
        <v>2</v>
      </c>
      <c r="H75" s="175">
        <v>1</v>
      </c>
      <c r="I75" s="176">
        <v>2</v>
      </c>
      <c r="J75" s="9"/>
    </row>
    <row r="76" spans="1:10" x14ac:dyDescent="0.2">
      <c r="A76" s="77" t="s">
        <v>110</v>
      </c>
      <c r="B76" s="8"/>
      <c r="C76" s="8"/>
      <c r="D76" s="8"/>
      <c r="E76" s="8"/>
      <c r="F76" s="8"/>
      <c r="G76" s="8"/>
      <c r="H76" s="8"/>
      <c r="I76" s="9"/>
      <c r="J76" s="9"/>
    </row>
    <row r="77" spans="1:10" x14ac:dyDescent="0.2">
      <c r="A77" s="7"/>
      <c r="B77" s="8"/>
      <c r="C77" s="8"/>
      <c r="D77" s="8"/>
      <c r="E77" s="8"/>
      <c r="F77" s="8"/>
      <c r="G77" s="8"/>
      <c r="H77" s="8"/>
      <c r="I77" s="9"/>
      <c r="J77" s="9"/>
    </row>
    <row r="78" spans="1:10" x14ac:dyDescent="0.2">
      <c r="A78" s="77" t="s">
        <v>102</v>
      </c>
      <c r="B78" s="62"/>
      <c r="C78" s="62"/>
      <c r="D78" s="62"/>
      <c r="E78" s="62" t="str">
        <f>'Policy decisions'!C8</f>
        <v>2013-14</v>
      </c>
      <c r="F78" s="62" t="str">
        <f>'Policy decisions'!D8</f>
        <v>2014-15</v>
      </c>
      <c r="G78" s="62" t="str">
        <f>'Policy decisions'!E8</f>
        <v>2015-16</v>
      </c>
      <c r="H78" s="62" t="str">
        <f>'Policy decisions'!F8</f>
        <v>2016-17</v>
      </c>
      <c r="I78" s="62" t="str">
        <f>'Policy decisions'!G8</f>
        <v>2017-18</v>
      </c>
      <c r="J78" s="9"/>
    </row>
    <row r="79" spans="1:10" x14ac:dyDescent="0.2">
      <c r="A79" s="7" t="s">
        <v>105</v>
      </c>
      <c r="B79" s="8"/>
      <c r="C79" s="8"/>
      <c r="D79" s="8"/>
      <c r="E79" s="175">
        <v>15</v>
      </c>
      <c r="F79" s="175">
        <v>10</v>
      </c>
      <c r="G79" s="175">
        <v>10</v>
      </c>
      <c r="H79" s="175">
        <v>0</v>
      </c>
      <c r="I79" s="176">
        <v>0</v>
      </c>
      <c r="J79" s="9"/>
    </row>
    <row r="80" spans="1:10" x14ac:dyDescent="0.2">
      <c r="A80" s="7" t="s">
        <v>106</v>
      </c>
      <c r="B80" s="8"/>
      <c r="C80" s="8"/>
      <c r="D80" s="8"/>
      <c r="E80" s="50"/>
      <c r="F80" s="50">
        <f>E79*(1-$E$25)</f>
        <v>14.25</v>
      </c>
      <c r="G80" s="50">
        <f>F79*(1-$E$25)</f>
        <v>9.5</v>
      </c>
      <c r="H80" s="50">
        <f>G79*(1-$E$25)</f>
        <v>9.5</v>
      </c>
      <c r="I80" s="92">
        <f>H79*(1-$E$25)</f>
        <v>0</v>
      </c>
      <c r="J80" s="9"/>
    </row>
    <row r="81" spans="1:10" x14ac:dyDescent="0.2">
      <c r="A81" s="7" t="s">
        <v>107</v>
      </c>
      <c r="B81" s="8"/>
      <c r="C81" s="8"/>
      <c r="D81" s="8"/>
      <c r="E81" s="50"/>
      <c r="F81" s="50"/>
      <c r="G81" s="50">
        <f>ROUND(F80*(1-$E$25),2)</f>
        <v>13.54</v>
      </c>
      <c r="H81" s="50">
        <f>ROUND(G80*(1-$E$25),2)</f>
        <v>9.0299999999999994</v>
      </c>
      <c r="I81" s="50">
        <f>ROUND(H80*(1-$E$25),2)</f>
        <v>9.0299999999999994</v>
      </c>
      <c r="J81" s="9"/>
    </row>
    <row r="82" spans="1:10" x14ac:dyDescent="0.2">
      <c r="A82" s="7" t="s">
        <v>108</v>
      </c>
      <c r="B82" s="8"/>
      <c r="C82" s="8"/>
      <c r="D82" s="8"/>
      <c r="E82" s="50"/>
      <c r="F82" s="50"/>
      <c r="G82" s="50"/>
      <c r="H82" s="50">
        <f>ROUND(G81*(1-$E$25),2)</f>
        <v>12.86</v>
      </c>
      <c r="I82" s="50">
        <f>ROUND(H81*(1-$E$25),2)</f>
        <v>8.58</v>
      </c>
      <c r="J82" s="9"/>
    </row>
    <row r="83" spans="1:10" ht="13.5" thickBot="1" x14ac:dyDescent="0.25">
      <c r="A83" s="7" t="s">
        <v>113</v>
      </c>
      <c r="B83" s="8"/>
      <c r="C83" s="8"/>
      <c r="D83" s="8"/>
      <c r="E83" s="70">
        <f>SUM(E79:E82)</f>
        <v>15</v>
      </c>
      <c r="F83" s="70">
        <f>SUM(F79:F82)</f>
        <v>24.25</v>
      </c>
      <c r="G83" s="70">
        <f>SUM(G79:G82)</f>
        <v>33.04</v>
      </c>
      <c r="H83" s="70">
        <f>SUM(H79:H82)</f>
        <v>31.39</v>
      </c>
      <c r="I83" s="94">
        <f>SUM(I79:I82)</f>
        <v>17.61</v>
      </c>
      <c r="J83" s="9"/>
    </row>
    <row r="84" spans="1:10" ht="13.5" thickTop="1" x14ac:dyDescent="0.2">
      <c r="A84" s="7" t="s">
        <v>139</v>
      </c>
      <c r="B84" s="8"/>
      <c r="C84" s="8"/>
      <c r="D84" s="8"/>
      <c r="E84" s="175">
        <v>1</v>
      </c>
      <c r="F84" s="175">
        <v>2</v>
      </c>
      <c r="G84" s="175">
        <v>3</v>
      </c>
      <c r="H84" s="175">
        <v>3</v>
      </c>
      <c r="I84" s="176">
        <v>2</v>
      </c>
      <c r="J84" s="9"/>
    </row>
    <row r="85" spans="1:10" x14ac:dyDescent="0.2">
      <c r="A85" s="7"/>
      <c r="B85" s="8"/>
      <c r="C85" s="8"/>
      <c r="D85" s="8"/>
      <c r="E85" s="165"/>
      <c r="F85" s="165"/>
      <c r="G85" s="165"/>
      <c r="H85" s="165"/>
      <c r="I85" s="166"/>
      <c r="J85" s="9"/>
    </row>
    <row r="86" spans="1:10" x14ac:dyDescent="0.2">
      <c r="A86" s="77" t="s">
        <v>111</v>
      </c>
      <c r="B86" s="8"/>
      <c r="C86" s="8"/>
      <c r="D86" s="8"/>
      <c r="E86" s="179">
        <v>0.05</v>
      </c>
      <c r="F86" s="180"/>
      <c r="G86" s="165"/>
      <c r="H86" s="165"/>
      <c r="I86" s="166"/>
      <c r="J86" s="9"/>
    </row>
    <row r="87" spans="1:10" x14ac:dyDescent="0.2">
      <c r="A87" s="7"/>
      <c r="B87" s="8"/>
      <c r="C87" s="8"/>
      <c r="D87" s="8"/>
      <c r="E87" s="8"/>
      <c r="F87" s="8"/>
      <c r="G87" s="8"/>
      <c r="H87" s="8"/>
      <c r="I87" s="8"/>
      <c r="J87" s="9"/>
    </row>
    <row r="88" spans="1:10" x14ac:dyDescent="0.2">
      <c r="A88" s="7"/>
      <c r="B88" s="8"/>
      <c r="C88" s="8"/>
      <c r="D88" s="8"/>
      <c r="E88" s="8"/>
      <c r="F88" s="8"/>
      <c r="G88" s="8"/>
      <c r="H88" s="8"/>
      <c r="I88" s="8"/>
      <c r="J88" s="9"/>
    </row>
    <row r="89" spans="1:10" x14ac:dyDescent="0.2">
      <c r="A89" s="7" t="s">
        <v>159</v>
      </c>
      <c r="B89" s="8"/>
      <c r="C89" s="8"/>
      <c r="D89" s="8"/>
      <c r="E89" s="8">
        <f>E83+E74</f>
        <v>25</v>
      </c>
      <c r="F89" s="8">
        <f>F83+F74</f>
        <v>47.75</v>
      </c>
      <c r="G89" s="8">
        <f>G83+G74</f>
        <v>71.37</v>
      </c>
      <c r="H89" s="8">
        <f>H83+H74</f>
        <v>67.81</v>
      </c>
      <c r="I89" s="8">
        <f>I83+I74</f>
        <v>44.06</v>
      </c>
      <c r="J89" s="9"/>
    </row>
    <row r="90" spans="1:10" x14ac:dyDescent="0.2">
      <c r="A90" s="7" t="s">
        <v>161</v>
      </c>
      <c r="B90" s="8"/>
      <c r="C90" s="8"/>
      <c r="D90" s="8"/>
      <c r="E90" s="181">
        <v>1</v>
      </c>
      <c r="F90" s="181">
        <v>2</v>
      </c>
      <c r="G90" s="181">
        <v>3</v>
      </c>
      <c r="H90" s="181">
        <v>3</v>
      </c>
      <c r="I90" s="181">
        <v>2</v>
      </c>
      <c r="J90" s="9"/>
    </row>
    <row r="91" spans="1:10" x14ac:dyDescent="0.2">
      <c r="A91" s="7"/>
      <c r="B91" s="8"/>
      <c r="C91" s="8"/>
      <c r="D91" s="8"/>
      <c r="E91" s="8"/>
      <c r="F91" s="8"/>
      <c r="G91" s="8"/>
      <c r="H91" s="8"/>
      <c r="I91" s="8"/>
      <c r="J91" s="9"/>
    </row>
    <row r="92" spans="1:10" x14ac:dyDescent="0.2">
      <c r="A92" s="7"/>
      <c r="B92" s="8"/>
      <c r="C92" s="8"/>
      <c r="D92" s="8"/>
      <c r="E92" s="8"/>
      <c r="F92" s="8"/>
      <c r="G92" s="8"/>
      <c r="H92" s="8"/>
      <c r="I92" s="8"/>
      <c r="J92" s="9"/>
    </row>
    <row r="93" spans="1:10" x14ac:dyDescent="0.2">
      <c r="A93" s="7" t="s">
        <v>165</v>
      </c>
      <c r="B93" s="8"/>
      <c r="C93" s="8"/>
      <c r="D93" s="8"/>
      <c r="E93" s="8"/>
      <c r="F93" s="8"/>
      <c r="G93" s="8"/>
      <c r="H93" s="8"/>
      <c r="I93" s="8"/>
      <c r="J93" s="9"/>
    </row>
    <row r="94" spans="1:10" x14ac:dyDescent="0.2">
      <c r="A94" s="7"/>
      <c r="B94" s="8"/>
      <c r="C94" s="8"/>
      <c r="D94" s="8"/>
      <c r="E94" s="8"/>
      <c r="F94" s="8"/>
      <c r="G94" s="8"/>
      <c r="H94" s="8"/>
      <c r="I94" s="8"/>
      <c r="J94" s="9"/>
    </row>
    <row r="95" spans="1:10" x14ac:dyDescent="0.2">
      <c r="A95" s="7"/>
      <c r="B95" s="81" t="s">
        <v>123</v>
      </c>
      <c r="C95" s="5" t="s">
        <v>2</v>
      </c>
      <c r="D95" s="5"/>
      <c r="E95" s="126">
        <f>ROUND(E28*E$74,0)</f>
        <v>20000</v>
      </c>
      <c r="F95" s="126">
        <f>ROUND(F28*F$74,0)</f>
        <v>47940</v>
      </c>
      <c r="G95" s="126">
        <f>ROUND(G28*G$74,0)</f>
        <v>79765</v>
      </c>
      <c r="H95" s="126">
        <f>ROUND(H28*H$74,0)</f>
        <v>77283</v>
      </c>
      <c r="I95" s="126">
        <f>ROUND(I28*I$74,0)</f>
        <v>57264</v>
      </c>
      <c r="J95" s="9"/>
    </row>
    <row r="96" spans="1:10" x14ac:dyDescent="0.2">
      <c r="A96" s="7"/>
      <c r="B96" s="7"/>
      <c r="C96" s="8" t="s">
        <v>3</v>
      </c>
      <c r="D96" s="8"/>
      <c r="E96" s="127">
        <f t="shared" ref="E96:I97" si="2">ROUND(E29*E$74,0)</f>
        <v>50000</v>
      </c>
      <c r="F96" s="127">
        <f t="shared" si="2"/>
        <v>119850</v>
      </c>
      <c r="G96" s="127">
        <f t="shared" si="2"/>
        <v>199393</v>
      </c>
      <c r="H96" s="127">
        <f t="shared" si="2"/>
        <v>193245</v>
      </c>
      <c r="I96" s="127">
        <f t="shared" si="2"/>
        <v>143147</v>
      </c>
      <c r="J96" s="9"/>
    </row>
    <row r="97" spans="1:10" x14ac:dyDescent="0.2">
      <c r="A97" s="7"/>
      <c r="B97" s="7"/>
      <c r="C97" s="8" t="s">
        <v>4</v>
      </c>
      <c r="D97" s="8"/>
      <c r="E97" s="127">
        <f t="shared" si="2"/>
        <v>10000</v>
      </c>
      <c r="F97" s="127">
        <f t="shared" si="2"/>
        <v>23970</v>
      </c>
      <c r="G97" s="127">
        <f t="shared" si="2"/>
        <v>39863</v>
      </c>
      <c r="H97" s="127">
        <f t="shared" si="2"/>
        <v>38642</v>
      </c>
      <c r="I97" s="127">
        <f t="shared" si="2"/>
        <v>28619</v>
      </c>
      <c r="J97" s="9"/>
    </row>
    <row r="98" spans="1:10" ht="13.5" thickBot="1" x14ac:dyDescent="0.25">
      <c r="A98" s="7"/>
      <c r="B98" s="7"/>
      <c r="C98" s="50" t="s">
        <v>117</v>
      </c>
      <c r="D98" s="8"/>
      <c r="E98" s="128"/>
      <c r="F98" s="112">
        <f>ROUND(F81*F$14,0)</f>
        <v>0</v>
      </c>
      <c r="G98" s="112"/>
      <c r="H98" s="112"/>
      <c r="I98" s="113"/>
      <c r="J98" s="9"/>
    </row>
    <row r="99" spans="1:10" x14ac:dyDescent="0.2">
      <c r="A99" s="7"/>
      <c r="B99" s="77" t="s">
        <v>140</v>
      </c>
      <c r="C99" s="62"/>
      <c r="D99" s="91"/>
      <c r="E99" s="120">
        <f>SUM(E95:E98)</f>
        <v>80000</v>
      </c>
      <c r="F99" s="114">
        <f>SUM(F95:F98)</f>
        <v>191760</v>
      </c>
      <c r="G99" s="114">
        <f>SUM(G95:G98)</f>
        <v>319021</v>
      </c>
      <c r="H99" s="114">
        <f>SUM(H95:H98)</f>
        <v>309170</v>
      </c>
      <c r="I99" s="117">
        <f>SUM(I95:I98)</f>
        <v>229030</v>
      </c>
      <c r="J99" s="9"/>
    </row>
    <row r="100" spans="1:10" x14ac:dyDescent="0.2">
      <c r="A100" s="7"/>
      <c r="B100" s="7" t="s">
        <v>5</v>
      </c>
      <c r="C100" s="98"/>
      <c r="D100" s="99"/>
      <c r="E100" s="121"/>
      <c r="F100" s="115"/>
      <c r="G100" s="115"/>
      <c r="H100" s="115"/>
      <c r="I100" s="116"/>
      <c r="J100" s="9"/>
    </row>
    <row r="101" spans="1:10" x14ac:dyDescent="0.2">
      <c r="A101" s="7"/>
      <c r="B101" s="7"/>
      <c r="C101" s="98"/>
      <c r="D101" s="99"/>
      <c r="E101" s="121"/>
      <c r="F101" s="115"/>
      <c r="G101" s="115"/>
      <c r="H101" s="115"/>
      <c r="I101" s="116"/>
      <c r="J101" s="9"/>
    </row>
    <row r="102" spans="1:10" x14ac:dyDescent="0.2">
      <c r="A102" s="7"/>
      <c r="B102" s="7"/>
      <c r="C102" s="8"/>
      <c r="D102" s="9"/>
      <c r="E102" s="119"/>
      <c r="F102" s="105"/>
      <c r="G102" s="105"/>
      <c r="H102" s="105"/>
      <c r="I102" s="106"/>
      <c r="J102" s="9"/>
    </row>
    <row r="103" spans="1:10" x14ac:dyDescent="0.2">
      <c r="A103" s="7"/>
      <c r="B103" s="7" t="s">
        <v>124</v>
      </c>
      <c r="C103" s="8"/>
      <c r="D103" s="9"/>
      <c r="E103" s="119"/>
      <c r="F103" s="105"/>
      <c r="G103" s="105"/>
      <c r="H103" s="105"/>
      <c r="I103" s="106"/>
      <c r="J103" s="9"/>
    </row>
    <row r="104" spans="1:10" x14ac:dyDescent="0.2">
      <c r="A104" s="7"/>
      <c r="B104" s="7"/>
      <c r="C104" s="5" t="s">
        <v>2</v>
      </c>
      <c r="D104" s="6"/>
      <c r="E104" s="119">
        <f>ROUND(E83*E37,0)</f>
        <v>45000</v>
      </c>
      <c r="F104" s="119">
        <f>ROUND(F83*F37,0)</f>
        <v>74205</v>
      </c>
      <c r="G104" s="119">
        <f>ROUND(G83*G37,0)</f>
        <v>103118</v>
      </c>
      <c r="H104" s="119">
        <f>ROUND(H83*H37,0)</f>
        <v>99946</v>
      </c>
      <c r="I104" s="119">
        <f>ROUND(I83*I37,0)</f>
        <v>57180</v>
      </c>
      <c r="J104" s="16"/>
    </row>
    <row r="105" spans="1:10" x14ac:dyDescent="0.2">
      <c r="A105" s="7"/>
      <c r="B105" s="7"/>
      <c r="C105" s="8" t="s">
        <v>3</v>
      </c>
      <c r="D105" s="9"/>
      <c r="E105" s="119">
        <f t="shared" ref="E105:I106" si="3">ROUND(E84*E38,0)</f>
        <v>8000</v>
      </c>
      <c r="F105" s="119">
        <f t="shared" si="3"/>
        <v>16320</v>
      </c>
      <c r="G105" s="119">
        <f t="shared" si="3"/>
        <v>24969</v>
      </c>
      <c r="H105" s="119">
        <f t="shared" si="3"/>
        <v>25470</v>
      </c>
      <c r="I105" s="119">
        <f t="shared" si="3"/>
        <v>17318</v>
      </c>
      <c r="J105" s="16"/>
    </row>
    <row r="106" spans="1:10" x14ac:dyDescent="0.2">
      <c r="A106" s="7"/>
      <c r="B106" s="7"/>
      <c r="C106" s="8" t="s">
        <v>138</v>
      </c>
      <c r="D106" s="9"/>
      <c r="E106" s="119">
        <f t="shared" si="3"/>
        <v>0</v>
      </c>
      <c r="F106" s="119">
        <f t="shared" si="3"/>
        <v>0</v>
      </c>
      <c r="G106" s="119">
        <f t="shared" si="3"/>
        <v>0</v>
      </c>
      <c r="H106" s="119">
        <f t="shared" si="3"/>
        <v>0</v>
      </c>
      <c r="I106" s="119">
        <f t="shared" si="3"/>
        <v>0</v>
      </c>
      <c r="J106" s="16"/>
    </row>
    <row r="107" spans="1:10" ht="13.5" thickBot="1" x14ac:dyDescent="0.25">
      <c r="A107" s="7"/>
      <c r="B107" s="7"/>
      <c r="C107" s="50" t="s">
        <v>117</v>
      </c>
      <c r="D107" s="9"/>
      <c r="E107" s="111">
        <f>ROUND(E73*E90,0)</f>
        <v>0</v>
      </c>
      <c r="F107" s="112">
        <f>ROUND(F73*F90,0)</f>
        <v>0</v>
      </c>
      <c r="G107" s="112">
        <f>ROUND(G73*G90,0)</f>
        <v>0</v>
      </c>
      <c r="H107" s="112"/>
      <c r="I107" s="113"/>
      <c r="J107" s="9"/>
    </row>
    <row r="108" spans="1:10" x14ac:dyDescent="0.2">
      <c r="A108" s="7"/>
      <c r="B108" s="10"/>
      <c r="C108" s="11"/>
      <c r="D108" s="12"/>
      <c r="E108" s="122">
        <f>SUM(E104:E107)</f>
        <v>53000</v>
      </c>
      <c r="F108" s="123">
        <f>SUM(F104:F107)</f>
        <v>90525</v>
      </c>
      <c r="G108" s="123">
        <f>SUM(G104:G107)</f>
        <v>128087</v>
      </c>
      <c r="H108" s="123">
        <f>SUM(H104:H107)</f>
        <v>125416</v>
      </c>
      <c r="I108" s="124">
        <f>SUM(I104:I107)</f>
        <v>74498</v>
      </c>
      <c r="J108" s="9"/>
    </row>
    <row r="109" spans="1:10" x14ac:dyDescent="0.2">
      <c r="A109" s="7"/>
      <c r="B109" s="8"/>
      <c r="C109" s="8"/>
      <c r="D109" s="8"/>
      <c r="E109" s="8"/>
      <c r="F109" s="8"/>
      <c r="G109" s="8"/>
      <c r="H109" s="8"/>
      <c r="I109" s="8"/>
      <c r="J109" s="9"/>
    </row>
    <row r="110" spans="1:10" x14ac:dyDescent="0.2">
      <c r="A110" s="7" t="s">
        <v>166</v>
      </c>
      <c r="B110" s="8"/>
      <c r="C110" s="8"/>
      <c r="D110" s="8"/>
      <c r="E110" s="8"/>
      <c r="F110" s="8"/>
      <c r="G110" s="8"/>
      <c r="H110" s="8"/>
      <c r="I110" s="8"/>
      <c r="J110" s="9"/>
    </row>
    <row r="111" spans="1:10" x14ac:dyDescent="0.2">
      <c r="A111" s="7"/>
      <c r="B111" s="8"/>
      <c r="C111" s="8"/>
      <c r="D111" s="8"/>
      <c r="E111" s="8"/>
      <c r="F111" s="8"/>
      <c r="G111" s="8"/>
      <c r="H111" s="8"/>
      <c r="I111" s="8"/>
      <c r="J111" s="9"/>
    </row>
    <row r="112" spans="1:10" x14ac:dyDescent="0.2">
      <c r="A112" s="10"/>
      <c r="B112" s="11"/>
      <c r="C112" s="11"/>
      <c r="D112" s="11"/>
      <c r="E112" s="11"/>
      <c r="F112" s="11"/>
      <c r="G112" s="11"/>
      <c r="H112" s="11"/>
      <c r="I112" s="11"/>
      <c r="J112" s="12"/>
    </row>
  </sheetData>
  <sheetProtection sheet="1" objects="1" scenarios="1" selectLockedCells="1"/>
  <phoneticPr fontId="1" type="noConversion"/>
  <pageMargins left="0.25" right="0.25" top="0.75" bottom="0.75" header="0.3" footer="0.3"/>
  <pageSetup paperSize="9" scale="5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  <pageSetUpPr fitToPage="1"/>
  </sheetPr>
  <dimension ref="A1:T61"/>
  <sheetViews>
    <sheetView topLeftCell="C32" workbookViewId="0">
      <selection activeCell="G40" sqref="G40"/>
    </sheetView>
  </sheetViews>
  <sheetFormatPr defaultRowHeight="12.75" x14ac:dyDescent="0.2"/>
  <cols>
    <col min="2" max="2" width="15.42578125" customWidth="1"/>
    <col min="4" max="4" width="20.28515625" customWidth="1"/>
    <col min="5" max="5" width="4.28515625" customWidth="1"/>
    <col min="6" max="6" width="11.85546875" customWidth="1"/>
    <col min="7" max="7" width="12.28515625" customWidth="1"/>
    <col min="8" max="9" width="10.28515625" customWidth="1"/>
    <col min="10" max="10" width="13" customWidth="1"/>
  </cols>
  <sheetData>
    <row r="1" spans="1:17" ht="18" x14ac:dyDescent="0.25">
      <c r="A1" s="25" t="s">
        <v>15</v>
      </c>
    </row>
    <row r="2" spans="1:17" x14ac:dyDescent="0.2">
      <c r="Q2" t="s">
        <v>134</v>
      </c>
    </row>
    <row r="3" spans="1:17" ht="89.25" hidden="1" x14ac:dyDescent="0.2">
      <c r="A3" s="3"/>
      <c r="B3" s="4"/>
      <c r="C3" s="4"/>
      <c r="D3" s="4"/>
      <c r="E3" s="26" t="s">
        <v>12</v>
      </c>
      <c r="F3" s="26" t="s">
        <v>8</v>
      </c>
      <c r="G3" s="26" t="s">
        <v>9</v>
      </c>
      <c r="H3" s="46" t="s">
        <v>10</v>
      </c>
      <c r="I3" s="142"/>
      <c r="J3" s="27" t="s">
        <v>13</v>
      </c>
    </row>
    <row r="4" spans="1:17" ht="15.75" hidden="1" x14ac:dyDescent="0.25">
      <c r="A4" s="30" t="s">
        <v>0</v>
      </c>
      <c r="B4" s="5" t="s">
        <v>1</v>
      </c>
      <c r="C4" s="5" t="s">
        <v>2</v>
      </c>
      <c r="D4" s="6"/>
      <c r="E4" s="18">
        <v>3000</v>
      </c>
      <c r="F4" s="20">
        <v>5</v>
      </c>
      <c r="G4" s="22">
        <v>0.05</v>
      </c>
      <c r="H4" s="28">
        <f>F4*(1-G4)</f>
        <v>4.75</v>
      </c>
      <c r="I4" s="28"/>
      <c r="J4" s="15">
        <f>E4*H4</f>
        <v>14250</v>
      </c>
    </row>
    <row r="5" spans="1:17" hidden="1" x14ac:dyDescent="0.2">
      <c r="A5" s="7"/>
      <c r="B5" s="8"/>
      <c r="C5" s="8" t="s">
        <v>3</v>
      </c>
      <c r="D5" s="9"/>
      <c r="E5" s="19">
        <v>2000</v>
      </c>
      <c r="F5" s="21">
        <f>5</f>
        <v>5</v>
      </c>
      <c r="G5" s="23">
        <f>G4</f>
        <v>0.05</v>
      </c>
      <c r="H5" s="28">
        <f>F5*(1-G5)</f>
        <v>4.75</v>
      </c>
      <c r="I5" s="28"/>
      <c r="J5" s="29">
        <f>E5*H5</f>
        <v>9500</v>
      </c>
    </row>
    <row r="6" spans="1:17" hidden="1" x14ac:dyDescent="0.2">
      <c r="A6" s="7"/>
      <c r="B6" s="8"/>
      <c r="C6" s="8" t="s">
        <v>4</v>
      </c>
      <c r="D6" s="9"/>
      <c r="E6" s="19">
        <v>0</v>
      </c>
      <c r="F6" s="21">
        <v>6</v>
      </c>
      <c r="G6" s="23">
        <v>0</v>
      </c>
      <c r="H6" s="28">
        <f>F6*(1-G6)</f>
        <v>6</v>
      </c>
      <c r="I6" s="28"/>
      <c r="J6" s="29">
        <f>E6*H6</f>
        <v>0</v>
      </c>
    </row>
    <row r="7" spans="1:17" hidden="1" x14ac:dyDescent="0.2">
      <c r="A7" s="7"/>
      <c r="B7" s="8"/>
      <c r="C7" s="8"/>
      <c r="D7" s="9"/>
      <c r="E7" s="19"/>
      <c r="F7" s="21"/>
      <c r="G7" s="23"/>
      <c r="H7" s="8"/>
      <c r="I7" s="8"/>
      <c r="J7" s="16"/>
    </row>
    <row r="8" spans="1:17" hidden="1" x14ac:dyDescent="0.2">
      <c r="A8" s="7"/>
      <c r="B8" s="8"/>
      <c r="C8" s="8"/>
      <c r="D8" s="9"/>
      <c r="E8" s="19"/>
      <c r="F8" s="21"/>
      <c r="G8" s="23"/>
      <c r="H8" s="8"/>
      <c r="I8" s="8"/>
      <c r="J8" s="16"/>
    </row>
    <row r="9" spans="1:17" hidden="1" x14ac:dyDescent="0.2">
      <c r="A9" s="7"/>
      <c r="B9" s="8" t="s">
        <v>5</v>
      </c>
      <c r="C9" s="8" t="s">
        <v>11</v>
      </c>
      <c r="D9" s="9"/>
      <c r="E9" s="19">
        <v>1495</v>
      </c>
      <c r="F9" s="21">
        <v>0</v>
      </c>
      <c r="G9" s="23"/>
      <c r="H9" s="28">
        <f>F9*G9</f>
        <v>0</v>
      </c>
      <c r="I9" s="28"/>
      <c r="J9" s="29">
        <f>E9*H9</f>
        <v>0</v>
      </c>
    </row>
    <row r="10" spans="1:17" hidden="1" x14ac:dyDescent="0.2">
      <c r="A10" s="7"/>
      <c r="B10" s="8"/>
      <c r="C10" s="8" t="s">
        <v>6</v>
      </c>
      <c r="D10" s="9"/>
      <c r="E10" s="19">
        <v>0</v>
      </c>
      <c r="F10" s="21"/>
      <c r="G10" s="23"/>
      <c r="H10" s="28">
        <f>F10*G10</f>
        <v>0</v>
      </c>
      <c r="I10" s="28"/>
      <c r="J10" s="29">
        <f>E10*H10</f>
        <v>0</v>
      </c>
    </row>
    <row r="11" spans="1:17" hidden="1" x14ac:dyDescent="0.2">
      <c r="A11" s="7"/>
      <c r="B11" s="8"/>
      <c r="C11" s="8" t="s">
        <v>7</v>
      </c>
      <c r="D11" s="9"/>
      <c r="E11" s="19">
        <v>0</v>
      </c>
      <c r="F11" s="21"/>
      <c r="G11" s="23"/>
      <c r="H11" s="28">
        <f>F11*G11</f>
        <v>0</v>
      </c>
      <c r="I11" s="28"/>
      <c r="J11" s="29">
        <f>E11*H11</f>
        <v>0</v>
      </c>
    </row>
    <row r="12" spans="1:17" hidden="1" x14ac:dyDescent="0.2">
      <c r="A12" s="7"/>
      <c r="B12" s="8"/>
      <c r="C12" s="8"/>
      <c r="D12" s="9"/>
      <c r="E12" s="7"/>
      <c r="F12" s="8"/>
      <c r="G12" s="13"/>
      <c r="H12" s="8"/>
      <c r="I12" s="8"/>
      <c r="J12" s="17"/>
    </row>
    <row r="13" spans="1:17" hidden="1" x14ac:dyDescent="0.2">
      <c r="A13" s="7"/>
      <c r="B13" s="8" t="s">
        <v>14</v>
      </c>
      <c r="C13" s="8"/>
      <c r="D13" s="9"/>
      <c r="E13" s="7"/>
      <c r="F13" s="8"/>
      <c r="G13" s="13"/>
      <c r="H13" s="8"/>
      <c r="I13" s="8"/>
      <c r="J13" s="16">
        <f>SUM(J4:J12)</f>
        <v>23750</v>
      </c>
    </row>
    <row r="14" spans="1:17" hidden="1" x14ac:dyDescent="0.2">
      <c r="A14" s="10"/>
      <c r="B14" s="11"/>
      <c r="C14" s="11"/>
      <c r="D14" s="12"/>
      <c r="E14" s="10"/>
      <c r="F14" s="11"/>
      <c r="G14" s="14"/>
      <c r="H14" s="11"/>
      <c r="I14" s="11"/>
      <c r="J14" s="17"/>
    </row>
    <row r="15" spans="1:17" hidden="1" x14ac:dyDescent="0.2">
      <c r="A15" s="8"/>
      <c r="B15" s="8"/>
      <c r="C15" s="8"/>
      <c r="D15" s="8"/>
      <c r="E15" s="8"/>
      <c r="F15" s="8"/>
      <c r="G15" s="13"/>
      <c r="H15" s="8"/>
      <c r="I15" s="8"/>
      <c r="J15" s="8"/>
    </row>
    <row r="16" spans="1:17" hidden="1" x14ac:dyDescent="0.2">
      <c r="A16" s="8"/>
      <c r="B16" s="8"/>
      <c r="C16" s="8"/>
      <c r="D16" s="8"/>
      <c r="E16" s="8"/>
      <c r="F16" s="8"/>
      <c r="G16" s="13"/>
      <c r="H16" s="8"/>
      <c r="I16" s="8"/>
      <c r="J16" s="8"/>
    </row>
    <row r="17" spans="1:20" x14ac:dyDescent="0.2">
      <c r="A17" s="8"/>
      <c r="B17" s="8"/>
      <c r="C17" s="8"/>
      <c r="D17" s="8"/>
      <c r="E17" s="8"/>
      <c r="F17" s="8"/>
      <c r="G17" s="13"/>
      <c r="H17" s="8"/>
      <c r="I17" s="8"/>
      <c r="J17" s="8"/>
    </row>
    <row r="18" spans="1:20" ht="15.75" x14ac:dyDescent="0.25">
      <c r="A18" s="31" t="s">
        <v>16</v>
      </c>
      <c r="G18" s="2"/>
    </row>
    <row r="19" spans="1:20" x14ac:dyDescent="0.2">
      <c r="A19" s="24" t="s">
        <v>24</v>
      </c>
      <c r="H19" s="2"/>
      <c r="I19" s="2"/>
      <c r="J19" s="24" t="str">
        <f>'Policy decisions'!B8</f>
        <v>2012-13</v>
      </c>
      <c r="K19" s="24" t="str">
        <f>'Policy decisions'!C8</f>
        <v>2013-14</v>
      </c>
      <c r="L19" s="24" t="str">
        <f>'Policy decisions'!D8</f>
        <v>2014-15</v>
      </c>
      <c r="M19" s="24" t="str">
        <f>'Policy decisions'!E8</f>
        <v>2015-16</v>
      </c>
      <c r="N19" s="24" t="str">
        <f>'Policy decisions'!F8</f>
        <v>2016-17</v>
      </c>
      <c r="O19" s="24" t="str">
        <f>'Policy decisions'!G8</f>
        <v>2017-18</v>
      </c>
    </row>
    <row r="20" spans="1:20" x14ac:dyDescent="0.2">
      <c r="E20" s="32"/>
      <c r="F20" t="s">
        <v>150</v>
      </c>
      <c r="G20" t="s">
        <v>58</v>
      </c>
      <c r="H20" s="2" t="s">
        <v>78</v>
      </c>
      <c r="I20" s="2"/>
      <c r="J20" t="s">
        <v>79</v>
      </c>
      <c r="K20" s="24"/>
      <c r="L20" s="24"/>
      <c r="M20" s="24"/>
      <c r="N20" s="24"/>
      <c r="O20" s="24"/>
    </row>
    <row r="21" spans="1:20" x14ac:dyDescent="0.2">
      <c r="B21" s="75" t="s">
        <v>17</v>
      </c>
      <c r="C21" s="5"/>
      <c r="D21" s="5" t="s">
        <v>38</v>
      </c>
      <c r="E21" s="137"/>
      <c r="F21" s="137"/>
      <c r="G21" s="5">
        <f>'Staff Costing Schedule'!K36</f>
        <v>6566</v>
      </c>
      <c r="H21" s="138" t="s">
        <v>57</v>
      </c>
      <c r="I21" s="138"/>
      <c r="J21" s="5">
        <f>G21*1</f>
        <v>6566</v>
      </c>
      <c r="K21" s="5">
        <f>'Staff Costing Schedule'!Q36</f>
        <v>5541</v>
      </c>
      <c r="L21" s="5">
        <f>'Staff Costing Schedule'!R36</f>
        <v>4204</v>
      </c>
      <c r="M21" s="5">
        <f>'Staff Costing Schedule'!S36</f>
        <v>2111</v>
      </c>
      <c r="N21" s="5">
        <f>'Staff Costing Schedule'!T36</f>
        <v>3166</v>
      </c>
      <c r="O21" s="6">
        <f>'Staff Costing Schedule'!U36</f>
        <v>633</v>
      </c>
    </row>
    <row r="22" spans="1:20" x14ac:dyDescent="0.2">
      <c r="B22" s="7"/>
      <c r="C22" s="8"/>
      <c r="D22" s="8" t="s">
        <v>59</v>
      </c>
      <c r="E22" s="8"/>
      <c r="F22" s="8"/>
      <c r="G22" s="175">
        <v>5000</v>
      </c>
      <c r="H22" s="13">
        <v>0.2</v>
      </c>
      <c r="I22" s="13"/>
      <c r="J22" s="8">
        <f t="shared" ref="J22:J27" si="0">ROUND(G22*(1+H22),0)</f>
        <v>6000</v>
      </c>
      <c r="K22" s="175"/>
      <c r="L22" s="175"/>
      <c r="M22" s="175"/>
      <c r="N22" s="175"/>
      <c r="O22" s="176"/>
    </row>
    <row r="23" spans="1:20" ht="12" customHeight="1" x14ac:dyDescent="0.2">
      <c r="B23" s="7"/>
      <c r="C23" s="8"/>
      <c r="D23" s="8" t="s">
        <v>39</v>
      </c>
      <c r="E23" s="8"/>
      <c r="F23" s="8"/>
      <c r="G23" s="175">
        <v>1000</v>
      </c>
      <c r="H23" s="13">
        <v>0.2</v>
      </c>
      <c r="I23" s="13"/>
      <c r="J23" s="8">
        <f t="shared" si="0"/>
        <v>1200</v>
      </c>
      <c r="K23" s="175"/>
      <c r="L23" s="175"/>
      <c r="M23" s="175"/>
      <c r="N23" s="175"/>
      <c r="O23" s="176"/>
    </row>
    <row r="24" spans="1:20" ht="10.9" customHeight="1" x14ac:dyDescent="0.2">
      <c r="B24" s="7"/>
      <c r="C24" s="8"/>
      <c r="D24" s="8" t="s">
        <v>155</v>
      </c>
      <c r="E24" s="8"/>
      <c r="F24" s="8"/>
      <c r="G24" s="175">
        <v>5000</v>
      </c>
      <c r="H24" s="13">
        <v>0</v>
      </c>
      <c r="I24" s="13"/>
      <c r="J24" s="8">
        <f t="shared" si="0"/>
        <v>5000</v>
      </c>
      <c r="K24" s="175"/>
      <c r="L24" s="175"/>
      <c r="M24" s="175"/>
      <c r="N24" s="175"/>
      <c r="O24" s="176"/>
    </row>
    <row r="25" spans="1:20" ht="10.9" customHeight="1" x14ac:dyDescent="0.2">
      <c r="B25" s="7"/>
      <c r="C25" s="8"/>
      <c r="D25" s="8" t="s">
        <v>156</v>
      </c>
      <c r="E25" s="8"/>
      <c r="F25" s="8"/>
      <c r="G25" s="175">
        <v>2000</v>
      </c>
      <c r="H25" s="13">
        <v>0.2</v>
      </c>
      <c r="I25" s="13"/>
      <c r="J25" s="8">
        <f t="shared" si="0"/>
        <v>2400</v>
      </c>
      <c r="K25" s="175"/>
      <c r="L25" s="175"/>
      <c r="M25" s="175"/>
      <c r="N25" s="175"/>
      <c r="O25" s="176"/>
    </row>
    <row r="26" spans="1:20" ht="10.9" customHeight="1" x14ac:dyDescent="0.2">
      <c r="B26" s="7"/>
      <c r="C26" s="8"/>
      <c r="D26" s="8" t="s">
        <v>98</v>
      </c>
      <c r="E26" s="8"/>
      <c r="F26" s="8"/>
      <c r="G26" s="175">
        <v>8000</v>
      </c>
      <c r="H26" s="13">
        <v>0.2</v>
      </c>
      <c r="I26" s="13"/>
      <c r="J26" s="8">
        <f t="shared" si="0"/>
        <v>9600</v>
      </c>
      <c r="K26" s="175"/>
      <c r="L26" s="175"/>
      <c r="M26" s="175"/>
      <c r="N26" s="175"/>
      <c r="O26" s="176"/>
    </row>
    <row r="27" spans="1:20" ht="10.9" customHeight="1" x14ac:dyDescent="0.2">
      <c r="B27" s="7"/>
      <c r="C27" s="8"/>
      <c r="D27" s="8" t="s">
        <v>153</v>
      </c>
      <c r="E27" s="8"/>
      <c r="F27" s="8"/>
      <c r="G27" s="175">
        <v>1000</v>
      </c>
      <c r="H27" s="13"/>
      <c r="I27" s="13"/>
      <c r="J27" s="8">
        <f t="shared" si="0"/>
        <v>1000</v>
      </c>
      <c r="K27" s="175"/>
      <c r="L27" s="175"/>
      <c r="M27" s="175"/>
      <c r="N27" s="175"/>
      <c r="O27" s="176"/>
    </row>
    <row r="28" spans="1:20" ht="10.9" customHeight="1" x14ac:dyDescent="0.2">
      <c r="B28" s="10"/>
      <c r="C28" s="11"/>
      <c r="D28" s="11"/>
      <c r="E28" s="11"/>
      <c r="F28" s="11"/>
      <c r="G28" s="181"/>
      <c r="H28" s="14"/>
      <c r="I28" s="14"/>
      <c r="J28" s="11"/>
      <c r="K28" s="181"/>
      <c r="L28" s="181"/>
      <c r="M28" s="181"/>
      <c r="N28" s="181"/>
      <c r="O28" s="183"/>
    </row>
    <row r="29" spans="1:20" x14ac:dyDescent="0.2">
      <c r="B29" s="24"/>
      <c r="C29" s="24"/>
      <c r="D29" s="24"/>
      <c r="E29" s="24"/>
      <c r="F29" s="24"/>
      <c r="G29" s="150" t="s">
        <v>200</v>
      </c>
      <c r="H29" s="139"/>
      <c r="I29" s="139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0" x14ac:dyDescent="0.2">
      <c r="B30" s="24" t="s">
        <v>18</v>
      </c>
      <c r="C30" s="24"/>
      <c r="D30" s="96" t="s">
        <v>37</v>
      </c>
      <c r="E30" s="140"/>
      <c r="F30" s="140"/>
      <c r="G30" s="150">
        <f>'Staff Costing Schedule'!K52</f>
        <v>0</v>
      </c>
      <c r="H30" s="139" t="s">
        <v>57</v>
      </c>
      <c r="I30" s="139"/>
      <c r="J30" s="140"/>
      <c r="K30" s="96">
        <f>'Staff Costing Schedule'!Q52</f>
        <v>7268</v>
      </c>
      <c r="L30" s="96">
        <f>'Staff Costing Schedule'!R52</f>
        <v>13739</v>
      </c>
      <c r="M30" s="96">
        <f>'Staff Costing Schedule'!S52</f>
        <v>17155</v>
      </c>
      <c r="N30" s="96">
        <f>'Staff Costing Schedule'!T52</f>
        <v>16268</v>
      </c>
      <c r="O30" s="96">
        <f>'Staff Costing Schedule'!U52</f>
        <v>13142</v>
      </c>
      <c r="P30" s="24"/>
      <c r="Q30" s="24" t="s">
        <v>162</v>
      </c>
      <c r="R30" s="24"/>
      <c r="S30" s="24"/>
      <c r="T30" s="24"/>
    </row>
    <row r="31" spans="1:20" x14ac:dyDescent="0.2">
      <c r="B31" s="24" t="s">
        <v>157</v>
      </c>
      <c r="C31" s="24"/>
      <c r="D31" s="96" t="s">
        <v>39</v>
      </c>
      <c r="E31" s="24" t="s">
        <v>160</v>
      </c>
      <c r="F31" s="24"/>
      <c r="G31" s="182">
        <v>50</v>
      </c>
      <c r="H31" s="139">
        <v>0.2</v>
      </c>
      <c r="I31" s="141">
        <f>ROUND($G31*(1+$H31),0)</f>
        <v>60</v>
      </c>
      <c r="J31" s="140"/>
      <c r="K31" s="96">
        <f>ROUND($I31*'Income Model'!E$24*'Policy decisions'!C$25,0)</f>
        <v>61</v>
      </c>
      <c r="L31" s="96">
        <f>ROUND($I31*'Income Model'!F$24*'Policy decisions'!D$25,0)</f>
        <v>125</v>
      </c>
      <c r="M31" s="96">
        <f>ROUND($I31*'Income Model'!G$24*'Policy decisions'!E$25,0)</f>
        <v>191</v>
      </c>
      <c r="N31" s="96">
        <f>ROUND($I31*'Income Model'!H$24*'Policy decisions'!F$25,0)</f>
        <v>195</v>
      </c>
      <c r="O31" s="96">
        <f>ROUND($I31*'Income Model'!I$24*'Policy decisions'!G$25,0)</f>
        <v>132</v>
      </c>
      <c r="P31" s="24"/>
      <c r="Q31" s="24" t="s">
        <v>162</v>
      </c>
      <c r="R31" s="24"/>
      <c r="S31" s="24"/>
      <c r="T31" s="24"/>
    </row>
    <row r="32" spans="1:20" x14ac:dyDescent="0.2">
      <c r="B32" s="24" t="s">
        <v>158</v>
      </c>
      <c r="C32" s="24"/>
      <c r="D32" s="96" t="s">
        <v>97</v>
      </c>
      <c r="E32" s="24" t="s">
        <v>160</v>
      </c>
      <c r="F32" s="24"/>
      <c r="G32" s="182">
        <v>100</v>
      </c>
      <c r="H32" s="139">
        <v>0.2</v>
      </c>
      <c r="I32" s="141">
        <f>ROUND($G32*(1+$H32),0)</f>
        <v>120</v>
      </c>
      <c r="J32" s="140"/>
      <c r="K32" s="96">
        <f>ROUND($I32*'Income Model'!E$24*'Policy decisions'!C$25,0)</f>
        <v>122</v>
      </c>
      <c r="L32" s="96">
        <f>ROUND($I32*'Income Model'!F$24*'Policy decisions'!D$25,0)</f>
        <v>250</v>
      </c>
      <c r="M32" s="96">
        <f>ROUND($I32*'Income Model'!G$24*'Policy decisions'!E$25,0)</f>
        <v>382</v>
      </c>
      <c r="N32" s="96">
        <f>ROUND($I32*'Income Model'!H$24*'Policy decisions'!F$25,0)</f>
        <v>390</v>
      </c>
      <c r="O32" s="96">
        <f>ROUND($I32*'Income Model'!I$24*'Policy decisions'!G$25,0)</f>
        <v>265</v>
      </c>
      <c r="P32" s="24"/>
      <c r="Q32" s="24" t="s">
        <v>162</v>
      </c>
      <c r="R32" s="24"/>
      <c r="S32" s="24"/>
      <c r="T32" s="24"/>
    </row>
    <row r="33" spans="2:20" x14ac:dyDescent="0.2">
      <c r="B33" s="24"/>
      <c r="C33" s="24"/>
      <c r="D33" s="96" t="s">
        <v>99</v>
      </c>
      <c r="E33" s="24" t="s">
        <v>160</v>
      </c>
      <c r="F33" s="24"/>
      <c r="G33" s="182">
        <v>100</v>
      </c>
      <c r="H33" s="139">
        <v>0.2</v>
      </c>
      <c r="I33" s="141">
        <f>ROUND($G33*(1+$H33),0)</f>
        <v>120</v>
      </c>
      <c r="J33" s="140"/>
      <c r="K33" s="96">
        <f>ROUND($I33*'Income Model'!E$24*'Policy decisions'!C$25,0)</f>
        <v>122</v>
      </c>
      <c r="L33" s="96">
        <f>ROUND($I33*'Income Model'!F$24*'Policy decisions'!D$25,0)</f>
        <v>250</v>
      </c>
      <c r="M33" s="96">
        <f>ROUND($I33*'Income Model'!G$24*'Policy decisions'!E$25,0)</f>
        <v>382</v>
      </c>
      <c r="N33" s="96">
        <f>ROUND($I33*'Income Model'!H$24*'Policy decisions'!F$25,0)</f>
        <v>390</v>
      </c>
      <c r="O33" s="96">
        <f>ROUND($I33*'Income Model'!I$24*'Policy decisions'!G$25,0)</f>
        <v>265</v>
      </c>
      <c r="P33" s="24"/>
      <c r="Q33" s="24" t="s">
        <v>162</v>
      </c>
      <c r="R33" s="24"/>
      <c r="S33" s="24"/>
      <c r="T33" s="24"/>
    </row>
    <row r="34" spans="2:20" x14ac:dyDescent="0.2">
      <c r="B34" s="24"/>
      <c r="C34" s="24"/>
      <c r="D34" s="96" t="s">
        <v>100</v>
      </c>
      <c r="E34" s="24" t="s">
        <v>160</v>
      </c>
      <c r="F34" s="24"/>
      <c r="G34" s="182">
        <v>40</v>
      </c>
      <c r="H34" s="139">
        <v>0.2</v>
      </c>
      <c r="I34" s="141">
        <f>ROUND($G34*(1+$H34),0)</f>
        <v>48</v>
      </c>
      <c r="J34" s="140"/>
      <c r="K34" s="96">
        <f>ROUND($I34*'Income Model'!E$24*'Policy decisions'!C$25,0)</f>
        <v>49</v>
      </c>
      <c r="L34" s="96">
        <f>ROUND($I34*'Income Model'!F$24*'Policy decisions'!D$25,0)</f>
        <v>100</v>
      </c>
      <c r="M34" s="96">
        <f>ROUND($I34*'Income Model'!G$24*'Policy decisions'!E$25,0)</f>
        <v>153</v>
      </c>
      <c r="N34" s="96">
        <f>ROUND($I34*'Income Model'!H$24*'Policy decisions'!F$25,0)</f>
        <v>156</v>
      </c>
      <c r="O34" s="96">
        <f>ROUND($I34*'Income Model'!I$24*'Policy decisions'!G$25,0)</f>
        <v>106</v>
      </c>
      <c r="P34" s="24"/>
      <c r="Q34" s="24" t="s">
        <v>162</v>
      </c>
      <c r="R34" s="24"/>
      <c r="S34" s="24"/>
      <c r="T34" s="24"/>
    </row>
    <row r="35" spans="2:20" x14ac:dyDescent="0.2">
      <c r="B35" s="24"/>
      <c r="C35" s="24"/>
      <c r="D35" s="96" t="s">
        <v>154</v>
      </c>
      <c r="E35" s="24" t="s">
        <v>160</v>
      </c>
      <c r="F35" s="24"/>
      <c r="G35" s="182">
        <v>40</v>
      </c>
      <c r="H35" s="139">
        <v>0.2</v>
      </c>
      <c r="I35" s="141">
        <f>ROUND($G35*(1+$H35),0)</f>
        <v>48</v>
      </c>
      <c r="J35" s="140"/>
      <c r="K35" s="96">
        <f>ROUND($I35*'Income Model'!E$24*'Policy decisions'!C$25,0)</f>
        <v>49</v>
      </c>
      <c r="L35" s="96">
        <f>ROUND($I35*'Income Model'!F$24*'Policy decisions'!D$25,0)</f>
        <v>100</v>
      </c>
      <c r="M35" s="96">
        <f>ROUND($I35*'Income Model'!G$24*'Policy decisions'!E$25,0)</f>
        <v>153</v>
      </c>
      <c r="N35" s="96">
        <f>ROUND($I35*'Income Model'!H$24*'Policy decisions'!F$25,0)</f>
        <v>156</v>
      </c>
      <c r="O35" s="96">
        <f>ROUND($I35*'Income Model'!I$24*'Policy decisions'!G$25,0)</f>
        <v>106</v>
      </c>
      <c r="P35" s="24"/>
      <c r="Q35" s="24" t="s">
        <v>162</v>
      </c>
      <c r="R35" s="24"/>
      <c r="S35" s="24"/>
      <c r="T35" s="24"/>
    </row>
    <row r="36" spans="2:20" x14ac:dyDescent="0.2">
      <c r="G36" s="149"/>
      <c r="H36" s="2"/>
      <c r="I36" s="2"/>
    </row>
    <row r="37" spans="2:20" x14ac:dyDescent="0.2">
      <c r="B37" s="24" t="s">
        <v>77</v>
      </c>
      <c r="D37" t="s">
        <v>56</v>
      </c>
      <c r="E37" s="58"/>
      <c r="F37" s="58"/>
      <c r="G37" s="149">
        <f>'Staff Costing Schedule'!K67</f>
        <v>0</v>
      </c>
      <c r="H37" s="2" t="s">
        <v>57</v>
      </c>
      <c r="I37" s="2"/>
      <c r="K37">
        <f>'Staff Costing Schedule'!Q67</f>
        <v>1078</v>
      </c>
      <c r="L37">
        <f>'Staff Costing Schedule'!R67</f>
        <v>1100</v>
      </c>
      <c r="M37">
        <f>'Staff Costing Schedule'!S67</f>
        <v>1121</v>
      </c>
      <c r="N37">
        <f>'Staff Costing Schedule'!T67</f>
        <v>1144</v>
      </c>
      <c r="O37">
        <f>'Staff Costing Schedule'!U67</f>
        <v>1167</v>
      </c>
    </row>
    <row r="38" spans="2:20" x14ac:dyDescent="0.2">
      <c r="D38" t="s">
        <v>19</v>
      </c>
      <c r="G38" s="158">
        <v>1000</v>
      </c>
      <c r="H38" s="2">
        <v>0.2</v>
      </c>
      <c r="I38" s="141">
        <f>ROUND($G38*(1+$H38),0)</f>
        <v>1200</v>
      </c>
      <c r="J38">
        <v>1200</v>
      </c>
      <c r="K38" s="96">
        <f>ROUND($I38*'Income Model'!E$24*'Policy decisions'!C$25,0)</f>
        <v>1224</v>
      </c>
      <c r="L38" s="96">
        <f>ROUND($I38*'Income Model'!F$24*'Policy decisions'!D$25,0)</f>
        <v>2497</v>
      </c>
      <c r="M38" s="96">
        <f>ROUND($I38*'Income Model'!G$24*'Policy decisions'!E$25,0)</f>
        <v>3820</v>
      </c>
      <c r="N38" s="96">
        <f>ROUND($I38*'Income Model'!H$24*'Policy decisions'!F$25,0)</f>
        <v>3897</v>
      </c>
      <c r="O38" s="96">
        <f>ROUND($I38*'Income Model'!I$24*'Policy decisions'!G$25,0)</f>
        <v>2650</v>
      </c>
      <c r="Q38" t="s">
        <v>162</v>
      </c>
    </row>
    <row r="39" spans="2:20" x14ac:dyDescent="0.2">
      <c r="D39" t="s">
        <v>20</v>
      </c>
      <c r="G39" s="158">
        <v>500</v>
      </c>
      <c r="H39" s="2">
        <v>0.2</v>
      </c>
      <c r="I39" s="141">
        <f>ROUND($G39*(1+$H39),0)</f>
        <v>600</v>
      </c>
      <c r="J39">
        <f>ROUND(G39*(1+H39),0)</f>
        <v>600</v>
      </c>
      <c r="K39" s="96">
        <f>ROUND($I39*'Income Model'!E$24*'Policy decisions'!C$25,0)</f>
        <v>612</v>
      </c>
      <c r="L39" s="96">
        <f>ROUND($I39*'Income Model'!F$24*'Policy decisions'!D$25,0)</f>
        <v>1248</v>
      </c>
      <c r="M39" s="96">
        <f>ROUND($I39*'Income Model'!G$24*'Policy decisions'!E$25,0)</f>
        <v>1910</v>
      </c>
      <c r="N39" s="96">
        <f>ROUND($I39*'Income Model'!H$24*'Policy decisions'!F$25,0)</f>
        <v>1948</v>
      </c>
      <c r="O39" s="96">
        <f>ROUND($I39*'Income Model'!I$24*'Policy decisions'!G$25,0)</f>
        <v>1325</v>
      </c>
      <c r="Q39" t="s">
        <v>162</v>
      </c>
    </row>
    <row r="40" spans="2:20" x14ac:dyDescent="0.2">
      <c r="D40" t="s">
        <v>21</v>
      </c>
      <c r="G40" s="158">
        <v>500</v>
      </c>
      <c r="H40" s="2">
        <v>0.2</v>
      </c>
      <c r="I40" s="141">
        <f>ROUND($G40*(1+$H40),0)</f>
        <v>600</v>
      </c>
      <c r="J40">
        <f>ROUND(G40*(1+H40),0)</f>
        <v>600</v>
      </c>
      <c r="K40" s="96">
        <f>ROUND($I40*'Income Model'!E$24*'Policy decisions'!C$25,0)</f>
        <v>612</v>
      </c>
      <c r="L40" s="96">
        <f>ROUND($I40*'Income Model'!F$24*'Policy decisions'!D$25,0)</f>
        <v>1248</v>
      </c>
      <c r="M40" s="96">
        <f>ROUND($I40*'Income Model'!G$24*'Policy decisions'!E$25,0)</f>
        <v>1910</v>
      </c>
      <c r="N40" s="96">
        <f>ROUND($I40*'Income Model'!H$24*'Policy decisions'!F$25,0)</f>
        <v>1948</v>
      </c>
      <c r="O40" s="96">
        <f>ROUND($I40*'Income Model'!I$24*'Policy decisions'!G$25,0)</f>
        <v>1325</v>
      </c>
      <c r="Q40" t="s">
        <v>162</v>
      </c>
    </row>
    <row r="41" spans="2:20" x14ac:dyDescent="0.2">
      <c r="G41" s="149"/>
      <c r="H41" s="2"/>
      <c r="I41" s="2"/>
    </row>
    <row r="42" spans="2:20" x14ac:dyDescent="0.2">
      <c r="H42" s="2"/>
      <c r="I42" s="2"/>
    </row>
    <row r="43" spans="2:20" x14ac:dyDescent="0.2">
      <c r="H43" s="2"/>
      <c r="I43" s="2"/>
    </row>
    <row r="44" spans="2:20" x14ac:dyDescent="0.2">
      <c r="B44" s="24" t="s">
        <v>22</v>
      </c>
      <c r="F44" s="143">
        <f>'Policy decisions'!C38</f>
        <v>0.1</v>
      </c>
      <c r="G44" s="58"/>
      <c r="H44" s="2">
        <v>0.2</v>
      </c>
      <c r="I44" s="2"/>
      <c r="K44">
        <f>ROUND($F44*(1+$H44)*'Income Model'!E58,0)</f>
        <v>20616</v>
      </c>
      <c r="L44">
        <f>ROUND($F44*(1+$H44)*'Income Model'!F58,0)</f>
        <v>34934</v>
      </c>
      <c r="M44">
        <f>ROUND($F44*(1+$H44)*'Income Model'!G58,0)</f>
        <v>40642</v>
      </c>
      <c r="N44">
        <f>ROUND($F44*(1+$H44)*'Income Model'!H58,0)</f>
        <v>42298</v>
      </c>
      <c r="O44">
        <f>ROUND($F44*(1+$H44)*'Income Model'!I58,0)</f>
        <v>22626</v>
      </c>
      <c r="Q44" t="s">
        <v>147</v>
      </c>
    </row>
    <row r="45" spans="2:20" x14ac:dyDescent="0.2">
      <c r="G45" s="149"/>
      <c r="Q45" t="s">
        <v>148</v>
      </c>
    </row>
    <row r="46" spans="2:20" x14ac:dyDescent="0.2">
      <c r="B46" s="24" t="s">
        <v>60</v>
      </c>
      <c r="G46" s="149"/>
      <c r="H46" t="s">
        <v>57</v>
      </c>
    </row>
    <row r="47" spans="2:20" x14ac:dyDescent="0.2">
      <c r="B47" s="24" t="s">
        <v>63</v>
      </c>
      <c r="G47" s="149"/>
    </row>
    <row r="48" spans="2:20" x14ac:dyDescent="0.2">
      <c r="D48" t="s">
        <v>167</v>
      </c>
      <c r="G48" s="158">
        <v>500</v>
      </c>
      <c r="H48" t="s">
        <v>57</v>
      </c>
      <c r="K48">
        <f>ROUND($G48*('Income Model'!E74+'Income Model'!E83),0)</f>
        <v>12500</v>
      </c>
      <c r="L48">
        <f>ROUND($G48*('Income Model'!F74+'Income Model'!F83),0)</f>
        <v>23875</v>
      </c>
      <c r="M48">
        <f>ROUND($G48*('Income Model'!G74+'Income Model'!G83),0)</f>
        <v>35685</v>
      </c>
      <c r="N48">
        <f>ROUND($G48*('Income Model'!H74+'Income Model'!H83),0)</f>
        <v>33905</v>
      </c>
      <c r="O48">
        <f>ROUND($G48*('Income Model'!I74+'Income Model'!I83),0)</f>
        <v>22030</v>
      </c>
      <c r="Q48" t="s">
        <v>163</v>
      </c>
    </row>
    <row r="49" spans="3:17" x14ac:dyDescent="0.2">
      <c r="C49" t="s">
        <v>62</v>
      </c>
      <c r="D49" t="s">
        <v>151</v>
      </c>
      <c r="F49" s="144" t="s">
        <v>203</v>
      </c>
      <c r="G49" s="158">
        <v>0</v>
      </c>
      <c r="H49" t="s">
        <v>57</v>
      </c>
      <c r="K49">
        <f ca="1">IF((K48+K50)&gt;0,0,$G49*'Income Model'!E$90*'Policy decisions'!C$26)</f>
        <v>0</v>
      </c>
      <c r="L49">
        <f ca="1">IF((L48+L50)&gt;0,0,$G49*'Income Model'!F$90*'Policy decisions'!D$26)</f>
        <v>0</v>
      </c>
      <c r="M49">
        <f ca="1">IF((M48+M50)&gt;0,0,$G49*'Income Model'!G$90*'Policy decisions'!E$26)</f>
        <v>0</v>
      </c>
      <c r="N49">
        <f ca="1">IF((N48+N50)&gt;0,0,$G49*'Income Model'!H$90*'Policy decisions'!F$26)</f>
        <v>0</v>
      </c>
      <c r="O49">
        <f ca="1">IF((O48+O50)&gt;0,0,$G49*'Income Model'!I$90*'Policy decisions'!G$26)</f>
        <v>0</v>
      </c>
      <c r="Q49" t="s">
        <v>164</v>
      </c>
    </row>
    <row r="50" spans="3:17" x14ac:dyDescent="0.2">
      <c r="C50" t="s">
        <v>62</v>
      </c>
      <c r="D50" t="s">
        <v>61</v>
      </c>
      <c r="F50" s="143">
        <f>'Policy decisions'!C40</f>
        <v>0</v>
      </c>
      <c r="G50" s="149"/>
      <c r="H50" t="s">
        <v>57</v>
      </c>
      <c r="K50">
        <f ca="1">IF(((K49+K48)&gt;1),0,$F50*('Income Model'!E99+'Income Model'!E108))</f>
        <v>0</v>
      </c>
      <c r="L50">
        <f ca="1">IF(((L49+L48)&gt;1),0,$F50*('Income Model'!F99+'Income Model'!F108))</f>
        <v>0</v>
      </c>
      <c r="M50">
        <f ca="1">IF(((M49+M48)&gt;1),0,$F50*('Income Model'!G99+'Income Model'!G108))</f>
        <v>0</v>
      </c>
      <c r="N50">
        <f ca="1">IF(((N49+N48)&gt;1),0,$F50*('Income Model'!H99+'Income Model'!H108))</f>
        <v>0</v>
      </c>
      <c r="O50">
        <f ca="1">IF(((O49+O48)&gt;1),0,$F50*('Income Model'!I99+'Income Model'!I108))</f>
        <v>0</v>
      </c>
      <c r="Q50" t="s">
        <v>163</v>
      </c>
    </row>
    <row r="56" spans="3:17" x14ac:dyDescent="0.2">
      <c r="F56" s="58"/>
    </row>
    <row r="57" spans="3:17" x14ac:dyDescent="0.2">
      <c r="F57" s="58"/>
    </row>
    <row r="58" spans="3:17" x14ac:dyDescent="0.2">
      <c r="F58" s="58"/>
    </row>
    <row r="59" spans="3:17" x14ac:dyDescent="0.2">
      <c r="F59" s="58"/>
    </row>
    <row r="60" spans="3:17" x14ac:dyDescent="0.2">
      <c r="F60" s="58"/>
    </row>
    <row r="61" spans="3:17" x14ac:dyDescent="0.2">
      <c r="F61" s="58"/>
    </row>
  </sheetData>
  <sheetProtection sheet="1" objects="1" scenarios="1" selectLockedCells="1"/>
  <phoneticPr fontId="1" type="noConversion"/>
  <printOptions gridLines="1"/>
  <pageMargins left="0.25" right="0.25" top="0.75" bottom="0.75" header="0.3" footer="0.3"/>
  <pageSetup paperSize="9"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  <pageSetUpPr fitToPage="1"/>
  </sheetPr>
  <dimension ref="A1:U136"/>
  <sheetViews>
    <sheetView topLeftCell="F1" workbookViewId="0">
      <selection activeCell="F30" sqref="F30"/>
    </sheetView>
  </sheetViews>
  <sheetFormatPr defaultRowHeight="12.75" x14ac:dyDescent="0.2"/>
  <cols>
    <col min="2" max="2" width="23.42578125" customWidth="1"/>
    <col min="3" max="3" width="20" customWidth="1"/>
    <col min="4" max="4" width="24.85546875" customWidth="1"/>
    <col min="5" max="5" width="12.85546875" customWidth="1"/>
    <col min="7" max="7" width="16.7109375" customWidth="1"/>
    <col min="8" max="8" width="10.7109375" customWidth="1"/>
    <col min="10" max="10" width="11.5703125" customWidth="1"/>
    <col min="11" max="11" width="13.140625" customWidth="1"/>
  </cols>
  <sheetData>
    <row r="1" spans="1:10" ht="38.25" x14ac:dyDescent="0.2">
      <c r="C1" t="s">
        <v>65</v>
      </c>
      <c r="D1" s="24" t="s">
        <v>32</v>
      </c>
      <c r="E1" s="24" t="s">
        <v>30</v>
      </c>
      <c r="F1" s="24" t="s">
        <v>31</v>
      </c>
      <c r="G1" s="24" t="s">
        <v>33</v>
      </c>
      <c r="H1" s="33" t="s">
        <v>34</v>
      </c>
      <c r="I1" s="24" t="s">
        <v>35</v>
      </c>
    </row>
    <row r="2" spans="1:10" s="34" customFormat="1" x14ac:dyDescent="0.2">
      <c r="C2" s="34" t="s">
        <v>71</v>
      </c>
      <c r="D2" s="184"/>
      <c r="F2" s="35">
        <f>0.16+0.12</f>
        <v>0.28000000000000003</v>
      </c>
      <c r="I2" s="34">
        <v>7.5</v>
      </c>
      <c r="J2" s="34" t="s">
        <v>36</v>
      </c>
    </row>
    <row r="3" spans="1:10" s="34" customFormat="1" x14ac:dyDescent="0.2">
      <c r="D3" s="184"/>
      <c r="F3" s="35"/>
    </row>
    <row r="4" spans="1:10" s="34" customFormat="1" x14ac:dyDescent="0.2">
      <c r="A4" s="34" t="s">
        <v>81</v>
      </c>
      <c r="D4" s="184"/>
      <c r="F4" s="35"/>
    </row>
    <row r="5" spans="1:10" x14ac:dyDescent="0.2">
      <c r="A5" t="s">
        <v>25</v>
      </c>
      <c r="D5" s="149"/>
      <c r="F5">
        <f>E5*F$2</f>
        <v>0</v>
      </c>
      <c r="G5">
        <f>E5+F5</f>
        <v>0</v>
      </c>
      <c r="H5">
        <f>((52-8)*5)</f>
        <v>220</v>
      </c>
      <c r="I5">
        <f>G5/H5/I$2</f>
        <v>0</v>
      </c>
    </row>
    <row r="6" spans="1:10" x14ac:dyDescent="0.2">
      <c r="D6" s="149"/>
    </row>
    <row r="7" spans="1:10" x14ac:dyDescent="0.2">
      <c r="A7" t="s">
        <v>26</v>
      </c>
      <c r="D7" s="149"/>
    </row>
    <row r="8" spans="1:10" x14ac:dyDescent="0.2">
      <c r="B8" t="s">
        <v>66</v>
      </c>
      <c r="C8" t="s">
        <v>67</v>
      </c>
      <c r="D8" s="158">
        <v>28</v>
      </c>
      <c r="E8">
        <f>VLOOKUP(D8,'Pay Source data'!$A$1:$B$58,2,FALSE)</f>
        <v>28401</v>
      </c>
      <c r="F8">
        <f>E8*F$2</f>
        <v>7952.2800000000007</v>
      </c>
      <c r="G8">
        <f>E8+F8</f>
        <v>36353.279999999999</v>
      </c>
      <c r="H8">
        <f>((52-8)*5)</f>
        <v>220</v>
      </c>
      <c r="I8">
        <f>ROUND(G8/H8/I$2,2)</f>
        <v>22.03</v>
      </c>
    </row>
    <row r="9" spans="1:10" x14ac:dyDescent="0.2">
      <c r="B9" t="s">
        <v>29</v>
      </c>
      <c r="C9" t="s">
        <v>68</v>
      </c>
      <c r="D9" s="158">
        <v>35</v>
      </c>
      <c r="E9">
        <f>VLOOKUP(D9,'Pay Source data'!$A$1:$B$58,2,FALSE)</f>
        <v>33884</v>
      </c>
      <c r="F9">
        <f>E9*F$2</f>
        <v>9487.52</v>
      </c>
      <c r="G9">
        <f>E9+F9</f>
        <v>43371.520000000004</v>
      </c>
      <c r="H9">
        <f>((52-8)*5)</f>
        <v>220</v>
      </c>
      <c r="I9">
        <f>ROUND(G9/H9/I$2,2)</f>
        <v>26.29</v>
      </c>
    </row>
    <row r="10" spans="1:10" x14ac:dyDescent="0.2">
      <c r="B10" t="s">
        <v>40</v>
      </c>
      <c r="C10" t="s">
        <v>69</v>
      </c>
      <c r="D10" s="158">
        <v>40</v>
      </c>
      <c r="E10">
        <f>VLOOKUP(D10,'Pay Source data'!$A$1:$B$58,2,FALSE)</f>
        <v>40430</v>
      </c>
      <c r="F10">
        <f>E10*F$2</f>
        <v>11320.400000000001</v>
      </c>
      <c r="G10">
        <f>E10+F10</f>
        <v>51750.400000000001</v>
      </c>
      <c r="H10">
        <f>((52-8)*5)-10</f>
        <v>210</v>
      </c>
      <c r="I10">
        <f>ROUND(G10/H10/I$2,2)</f>
        <v>32.86</v>
      </c>
    </row>
    <row r="11" spans="1:10" x14ac:dyDescent="0.2">
      <c r="B11" t="s">
        <v>27</v>
      </c>
      <c r="C11" t="s">
        <v>70</v>
      </c>
      <c r="D11" s="158">
        <v>45</v>
      </c>
      <c r="E11">
        <f>VLOOKUP(D11,'Pay Source data'!$A$1:$B$58,2,FALSE)</f>
        <v>46846</v>
      </c>
      <c r="F11">
        <f>E11*F$2</f>
        <v>13116.880000000001</v>
      </c>
      <c r="G11">
        <f>E11+F11</f>
        <v>59962.880000000005</v>
      </c>
      <c r="H11">
        <f>((52-8)*5)-20</f>
        <v>200</v>
      </c>
      <c r="I11">
        <f>ROUND(G11/H11/I$2,2)</f>
        <v>39.979999999999997</v>
      </c>
    </row>
    <row r="12" spans="1:10" x14ac:dyDescent="0.2">
      <c r="B12" t="s">
        <v>28</v>
      </c>
      <c r="C12" t="s">
        <v>76</v>
      </c>
      <c r="D12" s="158">
        <v>18</v>
      </c>
      <c r="E12">
        <f>VLOOKUP(D12,'Pay Source data'!$A$63:$B$81,2,FALSE)</f>
        <v>93000</v>
      </c>
      <c r="F12">
        <f>E12*F$2</f>
        <v>26040.000000000004</v>
      </c>
      <c r="G12">
        <f>E12+F12</f>
        <v>119040</v>
      </c>
      <c r="H12">
        <f>((52-8)*5)-25</f>
        <v>195</v>
      </c>
      <c r="I12">
        <f>ROUND(G12/H12/I$2,2)</f>
        <v>81.39</v>
      </c>
    </row>
    <row r="13" spans="1:10" x14ac:dyDescent="0.2">
      <c r="A13" t="s">
        <v>214</v>
      </c>
      <c r="D13" s="149"/>
    </row>
    <row r="14" spans="1:10" x14ac:dyDescent="0.2">
      <c r="B14" t="s">
        <v>215</v>
      </c>
      <c r="C14" t="s">
        <v>218</v>
      </c>
      <c r="D14" s="185">
        <v>16</v>
      </c>
      <c r="E14">
        <f>VLOOKUP(D14,'Pay Source data'!$A$1:$B$58,2,FALSE)</f>
        <v>19972</v>
      </c>
      <c r="F14">
        <f>E14*F$2</f>
        <v>5592.1600000000008</v>
      </c>
      <c r="G14">
        <f>E14+F14</f>
        <v>25564.16</v>
      </c>
      <c r="H14">
        <v>220</v>
      </c>
      <c r="I14">
        <f>ROUND(G14/H14/I$2,2)</f>
        <v>15.49</v>
      </c>
    </row>
    <row r="15" spans="1:10" x14ac:dyDescent="0.2">
      <c r="B15" t="s">
        <v>216</v>
      </c>
      <c r="C15" t="s">
        <v>219</v>
      </c>
      <c r="D15" s="185">
        <v>30</v>
      </c>
      <c r="E15">
        <f>VLOOKUP(D15,'Pay Source data'!$A$1:$B$58,2,FALSE)</f>
        <v>30122</v>
      </c>
      <c r="F15">
        <f>E15*F$2</f>
        <v>8434.1600000000017</v>
      </c>
      <c r="G15">
        <f>E15+F15</f>
        <v>38556.160000000003</v>
      </c>
      <c r="H15">
        <v>220</v>
      </c>
      <c r="I15">
        <f>ROUND(G15/H15/I$2,2)</f>
        <v>23.37</v>
      </c>
    </row>
    <row r="16" spans="1:10" x14ac:dyDescent="0.2">
      <c r="B16" t="s">
        <v>217</v>
      </c>
      <c r="C16" t="s">
        <v>220</v>
      </c>
      <c r="D16" s="185">
        <v>51</v>
      </c>
      <c r="E16">
        <f>VLOOKUP(D16,'Pay Source data'!$A$1:$B$58,2,FALSE)</f>
        <v>55908</v>
      </c>
      <c r="F16">
        <f>E16*F$2</f>
        <v>15654.240000000002</v>
      </c>
      <c r="G16">
        <f>E16+F16</f>
        <v>71562.240000000005</v>
      </c>
      <c r="H16">
        <v>220</v>
      </c>
      <c r="I16">
        <f>ROUND(G16/H16/I$2,2)</f>
        <v>43.37</v>
      </c>
    </row>
    <row r="17" spans="1:21" ht="13.5" thickBot="1" x14ac:dyDescent="0.25">
      <c r="D17" s="149"/>
      <c r="Q17" t="s">
        <v>94</v>
      </c>
    </row>
    <row r="18" spans="1:21" x14ac:dyDescent="0.2">
      <c r="A18" s="59"/>
      <c r="B18" s="60"/>
      <c r="C18" s="60"/>
      <c r="D18" s="186"/>
      <c r="E18" s="60"/>
      <c r="F18" s="60"/>
      <c r="G18" s="60"/>
      <c r="H18" s="60"/>
      <c r="I18" s="60"/>
      <c r="J18" s="60"/>
      <c r="K18" s="60"/>
      <c r="L18" s="81"/>
      <c r="M18" s="5"/>
      <c r="N18" s="6"/>
      <c r="O18" s="5"/>
      <c r="P18" s="6"/>
      <c r="Q18" s="84">
        <v>0.02</v>
      </c>
      <c r="R18" s="84">
        <v>0.03</v>
      </c>
      <c r="S18" s="84">
        <v>0.02</v>
      </c>
    </row>
    <row r="19" spans="1:21" x14ac:dyDescent="0.2">
      <c r="A19" s="61" t="s">
        <v>80</v>
      </c>
      <c r="B19" s="62"/>
      <c r="C19" s="8"/>
      <c r="D19" s="165"/>
      <c r="E19" s="8"/>
      <c r="F19" s="8"/>
      <c r="G19" s="8"/>
      <c r="H19" s="8"/>
      <c r="I19" s="8"/>
      <c r="J19" s="8"/>
      <c r="K19" s="8"/>
      <c r="L19" s="7"/>
      <c r="M19" s="8"/>
      <c r="N19" s="8"/>
      <c r="O19" s="8"/>
      <c r="P19" s="9"/>
      <c r="Q19" s="5"/>
      <c r="R19" s="5"/>
      <c r="S19" s="5"/>
      <c r="T19" s="81"/>
      <c r="U19" s="6"/>
    </row>
    <row r="20" spans="1:21" ht="38.25" x14ac:dyDescent="0.2">
      <c r="C20" t="s">
        <v>65</v>
      </c>
      <c r="D20" s="150" t="s">
        <v>32</v>
      </c>
      <c r="E20" s="24" t="s">
        <v>30</v>
      </c>
      <c r="F20" s="24" t="s">
        <v>31</v>
      </c>
      <c r="G20" s="24" t="s">
        <v>33</v>
      </c>
      <c r="H20" s="33" t="s">
        <v>34</v>
      </c>
      <c r="I20" s="33" t="s">
        <v>35</v>
      </c>
      <c r="J20" s="24" t="s">
        <v>83</v>
      </c>
      <c r="K20" s="28" t="s">
        <v>89</v>
      </c>
      <c r="L20" s="82" t="s">
        <v>90</v>
      </c>
      <c r="M20" s="82" t="s">
        <v>91</v>
      </c>
      <c r="N20" s="82" t="s">
        <v>92</v>
      </c>
      <c r="O20" s="82" t="s">
        <v>145</v>
      </c>
      <c r="P20" s="125" t="s">
        <v>146</v>
      </c>
      <c r="Q20" s="83" t="s">
        <v>93</v>
      </c>
      <c r="R20" s="83" t="s">
        <v>141</v>
      </c>
      <c r="S20" s="83" t="s">
        <v>142</v>
      </c>
      <c r="T20" s="85" t="s">
        <v>143</v>
      </c>
      <c r="U20" s="86" t="s">
        <v>144</v>
      </c>
    </row>
    <row r="21" spans="1:21" ht="25.5" x14ac:dyDescent="0.2">
      <c r="A21" s="34"/>
      <c r="B21" s="34"/>
      <c r="C21" s="34" t="s">
        <v>71</v>
      </c>
      <c r="D21" s="184"/>
      <c r="E21" s="34"/>
      <c r="F21" s="35">
        <f>0.16+0.12</f>
        <v>0.28000000000000003</v>
      </c>
      <c r="G21" s="34"/>
      <c r="H21" s="34"/>
      <c r="I21" s="74" t="s">
        <v>84</v>
      </c>
      <c r="J21" s="34" t="str">
        <f>K21</f>
        <v>2012-13</v>
      </c>
      <c r="K21" s="8" t="str">
        <f>'Policy decisions'!B8</f>
        <v>2012-13</v>
      </c>
      <c r="L21" s="10" t="str">
        <f>'Policy decisions'!C8</f>
        <v>2013-14</v>
      </c>
      <c r="M21" s="10" t="str">
        <f>'Policy decisions'!D8</f>
        <v>2014-15</v>
      </c>
      <c r="N21" s="10" t="str">
        <f>'Policy decisions'!E8</f>
        <v>2015-16</v>
      </c>
      <c r="O21" s="10" t="str">
        <f>'Policy decisions'!F8</f>
        <v>2016-17</v>
      </c>
      <c r="P21" s="10" t="str">
        <f>'Policy decisions'!G8</f>
        <v>2017-18</v>
      </c>
      <c r="Q21" s="11" t="str">
        <f>L21</f>
        <v>2013-14</v>
      </c>
      <c r="R21" s="11" t="str">
        <f>M21</f>
        <v>2014-15</v>
      </c>
      <c r="S21" s="11" t="str">
        <f>N21</f>
        <v>2015-16</v>
      </c>
      <c r="T21" s="11" t="str">
        <f>O21</f>
        <v>2016-17</v>
      </c>
      <c r="U21" s="11" t="str">
        <f>P21</f>
        <v>2017-18</v>
      </c>
    </row>
    <row r="22" spans="1:21" x14ac:dyDescent="0.2">
      <c r="A22" s="75" t="s">
        <v>17</v>
      </c>
      <c r="B22" s="5"/>
      <c r="C22" s="5"/>
      <c r="D22" s="161"/>
      <c r="E22" s="5"/>
      <c r="F22" s="5"/>
      <c r="G22" s="5"/>
      <c r="H22" s="5"/>
      <c r="I22" s="5"/>
      <c r="J22" s="161"/>
      <c r="K22" s="6"/>
      <c r="L22" s="81"/>
      <c r="M22" s="5"/>
      <c r="N22" s="5"/>
      <c r="O22" s="5"/>
      <c r="P22" s="5"/>
      <c r="Q22" s="5"/>
      <c r="R22" s="5"/>
      <c r="S22" s="5"/>
      <c r="T22" s="8"/>
    </row>
    <row r="23" spans="1:21" x14ac:dyDescent="0.2">
      <c r="A23" s="7"/>
      <c r="B23" s="8"/>
      <c r="C23" s="8"/>
      <c r="D23" s="165"/>
      <c r="E23" s="8"/>
      <c r="F23" s="8"/>
      <c r="G23" s="8"/>
      <c r="H23" s="8"/>
      <c r="I23" s="8"/>
      <c r="J23" s="165"/>
      <c r="K23" s="9"/>
      <c r="L23" s="7"/>
      <c r="M23" s="8"/>
      <c r="N23" s="8"/>
      <c r="O23" s="8"/>
      <c r="P23" s="8"/>
      <c r="Q23" s="8"/>
      <c r="R23" s="8"/>
      <c r="S23" s="8"/>
      <c r="T23" s="8"/>
    </row>
    <row r="24" spans="1:21" x14ac:dyDescent="0.2">
      <c r="A24" s="7" t="s">
        <v>25</v>
      </c>
      <c r="B24" s="8"/>
      <c r="C24" s="8"/>
      <c r="D24" s="165"/>
      <c r="E24" s="8"/>
      <c r="F24" s="8">
        <f>E24*F$2</f>
        <v>0</v>
      </c>
      <c r="G24" s="8">
        <f>E24+F24</f>
        <v>0</v>
      </c>
      <c r="H24" s="8">
        <f>((52-8)*5)</f>
        <v>220</v>
      </c>
      <c r="I24" s="98">
        <f>'Pay Source data'!I93</f>
        <v>44.47</v>
      </c>
      <c r="J24" s="175"/>
      <c r="K24" s="9">
        <f>ROUND(J24*I24,0)</f>
        <v>0</v>
      </c>
      <c r="L24" s="189">
        <v>20</v>
      </c>
      <c r="M24" s="175">
        <v>20</v>
      </c>
      <c r="N24" s="175">
        <v>20</v>
      </c>
      <c r="O24" s="175">
        <v>60</v>
      </c>
      <c r="P24" s="175">
        <v>10</v>
      </c>
      <c r="Q24" s="8">
        <f>ROUND($I24*'Policy decisions'!C$24*(L24),0)</f>
        <v>907</v>
      </c>
      <c r="R24" s="8">
        <f>ROUND($I24*'Policy decisions'!D$24*(M24),0)</f>
        <v>925</v>
      </c>
      <c r="S24" s="8">
        <f>ROUND($I24*'Policy decisions'!E$24*(N24),0)</f>
        <v>944</v>
      </c>
      <c r="T24" s="8">
        <f>ROUND($I24*'Policy decisions'!F$24*(O24),0)</f>
        <v>2888</v>
      </c>
      <c r="U24" s="8">
        <f>ROUND($I24*'Policy decisions'!G$24*(P24),0)</f>
        <v>491</v>
      </c>
    </row>
    <row r="25" spans="1:21" x14ac:dyDescent="0.2">
      <c r="A25" s="7"/>
      <c r="B25" s="8"/>
      <c r="C25" s="8"/>
      <c r="D25" s="165"/>
      <c r="E25" s="8"/>
      <c r="F25" s="8"/>
      <c r="G25" s="8"/>
      <c r="H25" s="8"/>
      <c r="I25" s="8"/>
      <c r="J25" s="165"/>
      <c r="K25" s="9"/>
      <c r="L25" s="189"/>
      <c r="M25" s="175"/>
      <c r="N25" s="175"/>
      <c r="O25" s="175"/>
      <c r="P25" s="175"/>
      <c r="Q25" s="8"/>
      <c r="R25" s="8"/>
      <c r="S25" s="8"/>
      <c r="T25" s="8"/>
    </row>
    <row r="26" spans="1:21" x14ac:dyDescent="0.2">
      <c r="A26" s="76" t="s">
        <v>26</v>
      </c>
      <c r="B26" s="8"/>
      <c r="C26" s="8"/>
      <c r="D26" s="165"/>
      <c r="E26" s="8"/>
      <c r="F26" s="8"/>
      <c r="G26" s="8"/>
      <c r="H26" s="8"/>
      <c r="I26" s="8"/>
      <c r="J26" s="165"/>
      <c r="K26" s="9"/>
      <c r="L26" s="189"/>
      <c r="M26" s="175"/>
      <c r="N26" s="175"/>
      <c r="O26" s="175"/>
      <c r="P26" s="175"/>
      <c r="Q26" s="8"/>
      <c r="R26" s="8"/>
      <c r="S26" s="8"/>
      <c r="T26" s="8"/>
    </row>
    <row r="27" spans="1:21" x14ac:dyDescent="0.2">
      <c r="A27" s="7"/>
      <c r="B27" s="8" t="s">
        <v>66</v>
      </c>
      <c r="C27" s="8" t="s">
        <v>67</v>
      </c>
      <c r="D27" s="175">
        <v>28</v>
      </c>
      <c r="E27" s="8">
        <f>VLOOKUP(D27,'Pay Source data'!$A$1:$B$58,2,FALSE)</f>
        <v>28401</v>
      </c>
      <c r="F27" s="8">
        <f>E27*F$2</f>
        <v>7952.2800000000007</v>
      </c>
      <c r="G27" s="8">
        <f>E27+F27</f>
        <v>36353.279999999999</v>
      </c>
      <c r="H27" s="8">
        <f>((52-8)*5)</f>
        <v>220</v>
      </c>
      <c r="I27" s="8">
        <f>ROUND(G27/H27/I$2,2)</f>
        <v>22.03</v>
      </c>
      <c r="J27" s="175">
        <v>10</v>
      </c>
      <c r="K27" s="9">
        <f>ROUND(J27*I27,0)</f>
        <v>220</v>
      </c>
      <c r="L27" s="189">
        <v>50</v>
      </c>
      <c r="M27" s="175"/>
      <c r="N27" s="175"/>
      <c r="O27" s="175"/>
      <c r="P27" s="175"/>
      <c r="Q27" s="8">
        <f>ROUND($I27*'Policy decisions'!C$24*(L27),0)</f>
        <v>1124</v>
      </c>
      <c r="R27" s="8">
        <f>ROUND($I27*'Policy decisions'!D$24*(M27),0)</f>
        <v>0</v>
      </c>
      <c r="S27" s="8">
        <f>ROUND($I27*'Policy decisions'!E$24*(N27),0)</f>
        <v>0</v>
      </c>
      <c r="T27" s="8">
        <f>ROUND($I27*'Policy decisions'!F$24*(O27),0)</f>
        <v>0</v>
      </c>
      <c r="U27" s="8">
        <f>ROUND($I27*'Policy decisions'!G$24*(P27),0)</f>
        <v>0</v>
      </c>
    </row>
    <row r="28" spans="1:21" x14ac:dyDescent="0.2">
      <c r="A28" s="7"/>
      <c r="B28" s="8" t="s">
        <v>29</v>
      </c>
      <c r="C28" s="8" t="s">
        <v>68</v>
      </c>
      <c r="D28" s="175">
        <v>35</v>
      </c>
      <c r="E28" s="8">
        <f>VLOOKUP(D28,'Pay Source data'!$A$1:$B$58,2,FALSE)</f>
        <v>33884</v>
      </c>
      <c r="F28" s="8">
        <f>E28*F$2</f>
        <v>9487.52</v>
      </c>
      <c r="G28" s="8">
        <f>E28+F28</f>
        <v>43371.520000000004</v>
      </c>
      <c r="H28" s="8">
        <f>((52-8)*5)</f>
        <v>220</v>
      </c>
      <c r="I28" s="8">
        <f>ROUND(G28/H28/I$2,2)</f>
        <v>26.29</v>
      </c>
      <c r="J28" s="175"/>
      <c r="K28" s="9">
        <f>ROUND(J28*I28,0)</f>
        <v>0</v>
      </c>
      <c r="L28" s="189"/>
      <c r="M28" s="175"/>
      <c r="N28" s="175"/>
      <c r="O28" s="175"/>
      <c r="P28" s="175"/>
      <c r="Q28" s="8">
        <f>ROUND($I28*'Policy decisions'!C$24*(L28),0)</f>
        <v>0</v>
      </c>
      <c r="R28" s="8">
        <f>ROUND($I28*'Policy decisions'!D$24*(M28),0)</f>
        <v>0</v>
      </c>
      <c r="S28" s="8">
        <f>ROUND($I28*'Policy decisions'!E$24*(N28),0)</f>
        <v>0</v>
      </c>
      <c r="T28" s="8">
        <f>ROUND($I28*'Policy decisions'!F$24*(O28),0)</f>
        <v>0</v>
      </c>
      <c r="U28" s="8">
        <f>ROUND($I28*'Policy decisions'!G$24*(P28),0)</f>
        <v>0</v>
      </c>
    </row>
    <row r="29" spans="1:21" x14ac:dyDescent="0.2">
      <c r="A29" s="7"/>
      <c r="B29" s="8" t="s">
        <v>40</v>
      </c>
      <c r="C29" s="8" t="s">
        <v>69</v>
      </c>
      <c r="D29" s="175">
        <v>40</v>
      </c>
      <c r="E29" s="8">
        <f>VLOOKUP(D29,'Pay Source data'!$A$1:$B$58,2,FALSE)</f>
        <v>40430</v>
      </c>
      <c r="F29" s="8">
        <f>E29*F$2</f>
        <v>11320.400000000001</v>
      </c>
      <c r="G29" s="8">
        <f>E29+F29</f>
        <v>51750.400000000001</v>
      </c>
      <c r="H29" s="8">
        <f>((52-8)*5)-10</f>
        <v>210</v>
      </c>
      <c r="I29" s="8">
        <f>ROUND(G29/H29/I$2,2)</f>
        <v>32.86</v>
      </c>
      <c r="J29" s="175">
        <v>30</v>
      </c>
      <c r="K29" s="9">
        <f>ROUND(J29*I29,0)</f>
        <v>986</v>
      </c>
      <c r="L29" s="189"/>
      <c r="M29" s="175"/>
      <c r="N29" s="175">
        <v>10</v>
      </c>
      <c r="O29" s="175"/>
      <c r="P29" s="175"/>
      <c r="Q29" s="8">
        <f>ROUND($I29*'Policy decisions'!C$24*(L29),0)</f>
        <v>0</v>
      </c>
      <c r="R29" s="8">
        <f>ROUND($I29*'Policy decisions'!D$24*(M29),0)</f>
        <v>0</v>
      </c>
      <c r="S29" s="8">
        <f>ROUND($I29*'Policy decisions'!E$24*(N29),0)</f>
        <v>349</v>
      </c>
      <c r="T29" s="8">
        <f>ROUND($I29*'Policy decisions'!F$24*(O29),0)</f>
        <v>0</v>
      </c>
      <c r="U29" s="8">
        <f>ROUND($I29*'Policy decisions'!G$24*(P29),0)</f>
        <v>0</v>
      </c>
    </row>
    <row r="30" spans="1:21" x14ac:dyDescent="0.2">
      <c r="A30" s="7"/>
      <c r="B30" s="8" t="s">
        <v>27</v>
      </c>
      <c r="C30" s="8" t="s">
        <v>70</v>
      </c>
      <c r="D30" s="175">
        <v>55</v>
      </c>
      <c r="E30" s="8">
        <f>VLOOKUP(D30,'Pay Source data'!$A$1:$B$58,2,FALSE)</f>
        <v>62905.02</v>
      </c>
      <c r="F30" s="8">
        <f>E30*F$2</f>
        <v>17613.405600000002</v>
      </c>
      <c r="G30" s="8">
        <f>E30+F30</f>
        <v>80518.425600000002</v>
      </c>
      <c r="H30" s="8">
        <f>((52-8)*5)-20</f>
        <v>200</v>
      </c>
      <c r="I30" s="8">
        <f>ROUND(G30/H30/I$2,2)</f>
        <v>53.68</v>
      </c>
      <c r="J30" s="175">
        <v>40</v>
      </c>
      <c r="K30" s="9">
        <f>ROUND(J30*I30,0)</f>
        <v>2147</v>
      </c>
      <c r="L30" s="189">
        <v>30</v>
      </c>
      <c r="M30" s="175">
        <v>30</v>
      </c>
      <c r="N30" s="175"/>
      <c r="O30" s="175"/>
      <c r="P30" s="175"/>
      <c r="Q30" s="8">
        <f>ROUND($I30*'Policy decisions'!C$24*(L30),0)</f>
        <v>1643</v>
      </c>
      <c r="R30" s="8">
        <f>ROUND($I30*'Policy decisions'!D$24*(M30),0)</f>
        <v>1675</v>
      </c>
      <c r="S30" s="8">
        <f>ROUND($I30*'Policy decisions'!E$24*(N30),0)</f>
        <v>0</v>
      </c>
      <c r="T30" s="8">
        <f>ROUND($I30*'Policy decisions'!F$24*(O30),0)</f>
        <v>0</v>
      </c>
      <c r="U30" s="8">
        <f>ROUND($I30*'Policy decisions'!G$24*(P30),0)</f>
        <v>0</v>
      </c>
    </row>
    <row r="31" spans="1:21" x14ac:dyDescent="0.2">
      <c r="A31" s="7"/>
      <c r="B31" s="8" t="s">
        <v>28</v>
      </c>
      <c r="C31" s="8" t="s">
        <v>76</v>
      </c>
      <c r="D31" s="175">
        <v>18</v>
      </c>
      <c r="E31" s="8">
        <f>VLOOKUP(D31,'Pay Source data'!$A$63:$B$81,2,FALSE)</f>
        <v>93000</v>
      </c>
      <c r="F31" s="8">
        <f>E31*F$2</f>
        <v>26040.000000000004</v>
      </c>
      <c r="G31" s="8">
        <f>E31+F31</f>
        <v>119040</v>
      </c>
      <c r="H31" s="8">
        <f>((52-8)*5)-25</f>
        <v>195</v>
      </c>
      <c r="I31" s="8">
        <f>ROUND(G31/H31/I$2,2)</f>
        <v>81.39</v>
      </c>
      <c r="J31" s="175">
        <v>20</v>
      </c>
      <c r="K31" s="9">
        <f>ROUND(J31*I31,0)</f>
        <v>1628</v>
      </c>
      <c r="L31" s="189"/>
      <c r="M31" s="175"/>
      <c r="N31" s="175"/>
      <c r="O31" s="175"/>
      <c r="P31" s="175"/>
      <c r="Q31" s="8">
        <f>ROUND($I31*'Policy decisions'!C$24*(L31),0)</f>
        <v>0</v>
      </c>
      <c r="R31" s="8">
        <f>ROUND($I31*'Policy decisions'!D$24*(M31),0)</f>
        <v>0</v>
      </c>
      <c r="S31" s="8">
        <f>ROUND($I31*'Policy decisions'!E$24*(N31),0)</f>
        <v>0</v>
      </c>
      <c r="T31" s="8">
        <f>ROUND($I31*'Policy decisions'!F$24*(O31),0)</f>
        <v>0</v>
      </c>
      <c r="U31" s="8">
        <f>ROUND($I31*'Policy decisions'!G$24*(P31),0)</f>
        <v>0</v>
      </c>
    </row>
    <row r="32" spans="1:21" x14ac:dyDescent="0.2">
      <c r="A32" s="7" t="s">
        <v>221</v>
      </c>
      <c r="B32" s="8"/>
      <c r="C32" s="8"/>
      <c r="D32" s="175"/>
      <c r="E32" s="8"/>
      <c r="F32" s="8"/>
      <c r="G32" s="8"/>
      <c r="H32" s="8"/>
      <c r="I32" s="8"/>
      <c r="J32" s="175"/>
      <c r="K32" s="9"/>
      <c r="L32" s="189"/>
      <c r="M32" s="175"/>
      <c r="N32" s="175"/>
      <c r="O32" s="175"/>
      <c r="P32" s="175"/>
      <c r="Q32" s="8">
        <f>ROUND($I32*'Policy decisions'!C$24*(L32),0)</f>
        <v>0</v>
      </c>
      <c r="R32" s="8">
        <f>ROUND($I32*'Policy decisions'!D$24*(M32),0)</f>
        <v>0</v>
      </c>
      <c r="S32" s="8">
        <f>ROUND($I32*'Policy decisions'!E$24*(N32),0)</f>
        <v>0</v>
      </c>
      <c r="T32" s="8">
        <f>ROUND($I32*'Policy decisions'!F$24*(O32),0)</f>
        <v>0</v>
      </c>
      <c r="U32" s="8">
        <f>ROUND($I32*'Policy decisions'!G$24*(P32),0)</f>
        <v>0</v>
      </c>
    </row>
    <row r="33" spans="1:21" x14ac:dyDescent="0.2">
      <c r="A33" s="7"/>
      <c r="B33" s="8" t="str">
        <f>B14</f>
        <v>Administrator</v>
      </c>
      <c r="C33" s="8" t="str">
        <f t="shared" ref="C33:D33" si="0">C14</f>
        <v>Grade5- 6 (15-21)</v>
      </c>
      <c r="D33" s="187">
        <f t="shared" si="0"/>
        <v>16</v>
      </c>
      <c r="E33" s="8">
        <f>VLOOKUP(D33,'Pay Source data'!$A$1:$B$58,2,FALSE)</f>
        <v>19972</v>
      </c>
      <c r="F33" s="8">
        <f>E33*F$2</f>
        <v>5592.1600000000008</v>
      </c>
      <c r="G33" s="8">
        <f>E33+F33</f>
        <v>25564.16</v>
      </c>
      <c r="H33" s="8">
        <f>((52-8)*5)-10</f>
        <v>210</v>
      </c>
      <c r="I33" s="8">
        <f>ROUND(G33/H33/I$2,2)</f>
        <v>16.23</v>
      </c>
      <c r="J33" s="175">
        <v>20</v>
      </c>
      <c r="K33" s="9">
        <f>ROUND(J33*I33,0)</f>
        <v>325</v>
      </c>
      <c r="L33" s="189">
        <v>5</v>
      </c>
      <c r="M33" s="175"/>
      <c r="N33" s="175"/>
      <c r="O33" s="175"/>
      <c r="P33" s="175"/>
      <c r="Q33" s="8">
        <f>ROUND($I33*'Policy decisions'!C$24*(L33),0)</f>
        <v>83</v>
      </c>
      <c r="R33" s="8">
        <f>ROUND($I33*'Policy decisions'!D$24*(M33),0)</f>
        <v>0</v>
      </c>
      <c r="S33" s="8">
        <f>ROUND($I33*'Policy decisions'!E$24*(N33),0)</f>
        <v>0</v>
      </c>
      <c r="T33" s="8">
        <f>ROUND($I33*'Policy decisions'!F$24*(O33),0)</f>
        <v>0</v>
      </c>
      <c r="U33" s="8">
        <f>ROUND($I33*'Policy decisions'!G$24*(P33),0)</f>
        <v>0</v>
      </c>
    </row>
    <row r="34" spans="1:21" x14ac:dyDescent="0.2">
      <c r="A34" s="7"/>
      <c r="B34" s="8" t="str">
        <f t="shared" ref="B34:D35" si="1">B15</f>
        <v>Senior Administrator</v>
      </c>
      <c r="C34" s="8" t="str">
        <f t="shared" si="1"/>
        <v>Grade7-8 (22-35)</v>
      </c>
      <c r="D34" s="187">
        <f t="shared" si="1"/>
        <v>30</v>
      </c>
      <c r="E34" s="8">
        <f>VLOOKUP(D34,'Pay Source data'!$A$1:$B$58,2,FALSE)</f>
        <v>30122</v>
      </c>
      <c r="F34" s="8">
        <f>E34*F$2</f>
        <v>8434.1600000000017</v>
      </c>
      <c r="G34" s="8">
        <f>E34+F34</f>
        <v>38556.160000000003</v>
      </c>
      <c r="H34" s="8">
        <f>((52-8)*5)-20</f>
        <v>200</v>
      </c>
      <c r="I34" s="8">
        <f>ROUND(G34/H34/I$2,2)</f>
        <v>25.7</v>
      </c>
      <c r="J34" s="175">
        <v>30</v>
      </c>
      <c r="K34" s="9">
        <f>ROUND(J34*I34,0)</f>
        <v>771</v>
      </c>
      <c r="L34" s="189">
        <v>30</v>
      </c>
      <c r="M34" s="175">
        <v>60</v>
      </c>
      <c r="N34" s="175">
        <v>30</v>
      </c>
      <c r="O34" s="175">
        <v>10</v>
      </c>
      <c r="P34" s="175">
        <v>5</v>
      </c>
      <c r="Q34" s="8">
        <f>ROUND($I34*'Policy decisions'!C$24*(L34),0)</f>
        <v>786</v>
      </c>
      <c r="R34" s="8">
        <f>ROUND($I34*'Policy decisions'!D$24*(M34),0)</f>
        <v>1604</v>
      </c>
      <c r="S34" s="8">
        <f>ROUND($I34*'Policy decisions'!E$24*(N34),0)</f>
        <v>818</v>
      </c>
      <c r="T34" s="8">
        <f>ROUND($I34*'Policy decisions'!F$24*(O34),0)</f>
        <v>278</v>
      </c>
      <c r="U34" s="8">
        <f>ROUND($I34*'Policy decisions'!G$24*(P34),0)</f>
        <v>142</v>
      </c>
    </row>
    <row r="35" spans="1:21" x14ac:dyDescent="0.2">
      <c r="A35" s="7"/>
      <c r="B35" s="8" t="str">
        <f t="shared" si="1"/>
        <v xml:space="preserve"> Team Manager</v>
      </c>
      <c r="C35" s="8" t="str">
        <f t="shared" si="1"/>
        <v>Grade  9-10 (36-58)</v>
      </c>
      <c r="D35" s="187">
        <f t="shared" si="1"/>
        <v>51</v>
      </c>
      <c r="E35">
        <f>VLOOKUP(D35,'Pay Source data'!$A$1:$B$58,2,FALSE)</f>
        <v>55908</v>
      </c>
      <c r="F35" s="8">
        <f>E35*F$2</f>
        <v>15654.240000000002</v>
      </c>
      <c r="G35" s="8">
        <f>E35+F35</f>
        <v>71562.240000000005</v>
      </c>
      <c r="H35" s="8">
        <f>((52-8)*5)-25</f>
        <v>195</v>
      </c>
      <c r="I35" s="8">
        <f>ROUND(G35/H35/I$2,2)</f>
        <v>48.93</v>
      </c>
      <c r="J35" s="175">
        <v>10</v>
      </c>
      <c r="K35" s="9">
        <f>ROUND(J35*I35,0)</f>
        <v>489</v>
      </c>
      <c r="L35" s="189">
        <v>20</v>
      </c>
      <c r="M35" s="175"/>
      <c r="N35" s="175"/>
      <c r="O35" s="175"/>
      <c r="P35" s="175"/>
      <c r="Q35" s="8">
        <f>ROUND($I35*'Policy decisions'!C$24*(L35),0)</f>
        <v>998</v>
      </c>
      <c r="R35" s="8">
        <f>ROUND($I35*'Policy decisions'!D$24*(M35),0)</f>
        <v>0</v>
      </c>
      <c r="S35" s="8">
        <f>ROUND($I35*'Policy decisions'!E$24*(N35),0)</f>
        <v>0</v>
      </c>
      <c r="T35" s="8">
        <f>ROUND($I35*'Policy decisions'!F$24*(O35),0)</f>
        <v>0</v>
      </c>
      <c r="U35" s="8">
        <f>ROUND($I35*'Policy decisions'!G$24*(P35),0)</f>
        <v>0</v>
      </c>
    </row>
    <row r="36" spans="1:21" x14ac:dyDescent="0.2">
      <c r="A36" s="77" t="s">
        <v>85</v>
      </c>
      <c r="B36" s="8"/>
      <c r="C36" s="8"/>
      <c r="D36" s="164"/>
      <c r="E36" s="8"/>
      <c r="F36" s="8"/>
      <c r="G36" s="8"/>
      <c r="H36" s="8"/>
      <c r="I36" s="8"/>
      <c r="J36" s="175"/>
      <c r="K36" s="78">
        <f>SUM(K24:K35)</f>
        <v>6566</v>
      </c>
      <c r="L36" s="169"/>
      <c r="M36" s="170"/>
      <c r="N36" s="170"/>
      <c r="O36" s="170"/>
      <c r="P36" s="170"/>
      <c r="Q36" s="87">
        <f>SUM(Q24:Q35)</f>
        <v>5541</v>
      </c>
      <c r="R36" s="87">
        <f>SUM(R24:R35)</f>
        <v>4204</v>
      </c>
      <c r="S36" s="87">
        <f>SUM(S24:S35)</f>
        <v>2111</v>
      </c>
      <c r="T36" s="87">
        <f>SUM(T24:T35)</f>
        <v>3166</v>
      </c>
      <c r="U36" s="87">
        <f>SUM(U24:U35)</f>
        <v>633</v>
      </c>
    </row>
    <row r="37" spans="1:21" x14ac:dyDescent="0.2">
      <c r="A37" s="75" t="s">
        <v>18</v>
      </c>
      <c r="B37" s="5"/>
      <c r="C37" s="5"/>
      <c r="D37" s="161"/>
      <c r="E37" s="5"/>
      <c r="F37" s="5"/>
      <c r="G37" s="5"/>
      <c r="H37" s="5"/>
      <c r="I37" s="5"/>
      <c r="J37" s="161"/>
      <c r="K37" s="6"/>
      <c r="L37" s="150"/>
      <c r="M37" s="150"/>
      <c r="N37" s="150"/>
      <c r="O37" s="150"/>
      <c r="P37" s="150"/>
      <c r="T37" s="8"/>
    </row>
    <row r="38" spans="1:21" x14ac:dyDescent="0.2">
      <c r="A38" s="7" t="s">
        <v>25</v>
      </c>
      <c r="B38" s="8"/>
      <c r="C38" s="8"/>
      <c r="D38" s="165"/>
      <c r="E38" s="8"/>
      <c r="F38" s="8">
        <f>E38*F$2</f>
        <v>0</v>
      </c>
      <c r="G38" s="8">
        <f>E38+F38</f>
        <v>0</v>
      </c>
      <c r="H38" s="8">
        <f>((52-8)*5)</f>
        <v>220</v>
      </c>
      <c r="I38" s="8">
        <f>'Pay Source data'!I93</f>
        <v>44.47</v>
      </c>
      <c r="J38" s="175"/>
      <c r="K38" s="9">
        <f>ROUND(J38*I38,0)</f>
        <v>0</v>
      </c>
      <c r="L38" s="189">
        <v>20</v>
      </c>
      <c r="M38" s="175">
        <v>20</v>
      </c>
      <c r="N38" s="175">
        <v>20</v>
      </c>
      <c r="O38" s="175">
        <v>6</v>
      </c>
      <c r="P38" s="175">
        <v>45</v>
      </c>
      <c r="Q38" s="8">
        <f>ROUND($I38*'Policy decisions'!C$24*(L38),0)</f>
        <v>907</v>
      </c>
      <c r="R38" s="8">
        <f>ROUND($I38*'Policy decisions'!D$24*(M38),0)</f>
        <v>925</v>
      </c>
      <c r="S38" s="8">
        <f>ROUND($I38*'Policy decisions'!E$24*(N38),0)</f>
        <v>944</v>
      </c>
      <c r="T38" s="8">
        <f>ROUND($I38*'Policy decisions'!F$24*(O38),0)</f>
        <v>289</v>
      </c>
      <c r="U38" s="8">
        <f>ROUND($I38*'Policy decisions'!G$24*(P38),0)</f>
        <v>2209</v>
      </c>
    </row>
    <row r="39" spans="1:21" x14ac:dyDescent="0.2">
      <c r="A39" s="7"/>
      <c r="B39" s="8"/>
      <c r="C39" s="8"/>
      <c r="D39" s="165"/>
      <c r="E39" s="8"/>
      <c r="F39" s="8"/>
      <c r="G39" s="8"/>
      <c r="H39" s="8"/>
      <c r="I39" s="8"/>
      <c r="J39" s="165"/>
      <c r="K39" s="9"/>
      <c r="L39" s="189"/>
      <c r="M39" s="175"/>
      <c r="N39" s="175"/>
      <c r="O39" s="175"/>
      <c r="P39" s="175"/>
      <c r="Q39" s="8"/>
      <c r="R39" s="8"/>
      <c r="S39" s="8"/>
      <c r="T39" s="8"/>
    </row>
    <row r="40" spans="1:21" x14ac:dyDescent="0.2">
      <c r="A40" s="7" t="s">
        <v>26</v>
      </c>
      <c r="B40" s="8"/>
      <c r="C40" s="8"/>
      <c r="D40" s="165"/>
      <c r="E40" s="8"/>
      <c r="F40" s="8"/>
      <c r="G40" s="8"/>
      <c r="H40" s="8"/>
      <c r="I40" s="8"/>
      <c r="J40" s="165"/>
      <c r="K40" s="9"/>
      <c r="L40" s="189"/>
      <c r="M40" s="175"/>
      <c r="N40" s="175"/>
      <c r="O40" s="175"/>
      <c r="P40" s="175"/>
      <c r="Q40" s="8"/>
      <c r="R40" s="8"/>
      <c r="S40" s="8"/>
      <c r="T40" s="8"/>
    </row>
    <row r="41" spans="1:21" x14ac:dyDescent="0.2">
      <c r="A41" s="7"/>
      <c r="B41" s="8" t="s">
        <v>66</v>
      </c>
      <c r="C41" s="8" t="s">
        <v>67</v>
      </c>
      <c r="D41" s="175">
        <v>28</v>
      </c>
      <c r="E41" s="8">
        <f>VLOOKUP(D41,'Pay Source data'!$A$1:$B$58,2,FALSE)</f>
        <v>28401</v>
      </c>
      <c r="F41" s="8">
        <f>E41*F$2</f>
        <v>7952.2800000000007</v>
      </c>
      <c r="G41" s="8">
        <f>E41+F41</f>
        <v>36353.279999999999</v>
      </c>
      <c r="H41" s="8">
        <f>((52-8)*5)</f>
        <v>220</v>
      </c>
      <c r="I41" s="8">
        <f>ROUND(G41/H41/I$2,2)</f>
        <v>22.03</v>
      </c>
      <c r="J41" s="175"/>
      <c r="K41" s="9">
        <f>ROUND(J41*I41,0)</f>
        <v>0</v>
      </c>
      <c r="L41" s="189">
        <v>200</v>
      </c>
      <c r="M41" s="175">
        <v>100</v>
      </c>
      <c r="N41" s="175">
        <v>150</v>
      </c>
      <c r="O41" s="175">
        <v>150</v>
      </c>
      <c r="P41" s="175">
        <v>100</v>
      </c>
      <c r="Q41" s="8">
        <f>ROUND($I41*'Policy decisions'!C$24*(L41),0)</f>
        <v>4494</v>
      </c>
      <c r="R41" s="8">
        <f>ROUND($I41*'Policy decisions'!D$24*(M41),0)</f>
        <v>2292</v>
      </c>
      <c r="S41" s="8">
        <f>ROUND($I41*'Policy decisions'!E$24*(N41),0)</f>
        <v>3507</v>
      </c>
      <c r="T41" s="8">
        <f>ROUND($I41*'Policy decisions'!F$24*(O41),0)</f>
        <v>3577</v>
      </c>
      <c r="U41" s="8">
        <f>ROUND($I41*'Policy decisions'!G$24*(P41),0)</f>
        <v>2432</v>
      </c>
    </row>
    <row r="42" spans="1:21" x14ac:dyDescent="0.2">
      <c r="A42" s="7"/>
      <c r="B42" s="8" t="s">
        <v>29</v>
      </c>
      <c r="C42" s="8" t="s">
        <v>68</v>
      </c>
      <c r="D42" s="175">
        <v>35</v>
      </c>
      <c r="E42" s="8">
        <f>VLOOKUP(D42,'Pay Source data'!$A$1:$B$58,2,FALSE)</f>
        <v>33884</v>
      </c>
      <c r="F42" s="8">
        <f>E42*F$2</f>
        <v>9487.52</v>
      </c>
      <c r="G42" s="8">
        <f>E42+F42</f>
        <v>43371.520000000004</v>
      </c>
      <c r="H42" s="8">
        <f>((52-8)*5)</f>
        <v>220</v>
      </c>
      <c r="I42" s="8">
        <f>ROUND(G42/H42/I$2,2)</f>
        <v>26.29</v>
      </c>
      <c r="J42" s="175"/>
      <c r="K42" s="9">
        <f>ROUND(J42*I42,0)</f>
        <v>0</v>
      </c>
      <c r="L42" s="189"/>
      <c r="M42" s="175">
        <v>250</v>
      </c>
      <c r="N42" s="175">
        <v>350</v>
      </c>
      <c r="O42" s="175">
        <v>350</v>
      </c>
      <c r="P42" s="175">
        <v>250</v>
      </c>
      <c r="Q42" s="8">
        <f>ROUND($I42*'Policy decisions'!C$24*(L42),0)</f>
        <v>0</v>
      </c>
      <c r="R42" s="8">
        <f>ROUND($I42*'Policy decisions'!D$24*(M42),0)</f>
        <v>6838</v>
      </c>
      <c r="S42" s="8">
        <f>ROUND($I42*'Policy decisions'!E$24*(N42),0)</f>
        <v>9765</v>
      </c>
      <c r="T42" s="8">
        <f>ROUND($I42*'Policy decisions'!F$24*(O42),0)</f>
        <v>9960</v>
      </c>
      <c r="U42" s="8">
        <f>ROUND($I42*'Policy decisions'!G$24*(P42),0)</f>
        <v>7256</v>
      </c>
    </row>
    <row r="43" spans="1:21" x14ac:dyDescent="0.2">
      <c r="A43" s="7"/>
      <c r="B43" s="8" t="s">
        <v>40</v>
      </c>
      <c r="C43" s="8" t="s">
        <v>69</v>
      </c>
      <c r="D43" s="175">
        <v>40</v>
      </c>
      <c r="E43" s="8">
        <f>VLOOKUP(D43,'Pay Source data'!$A$1:$B$58,2,FALSE)</f>
        <v>40430</v>
      </c>
      <c r="F43" s="8">
        <f>E43*F$2</f>
        <v>11320.400000000001</v>
      </c>
      <c r="G43" s="8">
        <f>E43+F43</f>
        <v>51750.400000000001</v>
      </c>
      <c r="H43" s="8">
        <f>((52-8)*5)-10</f>
        <v>210</v>
      </c>
      <c r="I43" s="8">
        <f>ROUND(G43/H43/I$2,2)</f>
        <v>32.86</v>
      </c>
      <c r="J43" s="175"/>
      <c r="K43" s="9">
        <f>ROUND(J43*I43,0)</f>
        <v>0</v>
      </c>
      <c r="L43" s="189"/>
      <c r="M43" s="175"/>
      <c r="N43" s="175"/>
      <c r="O43" s="175"/>
      <c r="P43" s="175"/>
      <c r="Q43" s="8">
        <f>ROUND($I43*'Policy decisions'!C$24*(L43),0)</f>
        <v>0</v>
      </c>
      <c r="R43" s="8">
        <f>ROUND($I43*'Policy decisions'!D$24*(M43),0)</f>
        <v>0</v>
      </c>
      <c r="S43" s="8">
        <f>ROUND($I43*'Policy decisions'!E$24*(N43),0)</f>
        <v>0</v>
      </c>
      <c r="T43" s="8">
        <f>ROUND($I43*'Policy decisions'!F$24*(O43),0)</f>
        <v>0</v>
      </c>
      <c r="U43" s="8">
        <f>ROUND($I43*'Policy decisions'!G$24*(P43),0)</f>
        <v>0</v>
      </c>
    </row>
    <row r="44" spans="1:21" x14ac:dyDescent="0.2">
      <c r="A44" s="7"/>
      <c r="B44" s="8" t="s">
        <v>27</v>
      </c>
      <c r="C44" s="8" t="s">
        <v>70</v>
      </c>
      <c r="D44" s="175">
        <v>45</v>
      </c>
      <c r="E44" s="8">
        <f>VLOOKUP(D44,'Pay Source data'!$A$1:$B$58,2,FALSE)</f>
        <v>46846</v>
      </c>
      <c r="F44" s="8">
        <f>E44*F$2</f>
        <v>13116.880000000001</v>
      </c>
      <c r="G44" s="8">
        <f>E44+F44</f>
        <v>59962.880000000005</v>
      </c>
      <c r="H44" s="8">
        <f>((52-8)*5)-20</f>
        <v>200</v>
      </c>
      <c r="I44" s="8">
        <f>ROUND(G44/H44/I$2,2)</f>
        <v>39.979999999999997</v>
      </c>
      <c r="J44" s="175"/>
      <c r="K44" s="9">
        <f>ROUND(J44*I44,0)</f>
        <v>0</v>
      </c>
      <c r="L44" s="189"/>
      <c r="M44" s="175">
        <v>50</v>
      </c>
      <c r="N44" s="175">
        <v>50</v>
      </c>
      <c r="O44" s="175">
        <v>50</v>
      </c>
      <c r="P44" s="175">
        <v>25</v>
      </c>
      <c r="Q44" s="8">
        <f>ROUND($I44*'Policy decisions'!C$24*(L44),0)</f>
        <v>0</v>
      </c>
      <c r="R44" s="8">
        <f>ROUND($I44*'Policy decisions'!D$24*(M44),0)</f>
        <v>2080</v>
      </c>
      <c r="S44" s="8">
        <f>ROUND($I44*'Policy decisions'!E$24*(N44),0)</f>
        <v>2121</v>
      </c>
      <c r="T44" s="8">
        <f>ROUND($I44*'Policy decisions'!F$24*(O44),0)</f>
        <v>2164</v>
      </c>
      <c r="U44" s="8">
        <f>ROUND($I44*'Policy decisions'!G$24*(P44),0)</f>
        <v>1103</v>
      </c>
    </row>
    <row r="45" spans="1:21" x14ac:dyDescent="0.2">
      <c r="A45" s="7"/>
      <c r="B45" s="8" t="s">
        <v>28</v>
      </c>
      <c r="C45" s="8" t="s">
        <v>76</v>
      </c>
      <c r="D45" s="175">
        <v>18</v>
      </c>
      <c r="E45" s="8">
        <f>VLOOKUP(D45,'Pay Source data'!$A$63:$B$81,2,FALSE)</f>
        <v>93000</v>
      </c>
      <c r="F45" s="8">
        <f>E45*F$2</f>
        <v>26040.000000000004</v>
      </c>
      <c r="G45" s="8">
        <f>E45+F45</f>
        <v>119040</v>
      </c>
      <c r="H45" s="8">
        <f>((52-8)*5)-25</f>
        <v>195</v>
      </c>
      <c r="I45" s="8">
        <f>ROUND(G45/H45/I$2,2)</f>
        <v>81.39</v>
      </c>
      <c r="J45" s="175"/>
      <c r="K45" s="9">
        <f>ROUND(J45*I45,0)</f>
        <v>0</v>
      </c>
      <c r="L45" s="189"/>
      <c r="M45" s="175"/>
      <c r="N45" s="175"/>
      <c r="O45" s="175"/>
      <c r="P45" s="175"/>
      <c r="Q45" s="8">
        <f>ROUND($I45*'Policy decisions'!C$24*(L45),0)</f>
        <v>0</v>
      </c>
      <c r="R45" s="8">
        <f>ROUND($I45*'Policy decisions'!D$24*(M45),0)</f>
        <v>0</v>
      </c>
      <c r="S45" s="8">
        <f>ROUND($I45*'Policy decisions'!E$24*(N45),0)</f>
        <v>0</v>
      </c>
      <c r="T45" s="8">
        <f>ROUND($I45*'Policy decisions'!F$24*(O45),0)</f>
        <v>0</v>
      </c>
      <c r="U45" s="8">
        <f>ROUND($I45*'Policy decisions'!G$24*(P45),0)</f>
        <v>0</v>
      </c>
    </row>
    <row r="46" spans="1:21" x14ac:dyDescent="0.2">
      <c r="A46" s="7" t="s">
        <v>221</v>
      </c>
      <c r="B46" s="8"/>
      <c r="C46" s="8"/>
      <c r="D46" s="175"/>
      <c r="E46" s="8"/>
      <c r="F46" s="8"/>
      <c r="G46" s="8"/>
      <c r="H46" s="8"/>
      <c r="I46" s="8"/>
      <c r="J46" s="175"/>
      <c r="K46" s="9"/>
      <c r="L46" s="189"/>
      <c r="M46" s="175"/>
      <c r="N46" s="175"/>
      <c r="O46" s="175"/>
      <c r="P46" s="175"/>
      <c r="Q46" s="8">
        <f>ROUND($I46*'Policy decisions'!C$24*(L46),0)</f>
        <v>0</v>
      </c>
      <c r="R46" s="8">
        <f>ROUND($I46*'Policy decisions'!D$24*(M46),0)</f>
        <v>0</v>
      </c>
      <c r="S46" s="8">
        <f>ROUND($I46*'Policy decisions'!E$24*(N46),0)</f>
        <v>0</v>
      </c>
      <c r="T46" s="8">
        <f>ROUND($I46*'Policy decisions'!F$24*(O46),0)</f>
        <v>0</v>
      </c>
      <c r="U46" s="8">
        <f>ROUND($I46*'Policy decisions'!G$24*(P46),0)</f>
        <v>0</v>
      </c>
    </row>
    <row r="47" spans="1:21" x14ac:dyDescent="0.2">
      <c r="A47" s="7"/>
      <c r="B47" s="8" t="str">
        <f>B14</f>
        <v>Administrator</v>
      </c>
      <c r="C47" s="8" t="str">
        <f t="shared" ref="C47:D47" si="2">C14</f>
        <v>Grade5- 6 (15-21)</v>
      </c>
      <c r="D47" s="187">
        <f t="shared" si="2"/>
        <v>16</v>
      </c>
      <c r="E47" s="8">
        <f>VLOOKUP(D47,'Pay Source data'!$A$1:$B$58,2,FALSE)</f>
        <v>19972</v>
      </c>
      <c r="F47" s="8">
        <f>E47*F$2</f>
        <v>5592.1600000000008</v>
      </c>
      <c r="G47" s="8">
        <f>E47+F47</f>
        <v>25564.16</v>
      </c>
      <c r="H47" s="8">
        <f>((52-8)*5)-10</f>
        <v>210</v>
      </c>
      <c r="I47" s="8">
        <f>ROUND(G47/H47/I$2,2)</f>
        <v>16.23</v>
      </c>
      <c r="J47" s="175">
        <v>20</v>
      </c>
      <c r="K47" s="9">
        <f>ROUND(J47*I47,0)</f>
        <v>325</v>
      </c>
      <c r="L47" s="189">
        <v>5</v>
      </c>
      <c r="M47" s="175"/>
      <c r="N47" s="175"/>
      <c r="O47" s="175"/>
      <c r="P47" s="175"/>
      <c r="Q47" s="8">
        <f>ROUND($I47*'Policy decisions'!C$24*(L47),0)</f>
        <v>83</v>
      </c>
      <c r="R47" s="8">
        <f>ROUND($I47*'Policy decisions'!D$24*(M47),0)</f>
        <v>0</v>
      </c>
      <c r="S47" s="8">
        <f>ROUND($I47*'Policy decisions'!E$24*(N47),0)</f>
        <v>0</v>
      </c>
      <c r="T47" s="8">
        <f>ROUND($I47*'Policy decisions'!F$24*(O47),0)</f>
        <v>0</v>
      </c>
      <c r="U47" s="8">
        <f>ROUND($I47*'Policy decisions'!G$24*(P47),0)</f>
        <v>0</v>
      </c>
    </row>
    <row r="48" spans="1:21" x14ac:dyDescent="0.2">
      <c r="A48" s="7"/>
      <c r="B48" s="8" t="str">
        <f t="shared" ref="B48:D49" si="3">B15</f>
        <v>Senior Administrator</v>
      </c>
      <c r="C48" s="8" t="str">
        <f t="shared" si="3"/>
        <v>Grade7-8 (22-35)</v>
      </c>
      <c r="D48" s="187">
        <f t="shared" si="3"/>
        <v>30</v>
      </c>
      <c r="E48" s="8">
        <f>VLOOKUP(D48,'Pay Source data'!$A$1:$B$58,2,FALSE)</f>
        <v>30122</v>
      </c>
      <c r="F48" s="8">
        <f>E48*F$2</f>
        <v>8434.1600000000017</v>
      </c>
      <c r="G48" s="8">
        <f>E48+F48</f>
        <v>38556.160000000003</v>
      </c>
      <c r="H48" s="8">
        <f>((52-8)*5)-20</f>
        <v>200</v>
      </c>
      <c r="I48" s="8">
        <f>ROUND(G48/H48/I$2,2)</f>
        <v>25.7</v>
      </c>
      <c r="J48" s="175">
        <v>30</v>
      </c>
      <c r="K48" s="9">
        <f>ROUND(J48*I48,0)</f>
        <v>771</v>
      </c>
      <c r="L48" s="189">
        <v>30</v>
      </c>
      <c r="M48" s="175">
        <v>60</v>
      </c>
      <c r="N48" s="175">
        <v>30</v>
      </c>
      <c r="O48" s="175">
        <v>10</v>
      </c>
      <c r="P48" s="175">
        <v>5</v>
      </c>
      <c r="Q48" s="8">
        <f>ROUND($I48*'Policy decisions'!C$24*(L48),0)</f>
        <v>786</v>
      </c>
      <c r="R48" s="8">
        <f>ROUND($I48*'Policy decisions'!D$24*(M48),0)</f>
        <v>1604</v>
      </c>
      <c r="S48" s="8">
        <f>ROUND($I48*'Policy decisions'!E$24*(N48),0)</f>
        <v>818</v>
      </c>
      <c r="T48" s="8">
        <f>ROUND($I48*'Policy decisions'!F$24*(O48),0)</f>
        <v>278</v>
      </c>
      <c r="U48" s="8">
        <f>ROUND($I48*'Policy decisions'!G$24*(P48),0)</f>
        <v>142</v>
      </c>
    </row>
    <row r="49" spans="1:21" x14ac:dyDescent="0.2">
      <c r="A49" s="7"/>
      <c r="B49" s="8" t="str">
        <f t="shared" si="3"/>
        <v xml:space="preserve"> Team Manager</v>
      </c>
      <c r="C49" s="8" t="str">
        <f t="shared" si="3"/>
        <v>Grade  9-10 (36-58)</v>
      </c>
      <c r="D49" s="187">
        <f t="shared" si="3"/>
        <v>51</v>
      </c>
      <c r="E49">
        <f>VLOOKUP(D49,'Pay Source data'!$A$1:$B$58,2,FALSE)</f>
        <v>55908</v>
      </c>
      <c r="F49" s="8">
        <f>E49*F$2</f>
        <v>15654.240000000002</v>
      </c>
      <c r="G49" s="8">
        <f>E49+F49</f>
        <v>71562.240000000005</v>
      </c>
      <c r="H49" s="8">
        <f>((52-8)*5)-25</f>
        <v>195</v>
      </c>
      <c r="I49" s="8">
        <f>ROUND(G49/H49/I$2,2)</f>
        <v>48.93</v>
      </c>
      <c r="J49" s="175">
        <v>10</v>
      </c>
      <c r="K49" s="9">
        <f>ROUND(J49*I49,0)</f>
        <v>489</v>
      </c>
      <c r="L49" s="189">
        <v>20</v>
      </c>
      <c r="M49" s="175"/>
      <c r="N49" s="175"/>
      <c r="O49" s="175"/>
      <c r="P49" s="175"/>
      <c r="Q49" s="8">
        <f>ROUND($I49*'Policy decisions'!C$24*(L49),0)</f>
        <v>998</v>
      </c>
      <c r="R49" s="8">
        <f>ROUND($I49*'Policy decisions'!D$24*(M49),0)</f>
        <v>0</v>
      </c>
      <c r="S49" s="8">
        <f>ROUND($I49*'Policy decisions'!E$24*(N49),0)</f>
        <v>0</v>
      </c>
      <c r="T49" s="8">
        <f>ROUND($I49*'Policy decisions'!F$24*(O49),0)</f>
        <v>0</v>
      </c>
      <c r="U49" s="8">
        <f>ROUND($I49*'Policy decisions'!G$24*(P49),0)</f>
        <v>0</v>
      </c>
    </row>
    <row r="50" spans="1:21" x14ac:dyDescent="0.2">
      <c r="A50" s="7"/>
      <c r="B50" s="8"/>
      <c r="C50" s="8"/>
      <c r="D50" s="175"/>
      <c r="E50" s="8"/>
      <c r="F50" s="8"/>
      <c r="G50" s="8"/>
      <c r="H50" s="8"/>
      <c r="I50" s="8"/>
      <c r="J50" s="175"/>
      <c r="K50" s="9"/>
      <c r="L50" s="189"/>
      <c r="M50" s="175"/>
      <c r="N50" s="175"/>
      <c r="O50" s="175"/>
      <c r="P50" s="175"/>
      <c r="Q50" s="8"/>
      <c r="R50" s="8"/>
      <c r="S50" s="8"/>
      <c r="T50" s="8"/>
      <c r="U50" s="8"/>
    </row>
    <row r="51" spans="1:21" ht="13.5" thickBot="1" x14ac:dyDescent="0.25">
      <c r="A51" s="7"/>
      <c r="B51" s="8"/>
      <c r="C51" s="8"/>
      <c r="D51" s="175"/>
      <c r="E51" s="8"/>
      <c r="F51" s="8"/>
      <c r="G51" s="8"/>
      <c r="H51" s="8"/>
      <c r="I51" s="8"/>
      <c r="J51" s="175"/>
      <c r="K51" s="9"/>
      <c r="L51" s="189"/>
      <c r="M51" s="175"/>
      <c r="N51" s="175"/>
      <c r="O51" s="175"/>
      <c r="P51" s="175"/>
      <c r="Q51" s="11"/>
      <c r="R51" s="11"/>
      <c r="S51" s="11"/>
      <c r="T51" s="97"/>
      <c r="U51" s="97"/>
    </row>
    <row r="52" spans="1:21" x14ac:dyDescent="0.2">
      <c r="A52" s="79"/>
      <c r="B52" s="80"/>
      <c r="C52" s="80"/>
      <c r="D52" s="188"/>
      <c r="E52" s="80"/>
      <c r="F52" s="80"/>
      <c r="G52" s="80"/>
      <c r="H52" s="80"/>
      <c r="I52" s="80"/>
      <c r="J52" s="170"/>
      <c r="K52" s="88">
        <f>SUM(K37:K45)</f>
        <v>0</v>
      </c>
      <c r="L52" s="169"/>
      <c r="M52" s="170"/>
      <c r="N52" s="170"/>
      <c r="O52" s="170"/>
      <c r="P52" s="170"/>
      <c r="Q52" s="87">
        <f>SUM(Q38:Q51)</f>
        <v>7268</v>
      </c>
      <c r="R52" s="87">
        <f>SUM(R38:R51)</f>
        <v>13739</v>
      </c>
      <c r="S52" s="87">
        <f>SUM(S38:S51)</f>
        <v>17155</v>
      </c>
      <c r="T52" s="87">
        <f>SUM(T38:T51)</f>
        <v>16268</v>
      </c>
      <c r="U52" s="87">
        <f>SUM(U38:U51)</f>
        <v>13142</v>
      </c>
    </row>
    <row r="53" spans="1:21" x14ac:dyDescent="0.2">
      <c r="A53" s="61" t="s">
        <v>82</v>
      </c>
      <c r="B53" s="62"/>
      <c r="C53" s="8"/>
      <c r="D53" s="165"/>
      <c r="E53" s="8"/>
      <c r="F53" s="8"/>
      <c r="G53" s="8"/>
      <c r="H53" s="8"/>
      <c r="I53" s="8"/>
      <c r="J53" s="165"/>
      <c r="K53" s="63"/>
      <c r="L53" s="149"/>
      <c r="M53" s="149"/>
      <c r="N53" s="149"/>
      <c r="O53" s="149"/>
      <c r="P53" s="149"/>
      <c r="T53" s="8"/>
    </row>
    <row r="54" spans="1:21" x14ac:dyDescent="0.2">
      <c r="A54" s="64"/>
      <c r="B54" s="8"/>
      <c r="C54" s="8"/>
      <c r="D54" s="165"/>
      <c r="E54" s="8"/>
      <c r="F54" s="8"/>
      <c r="G54" s="8"/>
      <c r="H54" s="8"/>
      <c r="I54" s="8"/>
      <c r="J54" s="165"/>
      <c r="K54" s="63"/>
      <c r="L54" s="149"/>
      <c r="M54" s="149"/>
      <c r="N54" s="149"/>
      <c r="O54" s="149"/>
      <c r="P54" s="149"/>
      <c r="T54" s="8"/>
    </row>
    <row r="55" spans="1:21" x14ac:dyDescent="0.2">
      <c r="A55" s="64" t="s">
        <v>25</v>
      </c>
      <c r="B55" s="8"/>
      <c r="C55" s="8"/>
      <c r="D55" s="165"/>
      <c r="E55" s="8"/>
      <c r="F55" s="8">
        <f>E55*F$2</f>
        <v>0</v>
      </c>
      <c r="G55" s="8">
        <f>E55+F55</f>
        <v>0</v>
      </c>
      <c r="H55" s="8">
        <f>((52-8)*5)</f>
        <v>220</v>
      </c>
      <c r="I55" s="8">
        <f>'Pay Source data'!I93</f>
        <v>44.47</v>
      </c>
      <c r="J55" s="175"/>
      <c r="K55" s="9">
        <f>ROUND(J55*I55,0)</f>
        <v>0</v>
      </c>
      <c r="L55" s="189"/>
      <c r="M55" s="175"/>
      <c r="N55" s="175"/>
      <c r="O55" s="175"/>
      <c r="P55" s="175"/>
      <c r="Q55" s="8">
        <f>ROUND($I55*'Policy decisions'!C$24*(L55),0)</f>
        <v>0</v>
      </c>
      <c r="R55" s="8">
        <f>ROUND($I55*'Policy decisions'!D$24*(M55),0)</f>
        <v>0</v>
      </c>
      <c r="S55" s="8">
        <f>ROUND($I55*'Policy decisions'!E$24*(N55),0)</f>
        <v>0</v>
      </c>
      <c r="T55" s="8">
        <f>ROUND($I55*'Policy decisions'!F$24*(O55),0)</f>
        <v>0</v>
      </c>
      <c r="U55" s="8">
        <f>ROUND($I55*'Policy decisions'!G$24*(P55),0)</f>
        <v>0</v>
      </c>
    </row>
    <row r="56" spans="1:21" x14ac:dyDescent="0.2">
      <c r="A56" s="64"/>
      <c r="B56" s="8"/>
      <c r="C56" s="8"/>
      <c r="D56" s="165"/>
      <c r="E56" s="8"/>
      <c r="F56" s="8"/>
      <c r="G56" s="8"/>
      <c r="H56" s="8"/>
      <c r="I56" s="8"/>
      <c r="J56" s="165"/>
      <c r="K56" s="9"/>
      <c r="L56" s="189"/>
      <c r="M56" s="175"/>
      <c r="N56" s="175"/>
      <c r="O56" s="175"/>
      <c r="P56" s="175"/>
      <c r="Q56" s="8"/>
      <c r="R56" s="8"/>
      <c r="S56" s="8"/>
      <c r="T56" s="8"/>
    </row>
    <row r="57" spans="1:21" x14ac:dyDescent="0.2">
      <c r="A57" s="64" t="s">
        <v>26</v>
      </c>
      <c r="B57" s="8"/>
      <c r="C57" s="8"/>
      <c r="D57" s="165"/>
      <c r="E57" s="8"/>
      <c r="F57" s="8"/>
      <c r="G57" s="8"/>
      <c r="H57" s="8"/>
      <c r="I57" s="8"/>
      <c r="J57" s="165"/>
      <c r="K57" s="9"/>
      <c r="L57" s="189"/>
      <c r="M57" s="175"/>
      <c r="N57" s="175"/>
      <c r="O57" s="175"/>
      <c r="P57" s="175"/>
      <c r="Q57" s="8"/>
      <c r="R57" s="8"/>
      <c r="S57" s="8"/>
      <c r="T57" s="8"/>
    </row>
    <row r="58" spans="1:21" x14ac:dyDescent="0.2">
      <c r="A58" s="64"/>
      <c r="B58" s="8" t="s">
        <v>66</v>
      </c>
      <c r="C58" s="8" t="s">
        <v>67</v>
      </c>
      <c r="D58" s="175">
        <v>28</v>
      </c>
      <c r="E58" s="8">
        <f>VLOOKUP(D58,'Pay Source data'!$A$1:$B$58,2,FALSE)</f>
        <v>28401</v>
      </c>
      <c r="F58" s="8">
        <f>E58*F$2</f>
        <v>7952.2800000000007</v>
      </c>
      <c r="G58" s="8">
        <f>E58+F58</f>
        <v>36353.279999999999</v>
      </c>
      <c r="H58" s="8">
        <f>((52-8)*5)</f>
        <v>220</v>
      </c>
      <c r="I58" s="8">
        <f>ROUND(G58/H58/I$2,2)</f>
        <v>22.03</v>
      </c>
      <c r="J58" s="175"/>
      <c r="K58" s="9">
        <f>ROUND(J58*I58,0)</f>
        <v>0</v>
      </c>
      <c r="L58" s="189"/>
      <c r="M58" s="175"/>
      <c r="N58" s="175"/>
      <c r="O58" s="175"/>
      <c r="P58" s="175"/>
      <c r="Q58" s="8">
        <f>ROUND($I58*'Policy decisions'!C$24*(L58),0)</f>
        <v>0</v>
      </c>
      <c r="R58" s="8">
        <f>ROUND($I58*'Policy decisions'!D$24*(M58),0)</f>
        <v>0</v>
      </c>
      <c r="S58" s="8">
        <f>ROUND($I58*'Policy decisions'!E$24*(N58),0)</f>
        <v>0</v>
      </c>
      <c r="T58" s="8">
        <f>ROUND($I58*'Policy decisions'!F$24*(O58),0)</f>
        <v>0</v>
      </c>
      <c r="U58" s="8">
        <f>ROUND($I58*'Policy decisions'!G$24*(P58),0)</f>
        <v>0</v>
      </c>
    </row>
    <row r="59" spans="1:21" x14ac:dyDescent="0.2">
      <c r="A59" s="64"/>
      <c r="B59" s="8" t="s">
        <v>29</v>
      </c>
      <c r="C59" s="8" t="s">
        <v>68</v>
      </c>
      <c r="D59" s="175">
        <v>35</v>
      </c>
      <c r="E59" s="8">
        <f>VLOOKUP(D59,'Pay Source data'!$A$1:$B$58,2,FALSE)</f>
        <v>33884</v>
      </c>
      <c r="F59" s="8">
        <f>E59*F$2</f>
        <v>9487.52</v>
      </c>
      <c r="G59" s="8">
        <f>E59+F59</f>
        <v>43371.520000000004</v>
      </c>
      <c r="H59" s="8">
        <f>((52-8)*5)</f>
        <v>220</v>
      </c>
      <c r="I59" s="8">
        <f>ROUND(G59/H59/I$2,2)</f>
        <v>26.29</v>
      </c>
      <c r="J59" s="175"/>
      <c r="K59" s="9">
        <f>ROUND(J59*I59,0)</f>
        <v>0</v>
      </c>
      <c r="L59" s="189"/>
      <c r="M59" s="175"/>
      <c r="N59" s="175"/>
      <c r="O59" s="175"/>
      <c r="P59" s="175"/>
      <c r="Q59" s="8">
        <f>ROUND($I59*'Policy decisions'!C$24*(L59),0)</f>
        <v>0</v>
      </c>
      <c r="R59" s="8">
        <f>ROUND($I59*'Policy decisions'!D$24*(M59),0)</f>
        <v>0</v>
      </c>
      <c r="S59" s="8">
        <f>ROUND($I59*'Policy decisions'!E$24*(N59),0)</f>
        <v>0</v>
      </c>
      <c r="T59" s="8">
        <f>ROUND($I59*'Policy decisions'!F$24*(O59),0)</f>
        <v>0</v>
      </c>
      <c r="U59" s="8">
        <f>ROUND($I59*'Policy decisions'!G$24*(P59),0)</f>
        <v>0</v>
      </c>
    </row>
    <row r="60" spans="1:21" x14ac:dyDescent="0.2">
      <c r="A60" s="64"/>
      <c r="B60" s="8" t="s">
        <v>40</v>
      </c>
      <c r="C60" s="8" t="s">
        <v>69</v>
      </c>
      <c r="D60" s="175">
        <v>40</v>
      </c>
      <c r="E60" s="8">
        <f>VLOOKUP(D60,'Pay Source data'!$A$1:$B$58,2,FALSE)</f>
        <v>40430</v>
      </c>
      <c r="F60" s="8">
        <f>E60*F$2</f>
        <v>11320.400000000001</v>
      </c>
      <c r="G60" s="8">
        <f>E60+F60</f>
        <v>51750.400000000001</v>
      </c>
      <c r="H60" s="8">
        <f>((52-8)*5)-10</f>
        <v>210</v>
      </c>
      <c r="I60" s="8">
        <f>ROUND(G60/H60/I$2,2)</f>
        <v>32.86</v>
      </c>
      <c r="J60" s="175"/>
      <c r="K60" s="9">
        <f>ROUND(J60*I60,0)</f>
        <v>0</v>
      </c>
      <c r="L60" s="189">
        <v>20</v>
      </c>
      <c r="M60" s="175">
        <v>20</v>
      </c>
      <c r="N60" s="175">
        <v>20</v>
      </c>
      <c r="O60" s="175">
        <v>20</v>
      </c>
      <c r="P60" s="175">
        <v>20</v>
      </c>
      <c r="Q60" s="8">
        <f>ROUND($I60*'Policy decisions'!C$24*(L60),0)</f>
        <v>670</v>
      </c>
      <c r="R60" s="8">
        <f>ROUND($I60*'Policy decisions'!D$24*(M60),0)</f>
        <v>684</v>
      </c>
      <c r="S60" s="8">
        <f>ROUND($I60*'Policy decisions'!E$24*(N60),0)</f>
        <v>697</v>
      </c>
      <c r="T60" s="8">
        <f>ROUND($I60*'Policy decisions'!F$24*(O60),0)</f>
        <v>711</v>
      </c>
      <c r="U60" s="8">
        <f>ROUND($I60*'Policy decisions'!G$24*(P60),0)</f>
        <v>726</v>
      </c>
    </row>
    <row r="61" spans="1:21" x14ac:dyDescent="0.2">
      <c r="A61" s="64"/>
      <c r="B61" s="8" t="s">
        <v>27</v>
      </c>
      <c r="C61" s="8" t="s">
        <v>70</v>
      </c>
      <c r="D61" s="175">
        <v>45</v>
      </c>
      <c r="E61" s="8">
        <f>VLOOKUP(D61,'Pay Source data'!$A$1:$B$58,2,FALSE)</f>
        <v>46846</v>
      </c>
      <c r="F61" s="8">
        <f>E61*F$2</f>
        <v>13116.880000000001</v>
      </c>
      <c r="G61" s="8">
        <f>E61+F61</f>
        <v>59962.880000000005</v>
      </c>
      <c r="H61" s="8">
        <f>((52-8)*5)-20</f>
        <v>200</v>
      </c>
      <c r="I61" s="8">
        <f>ROUND(G61/H61/I$2,2)</f>
        <v>39.979999999999997</v>
      </c>
      <c r="J61" s="175"/>
      <c r="K61" s="9">
        <f>ROUND(J61*I61,0)</f>
        <v>0</v>
      </c>
      <c r="L61" s="189">
        <v>10</v>
      </c>
      <c r="M61" s="175">
        <v>10</v>
      </c>
      <c r="N61" s="175">
        <v>10</v>
      </c>
      <c r="O61" s="175">
        <v>10</v>
      </c>
      <c r="P61" s="175">
        <v>10</v>
      </c>
      <c r="Q61" s="8">
        <f>ROUND($I61*'Policy decisions'!C$24*(L61),0)</f>
        <v>408</v>
      </c>
      <c r="R61" s="8">
        <f>ROUND($I61*'Policy decisions'!D$24*(M61),0)</f>
        <v>416</v>
      </c>
      <c r="S61" s="8">
        <f>ROUND($I61*'Policy decisions'!E$24*(N61),0)</f>
        <v>424</v>
      </c>
      <c r="T61" s="8">
        <f>ROUND($I61*'Policy decisions'!F$24*(O61),0)</f>
        <v>433</v>
      </c>
      <c r="U61" s="8">
        <f>ROUND($I61*'Policy decisions'!G$24*(P61),0)</f>
        <v>441</v>
      </c>
    </row>
    <row r="62" spans="1:21" x14ac:dyDescent="0.2">
      <c r="A62" s="64"/>
      <c r="B62" s="8" t="s">
        <v>28</v>
      </c>
      <c r="C62" s="8" t="s">
        <v>76</v>
      </c>
      <c r="D62" s="187">
        <v>18</v>
      </c>
      <c r="E62" s="8">
        <f>VLOOKUP(D62,'Pay Source data'!$A$63:$B$81,2,FALSE)</f>
        <v>93000</v>
      </c>
      <c r="F62" s="8">
        <f>E62*F$2</f>
        <v>26040.000000000004</v>
      </c>
      <c r="G62" s="8">
        <f>E62+F62</f>
        <v>119040</v>
      </c>
      <c r="H62" s="8">
        <f>((52-8)*5)-25</f>
        <v>195</v>
      </c>
      <c r="I62" s="8">
        <f>ROUND(G62/H62/I$2,2)</f>
        <v>81.39</v>
      </c>
      <c r="J62" s="175"/>
      <c r="K62" s="9">
        <f>ROUND(J62*I62,0)</f>
        <v>0</v>
      </c>
      <c r="L62" s="190"/>
      <c r="M62" s="187"/>
      <c r="N62" s="187"/>
      <c r="O62" s="187"/>
      <c r="P62" s="187"/>
      <c r="Q62" s="8">
        <f>ROUND($I62*'Policy decisions'!C$24*(L62),0)</f>
        <v>0</v>
      </c>
      <c r="R62" s="8">
        <f>ROUND($I62*'Policy decisions'!D$24*(M62),0)</f>
        <v>0</v>
      </c>
      <c r="S62" s="8">
        <f>ROUND($I62*'Policy decisions'!E$24*(N62),0)</f>
        <v>0</v>
      </c>
      <c r="T62" s="8">
        <f>ROUND($I62*'Policy decisions'!F$24*(O62),0)</f>
        <v>0</v>
      </c>
      <c r="U62" s="8">
        <f>ROUND($I62*'Policy decisions'!G$24*(P62),0)</f>
        <v>0</v>
      </c>
    </row>
    <row r="63" spans="1:21" x14ac:dyDescent="0.2">
      <c r="A63" s="64" t="str">
        <f>A13</f>
        <v>Support Costs</v>
      </c>
      <c r="B63" s="8">
        <f t="shared" ref="B63:U63" si="4">B13</f>
        <v>0</v>
      </c>
      <c r="C63" s="8">
        <f t="shared" si="4"/>
        <v>0</v>
      </c>
      <c r="D63" s="187">
        <f t="shared" si="4"/>
        <v>0</v>
      </c>
      <c r="E63" s="8">
        <f t="shared" si="4"/>
        <v>0</v>
      </c>
      <c r="F63" s="8">
        <f t="shared" si="4"/>
        <v>0</v>
      </c>
      <c r="G63" s="8">
        <f t="shared" si="4"/>
        <v>0</v>
      </c>
      <c r="H63" s="8">
        <f t="shared" si="4"/>
        <v>0</v>
      </c>
      <c r="I63" s="8">
        <f t="shared" si="4"/>
        <v>0</v>
      </c>
      <c r="J63" s="187">
        <f t="shared" si="4"/>
        <v>0</v>
      </c>
      <c r="K63" s="8">
        <f t="shared" si="4"/>
        <v>0</v>
      </c>
      <c r="L63" s="187">
        <f t="shared" si="4"/>
        <v>0</v>
      </c>
      <c r="M63" s="187">
        <f t="shared" si="4"/>
        <v>0</v>
      </c>
      <c r="N63" s="187">
        <f t="shared" si="4"/>
        <v>0</v>
      </c>
      <c r="O63" s="187">
        <f t="shared" si="4"/>
        <v>0</v>
      </c>
      <c r="P63" s="187">
        <f t="shared" si="4"/>
        <v>0</v>
      </c>
      <c r="Q63" s="8">
        <f t="shared" si="4"/>
        <v>0</v>
      </c>
      <c r="R63" s="8">
        <f t="shared" si="4"/>
        <v>0</v>
      </c>
      <c r="S63" s="8">
        <f t="shared" si="4"/>
        <v>0</v>
      </c>
      <c r="T63" s="8">
        <f t="shared" si="4"/>
        <v>0</v>
      </c>
      <c r="U63" s="8">
        <f t="shared" si="4"/>
        <v>0</v>
      </c>
    </row>
    <row r="64" spans="1:21" x14ac:dyDescent="0.2">
      <c r="A64" s="64">
        <f t="shared" ref="A64:U64" si="5">A14</f>
        <v>0</v>
      </c>
      <c r="B64" s="8" t="str">
        <f t="shared" si="5"/>
        <v>Administrator</v>
      </c>
      <c r="C64" s="8" t="str">
        <f t="shared" si="5"/>
        <v>Grade5- 6 (15-21)</v>
      </c>
      <c r="D64" s="187">
        <f t="shared" si="5"/>
        <v>16</v>
      </c>
      <c r="E64" s="8">
        <f t="shared" si="5"/>
        <v>19972</v>
      </c>
      <c r="F64" s="8">
        <f t="shared" si="5"/>
        <v>5592.1600000000008</v>
      </c>
      <c r="G64" s="8">
        <f t="shared" si="5"/>
        <v>25564.16</v>
      </c>
      <c r="H64" s="8">
        <f t="shared" si="5"/>
        <v>220</v>
      </c>
      <c r="I64" s="8">
        <f t="shared" si="5"/>
        <v>15.49</v>
      </c>
      <c r="J64" s="187">
        <f t="shared" si="5"/>
        <v>0</v>
      </c>
      <c r="K64" s="8">
        <f t="shared" si="5"/>
        <v>0</v>
      </c>
      <c r="L64" s="187">
        <f t="shared" si="5"/>
        <v>0</v>
      </c>
      <c r="M64" s="187">
        <f t="shared" si="5"/>
        <v>0</v>
      </c>
      <c r="N64" s="187">
        <f t="shared" si="5"/>
        <v>0</v>
      </c>
      <c r="O64" s="187">
        <f t="shared" si="5"/>
        <v>0</v>
      </c>
      <c r="P64" s="187">
        <f t="shared" si="5"/>
        <v>0</v>
      </c>
      <c r="Q64" s="8">
        <f t="shared" si="5"/>
        <v>0</v>
      </c>
      <c r="R64" s="8">
        <f t="shared" si="5"/>
        <v>0</v>
      </c>
      <c r="S64" s="8">
        <f t="shared" si="5"/>
        <v>0</v>
      </c>
      <c r="T64" s="8">
        <f t="shared" si="5"/>
        <v>0</v>
      </c>
      <c r="U64" s="8">
        <f t="shared" si="5"/>
        <v>0</v>
      </c>
    </row>
    <row r="65" spans="1:21" x14ac:dyDescent="0.2">
      <c r="A65" s="64">
        <f t="shared" ref="A65:U65" si="6">A15</f>
        <v>0</v>
      </c>
      <c r="B65" s="8" t="str">
        <f t="shared" si="6"/>
        <v>Senior Administrator</v>
      </c>
      <c r="C65" s="8" t="str">
        <f t="shared" si="6"/>
        <v>Grade7-8 (22-35)</v>
      </c>
      <c r="D65" s="187">
        <f t="shared" si="6"/>
        <v>30</v>
      </c>
      <c r="E65" s="8">
        <f t="shared" si="6"/>
        <v>30122</v>
      </c>
      <c r="F65" s="8">
        <f t="shared" si="6"/>
        <v>8434.1600000000017</v>
      </c>
      <c r="G65" s="8">
        <f t="shared" si="6"/>
        <v>38556.160000000003</v>
      </c>
      <c r="H65" s="8">
        <f t="shared" si="6"/>
        <v>220</v>
      </c>
      <c r="I65" s="8">
        <f t="shared" si="6"/>
        <v>23.37</v>
      </c>
      <c r="J65" s="187">
        <f t="shared" si="6"/>
        <v>0</v>
      </c>
      <c r="K65" s="8">
        <f t="shared" si="6"/>
        <v>0</v>
      </c>
      <c r="L65" s="187">
        <f t="shared" si="6"/>
        <v>0</v>
      </c>
      <c r="M65" s="187">
        <f t="shared" si="6"/>
        <v>0</v>
      </c>
      <c r="N65" s="187">
        <f t="shared" si="6"/>
        <v>0</v>
      </c>
      <c r="O65" s="187">
        <f t="shared" si="6"/>
        <v>0</v>
      </c>
      <c r="P65" s="187">
        <f t="shared" si="6"/>
        <v>0</v>
      </c>
      <c r="Q65" s="8">
        <f t="shared" si="6"/>
        <v>0</v>
      </c>
      <c r="R65" s="8">
        <f t="shared" si="6"/>
        <v>0</v>
      </c>
      <c r="S65" s="8">
        <f t="shared" si="6"/>
        <v>0</v>
      </c>
      <c r="T65" s="8">
        <f t="shared" si="6"/>
        <v>0</v>
      </c>
      <c r="U65" s="8">
        <f t="shared" si="6"/>
        <v>0</v>
      </c>
    </row>
    <row r="66" spans="1:21" s="50" customFormat="1" x14ac:dyDescent="0.2">
      <c r="A66" s="64">
        <f t="shared" ref="A66:U66" si="7">A16</f>
        <v>0</v>
      </c>
      <c r="B66" s="8" t="str">
        <f t="shared" si="7"/>
        <v xml:space="preserve"> Team Manager</v>
      </c>
      <c r="C66" s="8" t="str">
        <f t="shared" si="7"/>
        <v>Grade  9-10 (36-58)</v>
      </c>
      <c r="D66" s="187">
        <f t="shared" si="7"/>
        <v>51</v>
      </c>
      <c r="E66" s="8">
        <f t="shared" si="7"/>
        <v>55908</v>
      </c>
      <c r="F66" s="8">
        <f t="shared" si="7"/>
        <v>15654.240000000002</v>
      </c>
      <c r="G66" s="8">
        <f t="shared" si="7"/>
        <v>71562.240000000005</v>
      </c>
      <c r="H66" s="8">
        <f t="shared" si="7"/>
        <v>220</v>
      </c>
      <c r="I66" s="8">
        <f t="shared" si="7"/>
        <v>43.37</v>
      </c>
      <c r="J66" s="187">
        <f t="shared" si="7"/>
        <v>0</v>
      </c>
      <c r="K66" s="8">
        <f t="shared" si="7"/>
        <v>0</v>
      </c>
      <c r="L66" s="187">
        <f t="shared" si="7"/>
        <v>0</v>
      </c>
      <c r="M66" s="187">
        <f t="shared" si="7"/>
        <v>0</v>
      </c>
      <c r="N66" s="187">
        <f t="shared" si="7"/>
        <v>0</v>
      </c>
      <c r="O66" s="187">
        <f t="shared" si="7"/>
        <v>0</v>
      </c>
      <c r="P66" s="187">
        <f t="shared" si="7"/>
        <v>0</v>
      </c>
      <c r="Q66" s="8">
        <f t="shared" si="7"/>
        <v>0</v>
      </c>
      <c r="R66" s="8">
        <f t="shared" si="7"/>
        <v>0</v>
      </c>
      <c r="S66" s="8">
        <f t="shared" si="7"/>
        <v>0</v>
      </c>
      <c r="T66" s="8">
        <f t="shared" si="7"/>
        <v>0</v>
      </c>
      <c r="U66" s="8">
        <f t="shared" si="7"/>
        <v>0</v>
      </c>
    </row>
    <row r="67" spans="1:21" s="50" customFormat="1" ht="15" thickBot="1" x14ac:dyDescent="0.25">
      <c r="A67" s="65"/>
      <c r="B67" s="51"/>
      <c r="C67" s="51"/>
      <c r="D67" s="53"/>
      <c r="E67" s="53"/>
      <c r="F67" s="49"/>
      <c r="G67" s="53"/>
      <c r="H67" s="51"/>
      <c r="I67" s="51"/>
      <c r="K67" s="147">
        <f>SUM(K55:K62)</f>
        <v>0</v>
      </c>
      <c r="L67" s="10"/>
      <c r="M67" s="11"/>
      <c r="N67" s="11"/>
      <c r="O67" s="11"/>
      <c r="P67" s="11"/>
      <c r="Q67" s="87">
        <f>SUM(Q55:Q66)</f>
        <v>1078</v>
      </c>
      <c r="R67" s="87">
        <f>SUM(R55:R66)</f>
        <v>1100</v>
      </c>
      <c r="S67" s="87">
        <f>SUM(S55:S66)</f>
        <v>1121</v>
      </c>
      <c r="T67" s="87">
        <f>SUM(T55:T66)</f>
        <v>1144</v>
      </c>
      <c r="U67" s="87">
        <f>SUM(U55:U66)</f>
        <v>1167</v>
      </c>
    </row>
    <row r="68" spans="1:21" s="50" customFormat="1" ht="15.75" thickTop="1" x14ac:dyDescent="0.25">
      <c r="A68" s="65"/>
      <c r="B68" s="52"/>
      <c r="C68" s="52"/>
      <c r="D68" s="53"/>
      <c r="E68" s="53"/>
      <c r="F68" s="49"/>
      <c r="G68" s="53"/>
      <c r="H68" s="51"/>
      <c r="I68" s="51"/>
      <c r="K68" s="66"/>
    </row>
    <row r="69" spans="1:21" s="50" customFormat="1" ht="15" thickBot="1" x14ac:dyDescent="0.25">
      <c r="A69" s="67"/>
      <c r="B69" s="68"/>
      <c r="C69" s="68"/>
      <c r="D69" s="68"/>
      <c r="E69" s="69"/>
      <c r="F69" s="71"/>
      <c r="G69" s="68"/>
      <c r="H69" s="69"/>
      <c r="I69" s="69"/>
      <c r="J69" s="72"/>
      <c r="K69" s="73"/>
    </row>
    <row r="70" spans="1:21" s="50" customFormat="1" ht="15" x14ac:dyDescent="0.25">
      <c r="A70" s="51"/>
      <c r="B70" s="53"/>
      <c r="C70" s="53"/>
      <c r="D70" s="52"/>
      <c r="E70" s="51"/>
      <c r="F70" s="49"/>
      <c r="G70" s="53"/>
      <c r="H70" s="51"/>
      <c r="I70" s="51"/>
    </row>
    <row r="71" spans="1:21" s="50" customFormat="1" ht="14.25" x14ac:dyDescent="0.2">
      <c r="A71" s="51"/>
      <c r="B71" s="53"/>
      <c r="C71" s="53"/>
      <c r="D71" s="53"/>
      <c r="E71" s="51"/>
      <c r="F71" s="49"/>
      <c r="G71" s="53"/>
      <c r="H71" s="51"/>
      <c r="I71" s="51"/>
    </row>
    <row r="72" spans="1:21" s="50" customFormat="1" ht="14.25" x14ac:dyDescent="0.2">
      <c r="A72" s="51"/>
      <c r="B72" s="53"/>
      <c r="C72" s="53"/>
      <c r="D72" s="53"/>
      <c r="E72" s="51"/>
      <c r="F72" s="49"/>
      <c r="G72" s="53"/>
      <c r="H72" s="51"/>
      <c r="I72" s="51"/>
    </row>
    <row r="73" spans="1:21" s="50" customFormat="1" ht="14.25" x14ac:dyDescent="0.2">
      <c r="A73" s="51"/>
      <c r="B73" s="51"/>
      <c r="C73" s="51"/>
      <c r="D73" s="53"/>
      <c r="E73" s="51"/>
      <c r="F73" s="49"/>
      <c r="G73" s="53"/>
      <c r="H73" s="51"/>
      <c r="I73" s="51"/>
    </row>
    <row r="74" spans="1:21" s="50" customFormat="1" ht="14.25" x14ac:dyDescent="0.2">
      <c r="A74" s="51"/>
      <c r="B74" s="51"/>
      <c r="C74" s="51"/>
      <c r="D74" s="53"/>
      <c r="E74" s="51"/>
      <c r="F74" s="49"/>
      <c r="G74" s="53"/>
      <c r="H74" s="51"/>
      <c r="I74" s="51"/>
    </row>
    <row r="75" spans="1:21" s="50" customFormat="1" ht="14.25" x14ac:dyDescent="0.2">
      <c r="A75" s="51"/>
      <c r="B75" s="51"/>
      <c r="C75" s="51"/>
      <c r="D75" s="53"/>
      <c r="E75" s="51"/>
      <c r="F75" s="49"/>
      <c r="G75" s="53"/>
      <c r="H75" s="51"/>
      <c r="I75" s="51"/>
    </row>
    <row r="76" spans="1:21" s="50" customFormat="1" ht="15" x14ac:dyDescent="0.25">
      <c r="A76" s="51"/>
      <c r="B76" s="52"/>
      <c r="C76" s="52"/>
      <c r="D76" s="53"/>
      <c r="E76" s="51"/>
      <c r="F76" s="49"/>
      <c r="G76" s="53"/>
      <c r="H76" s="51"/>
      <c r="I76" s="51"/>
    </row>
    <row r="77" spans="1:21" s="50" customFormat="1" ht="14.25" x14ac:dyDescent="0.2">
      <c r="A77" s="51"/>
      <c r="B77" s="53"/>
      <c r="C77" s="53"/>
      <c r="D77" s="53"/>
      <c r="E77" s="51"/>
      <c r="F77" s="49"/>
      <c r="G77" s="53"/>
      <c r="H77" s="51"/>
      <c r="I77" s="51"/>
    </row>
    <row r="78" spans="1:21" s="50" customFormat="1" ht="14.25" x14ac:dyDescent="0.2">
      <c r="A78" s="51"/>
      <c r="B78" s="53"/>
      <c r="C78" s="53"/>
      <c r="D78" s="53"/>
      <c r="E78" s="51"/>
      <c r="F78" s="49"/>
      <c r="G78" s="53"/>
      <c r="H78" s="51"/>
      <c r="I78" s="51"/>
    </row>
    <row r="79" spans="1:21" s="50" customFormat="1" ht="14.25" x14ac:dyDescent="0.2">
      <c r="A79" s="51"/>
      <c r="B79" s="53"/>
      <c r="C79" s="53"/>
      <c r="D79" s="51"/>
      <c r="E79" s="51"/>
      <c r="F79" s="49"/>
      <c r="G79" s="53"/>
      <c r="H79" s="51"/>
      <c r="I79" s="51"/>
    </row>
    <row r="80" spans="1:21" s="50" customFormat="1" ht="14.25" x14ac:dyDescent="0.2">
      <c r="A80" s="51"/>
      <c r="B80" s="53"/>
      <c r="C80" s="53"/>
      <c r="D80" s="51"/>
      <c r="E80" s="51"/>
      <c r="F80" s="49"/>
      <c r="G80" s="53"/>
      <c r="H80" s="51"/>
      <c r="I80" s="51"/>
    </row>
    <row r="81" spans="1:9" s="50" customFormat="1" ht="15" x14ac:dyDescent="0.25">
      <c r="A81" s="51"/>
      <c r="B81" s="53"/>
      <c r="C81" s="53"/>
      <c r="D81" s="52"/>
      <c r="E81" s="51"/>
      <c r="F81" s="49"/>
      <c r="G81" s="53"/>
      <c r="H81" s="51"/>
      <c r="I81" s="51"/>
    </row>
    <row r="82" spans="1:9" s="50" customFormat="1" ht="14.25" x14ac:dyDescent="0.2">
      <c r="A82" s="51"/>
      <c r="B82" s="53"/>
      <c r="C82" s="53"/>
      <c r="D82" s="53"/>
      <c r="E82" s="51"/>
      <c r="F82" s="49"/>
      <c r="G82" s="53"/>
      <c r="H82" s="51"/>
      <c r="I82" s="51"/>
    </row>
    <row r="83" spans="1:9" s="50" customFormat="1" ht="14.25" x14ac:dyDescent="0.2">
      <c r="A83" s="51"/>
      <c r="B83" s="53"/>
      <c r="C83" s="53"/>
      <c r="D83" s="53"/>
      <c r="E83" s="51"/>
      <c r="F83" s="49"/>
      <c r="G83" s="53"/>
      <c r="H83" s="51"/>
      <c r="I83" s="51"/>
    </row>
    <row r="84" spans="1:9" s="50" customFormat="1" ht="14.25" x14ac:dyDescent="0.2">
      <c r="A84" s="51"/>
      <c r="B84" s="51"/>
      <c r="C84" s="51"/>
      <c r="D84" s="53"/>
      <c r="E84" s="51"/>
      <c r="F84" s="49"/>
      <c r="G84" s="53"/>
      <c r="H84" s="51"/>
      <c r="I84" s="51"/>
    </row>
    <row r="85" spans="1:9" s="50" customFormat="1" ht="14.25" x14ac:dyDescent="0.2">
      <c r="A85" s="51"/>
      <c r="B85" s="51"/>
      <c r="C85" s="51"/>
      <c r="D85" s="53"/>
      <c r="E85" s="51"/>
      <c r="F85" s="49"/>
      <c r="G85" s="53"/>
      <c r="H85" s="51"/>
      <c r="I85" s="51"/>
    </row>
    <row r="86" spans="1:9" s="50" customFormat="1" ht="15" x14ac:dyDescent="0.25">
      <c r="A86" s="51"/>
      <c r="B86" s="52"/>
      <c r="C86" s="52"/>
      <c r="D86" s="53"/>
      <c r="E86" s="51"/>
      <c r="F86" s="49"/>
      <c r="G86" s="53"/>
      <c r="H86" s="51"/>
      <c r="I86" s="51"/>
    </row>
    <row r="87" spans="1:9" s="50" customFormat="1" ht="14.25" x14ac:dyDescent="0.2">
      <c r="A87" s="51"/>
      <c r="B87" s="53"/>
      <c r="C87" s="53"/>
      <c r="D87" s="53"/>
      <c r="E87" s="51"/>
      <c r="F87" s="49"/>
      <c r="G87" s="53"/>
      <c r="H87" s="51"/>
      <c r="I87" s="51"/>
    </row>
    <row r="88" spans="1:9" s="50" customFormat="1" ht="14.25" x14ac:dyDescent="0.2">
      <c r="A88" s="51"/>
      <c r="B88" s="53"/>
      <c r="C88" s="53"/>
      <c r="D88" s="53"/>
      <c r="E88" s="51"/>
      <c r="F88" s="49"/>
      <c r="G88" s="53"/>
      <c r="H88" s="51"/>
      <c r="I88" s="51"/>
    </row>
    <row r="89" spans="1:9" s="50" customFormat="1" ht="14.25" x14ac:dyDescent="0.2">
      <c r="A89" s="51"/>
      <c r="B89" s="53"/>
      <c r="C89" s="53"/>
      <c r="D89" s="51"/>
      <c r="E89" s="51"/>
      <c r="F89" s="49"/>
      <c r="G89" s="53"/>
      <c r="H89" s="51"/>
      <c r="I89" s="51"/>
    </row>
    <row r="90" spans="1:9" s="50" customFormat="1" ht="14.25" x14ac:dyDescent="0.2">
      <c r="A90" s="51"/>
      <c r="B90" s="53"/>
      <c r="C90" s="53"/>
      <c r="D90" s="51"/>
      <c r="E90" s="51"/>
      <c r="F90" s="49"/>
      <c r="G90" s="53"/>
      <c r="H90" s="51"/>
      <c r="I90" s="51"/>
    </row>
    <row r="91" spans="1:9" s="50" customFormat="1" ht="14.25" x14ac:dyDescent="0.2">
      <c r="A91" s="51"/>
      <c r="B91" s="53"/>
      <c r="C91" s="53"/>
      <c r="D91" s="51"/>
      <c r="E91" s="51"/>
      <c r="F91" s="49"/>
      <c r="G91" s="53"/>
      <c r="H91" s="51"/>
      <c r="I91" s="51"/>
    </row>
    <row r="92" spans="1:9" s="50" customFormat="1" ht="14.25" x14ac:dyDescent="0.2">
      <c r="A92" s="51"/>
      <c r="B92" s="53"/>
      <c r="C92" s="53"/>
      <c r="D92" s="51"/>
      <c r="E92" s="51"/>
      <c r="F92" s="49"/>
      <c r="G92" s="53"/>
      <c r="H92" s="51"/>
      <c r="I92" s="51"/>
    </row>
    <row r="93" spans="1:9" s="50" customFormat="1" ht="14.25" x14ac:dyDescent="0.2">
      <c r="A93" s="51"/>
      <c r="B93" s="53"/>
      <c r="C93" s="53"/>
      <c r="D93" s="51"/>
      <c r="E93" s="51"/>
      <c r="F93" s="49"/>
      <c r="G93" s="53"/>
      <c r="H93" s="51"/>
      <c r="I93" s="51"/>
    </row>
    <row r="94" spans="1:9" s="50" customFormat="1" ht="15" x14ac:dyDescent="0.25">
      <c r="A94" s="51"/>
      <c r="B94" s="53"/>
      <c r="C94" s="53"/>
      <c r="D94" s="52"/>
      <c r="E94" s="51"/>
      <c r="F94" s="49"/>
      <c r="G94" s="53"/>
      <c r="H94" s="51"/>
      <c r="I94" s="51"/>
    </row>
    <row r="95" spans="1:9" s="50" customFormat="1" ht="14.25" x14ac:dyDescent="0.2">
      <c r="A95" s="51"/>
      <c r="B95" s="53"/>
      <c r="C95" s="53"/>
      <c r="D95" s="53"/>
      <c r="E95" s="51"/>
      <c r="F95" s="49"/>
      <c r="G95" s="53"/>
      <c r="H95" s="51"/>
      <c r="I95" s="51"/>
    </row>
    <row r="96" spans="1:9" s="50" customFormat="1" ht="14.25" x14ac:dyDescent="0.2">
      <c r="A96" s="51"/>
      <c r="B96" s="53"/>
      <c r="C96" s="53"/>
      <c r="D96" s="53"/>
      <c r="E96" s="51"/>
      <c r="F96" s="49"/>
      <c r="G96" s="53"/>
      <c r="H96" s="51"/>
      <c r="I96" s="51"/>
    </row>
    <row r="97" spans="1:9" s="50" customFormat="1" ht="14.25" x14ac:dyDescent="0.2">
      <c r="A97" s="51"/>
      <c r="B97" s="51"/>
      <c r="C97" s="51"/>
      <c r="D97" s="53"/>
      <c r="E97" s="51"/>
      <c r="F97" s="49"/>
      <c r="G97" s="53"/>
      <c r="H97" s="51"/>
      <c r="I97" s="51"/>
    </row>
    <row r="98" spans="1:9" s="50" customFormat="1" ht="14.25" x14ac:dyDescent="0.2">
      <c r="A98" s="51"/>
      <c r="B98" s="51"/>
      <c r="C98" s="51"/>
      <c r="D98" s="53"/>
      <c r="E98" s="51"/>
      <c r="F98" s="49"/>
      <c r="G98" s="53"/>
      <c r="H98" s="51"/>
      <c r="I98" s="51"/>
    </row>
    <row r="99" spans="1:9" s="50" customFormat="1" ht="14.25" x14ac:dyDescent="0.2">
      <c r="A99" s="51"/>
      <c r="B99" s="51"/>
      <c r="C99" s="51"/>
      <c r="D99" s="53"/>
      <c r="E99" s="51"/>
      <c r="F99" s="49"/>
      <c r="G99" s="53"/>
      <c r="H99" s="51"/>
      <c r="I99" s="51"/>
    </row>
    <row r="100" spans="1:9" s="50" customFormat="1" ht="14.25" x14ac:dyDescent="0.2">
      <c r="A100" s="51"/>
      <c r="B100" s="51"/>
      <c r="C100" s="51"/>
      <c r="D100" s="53"/>
      <c r="E100" s="51"/>
      <c r="F100" s="49"/>
      <c r="G100" s="53"/>
      <c r="H100" s="51"/>
      <c r="I100" s="51"/>
    </row>
    <row r="101" spans="1:9" s="50" customFormat="1" ht="15" x14ac:dyDescent="0.25">
      <c r="A101" s="51"/>
      <c r="B101" s="52"/>
      <c r="C101" s="52"/>
      <c r="D101" s="53"/>
      <c r="E101" s="51"/>
      <c r="F101" s="49"/>
      <c r="G101" s="53"/>
      <c r="H101" s="51"/>
      <c r="I101" s="51"/>
    </row>
    <row r="102" spans="1:9" s="50" customFormat="1" ht="14.25" x14ac:dyDescent="0.2">
      <c r="A102" s="51"/>
      <c r="B102" s="53"/>
      <c r="C102" s="53"/>
      <c r="D102" s="53"/>
      <c r="E102" s="51"/>
      <c r="F102" s="49"/>
      <c r="G102" s="53"/>
      <c r="H102" s="51"/>
      <c r="I102" s="51"/>
    </row>
    <row r="103" spans="1:9" s="50" customFormat="1" ht="14.25" x14ac:dyDescent="0.2">
      <c r="A103" s="51"/>
      <c r="B103" s="53"/>
      <c r="C103" s="53"/>
      <c r="D103" s="53"/>
      <c r="E103" s="51"/>
      <c r="F103" s="49"/>
      <c r="G103" s="53"/>
      <c r="H103" s="51"/>
      <c r="I103" s="51"/>
    </row>
    <row r="104" spans="1:9" s="50" customFormat="1" ht="14.25" x14ac:dyDescent="0.2">
      <c r="A104" s="51"/>
      <c r="B104" s="53"/>
      <c r="C104" s="53"/>
      <c r="D104" s="53"/>
      <c r="E104" s="51"/>
      <c r="F104" s="49"/>
      <c r="G104" s="53"/>
      <c r="H104" s="51"/>
      <c r="I104" s="51"/>
    </row>
    <row r="105" spans="1:9" s="50" customFormat="1" ht="14.25" x14ac:dyDescent="0.2">
      <c r="A105" s="51"/>
      <c r="B105" s="53"/>
      <c r="C105" s="53"/>
      <c r="D105" s="51"/>
      <c r="E105" s="51"/>
      <c r="F105" s="49"/>
      <c r="G105" s="53"/>
      <c r="H105" s="51"/>
      <c r="I105" s="51"/>
    </row>
    <row r="106" spans="1:9" s="50" customFormat="1" ht="14.25" x14ac:dyDescent="0.2">
      <c r="A106" s="51"/>
      <c r="B106" s="53"/>
      <c r="C106" s="53"/>
      <c r="D106" s="51"/>
      <c r="E106" s="51"/>
      <c r="F106" s="49"/>
      <c r="G106" s="53"/>
      <c r="H106" s="51"/>
      <c r="I106" s="51"/>
    </row>
    <row r="107" spans="1:9" s="50" customFormat="1" ht="14.25" x14ac:dyDescent="0.2">
      <c r="A107" s="51"/>
      <c r="B107" s="53"/>
      <c r="C107" s="53"/>
      <c r="D107" s="51"/>
      <c r="E107" s="51"/>
      <c r="F107" s="49"/>
      <c r="G107" s="53"/>
      <c r="H107" s="51"/>
      <c r="I107" s="51"/>
    </row>
    <row r="108" spans="1:9" s="50" customFormat="1" ht="15" x14ac:dyDescent="0.25">
      <c r="A108" s="51"/>
      <c r="B108" s="53"/>
      <c r="C108" s="53"/>
      <c r="D108" s="52"/>
      <c r="E108" s="51"/>
      <c r="F108" s="49"/>
      <c r="G108" s="53"/>
      <c r="H108" s="51"/>
      <c r="I108" s="51"/>
    </row>
    <row r="109" spans="1:9" s="50" customFormat="1" ht="14.25" x14ac:dyDescent="0.2">
      <c r="A109" s="51"/>
      <c r="B109" s="53"/>
      <c r="C109" s="53"/>
      <c r="D109" s="53"/>
      <c r="E109" s="51"/>
      <c r="F109" s="49"/>
      <c r="G109" s="53"/>
      <c r="H109" s="51"/>
      <c r="I109" s="51"/>
    </row>
    <row r="110" spans="1:9" s="50" customFormat="1" ht="14.25" x14ac:dyDescent="0.2">
      <c r="A110" s="51"/>
      <c r="B110" s="53"/>
      <c r="C110" s="53"/>
      <c r="D110" s="53"/>
      <c r="E110" s="51"/>
      <c r="F110" s="49"/>
      <c r="G110" s="53"/>
      <c r="H110" s="51"/>
      <c r="I110" s="51"/>
    </row>
    <row r="111" spans="1:9" s="50" customFormat="1" ht="14.25" x14ac:dyDescent="0.2">
      <c r="A111" s="51"/>
      <c r="B111" s="53"/>
      <c r="C111" s="53"/>
      <c r="D111" s="53"/>
      <c r="E111" s="51"/>
      <c r="F111" s="49"/>
      <c r="G111" s="53"/>
      <c r="H111" s="51"/>
      <c r="I111" s="51"/>
    </row>
    <row r="112" spans="1:9" s="50" customFormat="1" ht="14.25" x14ac:dyDescent="0.2">
      <c r="A112" s="51"/>
      <c r="B112" s="51"/>
      <c r="C112" s="51"/>
      <c r="D112" s="53"/>
      <c r="E112" s="51"/>
      <c r="F112" s="49"/>
      <c r="G112" s="53"/>
      <c r="H112" s="51"/>
      <c r="I112" s="51"/>
    </row>
    <row r="113" spans="1:12" s="50" customFormat="1" ht="14.25" x14ac:dyDescent="0.2">
      <c r="A113" s="51"/>
      <c r="B113" s="51"/>
      <c r="C113" s="51"/>
      <c r="D113" s="53"/>
      <c r="E113" s="51"/>
      <c r="F113" s="49"/>
      <c r="G113" s="53"/>
      <c r="H113" s="51"/>
      <c r="I113" s="51"/>
    </row>
    <row r="114" spans="1:12" s="50" customFormat="1" ht="14.25" x14ac:dyDescent="0.2">
      <c r="A114" s="51"/>
      <c r="B114" s="51"/>
      <c r="C114" s="51"/>
      <c r="D114" s="53"/>
      <c r="E114" s="51"/>
      <c r="F114" s="49"/>
      <c r="G114" s="53"/>
      <c r="H114" s="51"/>
      <c r="I114" s="51"/>
    </row>
    <row r="115" spans="1:12" s="50" customFormat="1" ht="14.25" x14ac:dyDescent="0.2">
      <c r="A115" s="51"/>
      <c r="B115" s="51"/>
      <c r="C115" s="51"/>
      <c r="D115" s="53"/>
      <c r="E115" s="51"/>
      <c r="F115" s="49"/>
      <c r="G115" s="53"/>
      <c r="H115" s="51"/>
      <c r="I115" s="51"/>
    </row>
    <row r="116" spans="1:12" s="50" customFormat="1" ht="14.25" x14ac:dyDescent="0.2">
      <c r="A116" s="51"/>
      <c r="B116" s="51"/>
      <c r="C116" s="51"/>
      <c r="D116" s="53"/>
      <c r="E116" s="51"/>
      <c r="F116" s="49"/>
      <c r="G116" s="53"/>
      <c r="H116" s="51"/>
      <c r="I116" s="51"/>
    </row>
    <row r="117" spans="1:12" s="50" customFormat="1" ht="14.25" x14ac:dyDescent="0.2">
      <c r="A117" s="51"/>
      <c r="B117" s="51"/>
      <c r="C117" s="51"/>
      <c r="D117" s="53"/>
      <c r="E117" s="51"/>
      <c r="F117" s="49"/>
      <c r="G117" s="53"/>
      <c r="H117" s="49"/>
      <c r="I117" s="51"/>
    </row>
    <row r="118" spans="1:12" s="50" customFormat="1" ht="14.25" x14ac:dyDescent="0.2">
      <c r="A118" s="51"/>
      <c r="B118" s="51"/>
      <c r="C118" s="51"/>
      <c r="D118" s="53"/>
      <c r="E118" s="51"/>
      <c r="F118" s="49"/>
      <c r="G118" s="53"/>
      <c r="H118" s="49"/>
      <c r="I118" s="51"/>
    </row>
    <row r="119" spans="1:12" s="50" customFormat="1" ht="14.25" x14ac:dyDescent="0.2">
      <c r="A119" s="51"/>
      <c r="B119" s="51"/>
      <c r="C119" s="51"/>
      <c r="D119" s="53"/>
      <c r="E119" s="51"/>
      <c r="F119" s="49"/>
      <c r="G119" s="53"/>
      <c r="H119" s="49"/>
      <c r="I119" s="51"/>
    </row>
    <row r="120" spans="1:12" s="50" customFormat="1" ht="14.25" x14ac:dyDescent="0.2">
      <c r="A120" s="51"/>
      <c r="B120" s="51"/>
      <c r="C120" s="51"/>
      <c r="D120" s="53"/>
      <c r="E120" s="51"/>
      <c r="F120" s="49"/>
      <c r="G120" s="53"/>
      <c r="H120" s="49"/>
      <c r="I120" s="51"/>
    </row>
    <row r="121" spans="1:12" s="50" customFormat="1" ht="14.25" x14ac:dyDescent="0.2">
      <c r="A121" s="51"/>
      <c r="B121" s="51"/>
      <c r="C121" s="51"/>
      <c r="D121" s="53"/>
      <c r="E121" s="51"/>
      <c r="F121" s="49"/>
      <c r="G121" s="53"/>
      <c r="H121" s="49"/>
      <c r="I121" s="51"/>
    </row>
    <row r="122" spans="1:12" s="50" customFormat="1" ht="14.25" x14ac:dyDescent="0.2">
      <c r="A122" s="51"/>
      <c r="B122" s="51"/>
      <c r="C122" s="51"/>
      <c r="D122" s="53"/>
      <c r="E122" s="51"/>
      <c r="F122" s="49"/>
      <c r="G122" s="53"/>
      <c r="H122" s="49"/>
      <c r="I122" s="51"/>
    </row>
    <row r="123" spans="1:12" s="50" customFormat="1" ht="14.25" x14ac:dyDescent="0.2">
      <c r="A123" s="51"/>
      <c r="B123" s="51"/>
      <c r="C123" s="51"/>
      <c r="D123" s="53"/>
      <c r="E123" s="51"/>
      <c r="F123" s="49"/>
      <c r="G123" s="53"/>
      <c r="H123" s="49"/>
      <c r="I123" s="51"/>
    </row>
    <row r="124" spans="1:12" s="50" customFormat="1" ht="14.25" x14ac:dyDescent="0.2">
      <c r="I124" s="51"/>
      <c r="J124" s="51"/>
      <c r="L124" s="54"/>
    </row>
    <row r="125" spans="1:12" s="50" customForma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6"/>
    </row>
    <row r="126" spans="1:12" s="50" customFormat="1" x14ac:dyDescent="0.2">
      <c r="A126" s="54"/>
      <c r="B126" s="54"/>
      <c r="C126" s="54"/>
      <c r="D126" s="55"/>
      <c r="E126" s="56"/>
      <c r="F126" s="56"/>
      <c r="G126" s="56"/>
      <c r="H126" s="56"/>
      <c r="I126" s="56"/>
      <c r="J126" s="55"/>
      <c r="K126" s="56"/>
      <c r="L126" s="56"/>
    </row>
    <row r="127" spans="1:12" s="50" customFormat="1" x14ac:dyDescent="0.2">
      <c r="A127" s="54"/>
      <c r="B127" s="54"/>
      <c r="C127" s="54"/>
      <c r="D127" s="55"/>
      <c r="E127" s="56"/>
      <c r="F127" s="56"/>
      <c r="G127" s="56"/>
      <c r="H127" s="56"/>
      <c r="I127" s="56"/>
      <c r="J127" s="55"/>
      <c r="K127" s="56"/>
      <c r="L127" s="56"/>
    </row>
    <row r="128" spans="1:12" s="50" customFormat="1" x14ac:dyDescent="0.2">
      <c r="A128" s="54"/>
      <c r="B128" s="54"/>
      <c r="C128" s="54"/>
      <c r="D128" s="55"/>
      <c r="E128" s="56"/>
      <c r="F128" s="56"/>
      <c r="G128" s="56"/>
      <c r="H128" s="56"/>
      <c r="I128" s="56"/>
      <c r="J128" s="55"/>
      <c r="K128" s="56"/>
      <c r="L128" s="56"/>
    </row>
    <row r="129" spans="1:11" s="50" customFormat="1" x14ac:dyDescent="0.2">
      <c r="A129" s="54"/>
      <c r="B129" s="54"/>
      <c r="C129" s="54"/>
      <c r="D129" s="55"/>
      <c r="E129" s="56"/>
      <c r="F129" s="56"/>
      <c r="G129" s="56"/>
      <c r="H129" s="56"/>
      <c r="I129" s="56"/>
      <c r="J129" s="55"/>
      <c r="K129" s="56"/>
    </row>
    <row r="130" spans="1:11" s="50" customFormat="1" x14ac:dyDescent="0.2"/>
    <row r="131" spans="1:11" s="50" customFormat="1" x14ac:dyDescent="0.2">
      <c r="A131" s="57"/>
    </row>
    <row r="132" spans="1:11" s="50" customFormat="1" x14ac:dyDescent="0.2"/>
    <row r="133" spans="1:11" s="50" customFormat="1" x14ac:dyDescent="0.2"/>
    <row r="134" spans="1:11" s="50" customFormat="1" x14ac:dyDescent="0.2"/>
    <row r="135" spans="1:11" s="50" customFormat="1" x14ac:dyDescent="0.2"/>
    <row r="136" spans="1:11" x14ac:dyDescent="0.2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</row>
  </sheetData>
  <sheetProtection sheet="1" objects="1" scenarios="1"/>
  <phoneticPr fontId="1" type="noConversion"/>
  <pageMargins left="0" right="0" top="0.78740157480314965" bottom="0.39370078740157483" header="0.51181102362204722" footer="0.31496062992125984"/>
  <pageSetup paperSize="9" scale="5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workbookViewId="0">
      <selection activeCell="B69" sqref="B69"/>
    </sheetView>
  </sheetViews>
  <sheetFormatPr defaultRowHeight="12.75" x14ac:dyDescent="0.2"/>
  <sheetData>
    <row r="1" spans="1:2" ht="14.25" x14ac:dyDescent="0.2">
      <c r="A1" s="39">
        <v>1</v>
      </c>
      <c r="B1" s="40">
        <v>13353</v>
      </c>
    </row>
    <row r="2" spans="1:2" ht="14.25" x14ac:dyDescent="0.2">
      <c r="A2" s="41">
        <v>2</v>
      </c>
      <c r="B2" s="40">
        <v>13702</v>
      </c>
    </row>
    <row r="3" spans="1:2" ht="14.25" x14ac:dyDescent="0.2">
      <c r="A3" s="41">
        <v>3</v>
      </c>
      <c r="B3" s="40">
        <v>14061</v>
      </c>
    </row>
    <row r="4" spans="1:2" ht="14.25" x14ac:dyDescent="0.2">
      <c r="A4" s="41">
        <v>4</v>
      </c>
      <c r="B4" s="40">
        <v>14376</v>
      </c>
    </row>
    <row r="5" spans="1:2" ht="14.25" x14ac:dyDescent="0.2">
      <c r="A5" s="41">
        <v>5</v>
      </c>
      <c r="B5" s="40">
        <v>14758</v>
      </c>
    </row>
    <row r="6" spans="1:2" ht="14.25" x14ac:dyDescent="0.2">
      <c r="A6" s="41">
        <v>6</v>
      </c>
      <c r="B6" s="40">
        <v>15151</v>
      </c>
    </row>
    <row r="7" spans="1:2" ht="14.25" x14ac:dyDescent="0.2">
      <c r="A7" s="41">
        <v>7</v>
      </c>
      <c r="B7" s="40">
        <v>15503</v>
      </c>
    </row>
    <row r="8" spans="1:2" ht="14.25" x14ac:dyDescent="0.2">
      <c r="A8" s="41">
        <v>8</v>
      </c>
      <c r="B8" s="40">
        <v>15932</v>
      </c>
    </row>
    <row r="9" spans="1:2" ht="14.25" x14ac:dyDescent="0.2">
      <c r="A9" s="41">
        <v>9</v>
      </c>
      <c r="B9" s="40">
        <v>16376</v>
      </c>
    </row>
    <row r="10" spans="1:2" ht="14.25" x14ac:dyDescent="0.2">
      <c r="A10" s="41">
        <v>10</v>
      </c>
      <c r="B10" s="40">
        <v>16846</v>
      </c>
    </row>
    <row r="11" spans="1:2" ht="14.25" x14ac:dyDescent="0.2">
      <c r="A11" s="41">
        <v>11</v>
      </c>
      <c r="B11" s="40">
        <v>17329</v>
      </c>
    </row>
    <row r="12" spans="1:2" ht="14.25" x14ac:dyDescent="0.2">
      <c r="A12" s="41">
        <v>12</v>
      </c>
      <c r="B12" s="40">
        <v>17827</v>
      </c>
    </row>
    <row r="13" spans="1:2" ht="14.25" x14ac:dyDescent="0.2">
      <c r="A13" s="41">
        <v>13</v>
      </c>
      <c r="B13" s="40">
        <v>18340</v>
      </c>
    </row>
    <row r="14" spans="1:2" ht="14.25" x14ac:dyDescent="0.2">
      <c r="A14" s="41">
        <v>14</v>
      </c>
      <c r="B14" s="40">
        <v>18868</v>
      </c>
    </row>
    <row r="15" spans="1:2" ht="14.25" x14ac:dyDescent="0.2">
      <c r="A15" s="41">
        <v>15</v>
      </c>
      <c r="B15" s="40">
        <v>19411</v>
      </c>
    </row>
    <row r="16" spans="1:2" ht="14.25" x14ac:dyDescent="0.2">
      <c r="A16" s="41">
        <v>16</v>
      </c>
      <c r="B16" s="40">
        <v>19972</v>
      </c>
    </row>
    <row r="17" spans="1:2" ht="14.25" x14ac:dyDescent="0.2">
      <c r="A17" s="41">
        <v>17</v>
      </c>
      <c r="B17" s="40">
        <v>20559</v>
      </c>
    </row>
    <row r="18" spans="1:2" ht="14.25" x14ac:dyDescent="0.2">
      <c r="A18" s="41">
        <v>18</v>
      </c>
      <c r="B18" s="40">
        <v>21171</v>
      </c>
    </row>
    <row r="19" spans="1:2" ht="14.25" x14ac:dyDescent="0.2">
      <c r="A19" s="41">
        <v>19</v>
      </c>
      <c r="B19" s="40">
        <v>21802</v>
      </c>
    </row>
    <row r="20" spans="1:2" ht="14.25" x14ac:dyDescent="0.2">
      <c r="A20" s="41">
        <v>20</v>
      </c>
      <c r="B20" s="40">
        <v>22475</v>
      </c>
    </row>
    <row r="21" spans="1:2" ht="14.25" x14ac:dyDescent="0.2">
      <c r="A21" s="41">
        <v>21</v>
      </c>
      <c r="B21" s="40">
        <v>23121</v>
      </c>
    </row>
    <row r="22" spans="1:2" ht="14.25" x14ac:dyDescent="0.2">
      <c r="A22" s="41">
        <v>22</v>
      </c>
      <c r="B22" s="40">
        <v>23811</v>
      </c>
    </row>
    <row r="23" spans="1:2" ht="14.25" x14ac:dyDescent="0.2">
      <c r="A23" s="41">
        <v>23</v>
      </c>
      <c r="B23" s="40">
        <v>24520</v>
      </c>
    </row>
    <row r="24" spans="1:2" ht="14.25" x14ac:dyDescent="0.2">
      <c r="A24" s="41">
        <v>24</v>
      </c>
      <c r="B24" s="40">
        <v>25251</v>
      </c>
    </row>
    <row r="25" spans="1:2" ht="14.25" x14ac:dyDescent="0.2">
      <c r="A25" s="41">
        <v>25</v>
      </c>
      <c r="B25" s="40">
        <v>26004</v>
      </c>
    </row>
    <row r="26" spans="1:2" ht="14.25" x14ac:dyDescent="0.2">
      <c r="A26" s="41">
        <v>26</v>
      </c>
      <c r="B26" s="40">
        <v>26779</v>
      </c>
    </row>
    <row r="27" spans="1:2" ht="14.25" x14ac:dyDescent="0.2">
      <c r="A27" s="41">
        <v>27</v>
      </c>
      <c r="B27" s="40">
        <v>26779</v>
      </c>
    </row>
    <row r="28" spans="1:2" ht="14.25" x14ac:dyDescent="0.2">
      <c r="A28" s="41">
        <v>28</v>
      </c>
      <c r="B28" s="40">
        <v>28401</v>
      </c>
    </row>
    <row r="29" spans="1:2" ht="14.25" x14ac:dyDescent="0.2">
      <c r="A29" s="41">
        <v>29</v>
      </c>
      <c r="B29" s="40">
        <v>29249</v>
      </c>
    </row>
    <row r="30" spans="1:2" ht="14.25" x14ac:dyDescent="0.2">
      <c r="A30" s="41">
        <v>30</v>
      </c>
      <c r="B30" s="40">
        <v>30122</v>
      </c>
    </row>
    <row r="31" spans="1:2" ht="14.25" x14ac:dyDescent="0.2">
      <c r="A31" s="41">
        <v>31</v>
      </c>
      <c r="B31" s="40">
        <v>31020</v>
      </c>
    </row>
    <row r="32" spans="1:2" ht="14.25" x14ac:dyDescent="0.2">
      <c r="A32" s="41">
        <v>32</v>
      </c>
      <c r="B32" s="40">
        <v>31948</v>
      </c>
    </row>
    <row r="33" spans="1:2" ht="14.25" x14ac:dyDescent="0.2">
      <c r="A33" s="41">
        <v>33</v>
      </c>
      <c r="B33" s="40">
        <v>32901</v>
      </c>
    </row>
    <row r="34" spans="1:2" ht="14.25" x14ac:dyDescent="0.2">
      <c r="A34" s="41">
        <v>34</v>
      </c>
      <c r="B34" s="40">
        <v>33884</v>
      </c>
    </row>
    <row r="35" spans="1:2" ht="14.25" x14ac:dyDescent="0.2">
      <c r="A35" s="41">
        <v>35</v>
      </c>
      <c r="B35" s="40">
        <v>33884</v>
      </c>
    </row>
    <row r="36" spans="1:2" ht="14.25" x14ac:dyDescent="0.2">
      <c r="A36" s="41">
        <v>36</v>
      </c>
      <c r="B36" s="40">
        <v>35938</v>
      </c>
    </row>
    <row r="37" spans="1:2" ht="14.25" x14ac:dyDescent="0.2">
      <c r="A37" s="41">
        <v>37</v>
      </c>
      <c r="B37" s="40">
        <v>37012</v>
      </c>
    </row>
    <row r="38" spans="1:2" ht="14.25" x14ac:dyDescent="0.2">
      <c r="A38" s="41">
        <v>38</v>
      </c>
      <c r="B38" s="40">
        <v>38140</v>
      </c>
    </row>
    <row r="39" spans="1:2" ht="14.25" x14ac:dyDescent="0.2">
      <c r="A39" s="41">
        <v>39</v>
      </c>
      <c r="B39" s="40">
        <v>39257</v>
      </c>
    </row>
    <row r="40" spans="1:2" ht="14.25" x14ac:dyDescent="0.2">
      <c r="A40" s="41">
        <v>40</v>
      </c>
      <c r="B40" s="40">
        <v>40430</v>
      </c>
    </row>
    <row r="41" spans="1:2" ht="14.25" x14ac:dyDescent="0.2">
      <c r="A41" s="41">
        <v>41</v>
      </c>
      <c r="B41" s="40">
        <v>41639</v>
      </c>
    </row>
    <row r="42" spans="1:2" ht="14.25" x14ac:dyDescent="0.2">
      <c r="A42" s="41">
        <v>42</v>
      </c>
      <c r="B42" s="40">
        <v>42883</v>
      </c>
    </row>
    <row r="43" spans="1:2" ht="14.25" x14ac:dyDescent="0.2">
      <c r="A43" s="41">
        <v>43</v>
      </c>
      <c r="B43" s="40">
        <v>44166</v>
      </c>
    </row>
    <row r="44" spans="1:2" ht="14.25" x14ac:dyDescent="0.2">
      <c r="A44" s="41">
        <v>44</v>
      </c>
      <c r="B44" s="40">
        <v>45486</v>
      </c>
    </row>
    <row r="45" spans="1:2" ht="14.25" x14ac:dyDescent="0.2">
      <c r="A45" s="41">
        <v>45</v>
      </c>
      <c r="B45" s="40">
        <v>46846</v>
      </c>
    </row>
    <row r="46" spans="1:2" ht="14.25" x14ac:dyDescent="0.2">
      <c r="A46" s="41">
        <v>46</v>
      </c>
      <c r="B46" s="40">
        <v>48246</v>
      </c>
    </row>
    <row r="47" spans="1:2" ht="14.25" x14ac:dyDescent="0.2">
      <c r="A47" s="41">
        <v>47</v>
      </c>
      <c r="B47" s="40">
        <v>49689</v>
      </c>
    </row>
    <row r="48" spans="1:2" ht="14.25" x14ac:dyDescent="0.2">
      <c r="A48" s="41">
        <v>48</v>
      </c>
      <c r="B48" s="40">
        <v>51175</v>
      </c>
    </row>
    <row r="49" spans="1:3" ht="14.25" x14ac:dyDescent="0.2">
      <c r="A49" s="41">
        <v>49</v>
      </c>
      <c r="B49" s="40">
        <v>52706</v>
      </c>
    </row>
    <row r="50" spans="1:3" ht="14.25" x14ac:dyDescent="0.2">
      <c r="A50" s="41">
        <v>50</v>
      </c>
      <c r="B50" s="42">
        <v>54283</v>
      </c>
    </row>
    <row r="51" spans="1:3" ht="14.25" x14ac:dyDescent="0.2">
      <c r="A51" s="41">
        <v>51</v>
      </c>
      <c r="B51" s="42">
        <v>55908</v>
      </c>
    </row>
    <row r="52" spans="1:3" ht="14.25" x14ac:dyDescent="0.2">
      <c r="A52" s="41">
        <v>52</v>
      </c>
      <c r="B52" s="43">
        <v>57579.803999999996</v>
      </c>
    </row>
    <row r="53" spans="1:3" ht="14.25" x14ac:dyDescent="0.2">
      <c r="A53" s="41">
        <v>53</v>
      </c>
      <c r="B53" s="43">
        <v>59302.667999999998</v>
      </c>
    </row>
    <row r="54" spans="1:3" ht="14.25" x14ac:dyDescent="0.2">
      <c r="A54" s="41">
        <v>54</v>
      </c>
      <c r="B54" s="43">
        <v>61077.74</v>
      </c>
    </row>
    <row r="55" spans="1:3" ht="14.25" x14ac:dyDescent="0.2">
      <c r="A55" s="41">
        <v>55</v>
      </c>
      <c r="B55" s="43">
        <v>62905.02</v>
      </c>
    </row>
    <row r="56" spans="1:3" ht="14.25" x14ac:dyDescent="0.2">
      <c r="A56" s="41">
        <v>56</v>
      </c>
      <c r="B56" s="43">
        <v>64788.523999999998</v>
      </c>
    </row>
    <row r="57" spans="1:3" ht="14.25" x14ac:dyDescent="0.2">
      <c r="A57" s="41">
        <v>57</v>
      </c>
      <c r="B57" s="43">
        <v>66727</v>
      </c>
    </row>
    <row r="58" spans="1:3" ht="15" thickBot="1" x14ac:dyDescent="0.25">
      <c r="A58" s="44">
        <v>58</v>
      </c>
      <c r="B58" s="45">
        <v>68724.203999999998</v>
      </c>
    </row>
    <row r="59" spans="1:3" ht="13.5" thickTop="1" x14ac:dyDescent="0.2"/>
    <row r="61" spans="1:3" x14ac:dyDescent="0.2">
      <c r="A61" s="24" t="s">
        <v>72</v>
      </c>
    </row>
    <row r="63" spans="1:3" x14ac:dyDescent="0.2">
      <c r="A63">
        <v>1</v>
      </c>
      <c r="B63">
        <v>52557</v>
      </c>
      <c r="C63" t="s">
        <v>73</v>
      </c>
    </row>
    <row r="64" spans="1:3" x14ac:dyDescent="0.2">
      <c r="A64">
        <v>2</v>
      </c>
      <c r="B64">
        <v>54131</v>
      </c>
      <c r="C64" t="s">
        <v>73</v>
      </c>
    </row>
    <row r="65" spans="1:4" x14ac:dyDescent="0.2">
      <c r="A65">
        <v>3</v>
      </c>
      <c r="B65">
        <v>55748</v>
      </c>
      <c r="C65" t="s">
        <v>73</v>
      </c>
    </row>
    <row r="66" spans="1:4" x14ac:dyDescent="0.2">
      <c r="A66">
        <v>4</v>
      </c>
      <c r="B66">
        <v>57416</v>
      </c>
      <c r="C66" t="s">
        <v>73</v>
      </c>
    </row>
    <row r="67" spans="1:4" x14ac:dyDescent="0.2">
      <c r="A67">
        <v>5</v>
      </c>
      <c r="B67">
        <v>59134</v>
      </c>
      <c r="C67" t="s">
        <v>73</v>
      </c>
    </row>
    <row r="68" spans="1:4" x14ac:dyDescent="0.2">
      <c r="A68">
        <v>6</v>
      </c>
      <c r="B68">
        <v>60906</v>
      </c>
      <c r="C68" t="s">
        <v>73</v>
      </c>
    </row>
    <row r="69" spans="1:4" x14ac:dyDescent="0.2">
      <c r="A69">
        <v>7</v>
      </c>
      <c r="B69">
        <v>62728</v>
      </c>
      <c r="C69" t="s">
        <v>73</v>
      </c>
    </row>
    <row r="70" spans="1:4" x14ac:dyDescent="0.2">
      <c r="A70">
        <v>8</v>
      </c>
      <c r="B70">
        <v>64604</v>
      </c>
      <c r="C70" t="s">
        <v>73</v>
      </c>
    </row>
    <row r="71" spans="1:4" x14ac:dyDescent="0.2">
      <c r="A71">
        <v>9</v>
      </c>
      <c r="B71">
        <v>66537</v>
      </c>
      <c r="C71" t="s">
        <v>73</v>
      </c>
    </row>
    <row r="72" spans="1:4" x14ac:dyDescent="0.2">
      <c r="A72">
        <v>10</v>
      </c>
      <c r="B72">
        <v>68528</v>
      </c>
      <c r="C72" t="s">
        <v>73</v>
      </c>
    </row>
    <row r="73" spans="1:4" x14ac:dyDescent="0.2">
      <c r="A73">
        <v>11</v>
      </c>
      <c r="B73">
        <v>70579</v>
      </c>
      <c r="C73" t="s">
        <v>73</v>
      </c>
    </row>
    <row r="74" spans="1:4" x14ac:dyDescent="0.2">
      <c r="A74">
        <v>12</v>
      </c>
      <c r="B74">
        <v>72694</v>
      </c>
      <c r="C74" t="s">
        <v>73</v>
      </c>
    </row>
    <row r="75" spans="1:4" x14ac:dyDescent="0.2">
      <c r="A75">
        <v>13</v>
      </c>
      <c r="B75">
        <v>74871</v>
      </c>
      <c r="C75" t="s">
        <v>73</v>
      </c>
    </row>
    <row r="76" spans="1:4" x14ac:dyDescent="0.2">
      <c r="A76">
        <v>14</v>
      </c>
      <c r="B76">
        <v>77113</v>
      </c>
      <c r="C76" t="s">
        <v>73</v>
      </c>
    </row>
    <row r="77" spans="1:4" x14ac:dyDescent="0.2">
      <c r="A77">
        <v>15</v>
      </c>
      <c r="B77">
        <v>79420</v>
      </c>
      <c r="C77" t="s">
        <v>73</v>
      </c>
    </row>
    <row r="78" spans="1:4" x14ac:dyDescent="0.2">
      <c r="A78">
        <v>16</v>
      </c>
      <c r="B78">
        <v>81799</v>
      </c>
      <c r="C78" t="s">
        <v>73</v>
      </c>
    </row>
    <row r="79" spans="1:4" x14ac:dyDescent="0.2">
      <c r="A79" s="47">
        <v>17</v>
      </c>
      <c r="B79" s="48">
        <v>82024</v>
      </c>
      <c r="C79" t="s">
        <v>74</v>
      </c>
      <c r="D79" t="s">
        <v>75</v>
      </c>
    </row>
    <row r="80" spans="1:4" x14ac:dyDescent="0.2">
      <c r="A80" s="47">
        <v>18</v>
      </c>
      <c r="B80" s="48">
        <v>93000</v>
      </c>
      <c r="C80" t="s">
        <v>74</v>
      </c>
      <c r="D80" t="s">
        <v>75</v>
      </c>
    </row>
    <row r="81" spans="1:11" x14ac:dyDescent="0.2">
      <c r="A81" s="47">
        <v>19</v>
      </c>
      <c r="B81" s="48">
        <v>105595</v>
      </c>
      <c r="C81" t="s">
        <v>74</v>
      </c>
      <c r="D81" t="s">
        <v>75</v>
      </c>
    </row>
    <row r="86" spans="1:11" ht="15.75" x14ac:dyDescent="0.25">
      <c r="A86" s="38" t="s">
        <v>64</v>
      </c>
    </row>
    <row r="87" spans="1:11" ht="16.5" x14ac:dyDescent="0.25">
      <c r="A87" s="36" t="s">
        <v>41</v>
      </c>
    </row>
    <row r="88" spans="1:11" x14ac:dyDescent="0.2">
      <c r="A88" s="191"/>
      <c r="B88" s="191"/>
      <c r="C88" s="37"/>
      <c r="D88" s="37" t="s">
        <v>42</v>
      </c>
      <c r="E88" s="191"/>
      <c r="F88" s="37" t="s">
        <v>46</v>
      </c>
      <c r="G88" s="191"/>
      <c r="H88" s="191"/>
      <c r="I88" s="37" t="s">
        <v>48</v>
      </c>
      <c r="K88" t="s">
        <v>54</v>
      </c>
    </row>
    <row r="89" spans="1:11" x14ac:dyDescent="0.2">
      <c r="A89" s="191"/>
      <c r="B89" s="191"/>
      <c r="C89" s="37"/>
      <c r="D89" s="37" t="s">
        <v>43</v>
      </c>
      <c r="E89" s="191"/>
      <c r="F89" s="37" t="s">
        <v>47</v>
      </c>
      <c r="G89" s="191"/>
      <c r="H89" s="191"/>
      <c r="I89" s="37" t="s">
        <v>43</v>
      </c>
      <c r="K89" t="s">
        <v>55</v>
      </c>
    </row>
    <row r="90" spans="1:11" x14ac:dyDescent="0.2">
      <c r="A90" s="191"/>
      <c r="B90" s="191"/>
      <c r="C90" s="37"/>
      <c r="D90" s="37" t="s">
        <v>44</v>
      </c>
      <c r="E90" s="191"/>
      <c r="F90" s="1"/>
      <c r="G90" s="191"/>
      <c r="H90" s="191"/>
      <c r="I90" s="37" t="s">
        <v>44</v>
      </c>
    </row>
    <row r="91" spans="1:11" x14ac:dyDescent="0.2">
      <c r="A91" s="191"/>
      <c r="B91" s="191"/>
      <c r="C91" s="37"/>
      <c r="D91" s="37" t="s">
        <v>45</v>
      </c>
      <c r="E91" s="191"/>
      <c r="F91" s="37" t="s">
        <v>45</v>
      </c>
      <c r="G91" s="191"/>
      <c r="H91" s="191"/>
      <c r="I91" s="37" t="s">
        <v>45</v>
      </c>
    </row>
    <row r="92" spans="1:11" ht="25.5" x14ac:dyDescent="0.2">
      <c r="A92" s="37"/>
      <c r="B92" s="37" t="s">
        <v>49</v>
      </c>
      <c r="C92" s="37"/>
      <c r="D92" s="37">
        <v>31.38</v>
      </c>
      <c r="E92" s="37" t="s">
        <v>50</v>
      </c>
      <c r="F92" s="37">
        <v>3.38</v>
      </c>
      <c r="G92" s="37" t="s">
        <v>51</v>
      </c>
      <c r="H92" s="37" t="s">
        <v>48</v>
      </c>
      <c r="I92" s="37">
        <v>34.76</v>
      </c>
    </row>
    <row r="93" spans="1:11" ht="25.5" x14ac:dyDescent="0.2">
      <c r="A93" s="37"/>
      <c r="B93" s="37" t="s">
        <v>52</v>
      </c>
      <c r="C93" s="37"/>
      <c r="D93" s="37">
        <v>40.15</v>
      </c>
      <c r="E93" s="37" t="s">
        <v>50</v>
      </c>
      <c r="F93" s="37">
        <v>4.32</v>
      </c>
      <c r="G93" s="37" t="s">
        <v>51</v>
      </c>
      <c r="H93" s="37" t="s">
        <v>48</v>
      </c>
      <c r="I93" s="37">
        <v>44.47</v>
      </c>
    </row>
    <row r="94" spans="1:11" ht="25.5" x14ac:dyDescent="0.2">
      <c r="A94" s="37"/>
      <c r="B94" s="37" t="s">
        <v>53</v>
      </c>
      <c r="C94" s="37"/>
      <c r="D94" s="37">
        <v>45.16</v>
      </c>
      <c r="E94" s="37" t="s">
        <v>50</v>
      </c>
      <c r="F94" s="37">
        <v>4.8600000000000003</v>
      </c>
      <c r="G94" s="37" t="s">
        <v>51</v>
      </c>
      <c r="H94" s="37" t="s">
        <v>48</v>
      </c>
      <c r="I94" s="37">
        <v>50.02</v>
      </c>
    </row>
  </sheetData>
  <sheetProtection sheet="1" objects="1" scenarios="1"/>
  <mergeCells count="5">
    <mergeCell ref="H88:H91"/>
    <mergeCell ref="A88:A91"/>
    <mergeCell ref="B88:B91"/>
    <mergeCell ref="E88:E91"/>
    <mergeCell ref="G88:G9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 Exp Forecast</vt:lpstr>
      <vt:lpstr>Policy decisions</vt:lpstr>
      <vt:lpstr>Income Model</vt:lpstr>
      <vt:lpstr>Costing Model</vt:lpstr>
      <vt:lpstr>Staff Costing Schedule</vt:lpstr>
      <vt:lpstr>Pay Source data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Furey</dc:creator>
  <cp:lastModifiedBy>O'Neill, Paul</cp:lastModifiedBy>
  <cp:lastPrinted>2012-10-29T13:28:20Z</cp:lastPrinted>
  <dcterms:created xsi:type="dcterms:W3CDTF">2012-03-12T12:20:18Z</dcterms:created>
  <dcterms:modified xsi:type="dcterms:W3CDTF">2013-02-14T15:21:22Z</dcterms:modified>
</cp:coreProperties>
</file>