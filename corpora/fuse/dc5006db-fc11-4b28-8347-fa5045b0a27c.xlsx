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7425"/>
  </bookViews>
  <sheets>
    <sheet name="4.6-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aaa98">'[1]344.13'!#REF!</definedName>
    <definedName name="___aaa99">'[2]344.13'!#REF!</definedName>
    <definedName name="___dga11">#REF!</definedName>
    <definedName name="___dga12">#REF!</definedName>
    <definedName name="___r">'[2]333.02'!#REF!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'[1]344.13'!#REF!</definedName>
    <definedName name="__aaa99">'[1]344.13'!#REF!</definedName>
    <definedName name="__dga11">#REF!</definedName>
    <definedName name="__dga12">#REF!</definedName>
    <definedName name="__f">#REF!</definedName>
    <definedName name="__fc">'[4]1.03'!$H$12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a98">'[5]344.13'!#REF!</definedName>
    <definedName name="_aaa99">'[5]344.13'!#REF!</definedName>
    <definedName name="_dga11">#REF!</definedName>
    <definedName name="_dga12">#REF!</definedName>
    <definedName name="_f">#REF!</definedName>
    <definedName name="_fc">'[4]1.03'!$H$12</definedName>
    <definedName name="_r">'[5]333.02'!#REF!</definedName>
    <definedName name="_TA1" localSheetId="0">#REF!</definedName>
    <definedName name="_TA1">#REF!</definedName>
    <definedName name="_TA2" localSheetId="0">#REF!</definedName>
    <definedName name="_TA2">#REF!</definedName>
    <definedName name="_TA3" localSheetId="0">#REF!</definedName>
    <definedName name="_TA3">#REF!</definedName>
    <definedName name="_TA4" localSheetId="0">#REF!</definedName>
    <definedName name="_TA4">#REF!</definedName>
    <definedName name="_TE1" localSheetId="0">#REF!</definedName>
    <definedName name="_TE1">#REF!</definedName>
    <definedName name="_TE2" localSheetId="0">#REF!</definedName>
    <definedName name="_TE2">#REF!</definedName>
    <definedName name="_TE3" localSheetId="0">#REF!</definedName>
    <definedName name="_TE3">#REF!</definedName>
    <definedName name="_TE4" localSheetId="0">#REF!</definedName>
    <definedName name="_TE4">#REF!</definedName>
    <definedName name="_TO1" localSheetId="0">#REF!</definedName>
    <definedName name="_TO1">#REF!</definedName>
    <definedName name="_TO2" localSheetId="0">#REF!</definedName>
    <definedName name="_TO2">#REF!</definedName>
    <definedName name="_TO3" localSheetId="0">#REF!</definedName>
    <definedName name="_TO3">#REF!</definedName>
    <definedName name="_TO4" localSheetId="0">#REF!</definedName>
    <definedName name="_TO4">#REF!</definedName>
    <definedName name="_uh1">#REF!</definedName>
    <definedName name="_uh2">#REF!</definedName>
    <definedName name="_uh3">#REF!</definedName>
    <definedName name="a">'[1]333.09'!$D$10</definedName>
    <definedName name="aa">'[1]333.05'!#REF!</definedName>
    <definedName name="aaa">'[1]333.06'!$N$9</definedName>
    <definedName name="aaaa">#REF!</definedName>
    <definedName name="ab">'[1]333.03'!$F$12</definedName>
    <definedName name="AC">'[6]6.03'!$L$20</definedName>
    <definedName name="ai">'[1]333.09'!$F$10</definedName>
    <definedName name="ap">'[1]331-04'!#REF!</definedName>
    <definedName name="AS">'[1]333.02'!$D$7</definedName>
    <definedName name="asd">#REF!</definedName>
    <definedName name="asdf">#REF!</definedName>
    <definedName name="asdfac">#REF!</definedName>
    <definedName name="asew">#REF!</definedName>
    <definedName name="b">'[1]333.09'!#REF!</definedName>
    <definedName name="_xlnm.Database" localSheetId="0">#REF!</definedName>
    <definedName name="_xlnm.Database">#REF!</definedName>
    <definedName name="bb">'[1]333.05'!#REF!</definedName>
    <definedName name="bbb">#REF!</definedName>
    <definedName name="BVB">#REF!</definedName>
    <definedName name="cb">'[7]2'!$H$13</definedName>
    <definedName name="cc">'[6]8.03'!$E$9</definedName>
    <definedName name="ccentral">#REF!</definedName>
    <definedName name="ccentral2">#REF!</definedName>
    <definedName name="ccuu">#REF!</definedName>
    <definedName name="cerw">'[7]6'!$I$13</definedName>
    <definedName name="cibao">#REF!</definedName>
    <definedName name="cibao2">#REF!</definedName>
    <definedName name="coccident">#REF!</definedName>
    <definedName name="coccident2">#REF!</definedName>
    <definedName name="coriental">#REF!</definedName>
    <definedName name="coriental2">#REF!</definedName>
    <definedName name="csuroeste">#REF!</definedName>
    <definedName name="csuroeste2">#REF!</definedName>
    <definedName name="cu">#REF!</definedName>
    <definedName name="cuuuu">#REF!</definedName>
    <definedName name="cvc">'[4]6.03'!$D$8</definedName>
    <definedName name="d">'[1]333.09'!#REF!</definedName>
    <definedName name="dd">'[1]333.05'!$B$9</definedName>
    <definedName name="dddd">'[1]333.06'!$J$7</definedName>
    <definedName name="dfhd">'[7]2'!$B$13</definedName>
    <definedName name="dgii11">#REF!</definedName>
    <definedName name="dgii12">#REF!</definedName>
    <definedName name="di">'[1]333.02'!#REF!</definedName>
    <definedName name="ds">'[1]333.08'!$D$7</definedName>
    <definedName name="dsd">#REF!</definedName>
    <definedName name="e">#REF!</definedName>
    <definedName name="ecewt">'[7]5'!$B$13</definedName>
    <definedName name="ed">'[1]333.02'!$F$11</definedName>
    <definedName name="ee">'[1]333.06'!#REF!</definedName>
    <definedName name="eee">#REF!</definedName>
    <definedName name="eeee">#REF!</definedName>
    <definedName name="enriq">#REF!</definedName>
    <definedName name="enriq2">#REF!</definedName>
    <definedName name="er">#REF!</definedName>
    <definedName name="err">#REF!</definedName>
    <definedName name="errr">#REF!</definedName>
    <definedName name="ertetr">#REF!</definedName>
    <definedName name="este">#REF!</definedName>
    <definedName name="este2">#REF!</definedName>
    <definedName name="ff">'[1]333.03'!$D$12</definedName>
    <definedName name="fff">'[1]333.06'!#REF!</definedName>
    <definedName name="ffff">'[6]5.03'!$B$10</definedName>
    <definedName name="fg">#REF!</definedName>
    <definedName name="fge">'[7]10'!$F$12</definedName>
    <definedName name="fgf">#REF!</definedName>
    <definedName name="fr">#REF!</definedName>
    <definedName name="ft">'[1]333.08'!$F$7</definedName>
    <definedName name="g">'[1]333.02'!$B$11</definedName>
    <definedName name="gbfhhs">#REF!</definedName>
    <definedName name="gdgfds">'[4]4.03'!$B$10</definedName>
    <definedName name="gdsert">'[4]1.03'!$B$11</definedName>
    <definedName name="geb">'[7]8'!$P$13</definedName>
    <definedName name="gf">#REF!</definedName>
    <definedName name="gfdgdgdgdg">'[1]333.10'!#REF!</definedName>
    <definedName name="gg">#REF!</definedName>
    <definedName name="ggg">#REF!</definedName>
    <definedName name="gt">'[1]343-01'!#REF!</definedName>
    <definedName name="gtdfgh">'[4]1.03'!#REF!</definedName>
    <definedName name="h">'[1]333.03'!$B$12</definedName>
    <definedName name="HatoMayor">'[1]343-05'!#REF!</definedName>
    <definedName name="HatoMayor2">'[1]343-05'!#REF!</definedName>
    <definedName name="hh">#REF!</definedName>
    <definedName name="hhh">#REF!</definedName>
    <definedName name="hhhh">#REF!</definedName>
    <definedName name="hhhhhhhhhhh">'[4]6.03'!$G$8</definedName>
    <definedName name="hhyt">'[7]1'!#REF!</definedName>
    <definedName name="huyhj">'[8]8.03'!$I$8</definedName>
    <definedName name="hyr">'[7]1'!#REF!</definedName>
    <definedName name="i">'[1]333.09'!$J$10</definedName>
    <definedName name="ii">'[1]333.08'!$H$7</definedName>
    <definedName name="iii">'[6]18.03'!$J$11</definedName>
    <definedName name="iiii">'[6]18.03'!$B$11</definedName>
    <definedName name="iiiii">'[6]18.03'!$H$11</definedName>
    <definedName name="iiiiii">'[6]30.03'!$B$9</definedName>
    <definedName name="ik">'[7]3'!$B$14</definedName>
    <definedName name="io">'[1]333.08'!$B$7</definedName>
    <definedName name="iou">'[7]1'!$B$14</definedName>
    <definedName name="jj">'[1]333.04'!#REF!</definedName>
    <definedName name="jjj">'[1]333.06'!#REF!</definedName>
    <definedName name="juan">'[9]3.20-02'!$J$9</definedName>
    <definedName name="juil">'[5]333.02'!#REF!</definedName>
    <definedName name="jul">'[1]333.02'!#REF!</definedName>
    <definedName name="JULIO4">'[1]333-11'!$C$8</definedName>
    <definedName name="jygjyuihjggf">#REF!</definedName>
    <definedName name="k">'[1]333.04'!$B$11</definedName>
    <definedName name="kjkl">'[8]8.03'!$H$8</definedName>
    <definedName name="kk">'[1]333.06'!#REF!</definedName>
    <definedName name="kkk">#REF!</definedName>
    <definedName name="kkkk">'[6]11.03'!$J$11</definedName>
    <definedName name="kkkkk">'[6]12.03'!$B$10</definedName>
    <definedName name="kkkkkk">'[6]13.03'!$B$10</definedName>
    <definedName name="kkkkkkk">'[6]13.03'!$D$10</definedName>
    <definedName name="kl">'[6]15.03'!$D$9</definedName>
    <definedName name="klk">'[6]16.03'!$C$9</definedName>
    <definedName name="kll">'[6]17.03'!$C$9</definedName>
    <definedName name="klm">'[5]333.09'!#REF!</definedName>
    <definedName name="l">'[1]333.03'!#REF!</definedName>
    <definedName name="leo">#REF!</definedName>
    <definedName name="lili">#REF!</definedName>
    <definedName name="lk">'[1]333.06'!$H$9</definedName>
    <definedName name="lkjh">#REF!</definedName>
    <definedName name="lkl">'[6]16.03'!$E$9</definedName>
    <definedName name="ll">'[1]333.03'!#REF!</definedName>
    <definedName name="llk">'[6]17.03'!$E$9</definedName>
    <definedName name="lll">'[1]333.06'!$B$9</definedName>
    <definedName name="llll">'[6]10.03'!$H$11</definedName>
    <definedName name="lllll">'[6]14.03'!$D$20</definedName>
    <definedName name="llllll">'[6]14.03'!$H$20</definedName>
    <definedName name="lllllll">'[6]14.03'!$L$20</definedName>
    <definedName name="llllllll">'[6]14.03'!$P$20</definedName>
    <definedName name="lo">'[7]3'!$D$14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'[4]2.03'!$J$11</definedName>
    <definedName name="mmmmm">'[1]333.06'!#REF!</definedName>
    <definedName name="mmmnmnb">'[4]2.03'!$H$11</definedName>
    <definedName name="mmnb">'[4]2.03'!$B$11</definedName>
    <definedName name="mnb">#REF!</definedName>
    <definedName name="mnbv">#REF!</definedName>
    <definedName name="mnm">'[4]5.03'!$D$21</definedName>
    <definedName name="mnmnb">'[4]2.03'!$D$11</definedName>
    <definedName name="MonseñorNouel">'[1]343-05'!#REF!</definedName>
    <definedName name="MonseñorNouel2">'[1]343-05'!#REF!</definedName>
    <definedName name="MonteCristi">'[1]343-05'!#REF!</definedName>
    <definedName name="MonteCristi2">'[1]343-05'!#REF!</definedName>
    <definedName name="MontePlata">'[1]343-05'!#REF!</definedName>
    <definedName name="MontePlata2">'[1]343-05'!#REF!</definedName>
    <definedName name="monto337021">#REF!</definedName>
    <definedName name="monto337022">#REF!</definedName>
    <definedName name="n">#REF!</definedName>
    <definedName name="nb">'[1]333.10'!#REF!</definedName>
    <definedName name="nmbnvmvbh">'[4]2.03'!$J$13</definedName>
    <definedName name="nn">#REF!</definedName>
    <definedName name="nngvb">'[4]1.03'!$H$11</definedName>
    <definedName name="nnn">#REF!</definedName>
    <definedName name="nnnnnnnnnnh">'[4]1.03'!#REF!</definedName>
    <definedName name="ñ">'[6]25.03'!$G$9</definedName>
    <definedName name="ññ">'[6]31.03'!$D$9</definedName>
    <definedName name="o">'[1]333.04'!$D$11</definedName>
    <definedName name="ol">'[7]3'!$H$14</definedName>
    <definedName name="oo">'[1]333.09'!$H$10</definedName>
    <definedName name="ooo">'[1]333.06'!#REF!</definedName>
    <definedName name="oooo">'[6]29.03'!$D$9</definedName>
    <definedName name="ooooooo">'[6]18.03'!#REF!</definedName>
    <definedName name="op">'[7]1'!$C$14</definedName>
    <definedName name="oppo">'[7]1'!$G$14</definedName>
    <definedName name="p">'[1]333.08'!$J$7</definedName>
    <definedName name="pablo">#REF!</definedName>
    <definedName name="pablo1">#REF!</definedName>
    <definedName name="Pedernales">'[1]343-05'!#REF!</definedName>
    <definedName name="Pedernales2">'[1]343-05'!#REF!</definedName>
    <definedName name="Peravia">'[1]343-05'!#REF!</definedName>
    <definedName name="Peravia2">'[1]343-05'!#REF!</definedName>
    <definedName name="PIO">'[1]333-11'!$E$8</definedName>
    <definedName name="PJ">'[1]331-04'!#REF!</definedName>
    <definedName name="PL">'[1]331-04'!#REF!</definedName>
    <definedName name="po">'[7]3'!$J$14</definedName>
    <definedName name="poiu">#REF!</definedName>
    <definedName name="poko">'[4]1.03'!$D$11</definedName>
    <definedName name="polok">#REF!</definedName>
    <definedName name="pop">'[1]333.04'!#REF!</definedName>
    <definedName name="popop">'[1]333.04'!#REF!</definedName>
    <definedName name="popp">'[1]333.04'!#REF!</definedName>
    <definedName name="pp">'[1]333.06'!$D$9</definedName>
    <definedName name="ppp">'[1]333.04'!#REF!</definedName>
    <definedName name="pppp">'[6]31.03'!$B$9</definedName>
    <definedName name="pr">'[1]331-04'!$D$7</definedName>
    <definedName name="PuertoPlata">'[1]343-05'!#REF!</definedName>
    <definedName name="PuertoPlata2">'[1]343-05'!#REF!</definedName>
    <definedName name="py">#REF!</definedName>
    <definedName name="q">#REF!</definedName>
    <definedName name="qq">#REF!</definedName>
    <definedName name="qqq">#REF!</definedName>
    <definedName name="qqqq">#REF!</definedName>
    <definedName name="qwe">#REF!</definedName>
    <definedName name="re">#REF!</definedName>
    <definedName name="redfred">'[4]1.03'!$J$11</definedName>
    <definedName name="rere">'[4]3.03'!$D$10</definedName>
    <definedName name="res">#REF!</definedName>
    <definedName name="rey">'[7]8'!$B$13</definedName>
    <definedName name="rr">'[1]333.05'!$D$9</definedName>
    <definedName name="rrr">'[1]333.06'!$L$9</definedName>
    <definedName name="rrrr">#REF!</definedName>
    <definedName name="rrrrr">#REF!</definedName>
    <definedName name="rrrrrr">#REF!</definedName>
    <definedName name="rtvg">'[7]5'!$D$13</definedName>
    <definedName name="rtyh">'[7]1'!#REF!</definedName>
    <definedName name="s">'[1]333.09'!$B$10</definedName>
    <definedName name="Salcedo">'[1]343-05'!#REF!</definedName>
    <definedName name="Salcedo2">'[1]343-05'!#REF!</definedName>
    <definedName name="Samaná">'[1]343-05'!#REF!</definedName>
    <definedName name="Samaná2">'[1]343-05'!#REF!</definedName>
    <definedName name="SánchezRamírez">'[1]343-05'!#REF!</definedName>
    <definedName name="SánchezRamírez2">'[1]343-05'!#REF!</definedName>
    <definedName name="SanCristóbal">'[1]343-05'!#REF!</definedName>
    <definedName name="SanCristóbal2">'[1]343-05'!#REF!</definedName>
    <definedName name="SanJuan">'[1]343-05'!#REF!</definedName>
    <definedName name="SanJuan2">'[1]343-05'!#REF!</definedName>
    <definedName name="SanPedroMacorís">'[1]343-05'!#REF!</definedName>
    <definedName name="SanPedroMacorís2">'[1]343-05'!#REF!</definedName>
    <definedName name="Santiago">'[1]343-05'!#REF!</definedName>
    <definedName name="Santiago2">'[1]343-05'!#REF!</definedName>
    <definedName name="SantiagoRodríguez">'[1]343-05'!#REF!</definedName>
    <definedName name="SantiagoRodríguez2">'[1]343-05'!#REF!</definedName>
    <definedName name="sd">#REF!</definedName>
    <definedName name="sdfg">'[7]2'!$D$13</definedName>
    <definedName name="sdfgr">'[4]1.03'!#REF!</definedName>
    <definedName name="sdsd">#REF!</definedName>
    <definedName name="sfdg">'[7]2'!$F$13</definedName>
    <definedName name="ss">'[1]343-01'!#REF!</definedName>
    <definedName name="sss">'[1]333.02'!#REF!</definedName>
    <definedName name="ssss">#REF!</definedName>
    <definedName name="sssssd">#REF!</definedName>
    <definedName name="ssssss">#REF!</definedName>
    <definedName name="t">'[1]333.02'!#REF!</definedName>
    <definedName name="tesnac11">#REF!</definedName>
    <definedName name="tesnac12">#REF!</definedName>
    <definedName name="tita">#REF!</definedName>
    <definedName name="total">#REF!</definedName>
    <definedName name="total2">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u">'[1]333.03'!#REF!</definedName>
    <definedName name="uiyt">'[7]1'!$F$14</definedName>
    <definedName name="utyu">'[7]6'!$B$13</definedName>
    <definedName name="uu">'[1]333.04'!#REF!</definedName>
    <definedName name="uuuuu">'[1]333.04'!#REF!</definedName>
    <definedName name="v">#REF!</definedName>
    <definedName name="valdesia">#REF!</definedName>
    <definedName name="valdesia2">#REF!</definedName>
    <definedName name="valle">#REF!</definedName>
    <definedName name="valle2">#REF!</definedName>
    <definedName name="Valverde">'[1]343-05'!#REF!</definedName>
    <definedName name="Valverde2">'[1]343-05'!#REF!</definedName>
    <definedName name="VBV">#REF!</definedName>
    <definedName name="vd">'[6]8.03'!$C$9</definedName>
    <definedName name="vfc">#REF!</definedName>
    <definedName name="vfdx">'[4]3.03'!$B$10</definedName>
    <definedName name="vfv">'[1]333.07'!#REF!</definedName>
    <definedName name="vfxv">'[1]333.07'!#REF!</definedName>
    <definedName name="vv">#REF!</definedName>
    <definedName name="vvv">#REF!</definedName>
    <definedName name="vwt">'[7]6'!$P$13</definedName>
    <definedName name="w">#REF!</definedName>
    <definedName name="ww">#REF!</definedName>
    <definedName name="x">'[6]24.03'!$D$20</definedName>
    <definedName name="xx">'[6]27.03'!$B$9</definedName>
    <definedName name="xxx">'[6]27.03'!$D$9</definedName>
    <definedName name="xxxx">'[6]28.03'!$B$9</definedName>
    <definedName name="xzcxz">'[4]1.03'!$B$12</definedName>
    <definedName name="y">'[1]333.02'!$D$11</definedName>
    <definedName name="yt">'[10]331-16'!#REF!</definedName>
    <definedName name="yu">#REF!</definedName>
    <definedName name="yuma">#REF!</definedName>
    <definedName name="yuma2">#REF!</definedName>
    <definedName name="yuyu">#REF!</definedName>
    <definedName name="yy">'[6]22.03'!$D$10</definedName>
    <definedName name="yyy">'[6]19.03'!$B$11</definedName>
    <definedName name="yyyy">'[6]19.03'!$D$11</definedName>
    <definedName name="yyyyy">'[6]19.03'!$H$11</definedName>
    <definedName name="yyyyyy">'[6]19.03'!$J$11</definedName>
    <definedName name="z">'[1]333.03'!#REF!</definedName>
    <definedName name="zas">'[6]26.03'!$D$9</definedName>
    <definedName name="zsz">'[6]25.03'!$D$9</definedName>
    <definedName name="zx">'[6]24.03'!$L$20</definedName>
    <definedName name="zxc">#REF!</definedName>
    <definedName name="zxcv">'[4]5.03'!$P$21</definedName>
    <definedName name="zxcx">'[6]28.03'!$D$9</definedName>
    <definedName name="zxz">'[6]24.03'!$P$20</definedName>
    <definedName name="zxzx">'[6]26.03'!$B$9</definedName>
  </definedNames>
  <calcPr calcId="125725"/>
</workbook>
</file>

<file path=xl/calcChain.xml><?xml version="1.0" encoding="utf-8"?>
<calcChain xmlns="http://schemas.openxmlformats.org/spreadsheetml/2006/main">
  <c r="B9" i="1"/>
  <c r="E9"/>
  <c r="H9"/>
  <c r="K9"/>
  <c r="O9"/>
  <c r="N9" s="1"/>
  <c r="P9"/>
  <c r="B11"/>
  <c r="E11"/>
  <c r="H11"/>
  <c r="K11"/>
  <c r="N11"/>
  <c r="B12"/>
  <c r="E12"/>
  <c r="H12"/>
  <c r="K12"/>
  <c r="N12"/>
  <c r="B13"/>
  <c r="E13"/>
  <c r="H13"/>
  <c r="K13"/>
  <c r="N13"/>
  <c r="B14"/>
  <c r="E14"/>
  <c r="H14"/>
  <c r="K14"/>
  <c r="N14"/>
  <c r="B15"/>
  <c r="E15"/>
  <c r="H15"/>
  <c r="K15"/>
  <c r="N15"/>
  <c r="B16"/>
  <c r="E16"/>
  <c r="H16"/>
  <c r="K16"/>
  <c r="N16"/>
  <c r="B17"/>
  <c r="E17"/>
  <c r="H17"/>
  <c r="K17"/>
  <c r="N17"/>
  <c r="B18"/>
  <c r="E18"/>
  <c r="H18"/>
  <c r="K18"/>
  <c r="N18"/>
  <c r="B19"/>
  <c r="E19"/>
  <c r="H19"/>
  <c r="K19"/>
  <c r="N19"/>
  <c r="B20"/>
  <c r="E20"/>
  <c r="H20"/>
  <c r="K20"/>
  <c r="N20"/>
  <c r="B21"/>
  <c r="E21"/>
  <c r="H21"/>
  <c r="K21"/>
  <c r="N21"/>
  <c r="B22"/>
  <c r="E22"/>
  <c r="H22"/>
  <c r="K22"/>
  <c r="N22"/>
  <c r="B23"/>
  <c r="E23"/>
  <c r="H23"/>
  <c r="K23"/>
  <c r="N23"/>
  <c r="B24"/>
  <c r="E24"/>
  <c r="H24"/>
  <c r="K24"/>
  <c r="N24"/>
  <c r="B25"/>
  <c r="E25"/>
  <c r="H25"/>
  <c r="K25"/>
  <c r="N25"/>
  <c r="B26"/>
  <c r="E26"/>
  <c r="H26"/>
  <c r="K26"/>
  <c r="N26"/>
  <c r="B27"/>
  <c r="E27"/>
  <c r="H27"/>
  <c r="K27"/>
  <c r="N27"/>
  <c r="B28"/>
  <c r="E28"/>
  <c r="H28"/>
  <c r="K28"/>
  <c r="N28"/>
  <c r="B29"/>
  <c r="E29"/>
  <c r="H29"/>
  <c r="K29"/>
  <c r="N29"/>
  <c r="B30"/>
  <c r="E30"/>
  <c r="H30"/>
  <c r="K30"/>
  <c r="N30"/>
  <c r="B31"/>
  <c r="E31"/>
  <c r="H31"/>
  <c r="K31"/>
  <c r="N31"/>
  <c r="B32"/>
  <c r="E32"/>
  <c r="H32"/>
  <c r="K32"/>
  <c r="N32"/>
  <c r="B33"/>
  <c r="E33"/>
  <c r="H33"/>
  <c r="K33"/>
  <c r="N33"/>
  <c r="B34"/>
  <c r="E34"/>
  <c r="H34"/>
  <c r="K34"/>
  <c r="N34"/>
  <c r="B35"/>
  <c r="E35"/>
  <c r="H35"/>
  <c r="K35"/>
  <c r="N35"/>
  <c r="B36"/>
  <c r="E36"/>
  <c r="H36"/>
  <c r="K36"/>
  <c r="N36"/>
  <c r="B37"/>
  <c r="E37"/>
  <c r="H37"/>
  <c r="K37"/>
  <c r="N37"/>
  <c r="B38"/>
  <c r="E38"/>
  <c r="H38"/>
  <c r="K38"/>
  <c r="N38"/>
  <c r="B39"/>
  <c r="E39"/>
  <c r="H39"/>
  <c r="K39"/>
  <c r="N39"/>
  <c r="B40"/>
  <c r="E40"/>
  <c r="H40"/>
  <c r="K40"/>
  <c r="N40"/>
</calcChain>
</file>

<file path=xl/sharedStrings.xml><?xml version="1.0" encoding="utf-8"?>
<sst xmlns="http://schemas.openxmlformats.org/spreadsheetml/2006/main" count="57" uniqueCount="40">
  <si>
    <t xml:space="preserve">Fuente: Registros administrativos de la Oficina de Estadísticas y Cartografía de la Policía Nacional </t>
  </si>
  <si>
    <r>
      <t xml:space="preserve">            </t>
    </r>
    <r>
      <rPr>
        <vertAlign val="superscript"/>
        <sz val="11"/>
        <rFont val="Franklin Gothic Book"/>
        <family val="2"/>
      </rPr>
      <t>p</t>
    </r>
    <r>
      <rPr>
        <sz val="7"/>
        <rFont val="Franklin Gothic Book"/>
        <family val="2"/>
      </rPr>
      <t>: Cifras preliminares</t>
    </r>
  </si>
  <si>
    <t>No especificado</t>
  </si>
  <si>
    <t>Iglesia</t>
  </si>
  <si>
    <t>Vertedero</t>
  </si>
  <si>
    <t>Campo de caña</t>
  </si>
  <si>
    <t>Comercio</t>
  </si>
  <si>
    <t>Centro recreativo</t>
  </si>
  <si>
    <t>Establecimiento de apuesta</t>
  </si>
  <si>
    <t>Matorrales</t>
  </si>
  <si>
    <t>Edificio/casa/apartamento</t>
  </si>
  <si>
    <t>Cementerio</t>
  </si>
  <si>
    <t>Vehículo</t>
  </si>
  <si>
    <t>Canal</t>
  </si>
  <si>
    <t>Fortaleza/cuartel</t>
  </si>
  <si>
    <t>Construcción</t>
  </si>
  <si>
    <t>Orilla de río</t>
  </si>
  <si>
    <t>Establecimiento de bebida/comida</t>
  </si>
  <si>
    <t>Terreno baldío/solar</t>
  </si>
  <si>
    <t>Río/cañada</t>
  </si>
  <si>
    <t>Centro de enseñanza</t>
  </si>
  <si>
    <t>Centro diversión</t>
  </si>
  <si>
    <t>Parque</t>
  </si>
  <si>
    <t>Puente</t>
  </si>
  <si>
    <t>Mar/playa</t>
  </si>
  <si>
    <t>Centro de salud</t>
  </si>
  <si>
    <t>Cárcel</t>
  </si>
  <si>
    <t>Vía pública</t>
  </si>
  <si>
    <t>Hotel/cabaña</t>
  </si>
  <si>
    <t>Finca/parcela</t>
  </si>
  <si>
    <t>Trabajo</t>
  </si>
  <si>
    <t>Domicilio</t>
  </si>
  <si>
    <t>Total</t>
  </si>
  <si>
    <t>Femenino</t>
  </si>
  <si>
    <t>Masculino</t>
  </si>
  <si>
    <t>Sexo</t>
  </si>
  <si>
    <r>
      <t>2011</t>
    </r>
    <r>
      <rPr>
        <vertAlign val="superscript"/>
        <sz val="8"/>
        <rFont val="Franklin Gothic Demi"/>
        <family val="2"/>
      </rPr>
      <t>p</t>
    </r>
  </si>
  <si>
    <t>Lugar del Hecho</t>
  </si>
  <si>
    <t xml:space="preserve"> REPUBLICA DOMINICANA: Suicidios ocurridos y registrados por año y sexo, según lugar del hecho, 2007-2011</t>
  </si>
  <si>
    <t>Cuadro 4.6-05</t>
  </si>
</sst>
</file>

<file path=xl/styles.xml><?xml version="1.0" encoding="utf-8"?>
<styleSheet xmlns="http://schemas.openxmlformats.org/spreadsheetml/2006/main">
  <numFmts count="25">
    <numFmt numFmtId="164" formatCode="###0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m\-d\-yy"/>
    <numFmt numFmtId="171" formatCode="* _(#,##0.0_)\ _P_-;* \(#,##0.0\)\ _P_-;_-* &quot;-&quot;??\ _P_-;_-@_-"/>
    <numFmt numFmtId="172" formatCode="_(* #,##0_);_(* \(#,##0\);_(* &quot;-&quot;_);_(@_)"/>
    <numFmt numFmtId="173" formatCode="_(* #,##0.00_);_(* \(#,##0.00\);_(* &quot;-&quot;??_);_(@_)"/>
    <numFmt numFmtId="174" formatCode="_(* #,##0.00_);_(* \(#,##0.00\);_(* \-??_);_(@_)"/>
    <numFmt numFmtId="175" formatCode="_(&quot;RD$&quot;* #,##0.00_);_(&quot;RD$&quot;* \(#,##0.00\);_(&quot;RD$&quot;* &quot;-&quot;??_);_(@_)"/>
    <numFmt numFmtId="176" formatCode="&quot;$&quot;#,##0_);[Red]\(&quot;$&quot;#,##0\)"/>
    <numFmt numFmtId="177" formatCode="_-[$€-2]* #,##0.00_-;\-[$€-2]* #,##0.00_-;_-[$€-2]* &quot;-&quot;??_-"/>
    <numFmt numFmtId="178" formatCode="_-* #,##0.0_-;\-* #,##0.0_-;_-* &quot;-&quot;_-;_-@_-"/>
    <numFmt numFmtId="179" formatCode="_-* #,##0\ _P_t_s_-;\-* #,##0\ _P_t_s_-;_-* &quot;-&quot;\ _P_t_s_-;_-@_-"/>
    <numFmt numFmtId="180" formatCode="#,##0.0"/>
    <numFmt numFmtId="181" formatCode="0.0_);\(0.0\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.00_)"/>
    <numFmt numFmtId="185" formatCode="[&gt;=0.05]#,##0.0;[&lt;=-0.05]\-#,##0.0;?0.0"/>
    <numFmt numFmtId="186" formatCode="[Black]#,##0.0;[Black]\-#,##0.0;;"/>
    <numFmt numFmtId="187" formatCode="[Black][&gt;0.05]#,##0.0;[Black][&lt;-0.05]\-#,##0.0;;"/>
    <numFmt numFmtId="188" formatCode="[Black][&gt;0.5]#,##0;[Black][&lt;-0.5]\-#,##0;;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Franklin Gothic Book"/>
      <family val="2"/>
    </font>
    <font>
      <sz val="7"/>
      <name val="Franklin Gothic Book"/>
      <family val="2"/>
    </font>
    <font>
      <vertAlign val="superscript"/>
      <sz val="11"/>
      <name val="Franklin Gothic Book"/>
      <family val="2"/>
    </font>
    <font>
      <sz val="8"/>
      <color indexed="10"/>
      <name val="Franklin Gothic Book"/>
      <family val="2"/>
    </font>
    <font>
      <sz val="8"/>
      <name val="Franklin Gothic Demi"/>
      <family val="2"/>
    </font>
    <font>
      <vertAlign val="superscript"/>
      <sz val="8"/>
      <name val="Franklin Gothic Demi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MS Sans Serif"/>
      <family val="2"/>
    </font>
    <font>
      <sz val="11"/>
      <name val="??"/>
      <family val="3"/>
    </font>
    <font>
      <i/>
      <sz val="11"/>
      <color indexed="23"/>
      <name val="Calibri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sz val="8"/>
      <color indexed="8"/>
      <name val="Helv"/>
    </font>
    <font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sz val="11"/>
      <color indexed="17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4">
    <xf numFmtId="0" fontId="0" fillId="0" borderId="0"/>
    <xf numFmtId="0" fontId="18" fillId="0" borderId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9" fontId="25" fillId="0" borderId="0" applyFont="0" applyFill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170" fontId="28" fillId="51" borderId="13">
      <alignment horizontal="center" vertical="center"/>
    </xf>
    <xf numFmtId="0" fontId="29" fillId="0" borderId="14">
      <protection hidden="1"/>
    </xf>
    <xf numFmtId="0" fontId="30" fillId="52" borderId="14" applyNumberFormat="0" applyFont="0" applyBorder="0" applyAlignment="0" applyProtection="0">
      <protection hidden="1"/>
    </xf>
    <xf numFmtId="0" fontId="29" fillId="0" borderId="14">
      <protection hidden="1"/>
    </xf>
    <xf numFmtId="0" fontId="31" fillId="34" borderId="0" applyNumberFormat="0" applyBorder="0" applyAlignment="0" applyProtection="0"/>
    <xf numFmtId="171" fontId="32" fillId="0" borderId="15" applyBorder="0">
      <alignment horizontal="center"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3" fillId="52" borderId="16" applyNumberFormat="0" applyAlignment="0" applyProtection="0"/>
    <xf numFmtId="0" fontId="33" fillId="52" borderId="16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4" fillId="0" borderId="17" applyNumberFormat="0" applyFill="0" applyAlignment="0" applyProtection="0"/>
    <xf numFmtId="0" fontId="35" fillId="53" borderId="18" applyNumberFormat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8" fillId="0" borderId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37" fillId="0" borderId="0" applyNumberFormat="0" applyFill="0" applyBorder="0" applyProtection="0">
      <alignment vertical="center"/>
    </xf>
    <xf numFmtId="175" fontId="18" fillId="0" borderId="0" applyFont="0" applyFill="0" applyBorder="0" applyAlignment="0" applyProtection="0"/>
    <xf numFmtId="176" fontId="38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6" fillId="54" borderId="19">
      <alignment horizontal="center" textRotation="44"/>
    </xf>
    <xf numFmtId="177" fontId="1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8" fontId="18" fillId="0" borderId="0">
      <protection locked="0"/>
    </xf>
    <xf numFmtId="38" fontId="40" fillId="55" borderId="0" applyNumberFormat="0" applyBorder="0" applyAlignment="0" applyProtection="0"/>
    <xf numFmtId="0" fontId="41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179" fontId="18" fillId="0" borderId="0">
      <protection locked="0"/>
    </xf>
    <xf numFmtId="179" fontId="18" fillId="0" borderId="0">
      <protection locked="0"/>
    </xf>
    <xf numFmtId="0" fontId="45" fillId="0" borderId="23" applyNumberFormat="0" applyFill="0" applyAlignment="0" applyProtection="0"/>
    <xf numFmtId="180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0" fontId="40" fillId="56" borderId="24" applyNumberFormat="0" applyBorder="0" applyAlignment="0" applyProtection="0"/>
    <xf numFmtId="0" fontId="46" fillId="0" borderId="14">
      <alignment horizontal="left"/>
      <protection locked="0"/>
    </xf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5" fontId="18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8" fillId="57" borderId="0" applyNumberFormat="0" applyBorder="0" applyAlignment="0" applyProtection="0"/>
    <xf numFmtId="37" fontId="49" fillId="0" borderId="0"/>
    <xf numFmtId="184" fontId="50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1" fillId="0" borderId="0"/>
    <xf numFmtId="0" fontId="18" fillId="0" borderId="0" applyNumberFormat="0" applyFont="0" applyFill="0" applyBorder="0" applyAlignment="0" applyProtection="0">
      <alignment vertical="top"/>
    </xf>
    <xf numFmtId="0" fontId="18" fillId="0" borderId="0"/>
    <xf numFmtId="0" fontId="1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36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26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18" fillId="0" borderId="0"/>
    <xf numFmtId="0" fontId="36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185" fontId="47" fillId="0" borderId="0" applyFill="0" applyBorder="0" applyAlignment="0" applyProtection="0">
      <alignment horizontal="right"/>
    </xf>
    <xf numFmtId="0" fontId="18" fillId="58" borderId="25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52" fillId="52" borderId="26" applyNumberFormat="0" applyAlignment="0" applyProtection="0"/>
    <xf numFmtId="10" fontId="18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186" fontId="47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6" fontId="18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0" borderId="0"/>
    <xf numFmtId="0" fontId="53" fillId="0" borderId="14" applyNumberFormat="0" applyFill="0" applyBorder="0" applyAlignment="0" applyProtection="0">
      <protection hidden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54" fillId="59" borderId="27" applyNumberFormat="0" applyFont="0" applyBorder="0" applyAlignment="0">
      <alignment horizontal="left" wrapText="1"/>
    </xf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8" fillId="60" borderId="0" applyNumberFormat="0" applyBorder="0" applyAlignment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5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0" fontId="4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7" fillId="52" borderId="14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58" fillId="0" borderId="28" applyNumberFormat="0" applyFill="0" applyAlignment="0" applyProtection="0"/>
    <xf numFmtId="37" fontId="40" fillId="61" borderId="0" applyNumberFormat="0" applyBorder="0" applyAlignment="0" applyProtection="0"/>
    <xf numFmtId="37" fontId="40" fillId="0" borderId="0"/>
    <xf numFmtId="0" fontId="40" fillId="62" borderId="0" applyNumberFormat="0" applyBorder="0" applyAlignment="0" applyProtection="0"/>
    <xf numFmtId="3" fontId="59" fillId="0" borderId="23" applyProtection="0"/>
    <xf numFmtId="0" fontId="31" fillId="34" borderId="0" applyNumberFormat="0" applyBorder="0" applyAlignment="0" applyProtection="0"/>
    <xf numFmtId="0" fontId="60" fillId="35" borderId="0" applyNumberFormat="0" applyBorder="0" applyAlignment="0" applyProtection="0"/>
  </cellStyleXfs>
  <cellXfs count="27">
    <xf numFmtId="0" fontId="0" fillId="0" borderId="0" xfId="0"/>
    <xf numFmtId="0" fontId="19" fillId="0" borderId="0" xfId="1" applyFont="1"/>
    <xf numFmtId="0" fontId="20" fillId="0" borderId="0" xfId="1" applyFont="1"/>
    <xf numFmtId="164" fontId="19" fillId="0" borderId="0" xfId="1" applyNumberFormat="1" applyFont="1" applyAlignment="1">
      <alignment horizontal="right" indent="1"/>
    </xf>
    <xf numFmtId="0" fontId="19" fillId="0" borderId="0" xfId="1" applyFont="1" applyAlignment="1">
      <alignment horizontal="right"/>
    </xf>
    <xf numFmtId="0" fontId="20" fillId="0" borderId="0" xfId="1" applyFont="1" applyFill="1"/>
    <xf numFmtId="0" fontId="19" fillId="0" borderId="10" xfId="1" applyFont="1" applyBorder="1" applyAlignment="1">
      <alignment horizontal="right" indent="1"/>
    </xf>
    <xf numFmtId="0" fontId="19" fillId="0" borderId="10" xfId="1" applyFont="1" applyBorder="1" applyAlignment="1">
      <alignment horizontal="left" indent="1"/>
    </xf>
    <xf numFmtId="0" fontId="19" fillId="0" borderId="0" xfId="1" applyFont="1" applyBorder="1" applyAlignment="1">
      <alignment horizontal="right" indent="1"/>
    </xf>
    <xf numFmtId="0" fontId="19" fillId="0" borderId="0" xfId="1" applyFont="1" applyBorder="1" applyAlignment="1">
      <alignment horizontal="left" indent="1"/>
    </xf>
    <xf numFmtId="0" fontId="19" fillId="0" borderId="0" xfId="1" applyFont="1" applyAlignment="1">
      <alignment horizontal="right" indent="1"/>
    </xf>
    <xf numFmtId="0" fontId="19" fillId="0" borderId="0" xfId="1" applyFont="1" applyAlignment="1">
      <alignment horizontal="left" indent="1"/>
    </xf>
    <xf numFmtId="0" fontId="22" fillId="0" borderId="0" xfId="1" applyFont="1"/>
    <xf numFmtId="0" fontId="23" fillId="0" borderId="0" xfId="1" applyFont="1" applyFill="1" applyAlignment="1">
      <alignment horizontal="right" indent="1"/>
    </xf>
    <xf numFmtId="0" fontId="23" fillId="0" borderId="0" xfId="1" applyFont="1" applyFill="1" applyAlignment="1">
      <alignment horizontal="left" indent="1"/>
    </xf>
    <xf numFmtId="0" fontId="23" fillId="0" borderId="0" xfId="1" applyFont="1" applyFill="1"/>
    <xf numFmtId="0" fontId="23" fillId="0" borderId="0" xfId="1" applyFont="1" applyFill="1" applyBorder="1"/>
    <xf numFmtId="0" fontId="23" fillId="0" borderId="10" xfId="1" applyFont="1" applyFill="1" applyBorder="1" applyAlignment="1">
      <alignment horizontal="center"/>
    </xf>
    <xf numFmtId="0" fontId="23" fillId="0" borderId="10" xfId="1" applyFont="1" applyFill="1" applyBorder="1" applyAlignment="1">
      <alignment horizontal="center" vertical="center"/>
    </xf>
    <xf numFmtId="0" fontId="23" fillId="0" borderId="10" xfId="1" applyFont="1" applyFill="1" applyBorder="1" applyAlignment="1">
      <alignment horizontal="left" vertical="center" indent="1"/>
    </xf>
    <xf numFmtId="0" fontId="23" fillId="0" borderId="11" xfId="1" applyFont="1" applyFill="1" applyBorder="1" applyAlignment="1">
      <alignment horizontal="center"/>
    </xf>
    <xf numFmtId="0" fontId="23" fillId="0" borderId="12" xfId="1" applyFont="1" applyFill="1" applyBorder="1" applyAlignment="1">
      <alignment horizontal="center" vertical="center"/>
    </xf>
    <xf numFmtId="0" fontId="23" fillId="0" borderId="0" xfId="1" applyFont="1" applyFill="1" applyBorder="1" applyAlignment="1">
      <alignment horizontal="left" vertical="center" indent="1"/>
    </xf>
    <xf numFmtId="0" fontId="23" fillId="0" borderId="11" xfId="1" applyFont="1" applyBorder="1" applyAlignment="1">
      <alignment horizontal="center" vertical="distributed"/>
    </xf>
    <xf numFmtId="0" fontId="23" fillId="0" borderId="12" xfId="1" applyFont="1" applyFill="1" applyBorder="1" applyAlignment="1">
      <alignment horizontal="left" vertical="center" indent="1"/>
    </xf>
    <xf numFmtId="0" fontId="19" fillId="0" borderId="0" xfId="1" applyFont="1" applyFill="1" applyAlignment="1">
      <alignment horizontal="center"/>
    </xf>
    <xf numFmtId="0" fontId="23" fillId="0" borderId="0" xfId="1" applyFont="1" applyAlignment="1">
      <alignment horizontal="center"/>
    </xf>
  </cellXfs>
  <cellStyles count="534">
    <cellStyle name="1 indent" xfId="2"/>
    <cellStyle name="2 indents" xfId="3"/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Colore 1" xfId="10"/>
    <cellStyle name="20% - Colore 2" xfId="11"/>
    <cellStyle name="20% - Colore 3" xfId="12"/>
    <cellStyle name="20% - Colore 4" xfId="13"/>
    <cellStyle name="20% - Colore 5" xfId="14"/>
    <cellStyle name="20% - Colore 6" xfId="15"/>
    <cellStyle name="20% - Énfasis1 2" xfId="16"/>
    <cellStyle name="20% - Énfasis1 3" xfId="17"/>
    <cellStyle name="20% - Énfasis1 4" xfId="18"/>
    <cellStyle name="20% - Énfasis2 2" xfId="19"/>
    <cellStyle name="20% - Énfasis2 3" xfId="20"/>
    <cellStyle name="20% - Énfasis2 4" xfId="21"/>
    <cellStyle name="20% - Énfasis3 2" xfId="22"/>
    <cellStyle name="20% - Énfasis3 3" xfId="23"/>
    <cellStyle name="20% - Énfasis3 4" xfId="24"/>
    <cellStyle name="20% - Énfasis4 2" xfId="25"/>
    <cellStyle name="20% - Énfasis4 3" xfId="26"/>
    <cellStyle name="20% - Énfasis4 4" xfId="27"/>
    <cellStyle name="20% - Énfasis5 2" xfId="28"/>
    <cellStyle name="20% - Énfasis5 3" xfId="29"/>
    <cellStyle name="20% - Énfasis5 4" xfId="30"/>
    <cellStyle name="20% - Énfasis6 2" xfId="31"/>
    <cellStyle name="20% - Énfasis6 3" xfId="32"/>
    <cellStyle name="20% - Énfasis6 4" xfId="33"/>
    <cellStyle name="3 indents" xfId="34"/>
    <cellStyle name="4 indents" xfId="35"/>
    <cellStyle name="40% - Accent1" xfId="36"/>
    <cellStyle name="40% - Accent2" xfId="37"/>
    <cellStyle name="40% - Accent3" xfId="38"/>
    <cellStyle name="40% - Accent4" xfId="39"/>
    <cellStyle name="40% - Accent5" xfId="40"/>
    <cellStyle name="40% - Accent6" xfId="41"/>
    <cellStyle name="40% - Colore 1" xfId="42"/>
    <cellStyle name="40% - Colore 2" xfId="43"/>
    <cellStyle name="40% - Colore 3" xfId="44"/>
    <cellStyle name="40% - Colore 4" xfId="45"/>
    <cellStyle name="40% - Colore 5" xfId="46"/>
    <cellStyle name="40% - Colore 6" xfId="47"/>
    <cellStyle name="40% - Énfasis1 2" xfId="48"/>
    <cellStyle name="40% - Énfasis1 3" xfId="49"/>
    <cellStyle name="40% - Énfasis1 4" xfId="50"/>
    <cellStyle name="40% - Énfasis2 2" xfId="51"/>
    <cellStyle name="40% - Énfasis2 3" xfId="52"/>
    <cellStyle name="40% - Énfasis2 4" xfId="53"/>
    <cellStyle name="40% - Énfasis3 2" xfId="54"/>
    <cellStyle name="40% - Énfasis3 3" xfId="55"/>
    <cellStyle name="40% - Énfasis3 4" xfId="56"/>
    <cellStyle name="40% - Énfasis4 2" xfId="57"/>
    <cellStyle name="40% - Énfasis4 3" xfId="58"/>
    <cellStyle name="40% - Énfasis4 4" xfId="59"/>
    <cellStyle name="40% - Énfasis5 2" xfId="60"/>
    <cellStyle name="40% - Énfasis5 3" xfId="61"/>
    <cellStyle name="40% - Énfasis5 4" xfId="62"/>
    <cellStyle name="40% - Énfasis6 2" xfId="63"/>
    <cellStyle name="40% - Énfasis6 3" xfId="64"/>
    <cellStyle name="40% - Énfasis6 4" xfId="65"/>
    <cellStyle name="5 indents" xfId="66"/>
    <cellStyle name="60% - Accent1" xfId="67"/>
    <cellStyle name="60% - Accent2" xfId="68"/>
    <cellStyle name="60% - Accent3" xfId="69"/>
    <cellStyle name="60% - Accent4" xfId="70"/>
    <cellStyle name="60% - Accent5" xfId="71"/>
    <cellStyle name="60% - Accent6" xfId="72"/>
    <cellStyle name="60% - Colore 1" xfId="73"/>
    <cellStyle name="60% - Colore 2" xfId="74"/>
    <cellStyle name="60% - Colore 3" xfId="75"/>
    <cellStyle name="60% - Colore 4" xfId="76"/>
    <cellStyle name="60% - Colore 5" xfId="77"/>
    <cellStyle name="60% - Colore 6" xfId="78"/>
    <cellStyle name="60% - Énfasis1 2" xfId="79"/>
    <cellStyle name="60% - Énfasis1 3" xfId="80"/>
    <cellStyle name="60% - Énfasis1 4" xfId="81"/>
    <cellStyle name="60% - Énfasis2 2" xfId="82"/>
    <cellStyle name="60% - Énfasis2 3" xfId="83"/>
    <cellStyle name="60% - Énfasis2 4" xfId="84"/>
    <cellStyle name="60% - Énfasis3 2" xfId="85"/>
    <cellStyle name="60% - Énfasis3 3" xfId="86"/>
    <cellStyle name="60% - Énfasis3 4" xfId="87"/>
    <cellStyle name="60% - Énfasis4 2" xfId="88"/>
    <cellStyle name="60% - Énfasis4 3" xfId="89"/>
    <cellStyle name="60% - Énfasis4 4" xfId="90"/>
    <cellStyle name="60% - Énfasis5 2" xfId="91"/>
    <cellStyle name="60% - Énfasis5 3" xfId="92"/>
    <cellStyle name="60% - Énfasis5 4" xfId="93"/>
    <cellStyle name="60% - Énfasis6 2" xfId="94"/>
    <cellStyle name="60% - Énfasis6 3" xfId="95"/>
    <cellStyle name="60% - Énfasis6 4" xfId="96"/>
    <cellStyle name="Accent1" xfId="97"/>
    <cellStyle name="Accent2" xfId="98"/>
    <cellStyle name="Accent3" xfId="99"/>
    <cellStyle name="Accent4" xfId="100"/>
    <cellStyle name="Accent5" xfId="101"/>
    <cellStyle name="Accent6" xfId="102"/>
    <cellStyle name="Actual Date" xfId="103"/>
    <cellStyle name="Array" xfId="104"/>
    <cellStyle name="Array Enter" xfId="105"/>
    <cellStyle name="Array_3.22-10" xfId="106"/>
    <cellStyle name="Bad" xfId="107"/>
    <cellStyle name="base paren" xfId="108"/>
    <cellStyle name="Buena 2" xfId="109"/>
    <cellStyle name="Buena 3" xfId="110"/>
    <cellStyle name="Buena 4" xfId="111"/>
    <cellStyle name="Calcolo" xfId="112"/>
    <cellStyle name="Calculation" xfId="113"/>
    <cellStyle name="Cálculo 2" xfId="114"/>
    <cellStyle name="Cálculo 3" xfId="115"/>
    <cellStyle name="Cálculo 4" xfId="116"/>
    <cellStyle name="Celda de comprobación 2" xfId="117"/>
    <cellStyle name="Celda de comprobación 3" xfId="118"/>
    <cellStyle name="Celda de comprobación 4" xfId="119"/>
    <cellStyle name="Celda vinculada 2" xfId="120"/>
    <cellStyle name="Celda vinculada 3" xfId="121"/>
    <cellStyle name="Celda vinculada 4" xfId="122"/>
    <cellStyle name="Cella collegata" xfId="123"/>
    <cellStyle name="Cella da controllare" xfId="124"/>
    <cellStyle name="Colore 1" xfId="125"/>
    <cellStyle name="Colore 2" xfId="126"/>
    <cellStyle name="Colore 3" xfId="127"/>
    <cellStyle name="Colore 4" xfId="128"/>
    <cellStyle name="Colore 5" xfId="129"/>
    <cellStyle name="Colore 6" xfId="130"/>
    <cellStyle name="Comma [0] 2" xfId="131"/>
    <cellStyle name="Comma 10" xfId="132"/>
    <cellStyle name="Comma 11" xfId="133"/>
    <cellStyle name="Comma 12" xfId="134"/>
    <cellStyle name="Comma 13" xfId="135"/>
    <cellStyle name="Comma 14" xfId="136"/>
    <cellStyle name="Comma 15" xfId="137"/>
    <cellStyle name="Comma 16" xfId="138"/>
    <cellStyle name="Comma 17" xfId="139"/>
    <cellStyle name="Comma 18" xfId="140"/>
    <cellStyle name="Comma 19" xfId="141"/>
    <cellStyle name="Comma 2" xfId="142"/>
    <cellStyle name="Comma 2 2" xfId="143"/>
    <cellStyle name="Comma 2 2 2" xfId="144"/>
    <cellStyle name="Comma 2 2 2 2" xfId="145"/>
    <cellStyle name="Comma 2 2 2 2 2" xfId="146"/>
    <cellStyle name="Comma 2 2 2 2 2 2" xfId="147"/>
    <cellStyle name="Comma 2 2 2 2 2 2 2" xfId="148"/>
    <cellStyle name="Comma 2 2 2 2 2 2 2 2" xfId="149"/>
    <cellStyle name="Comma 2 2 2 2 2 2 2 2 2" xfId="150"/>
    <cellStyle name="Comma 2 2 2 2 2 2 2 2 2 2" xfId="151"/>
    <cellStyle name="Comma 2 2 2 2 2 2 2 2 2 2 2" xfId="152"/>
    <cellStyle name="Comma 2 2 2 2 2 2 2 2 2 2 2 2" xfId="153"/>
    <cellStyle name="Comma 2 2 2 2 2 2 2 2 2 3" xfId="154"/>
    <cellStyle name="Comma 2 2 2 2 2 2 2 2 3" xfId="155"/>
    <cellStyle name="Comma 2 2 2 2 2 2 2 2 3 2" xfId="156"/>
    <cellStyle name="Comma 2 2 2 2 2 2 2 3" xfId="157"/>
    <cellStyle name="Comma 2 2 2 2 2 2 2 3 2" xfId="158"/>
    <cellStyle name="Comma 2 2 2 2 2 2 2 3 2 2" xfId="159"/>
    <cellStyle name="Comma 2 2 2 2 2 2 2 4" xfId="160"/>
    <cellStyle name="Comma 2 2 2 2 2 2 3" xfId="161"/>
    <cellStyle name="Comma 2 2 2 2 2 2 3 2" xfId="162"/>
    <cellStyle name="Comma 2 2 2 2 2 2 3 2 2" xfId="163"/>
    <cellStyle name="Comma 2 2 2 2 2 2 3 2 2 2" xfId="164"/>
    <cellStyle name="Comma 2 2 2 2 2 2 3 3" xfId="165"/>
    <cellStyle name="Comma 2 2 2 2 2 2 4" xfId="166"/>
    <cellStyle name="Comma 2 2 2 2 2 2 4 2" xfId="167"/>
    <cellStyle name="Comma 2 2 2 2 2 3" xfId="168"/>
    <cellStyle name="Comma 2 2 2 2 2 3 2" xfId="169"/>
    <cellStyle name="Comma 2 2 2 2 2 3 2 2" xfId="170"/>
    <cellStyle name="Comma 2 2 2 2 2 3 2 2 2" xfId="171"/>
    <cellStyle name="Comma 2 2 2 2 2 3 2 2 2 2" xfId="172"/>
    <cellStyle name="Comma 2 2 2 2 2 3 2 3" xfId="173"/>
    <cellStyle name="Comma 2 2 2 2 2 3 3" xfId="174"/>
    <cellStyle name="Comma 2 2 2 2 2 3 3 2" xfId="175"/>
    <cellStyle name="Comma 2 2 2 2 2 4" xfId="176"/>
    <cellStyle name="Comma 2 2 2 2 2 4 2" xfId="177"/>
    <cellStyle name="Comma 2 2 2 2 2 4 2 2" xfId="178"/>
    <cellStyle name="Comma 2 2 2 2 2 5" xfId="179"/>
    <cellStyle name="Comma 2 2 2 2 3" xfId="180"/>
    <cellStyle name="Comma 2 2 2 2 3 2" xfId="181"/>
    <cellStyle name="Comma 2 2 2 2 3 2 2" xfId="182"/>
    <cellStyle name="Comma 2 2 2 2 3 2 2 2" xfId="183"/>
    <cellStyle name="Comma 2 2 2 2 3 2 2 2 2" xfId="184"/>
    <cellStyle name="Comma 2 2 2 2 3 2 2 2 2 2" xfId="185"/>
    <cellStyle name="Comma 2 2 2 2 3 2 2 3" xfId="186"/>
    <cellStyle name="Comma 2 2 2 2 3 2 3" xfId="187"/>
    <cellStyle name="Comma 2 2 2 2 3 2 3 2" xfId="188"/>
    <cellStyle name="Comma 2 2 2 2 3 3" xfId="189"/>
    <cellStyle name="Comma 2 2 2 2 3 3 2" xfId="190"/>
    <cellStyle name="Comma 2 2 2 2 3 3 2 2" xfId="191"/>
    <cellStyle name="Comma 2 2 2 2 3 4" xfId="192"/>
    <cellStyle name="Comma 2 2 2 2 4" xfId="193"/>
    <cellStyle name="Comma 2 2 2 2 4 2" xfId="194"/>
    <cellStyle name="Comma 2 2 2 2 4 2 2" xfId="195"/>
    <cellStyle name="Comma 2 2 2 2 4 2 2 2" xfId="196"/>
    <cellStyle name="Comma 2 2 2 2 4 3" xfId="197"/>
    <cellStyle name="Comma 2 2 2 2 5" xfId="198"/>
    <cellStyle name="Comma 2 2 2 2 5 2" xfId="199"/>
    <cellStyle name="Comma 2 2 2 3" xfId="200"/>
    <cellStyle name="Comma 2 2 2 3 2" xfId="201"/>
    <cellStyle name="Comma 2 2 2 3 2 2" xfId="202"/>
    <cellStyle name="Comma 2 2 2 3 2 2 2" xfId="203"/>
    <cellStyle name="Comma 2 2 2 3 2 2 2 2" xfId="204"/>
    <cellStyle name="Comma 2 2 2 3 2 2 2 2 2" xfId="205"/>
    <cellStyle name="Comma 2 2 2 3 2 2 2 2 2 2" xfId="206"/>
    <cellStyle name="Comma 2 2 2 3 2 2 2 3" xfId="207"/>
    <cellStyle name="Comma 2 2 2 3 2 2 3" xfId="208"/>
    <cellStyle name="Comma 2 2 2 3 2 2 3 2" xfId="209"/>
    <cellStyle name="Comma 2 2 2 3 2 3" xfId="210"/>
    <cellStyle name="Comma 2 2 2 3 2 3 2" xfId="211"/>
    <cellStyle name="Comma 2 2 2 3 2 3 2 2" xfId="212"/>
    <cellStyle name="Comma 2 2 2 3 2 4" xfId="213"/>
    <cellStyle name="Comma 2 2 2 3 3" xfId="214"/>
    <cellStyle name="Comma 2 2 2 3 3 2" xfId="215"/>
    <cellStyle name="Comma 2 2 2 3 3 2 2" xfId="216"/>
    <cellStyle name="Comma 2 2 2 3 3 2 2 2" xfId="217"/>
    <cellStyle name="Comma 2 2 2 3 3 3" xfId="218"/>
    <cellStyle name="Comma 2 2 2 3 4" xfId="219"/>
    <cellStyle name="Comma 2 2 2 3 4 2" xfId="220"/>
    <cellStyle name="Comma 2 2 2 4" xfId="221"/>
    <cellStyle name="Comma 2 2 2 4 2" xfId="222"/>
    <cellStyle name="Comma 2 2 2 4 2 2" xfId="223"/>
    <cellStyle name="Comma 2 2 2 4 2 2 2" xfId="224"/>
    <cellStyle name="Comma 2 2 2 4 2 2 2 2" xfId="225"/>
    <cellStyle name="Comma 2 2 2 4 2 3" xfId="226"/>
    <cellStyle name="Comma 2 2 2 4 3" xfId="227"/>
    <cellStyle name="Comma 2 2 2 4 3 2" xfId="228"/>
    <cellStyle name="Comma 2 2 2 5" xfId="229"/>
    <cellStyle name="Comma 2 2 2 5 2" xfId="230"/>
    <cellStyle name="Comma 2 2 2 5 2 2" xfId="231"/>
    <cellStyle name="Comma 2 2 2 6" xfId="232"/>
    <cellStyle name="Comma 2 2 3" xfId="233"/>
    <cellStyle name="Comma 2 2 3 2" xfId="234"/>
    <cellStyle name="Comma 2 2 3 2 2" xfId="235"/>
    <cellStyle name="Comma 2 2 3 2 2 2" xfId="236"/>
    <cellStyle name="Comma 2 2 3 2 2 2 2" xfId="237"/>
    <cellStyle name="Comma 2 2 3 2 2 2 2 2" xfId="238"/>
    <cellStyle name="Comma 2 2 3 2 2 2 2 2 2" xfId="239"/>
    <cellStyle name="Comma 2 2 3 2 2 2 2 2 2 2" xfId="240"/>
    <cellStyle name="Comma 2 2 3 2 2 2 2 3" xfId="241"/>
    <cellStyle name="Comma 2 2 3 2 2 2 3" xfId="242"/>
    <cellStyle name="Comma 2 2 3 2 2 2 3 2" xfId="243"/>
    <cellStyle name="Comma 2 2 3 2 2 3" xfId="244"/>
    <cellStyle name="Comma 2 2 3 2 2 3 2" xfId="245"/>
    <cellStyle name="Comma 2 2 3 2 2 3 2 2" xfId="246"/>
    <cellStyle name="Comma 2 2 3 2 2 4" xfId="247"/>
    <cellStyle name="Comma 2 2 3 2 3" xfId="248"/>
    <cellStyle name="Comma 2 2 3 2 3 2" xfId="249"/>
    <cellStyle name="Comma 2 2 3 2 3 2 2" xfId="250"/>
    <cellStyle name="Comma 2 2 3 2 3 2 2 2" xfId="251"/>
    <cellStyle name="Comma 2 2 3 2 3 3" xfId="252"/>
    <cellStyle name="Comma 2 2 3 2 4" xfId="253"/>
    <cellStyle name="Comma 2 2 3 2 4 2" xfId="254"/>
    <cellStyle name="Comma 2 2 3 3" xfId="255"/>
    <cellStyle name="Comma 2 2 3 3 2" xfId="256"/>
    <cellStyle name="Comma 2 2 3 3 2 2" xfId="257"/>
    <cellStyle name="Comma 2 2 3 3 2 2 2" xfId="258"/>
    <cellStyle name="Comma 2 2 3 3 2 2 2 2" xfId="259"/>
    <cellStyle name="Comma 2 2 3 3 2 3" xfId="260"/>
    <cellStyle name="Comma 2 2 3 3 3" xfId="261"/>
    <cellStyle name="Comma 2 2 3 3 3 2" xfId="262"/>
    <cellStyle name="Comma 2 2 3 4" xfId="263"/>
    <cellStyle name="Comma 2 2 3 4 2" xfId="264"/>
    <cellStyle name="Comma 2 2 3 4 2 2" xfId="265"/>
    <cellStyle name="Comma 2 2 3 5" xfId="266"/>
    <cellStyle name="Comma 2 2 4" xfId="267"/>
    <cellStyle name="Comma 2 2 4 2" xfId="268"/>
    <cellStyle name="Comma 2 2 4 2 2" xfId="269"/>
    <cellStyle name="Comma 2 2 4 2 2 2" xfId="270"/>
    <cellStyle name="Comma 2 2 4 2 2 2 2" xfId="271"/>
    <cellStyle name="Comma 2 2 4 2 2 2 2 2" xfId="272"/>
    <cellStyle name="Comma 2 2 4 2 2 3" xfId="273"/>
    <cellStyle name="Comma 2 2 4 2 3" xfId="274"/>
    <cellStyle name="Comma 2 2 4 2 3 2" xfId="275"/>
    <cellStyle name="Comma 2 2 4 3" xfId="276"/>
    <cellStyle name="Comma 2 2 4 3 2" xfId="277"/>
    <cellStyle name="Comma 2 2 4 3 2 2" xfId="278"/>
    <cellStyle name="Comma 2 2 4 4" xfId="279"/>
    <cellStyle name="Comma 2 2 5" xfId="280"/>
    <cellStyle name="Comma 2 2 5 2" xfId="281"/>
    <cellStyle name="Comma 2 2 5 2 2" xfId="282"/>
    <cellStyle name="Comma 2 2 5 2 2 2" xfId="283"/>
    <cellStyle name="Comma 2 2 5 3" xfId="284"/>
    <cellStyle name="Comma 2 2 6" xfId="285"/>
    <cellStyle name="Comma 2 2 6 2" xfId="286"/>
    <cellStyle name="Comma 2 2 7" xfId="287"/>
    <cellStyle name="Comma 2 3" xfId="288"/>
    <cellStyle name="Comma 2 4" xfId="289"/>
    <cellStyle name="Comma 2 4 2" xfId="290"/>
    <cellStyle name="Comma 2 4 3" xfId="291"/>
    <cellStyle name="Comma 2 4 4" xfId="292"/>
    <cellStyle name="Comma 2 4 5" xfId="293"/>
    <cellStyle name="Comma 2 5" xfId="294"/>
    <cellStyle name="Comma 2 6" xfId="295"/>
    <cellStyle name="Comma 2 7" xfId="296"/>
    <cellStyle name="Comma 2_3.24-07" xfId="297"/>
    <cellStyle name="Comma 20" xfId="298"/>
    <cellStyle name="Comma 21" xfId="299"/>
    <cellStyle name="Comma 22" xfId="300"/>
    <cellStyle name="Comma 22 2" xfId="301"/>
    <cellStyle name="Comma 23" xfId="302"/>
    <cellStyle name="Comma 24" xfId="303"/>
    <cellStyle name="Comma 24 2" xfId="304"/>
    <cellStyle name="Comma 25" xfId="305"/>
    <cellStyle name="Comma 26" xfId="306"/>
    <cellStyle name="Comma 26 2" xfId="307"/>
    <cellStyle name="Comma 29" xfId="308"/>
    <cellStyle name="Comma 3" xfId="309"/>
    <cellStyle name="Comma 3 2" xfId="310"/>
    <cellStyle name="Comma 3 3" xfId="311"/>
    <cellStyle name="Comma 3 4" xfId="312"/>
    <cellStyle name="Comma 3 5" xfId="313"/>
    <cellStyle name="Comma 3 6" xfId="314"/>
    <cellStyle name="Comma 4" xfId="315"/>
    <cellStyle name="Comma 5" xfId="316"/>
    <cellStyle name="Comma 6" xfId="317"/>
    <cellStyle name="Comma 7" xfId="318"/>
    <cellStyle name="Comma 8" xfId="319"/>
    <cellStyle name="Comma 9" xfId="320"/>
    <cellStyle name="Comma_331-11 98-99" xfId="321"/>
    <cellStyle name="Currency 2" xfId="322"/>
    <cellStyle name="Date" xfId="323"/>
    <cellStyle name="Encabezado 4 2" xfId="324"/>
    <cellStyle name="Encabezado 4 3" xfId="325"/>
    <cellStyle name="Encabezado 4 4" xfId="326"/>
    <cellStyle name="Énfasis1 2" xfId="327"/>
    <cellStyle name="Énfasis1 3" xfId="328"/>
    <cellStyle name="Énfasis1 4" xfId="329"/>
    <cellStyle name="Énfasis2 2" xfId="330"/>
    <cellStyle name="Énfasis2 3" xfId="331"/>
    <cellStyle name="Énfasis2 4" xfId="332"/>
    <cellStyle name="Énfasis3 2" xfId="333"/>
    <cellStyle name="Énfasis3 3" xfId="334"/>
    <cellStyle name="Énfasis3 4" xfId="335"/>
    <cellStyle name="Énfasis4 2" xfId="336"/>
    <cellStyle name="Énfasis4 3" xfId="337"/>
    <cellStyle name="Énfasis4 4" xfId="338"/>
    <cellStyle name="Énfasis5 2" xfId="339"/>
    <cellStyle name="Énfasis5 3" xfId="340"/>
    <cellStyle name="Énfasis5 4" xfId="341"/>
    <cellStyle name="Énfasis6 2" xfId="342"/>
    <cellStyle name="Énfasis6 3" xfId="343"/>
    <cellStyle name="Énfasis6 4" xfId="344"/>
    <cellStyle name="Entrada 2" xfId="345"/>
    <cellStyle name="Entrada 3" xfId="346"/>
    <cellStyle name="Entrada 4" xfId="347"/>
    <cellStyle name="Estilo 1" xfId="348"/>
    <cellStyle name="Euro" xfId="349"/>
    <cellStyle name="Explanatory Text" xfId="350"/>
    <cellStyle name="Fixed" xfId="351"/>
    <cellStyle name="Grey" xfId="352"/>
    <cellStyle name="HEADER" xfId="353"/>
    <cellStyle name="Heading 1" xfId="354"/>
    <cellStyle name="Heading 2" xfId="355"/>
    <cellStyle name="Heading 3" xfId="356"/>
    <cellStyle name="Heading1" xfId="357"/>
    <cellStyle name="Heading2" xfId="358"/>
    <cellStyle name="HIGHLIGHT" xfId="359"/>
    <cellStyle name="imf-one decimal" xfId="360"/>
    <cellStyle name="imf-zero decimal" xfId="361"/>
    <cellStyle name="Incorrecto 2" xfId="362"/>
    <cellStyle name="Incorrecto 3" xfId="363"/>
    <cellStyle name="Incorrecto 4" xfId="364"/>
    <cellStyle name="Input [yellow]" xfId="365"/>
    <cellStyle name="MacroCode" xfId="366"/>
    <cellStyle name="Millares [0] 2" xfId="367"/>
    <cellStyle name="Millares 2" xfId="368"/>
    <cellStyle name="Millares 2 2" xfId="369"/>
    <cellStyle name="Millares 3" xfId="370"/>
    <cellStyle name="Millares 4" xfId="371"/>
    <cellStyle name="Millares 5" xfId="372"/>
    <cellStyle name="Milliers [0]_Encours - Apr rééch" xfId="373"/>
    <cellStyle name="Milliers_Encours - Apr rééch" xfId="374"/>
    <cellStyle name="Moneda 2" xfId="375"/>
    <cellStyle name="Monétaire [0]_Encours - Apr rééch" xfId="376"/>
    <cellStyle name="Monétaire_Encours - Apr rééch" xfId="377"/>
    <cellStyle name="Neutral 2" xfId="378"/>
    <cellStyle name="Neutral 3" xfId="379"/>
    <cellStyle name="Neutral 4" xfId="380"/>
    <cellStyle name="Neutrale" xfId="381"/>
    <cellStyle name="no dec" xfId="382"/>
    <cellStyle name="Normal" xfId="0" builtinId="0"/>
    <cellStyle name="Normal - Style1" xfId="383"/>
    <cellStyle name="Normal 10" xfId="384"/>
    <cellStyle name="Normal 10 2" xfId="1"/>
    <cellStyle name="Normal 10 2 2" xfId="385"/>
    <cellStyle name="Normal 10 3" xfId="386"/>
    <cellStyle name="Normal 10_3.21-01" xfId="387"/>
    <cellStyle name="Normal 11" xfId="388"/>
    <cellStyle name="Normal 11 2" xfId="389"/>
    <cellStyle name="Normal 11_3.21-01" xfId="390"/>
    <cellStyle name="Normal 12" xfId="391"/>
    <cellStyle name="Normal 12 2" xfId="392"/>
    <cellStyle name="Normal 12_3.21-01" xfId="393"/>
    <cellStyle name="Normal 13" xfId="394"/>
    <cellStyle name="Normal 13 2" xfId="395"/>
    <cellStyle name="Normal 13_3.21-01" xfId="396"/>
    <cellStyle name="Normal 14" xfId="397"/>
    <cellStyle name="Normal 14 2" xfId="398"/>
    <cellStyle name="Normal 14_3.21-01" xfId="399"/>
    <cellStyle name="Normal 15" xfId="400"/>
    <cellStyle name="Normal 15 2" xfId="401"/>
    <cellStyle name="Normal 15_3.21-01" xfId="402"/>
    <cellStyle name="Normal 16" xfId="403"/>
    <cellStyle name="Normal 16 2" xfId="404"/>
    <cellStyle name="Normal 16_3.21-01" xfId="405"/>
    <cellStyle name="Normal 17" xfId="406"/>
    <cellStyle name="Normal 17 2" xfId="407"/>
    <cellStyle name="Normal 17_3.21-01" xfId="408"/>
    <cellStyle name="Normal 18" xfId="409"/>
    <cellStyle name="Normal 18 2" xfId="410"/>
    <cellStyle name="Normal 18_3.21-01" xfId="411"/>
    <cellStyle name="Normal 19" xfId="412"/>
    <cellStyle name="Normal 19 2" xfId="413"/>
    <cellStyle name="Normal 19_3.21-01" xfId="414"/>
    <cellStyle name="Normal 2" xfId="415"/>
    <cellStyle name="Normal 2 2" xfId="416"/>
    <cellStyle name="Normal 2 2 2" xfId="417"/>
    <cellStyle name="Normal 2 2 3" xfId="418"/>
    <cellStyle name="Normal 2 2 4" xfId="419"/>
    <cellStyle name="Normal 2 2 5" xfId="420"/>
    <cellStyle name="Normal 2 2 6" xfId="421"/>
    <cellStyle name="Normal 2 2_3.22-08" xfId="422"/>
    <cellStyle name="Normal 2_20080915_InffBCRDFiscalSPNF_ene-ago2008 (2)" xfId="423"/>
    <cellStyle name="Normal 20" xfId="424"/>
    <cellStyle name="Normal 20 2" xfId="425"/>
    <cellStyle name="Normal 21" xfId="426"/>
    <cellStyle name="Normal 21 2" xfId="427"/>
    <cellStyle name="Normal 21 3" xfId="428"/>
    <cellStyle name="Normal 21_homicidio 2010" xfId="429"/>
    <cellStyle name="Normal 3" xfId="430"/>
    <cellStyle name="Normal 3 2" xfId="431"/>
    <cellStyle name="Normal 3 3" xfId="432"/>
    <cellStyle name="Normal 3 4" xfId="433"/>
    <cellStyle name="Normal 3_3.10-070 Número de vuelos charter internacionales por aeropuerto, según mes, 2007-2008" xfId="434"/>
    <cellStyle name="Normal 4" xfId="435"/>
    <cellStyle name="Normal 4 2" xfId="436"/>
    <cellStyle name="Normal 4_3.21-01" xfId="437"/>
    <cellStyle name="Normal 5" xfId="438"/>
    <cellStyle name="Normal 5 2" xfId="439"/>
    <cellStyle name="Normal 5 3" xfId="440"/>
    <cellStyle name="Normal 5 4" xfId="441"/>
    <cellStyle name="Normal 6" xfId="442"/>
    <cellStyle name="Normal 6 2" xfId="443"/>
    <cellStyle name="Normal 6 3" xfId="444"/>
    <cellStyle name="Normal 7" xfId="445"/>
    <cellStyle name="Normal 7 2" xfId="446"/>
    <cellStyle name="Normal 7 3" xfId="447"/>
    <cellStyle name="Normal 7 4" xfId="448"/>
    <cellStyle name="Normal 8" xfId="449"/>
    <cellStyle name="Normal 8 2" xfId="450"/>
    <cellStyle name="Normal 8 3" xfId="451"/>
    <cellStyle name="Normal 9" xfId="452"/>
    <cellStyle name="Normal 9 2" xfId="453"/>
    <cellStyle name="Normal 9 3" xfId="454"/>
    <cellStyle name="Normal 9_3.21-01" xfId="455"/>
    <cellStyle name="Normal Table" xfId="456"/>
    <cellStyle name="Nota" xfId="457"/>
    <cellStyle name="Notas 2" xfId="458"/>
    <cellStyle name="Notas 3" xfId="459"/>
    <cellStyle name="Notas 4" xfId="460"/>
    <cellStyle name="Output" xfId="461"/>
    <cellStyle name="Percent [2]" xfId="462"/>
    <cellStyle name="Percent 2" xfId="463"/>
    <cellStyle name="Percent 3" xfId="464"/>
    <cellStyle name="percentage difference" xfId="465"/>
    <cellStyle name="percentage difference one decimal" xfId="466"/>
    <cellStyle name="percentage difference zero decimal" xfId="467"/>
    <cellStyle name="percentage difference_3.24-07" xfId="468"/>
    <cellStyle name="Percentuale 2" xfId="469"/>
    <cellStyle name="Porcentual 2" xfId="470"/>
    <cellStyle name="Porcentual 3" xfId="471"/>
    <cellStyle name="Porcentual 4" xfId="472"/>
    <cellStyle name="Publication" xfId="473"/>
    <cellStyle name="Red Text" xfId="474"/>
    <cellStyle name="s" xfId="475"/>
    <cellStyle name="s_3.10-070 Número de vuelos charter internacionales por aeropuerto, según mes, 2007-2008" xfId="476"/>
    <cellStyle name="s_3.10-081 Movimiento de pasajeros embarcados en vuelos charters internacionales por aeropuerto, según mes, 2007-2008" xfId="477"/>
    <cellStyle name="s_3.10-082 Movimiento de pasajeros desembarcados en vuelos charters internacionales por aeropuerto, según mes, 2007-2008" xfId="478"/>
    <cellStyle name="s_Sheet5" xfId="479"/>
    <cellStyle name="s_Sheet5_3.22-08" xfId="480"/>
    <cellStyle name="s_Sheet5_3.22-08_RD en Cifras 2010. Precios" xfId="481"/>
    <cellStyle name="s_Sheet5_3.22-08_RD en Cifras 2010. Precios_homicidio 2010" xfId="482"/>
    <cellStyle name="s_Sheet5_3.24-07" xfId="483"/>
    <cellStyle name="s_Sheet5_3.24-07_3.21-01" xfId="484"/>
    <cellStyle name="s_Sheet5_3.24-07_3.21-01_homicidio 2010" xfId="485"/>
    <cellStyle name="s_Sheet5_3.24-07_homicidio 2010" xfId="486"/>
    <cellStyle name="s_Sheet5_Dominicana en Cifras 2010" xfId="487"/>
    <cellStyle name="s_Sheet5_RD en Cifras 2010. Precios" xfId="488"/>
    <cellStyle name="s_Sheet5_RD en Cifras 2010. Precios_homicidio 2010" xfId="489"/>
    <cellStyle name="s_Sheet5_RD en Cifras 2010_Comercio Exterior" xfId="490"/>
    <cellStyle name="s_Sheet5_RD en Cifras 2010_Comercio Exterior_RD en Cifras 2010. Precios" xfId="491"/>
    <cellStyle name="s_Sheet5_RD en Cifras 2010_Comercio Exterior_RD en Cifras 2010. Precios_homicidio 2010" xfId="492"/>
    <cellStyle name="Salida 2" xfId="493"/>
    <cellStyle name="Salida 3" xfId="494"/>
    <cellStyle name="Salida 4" xfId="495"/>
    <cellStyle name="Testo avviso" xfId="496"/>
    <cellStyle name="Testo descrittivo" xfId="497"/>
    <cellStyle name="Texto de advertencia 2" xfId="498"/>
    <cellStyle name="Texto de advertencia 3" xfId="499"/>
    <cellStyle name="Texto de advertencia 4" xfId="500"/>
    <cellStyle name="Texto explicativo 2" xfId="501"/>
    <cellStyle name="Texto explicativo 3" xfId="502"/>
    <cellStyle name="Texto explicativo 4" xfId="503"/>
    <cellStyle name="Title" xfId="504"/>
    <cellStyle name="Titolo" xfId="505"/>
    <cellStyle name="Titolo 1" xfId="506"/>
    <cellStyle name="Titolo 2" xfId="507"/>
    <cellStyle name="Titolo 3" xfId="508"/>
    <cellStyle name="Titolo 4" xfId="509"/>
    <cellStyle name="Titolo_3.21-01" xfId="510"/>
    <cellStyle name="Título 1 2" xfId="511"/>
    <cellStyle name="Título 1 3" xfId="512"/>
    <cellStyle name="Título 1 4" xfId="513"/>
    <cellStyle name="Título 2 2" xfId="514"/>
    <cellStyle name="Título 2 3" xfId="515"/>
    <cellStyle name="Título 2 4" xfId="516"/>
    <cellStyle name="Título 3 2" xfId="517"/>
    <cellStyle name="Título 3 3" xfId="518"/>
    <cellStyle name="Título 3 4" xfId="519"/>
    <cellStyle name="Título 4" xfId="520"/>
    <cellStyle name="Título 5" xfId="521"/>
    <cellStyle name="Título 6" xfId="522"/>
    <cellStyle name="TopGrey" xfId="523"/>
    <cellStyle name="Total 2" xfId="524"/>
    <cellStyle name="Total 3" xfId="525"/>
    <cellStyle name="Total 4" xfId="526"/>
    <cellStyle name="Totale" xfId="527"/>
    <cellStyle name="Unprot" xfId="528"/>
    <cellStyle name="Unprot$" xfId="529"/>
    <cellStyle name="Unprot_3.10-03 Número de buques en comercio exterior por trimestre, según puerto, 2007-2008" xfId="530"/>
    <cellStyle name="Unprotect" xfId="531"/>
    <cellStyle name="Valore non valido" xfId="532"/>
    <cellStyle name="Valore valido" xfId="53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lina.silfa/AppData/Local/Microsoft/Windows/Temporary%20Internet%20Files/Low/Content.IE5/C2WQB4H0/Documents%20and%20Settings/pedro.alvarez/Configuraci&#243;n%20local/Archivos%20temporales%20de%20Internet/OLK6/Documents%20and%20Settings/neuta.ramos/Configuraci&#24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ACIONES/DOMINICANA%20EN%20CIFRAS/Republica%20Dominicana%20en%20Cifras%202012%20ult/Estadisticas%20Demograficas%20RD%20en%20Cifra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uci.almonte\Desktop\Documents%20and%20Settings\jose.actis\Mis%20documentos\dominicana%20en%20cifras%20cd%20interactivo%20de%20economicasxl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iverca.gomez/My%20Documents/Downloads/RD%20en%20Cifras%2020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  <cell r="J7">
            <v>14683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  <cell r="J10">
            <v>54918.6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>
        <row r="8">
          <cell r="C8">
            <v>3270013</v>
          </cell>
          <cell r="E8">
            <v>3214051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.101"/>
      <sheetName val="1.2.01"/>
      <sheetName val="1.2.02"/>
      <sheetName val="1.2.03"/>
      <sheetName val="1.2.04"/>
      <sheetName val="1.2.05"/>
      <sheetName val="1.2.06"/>
      <sheetName val="1.2.07"/>
      <sheetName val="1.2.08"/>
      <sheetName val="2.1.01"/>
      <sheetName val="2.102"/>
      <sheetName val="2.1.03"/>
      <sheetName val="2.1.04"/>
      <sheetName val="2.1.05"/>
      <sheetName val="2.1.06"/>
      <sheetName val="2.1.07"/>
      <sheetName val="2.1.08"/>
      <sheetName val="2.1.09"/>
      <sheetName val="2.1.10"/>
      <sheetName val="2.1.11"/>
      <sheetName val="2.1.12"/>
      <sheetName val="2.1.13"/>
      <sheetName val="2.2.01"/>
      <sheetName val="2.2.02"/>
      <sheetName val="2.2.03"/>
      <sheetName val="2.2.04"/>
      <sheetName val="2.2.05"/>
      <sheetName val="2.206"/>
      <sheetName val="2.2.07"/>
      <sheetName val="2.2.08"/>
      <sheetName val="2.2.09"/>
      <sheetName val="2.2.10"/>
      <sheetName val="2.2.11"/>
      <sheetName val="2.2.12"/>
      <sheetName val="2.2.13"/>
      <sheetName val="2.2.14"/>
      <sheetName val="4.1.01"/>
      <sheetName val="4.1.02"/>
      <sheetName val="4.1.03"/>
      <sheetName val="4.1.04"/>
      <sheetName val="4.1.05"/>
      <sheetName val="4.1.06"/>
      <sheetName val="4.1.07"/>
      <sheetName val="4.1.08"/>
      <sheetName val="4.1.09"/>
      <sheetName val="4.1.10"/>
      <sheetName val="4.1.11"/>
      <sheetName val="4.1.12"/>
      <sheetName val="4.1.13"/>
      <sheetName val="4.1.14"/>
      <sheetName val="4.1.15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.01"/>
      <sheetName val="4.3.02"/>
      <sheetName val="4.3.03"/>
      <sheetName val="4.3.04"/>
      <sheetName val="4.4.01"/>
      <sheetName val="4.4.02"/>
      <sheetName val="4.4.03"/>
      <sheetName val="4.4.04"/>
      <sheetName val="4.4.05"/>
      <sheetName val="4.4.06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-01"/>
      <sheetName val="4.6-02"/>
      <sheetName val="4.6-03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,7-01"/>
      <sheetName val="4.7-02"/>
      <sheetName val="4.7-03"/>
      <sheetName val="5.1-01"/>
      <sheetName val="5.1-02"/>
      <sheetName val="5.1-03"/>
      <sheetName val="5.1-04"/>
      <sheetName val="5.1.05"/>
      <sheetName val="5.1.06"/>
      <sheetName val="5.1.07"/>
      <sheetName val="5.1.08"/>
      <sheetName val="5.1.09"/>
      <sheetName val="5.1-10"/>
      <sheetName val="5.1.11"/>
      <sheetName val="5.1.12"/>
      <sheetName val="5.1-13"/>
      <sheetName val="5.1-14"/>
      <sheetName val="5.1.15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H11">
            <v>14013298</v>
          </cell>
        </row>
      </sheetData>
      <sheetData sheetId="14" refreshError="1"/>
      <sheetData sheetId="15" refreshError="1">
        <row r="11"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2:P44"/>
  <sheetViews>
    <sheetView showGridLines="0" tabSelected="1" workbookViewId="0">
      <selection activeCell="N9" sqref="N9:P9"/>
    </sheetView>
  </sheetViews>
  <sheetFormatPr baseColWidth="10" defaultRowHeight="12.75"/>
  <cols>
    <col min="1" max="1" width="26.85546875" style="1" customWidth="1"/>
    <col min="2" max="2" width="6.140625" style="1" customWidth="1"/>
    <col min="3" max="4" width="8.7109375" style="1" customWidth="1"/>
    <col min="5" max="5" width="5.85546875" style="1" customWidth="1"/>
    <col min="6" max="7" width="8.7109375" style="1" customWidth="1"/>
    <col min="8" max="8" width="5.85546875" style="1" customWidth="1"/>
    <col min="9" max="9" width="8.7109375" style="1" customWidth="1"/>
    <col min="10" max="10" width="8.85546875" style="1" customWidth="1"/>
    <col min="11" max="11" width="7.5703125" style="1" customWidth="1"/>
    <col min="12" max="12" width="8.7109375" style="1" customWidth="1"/>
    <col min="13" max="13" width="9.5703125" style="1" customWidth="1"/>
    <col min="14" max="14" width="10" style="1" customWidth="1"/>
    <col min="15" max="16384" width="11.42578125" style="1"/>
  </cols>
  <sheetData>
    <row r="2" spans="1:16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>
      <c r="A3" s="25" t="s">
        <v>38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5" spans="1:16">
      <c r="A5" s="24" t="s">
        <v>37</v>
      </c>
      <c r="B5" s="20">
        <v>2007</v>
      </c>
      <c r="C5" s="20"/>
      <c r="D5" s="20"/>
      <c r="E5" s="20">
        <v>2008</v>
      </c>
      <c r="F5" s="20"/>
      <c r="G5" s="20"/>
      <c r="H5" s="20">
        <v>2009</v>
      </c>
      <c r="I5" s="20"/>
      <c r="J5" s="20"/>
      <c r="K5" s="20">
        <v>2010</v>
      </c>
      <c r="L5" s="20"/>
      <c r="M5" s="20"/>
      <c r="N5" s="23" t="s">
        <v>36</v>
      </c>
      <c r="O5" s="23"/>
      <c r="P5" s="23"/>
    </row>
    <row r="6" spans="1:16">
      <c r="A6" s="22"/>
      <c r="B6" s="21" t="s">
        <v>32</v>
      </c>
      <c r="C6" s="20" t="s">
        <v>35</v>
      </c>
      <c r="D6" s="20"/>
      <c r="E6" s="21" t="s">
        <v>32</v>
      </c>
      <c r="F6" s="20" t="s">
        <v>35</v>
      </c>
      <c r="G6" s="20"/>
      <c r="H6" s="21" t="s">
        <v>32</v>
      </c>
      <c r="I6" s="20" t="s">
        <v>35</v>
      </c>
      <c r="J6" s="20"/>
      <c r="K6" s="21" t="s">
        <v>32</v>
      </c>
      <c r="L6" s="20" t="s">
        <v>35</v>
      </c>
      <c r="M6" s="20"/>
      <c r="N6" s="21" t="s">
        <v>32</v>
      </c>
      <c r="O6" s="20" t="s">
        <v>35</v>
      </c>
      <c r="P6" s="20"/>
    </row>
    <row r="7" spans="1:16">
      <c r="A7" s="19"/>
      <c r="B7" s="18"/>
      <c r="C7" s="17" t="s">
        <v>34</v>
      </c>
      <c r="D7" s="17" t="s">
        <v>33</v>
      </c>
      <c r="E7" s="18"/>
      <c r="F7" s="17" t="s">
        <v>34</v>
      </c>
      <c r="G7" s="17" t="s">
        <v>33</v>
      </c>
      <c r="H7" s="18"/>
      <c r="I7" s="17" t="s">
        <v>34</v>
      </c>
      <c r="J7" s="17" t="s">
        <v>33</v>
      </c>
      <c r="K7" s="18"/>
      <c r="L7" s="17" t="s">
        <v>34</v>
      </c>
      <c r="M7" s="17" t="s">
        <v>33</v>
      </c>
      <c r="N7" s="18"/>
      <c r="O7" s="17" t="s">
        <v>34</v>
      </c>
      <c r="P7" s="17" t="s">
        <v>33</v>
      </c>
    </row>
    <row r="8" spans="1:16" ht="5.0999999999999996" customHeight="1">
      <c r="A8" s="16"/>
      <c r="B8" s="15"/>
      <c r="C8" s="15"/>
      <c r="D8" s="15"/>
    </row>
    <row r="9" spans="1:16">
      <c r="A9" s="14" t="s">
        <v>32</v>
      </c>
      <c r="B9" s="13">
        <f>C9+D9</f>
        <v>514</v>
      </c>
      <c r="C9" s="13">
        <v>443</v>
      </c>
      <c r="D9" s="13">
        <v>71</v>
      </c>
      <c r="E9" s="13">
        <f>F9+G9</f>
        <v>533</v>
      </c>
      <c r="F9" s="13">
        <v>454</v>
      </c>
      <c r="G9" s="13">
        <v>79</v>
      </c>
      <c r="H9" s="13">
        <f>I9+J9</f>
        <v>525</v>
      </c>
      <c r="I9" s="13">
        <v>457</v>
      </c>
      <c r="J9" s="13">
        <v>68</v>
      </c>
      <c r="K9" s="13">
        <f>L9+M9</f>
        <v>549</v>
      </c>
      <c r="L9" s="13">
        <v>483</v>
      </c>
      <c r="M9" s="13">
        <v>66</v>
      </c>
      <c r="N9" s="13">
        <f>O9+P9</f>
        <v>637</v>
      </c>
      <c r="O9" s="13">
        <f>SUM(O11:O40)</f>
        <v>533</v>
      </c>
      <c r="P9" s="13">
        <f>SUM(P11:P40)</f>
        <v>104</v>
      </c>
    </row>
    <row r="10" spans="1:16" ht="5.0999999999999996" customHeight="1">
      <c r="A10" s="1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11" t="s">
        <v>31</v>
      </c>
      <c r="B11" s="10">
        <f>C11+D11</f>
        <v>404</v>
      </c>
      <c r="C11" s="10">
        <v>346</v>
      </c>
      <c r="D11" s="10">
        <v>58</v>
      </c>
      <c r="E11" s="10">
        <f>F11+G11</f>
        <v>430</v>
      </c>
      <c r="F11" s="10">
        <v>366</v>
      </c>
      <c r="G11" s="10">
        <v>64</v>
      </c>
      <c r="H11" s="10">
        <f>I11+J11</f>
        <v>455</v>
      </c>
      <c r="I11" s="10">
        <v>386</v>
      </c>
      <c r="J11" s="10">
        <v>69</v>
      </c>
      <c r="K11" s="10">
        <f>L11+M11</f>
        <v>436</v>
      </c>
      <c r="L11" s="10">
        <v>378</v>
      </c>
      <c r="M11" s="10">
        <v>58</v>
      </c>
      <c r="N11" s="10">
        <f>O11+P11</f>
        <v>468</v>
      </c>
      <c r="O11" s="10">
        <v>380</v>
      </c>
      <c r="P11" s="10">
        <v>88</v>
      </c>
    </row>
    <row r="12" spans="1:16">
      <c r="A12" s="11" t="s">
        <v>30</v>
      </c>
      <c r="B12" s="10">
        <f>C12+D12</f>
        <v>9</v>
      </c>
      <c r="C12" s="10">
        <v>9</v>
      </c>
      <c r="D12" s="10">
        <v>0</v>
      </c>
      <c r="E12" s="10">
        <f>F12+G12</f>
        <v>13</v>
      </c>
      <c r="F12" s="10">
        <v>13</v>
      </c>
      <c r="G12" s="10">
        <v>0</v>
      </c>
      <c r="H12" s="10">
        <f>I12+J12</f>
        <v>12</v>
      </c>
      <c r="I12" s="10">
        <v>9</v>
      </c>
      <c r="J12" s="10">
        <v>3</v>
      </c>
      <c r="K12" s="10">
        <f>L12+M12</f>
        <v>15</v>
      </c>
      <c r="L12" s="10">
        <v>14</v>
      </c>
      <c r="M12" s="10">
        <v>1</v>
      </c>
      <c r="N12" s="10">
        <f>O12+P12</f>
        <v>19</v>
      </c>
      <c r="O12" s="10">
        <v>19</v>
      </c>
      <c r="P12" s="10">
        <v>0</v>
      </c>
    </row>
    <row r="13" spans="1:16">
      <c r="A13" s="11" t="s">
        <v>29</v>
      </c>
      <c r="B13" s="10">
        <f>C13+D13</f>
        <v>12</v>
      </c>
      <c r="C13" s="10">
        <v>11</v>
      </c>
      <c r="D13" s="10">
        <v>1</v>
      </c>
      <c r="E13" s="10">
        <f>F13+G13</f>
        <v>25</v>
      </c>
      <c r="F13" s="10">
        <v>23</v>
      </c>
      <c r="G13" s="10">
        <v>2</v>
      </c>
      <c r="H13" s="10">
        <f>I13+J13</f>
        <v>16</v>
      </c>
      <c r="I13" s="10">
        <v>16</v>
      </c>
      <c r="J13" s="10">
        <v>0</v>
      </c>
      <c r="K13" s="10">
        <f>L13+M13</f>
        <v>15</v>
      </c>
      <c r="L13" s="10">
        <v>15</v>
      </c>
      <c r="M13" s="10">
        <v>0</v>
      </c>
      <c r="N13" s="10">
        <f>O13+P13</f>
        <v>31</v>
      </c>
      <c r="O13" s="10">
        <v>30</v>
      </c>
      <c r="P13" s="10">
        <v>1</v>
      </c>
    </row>
    <row r="14" spans="1:16" s="12" customFormat="1">
      <c r="A14" s="11" t="s">
        <v>28</v>
      </c>
      <c r="B14" s="10">
        <f>C14+D14</f>
        <v>16</v>
      </c>
      <c r="C14" s="10">
        <v>14</v>
      </c>
      <c r="D14" s="10">
        <v>2</v>
      </c>
      <c r="E14" s="10">
        <f>F14+G14</f>
        <v>12</v>
      </c>
      <c r="F14" s="10">
        <v>9</v>
      </c>
      <c r="G14" s="10">
        <v>3</v>
      </c>
      <c r="H14" s="10">
        <f>I14+J14</f>
        <v>14</v>
      </c>
      <c r="I14" s="10">
        <v>11</v>
      </c>
      <c r="J14" s="10">
        <v>3</v>
      </c>
      <c r="K14" s="10">
        <f>L14+M14</f>
        <v>7</v>
      </c>
      <c r="L14" s="10">
        <v>7</v>
      </c>
      <c r="M14" s="10">
        <v>0</v>
      </c>
      <c r="N14" s="10">
        <f>O14+P14</f>
        <v>9</v>
      </c>
      <c r="O14" s="10">
        <v>8</v>
      </c>
      <c r="P14" s="10">
        <v>1</v>
      </c>
    </row>
    <row r="15" spans="1:16" s="12" customFormat="1">
      <c r="A15" s="11" t="s">
        <v>27</v>
      </c>
      <c r="B15" s="10">
        <f>C15+D15</f>
        <v>5</v>
      </c>
      <c r="C15" s="10">
        <v>5</v>
      </c>
      <c r="D15" s="10">
        <v>0</v>
      </c>
      <c r="E15" s="10">
        <f>F15+G15</f>
        <v>4</v>
      </c>
      <c r="F15" s="10">
        <v>3</v>
      </c>
      <c r="G15" s="10">
        <v>1</v>
      </c>
      <c r="H15" s="10">
        <f>I15+J15</f>
        <v>4</v>
      </c>
      <c r="I15" s="10">
        <v>3</v>
      </c>
      <c r="J15" s="10">
        <v>1</v>
      </c>
      <c r="K15" s="10">
        <f>L15+M15</f>
        <v>5</v>
      </c>
      <c r="L15" s="10">
        <v>5</v>
      </c>
      <c r="M15" s="10">
        <v>0</v>
      </c>
      <c r="N15" s="10">
        <f>O15+P15</f>
        <v>44</v>
      </c>
      <c r="O15" s="10">
        <v>40</v>
      </c>
      <c r="P15" s="10">
        <v>4</v>
      </c>
    </row>
    <row r="16" spans="1:16" s="12" customFormat="1">
      <c r="A16" s="11" t="s">
        <v>26</v>
      </c>
      <c r="B16" s="10">
        <f>C16+D16</f>
        <v>8</v>
      </c>
      <c r="C16" s="10">
        <v>8</v>
      </c>
      <c r="D16" s="10">
        <v>0</v>
      </c>
      <c r="E16" s="10">
        <f>F16+G16</f>
        <v>5</v>
      </c>
      <c r="F16" s="10">
        <v>5</v>
      </c>
      <c r="G16" s="10">
        <v>0</v>
      </c>
      <c r="H16" s="10">
        <f>I16+J16</f>
        <v>9</v>
      </c>
      <c r="I16" s="10">
        <v>9</v>
      </c>
      <c r="J16" s="10">
        <v>0</v>
      </c>
      <c r="K16" s="10">
        <f>L16+M16</f>
        <v>3</v>
      </c>
      <c r="L16" s="10">
        <v>3</v>
      </c>
      <c r="M16" s="10">
        <v>0</v>
      </c>
      <c r="N16" s="10">
        <f>O16+P16</f>
        <v>4</v>
      </c>
      <c r="O16" s="10">
        <v>4</v>
      </c>
      <c r="P16" s="10">
        <v>0</v>
      </c>
    </row>
    <row r="17" spans="1:16" s="12" customFormat="1" ht="10.5" customHeight="1">
      <c r="A17" s="11" t="s">
        <v>25</v>
      </c>
      <c r="B17" s="10">
        <f>C17+D17</f>
        <v>3</v>
      </c>
      <c r="C17" s="10">
        <v>2</v>
      </c>
      <c r="D17" s="10">
        <v>1</v>
      </c>
      <c r="E17" s="10">
        <f>F17+G17</f>
        <v>0</v>
      </c>
      <c r="F17" s="10">
        <v>0</v>
      </c>
      <c r="G17" s="10">
        <v>0</v>
      </c>
      <c r="H17" s="10">
        <f>I17+J17</f>
        <v>2</v>
      </c>
      <c r="I17" s="10">
        <v>2</v>
      </c>
      <c r="J17" s="10">
        <v>0</v>
      </c>
      <c r="K17" s="10">
        <f>L17+M17</f>
        <v>1</v>
      </c>
      <c r="L17" s="10">
        <v>1</v>
      </c>
      <c r="M17" s="10">
        <v>0</v>
      </c>
      <c r="N17" s="10">
        <f>O17+P17</f>
        <v>1</v>
      </c>
      <c r="O17" s="10">
        <v>0</v>
      </c>
      <c r="P17" s="10">
        <v>1</v>
      </c>
    </row>
    <row r="18" spans="1:16" s="12" customFormat="1">
      <c r="A18" s="11" t="s">
        <v>24</v>
      </c>
      <c r="B18" s="10">
        <f>C18+D18</f>
        <v>5</v>
      </c>
      <c r="C18" s="10">
        <v>3</v>
      </c>
      <c r="D18" s="10">
        <v>2</v>
      </c>
      <c r="E18" s="10">
        <f>F18+G18</f>
        <v>4</v>
      </c>
      <c r="F18" s="10">
        <v>2</v>
      </c>
      <c r="G18" s="10">
        <v>2</v>
      </c>
      <c r="H18" s="10">
        <f>I18+J18</f>
        <v>2</v>
      </c>
      <c r="I18" s="10">
        <v>2</v>
      </c>
      <c r="J18" s="10">
        <v>0</v>
      </c>
      <c r="K18" s="10">
        <f>L18+M18</f>
        <v>1</v>
      </c>
      <c r="L18" s="10">
        <v>0</v>
      </c>
      <c r="M18" s="10">
        <v>1</v>
      </c>
      <c r="N18" s="10">
        <f>O18+P18</f>
        <v>6</v>
      </c>
      <c r="O18" s="10">
        <v>4</v>
      </c>
      <c r="P18" s="10">
        <v>2</v>
      </c>
    </row>
    <row r="19" spans="1:16" s="12" customFormat="1">
      <c r="A19" s="11" t="s">
        <v>23</v>
      </c>
      <c r="B19" s="10">
        <f>C19+D19</f>
        <v>9</v>
      </c>
      <c r="C19" s="10">
        <v>8</v>
      </c>
      <c r="D19" s="10">
        <v>1</v>
      </c>
      <c r="E19" s="10">
        <f>F19+G19</f>
        <v>9</v>
      </c>
      <c r="F19" s="10">
        <v>8</v>
      </c>
      <c r="G19" s="10">
        <v>1</v>
      </c>
      <c r="H19" s="10">
        <f>I19+J19</f>
        <v>10</v>
      </c>
      <c r="I19" s="10">
        <v>10</v>
      </c>
      <c r="J19" s="10">
        <v>0</v>
      </c>
      <c r="K19" s="10">
        <f>L19+M19</f>
        <v>12</v>
      </c>
      <c r="L19" s="10">
        <v>10</v>
      </c>
      <c r="M19" s="10">
        <v>2</v>
      </c>
      <c r="N19" s="10">
        <f>O19+P19</f>
        <v>7</v>
      </c>
      <c r="O19" s="10">
        <v>5</v>
      </c>
      <c r="P19" s="10">
        <v>2</v>
      </c>
    </row>
    <row r="20" spans="1:16">
      <c r="A20" s="9" t="s">
        <v>22</v>
      </c>
      <c r="B20" s="10">
        <f>C20+D20</f>
        <v>12</v>
      </c>
      <c r="C20" s="10">
        <v>11</v>
      </c>
      <c r="D20" s="10">
        <v>1</v>
      </c>
      <c r="E20" s="10">
        <f>F20+G20</f>
        <v>1</v>
      </c>
      <c r="F20" s="10">
        <v>1</v>
      </c>
      <c r="G20" s="10">
        <v>0</v>
      </c>
      <c r="H20" s="10">
        <f>I20+J20</f>
        <v>1</v>
      </c>
      <c r="I20" s="10">
        <v>1</v>
      </c>
      <c r="J20" s="10">
        <v>0</v>
      </c>
      <c r="K20" s="10">
        <f>L20+M20</f>
        <v>1</v>
      </c>
      <c r="L20" s="10">
        <v>1</v>
      </c>
      <c r="M20" s="10">
        <v>0</v>
      </c>
      <c r="N20" s="10">
        <f>O20+P20</f>
        <v>1</v>
      </c>
      <c r="O20" s="10">
        <v>0</v>
      </c>
      <c r="P20" s="10">
        <v>1</v>
      </c>
    </row>
    <row r="21" spans="1:16" ht="12.75" customHeight="1">
      <c r="A21" s="9" t="s">
        <v>21</v>
      </c>
      <c r="B21" s="10">
        <f>C21+D21</f>
        <v>6</v>
      </c>
      <c r="C21" s="10">
        <v>6</v>
      </c>
      <c r="D21" s="10">
        <v>0</v>
      </c>
      <c r="E21" s="10">
        <f>F21+G21</f>
        <v>3</v>
      </c>
      <c r="F21" s="10">
        <v>2</v>
      </c>
      <c r="G21" s="10">
        <v>1</v>
      </c>
      <c r="H21" s="10">
        <f>I21+J21</f>
        <v>2</v>
      </c>
      <c r="I21" s="10">
        <v>2</v>
      </c>
      <c r="J21" s="10">
        <v>0</v>
      </c>
      <c r="K21" s="10">
        <f>L21+M21</f>
        <v>1</v>
      </c>
      <c r="L21" s="10">
        <v>0</v>
      </c>
      <c r="M21" s="10">
        <v>1</v>
      </c>
      <c r="N21" s="10">
        <f>O21+P21</f>
        <v>0</v>
      </c>
      <c r="O21" s="10">
        <v>0</v>
      </c>
      <c r="P21" s="10">
        <v>0</v>
      </c>
    </row>
    <row r="22" spans="1:16">
      <c r="A22" s="11" t="s">
        <v>20</v>
      </c>
      <c r="B22" s="10">
        <f>C22+D22</f>
        <v>0</v>
      </c>
      <c r="C22" s="10">
        <v>0</v>
      </c>
      <c r="D22" s="10">
        <v>0</v>
      </c>
      <c r="E22" s="10">
        <f>F22+G22</f>
        <v>1</v>
      </c>
      <c r="F22" s="10">
        <v>1</v>
      </c>
      <c r="G22" s="10">
        <v>0</v>
      </c>
      <c r="H22" s="10">
        <f>I22+J22</f>
        <v>0</v>
      </c>
      <c r="I22" s="10">
        <v>0</v>
      </c>
      <c r="J22" s="10">
        <v>0</v>
      </c>
      <c r="K22" s="10">
        <f>L22+M22</f>
        <v>0</v>
      </c>
      <c r="L22" s="10">
        <v>0</v>
      </c>
      <c r="M22" s="10">
        <v>0</v>
      </c>
      <c r="N22" s="10">
        <f>O22+P22</f>
        <v>0</v>
      </c>
      <c r="O22" s="10">
        <v>0</v>
      </c>
      <c r="P22" s="10">
        <v>0</v>
      </c>
    </row>
    <row r="23" spans="1:16">
      <c r="A23" s="11" t="s">
        <v>19</v>
      </c>
      <c r="B23" s="10">
        <f>C23+D23</f>
        <v>3</v>
      </c>
      <c r="C23" s="10">
        <v>2</v>
      </c>
      <c r="D23" s="10">
        <v>1</v>
      </c>
      <c r="E23" s="10">
        <f>F23+G23</f>
        <v>2</v>
      </c>
      <c r="F23" s="10">
        <v>1</v>
      </c>
      <c r="G23" s="10">
        <v>1</v>
      </c>
      <c r="H23" s="10">
        <f>I23+J23</f>
        <v>5</v>
      </c>
      <c r="I23" s="10">
        <v>5</v>
      </c>
      <c r="J23" s="10">
        <v>0</v>
      </c>
      <c r="K23" s="10">
        <f>L23+M23</f>
        <v>1</v>
      </c>
      <c r="L23" s="10">
        <v>1</v>
      </c>
      <c r="M23" s="10">
        <v>0</v>
      </c>
      <c r="N23" s="10">
        <f>O23+P23</f>
        <v>5</v>
      </c>
      <c r="O23" s="10">
        <v>4</v>
      </c>
      <c r="P23" s="10">
        <v>1</v>
      </c>
    </row>
    <row r="24" spans="1:16" s="2" customFormat="1" ht="12.75" customHeight="1">
      <c r="A24" s="11" t="s">
        <v>18</v>
      </c>
      <c r="B24" s="10">
        <f>C24+D24</f>
        <v>6</v>
      </c>
      <c r="C24" s="10">
        <v>5</v>
      </c>
      <c r="D24" s="10">
        <v>1</v>
      </c>
      <c r="E24" s="10">
        <f>F24+G24</f>
        <v>6</v>
      </c>
      <c r="F24" s="10">
        <v>5</v>
      </c>
      <c r="G24" s="10">
        <v>1</v>
      </c>
      <c r="H24" s="10">
        <f>I24+J24</f>
        <v>7</v>
      </c>
      <c r="I24" s="10">
        <v>7</v>
      </c>
      <c r="J24" s="10">
        <v>0</v>
      </c>
      <c r="K24" s="10">
        <f>L24+M24</f>
        <v>15</v>
      </c>
      <c r="L24" s="10">
        <v>13</v>
      </c>
      <c r="M24" s="10">
        <v>2</v>
      </c>
      <c r="N24" s="10">
        <f>O24+P24</f>
        <v>7</v>
      </c>
      <c r="O24" s="10">
        <v>7</v>
      </c>
      <c r="P24" s="10">
        <v>0</v>
      </c>
    </row>
    <row r="25" spans="1:16" s="2" customFormat="1" ht="12.75" customHeight="1">
      <c r="A25" s="11" t="s">
        <v>17</v>
      </c>
      <c r="B25" s="10">
        <f>C25+D25</f>
        <v>1</v>
      </c>
      <c r="C25" s="10">
        <v>1</v>
      </c>
      <c r="D25" s="10">
        <v>0</v>
      </c>
      <c r="E25" s="10">
        <f>F25+G25</f>
        <v>0</v>
      </c>
      <c r="F25" s="10">
        <v>0</v>
      </c>
      <c r="G25" s="10">
        <v>0</v>
      </c>
      <c r="H25" s="10">
        <f>I25+J25</f>
        <v>0</v>
      </c>
      <c r="I25" s="10">
        <v>0</v>
      </c>
      <c r="J25" s="10">
        <v>0</v>
      </c>
      <c r="K25" s="10">
        <f>L25+M25</f>
        <v>0</v>
      </c>
      <c r="L25" s="10">
        <v>0</v>
      </c>
      <c r="M25" s="10">
        <v>0</v>
      </c>
      <c r="N25" s="10">
        <f>O25+P25</f>
        <v>5</v>
      </c>
      <c r="O25" s="10">
        <v>5</v>
      </c>
      <c r="P25" s="10">
        <v>0</v>
      </c>
    </row>
    <row r="26" spans="1:16">
      <c r="A26" s="11" t="s">
        <v>16</v>
      </c>
      <c r="B26" s="10">
        <f>C26+D26</f>
        <v>3</v>
      </c>
      <c r="C26" s="10">
        <v>3</v>
      </c>
      <c r="D26" s="10">
        <v>0</v>
      </c>
      <c r="E26" s="10">
        <f>F26+G26</f>
        <v>1</v>
      </c>
      <c r="F26" s="10">
        <v>1</v>
      </c>
      <c r="G26" s="10">
        <v>0</v>
      </c>
      <c r="H26" s="10">
        <f>I26+J26</f>
        <v>3</v>
      </c>
      <c r="I26" s="10">
        <v>3</v>
      </c>
      <c r="J26" s="10">
        <v>0</v>
      </c>
      <c r="K26" s="10">
        <f>L26+M26</f>
        <v>7</v>
      </c>
      <c r="L26" s="10">
        <v>7</v>
      </c>
      <c r="M26" s="10">
        <v>0</v>
      </c>
      <c r="N26" s="10">
        <f>O26+P26</f>
        <v>1</v>
      </c>
      <c r="O26" s="10">
        <v>1</v>
      </c>
      <c r="P26" s="10">
        <v>0</v>
      </c>
    </row>
    <row r="27" spans="1:16">
      <c r="A27" s="11" t="s">
        <v>15</v>
      </c>
      <c r="B27" s="10">
        <f>C27+D27</f>
        <v>1</v>
      </c>
      <c r="C27" s="10">
        <v>1</v>
      </c>
      <c r="D27" s="10">
        <v>0</v>
      </c>
      <c r="E27" s="10">
        <f>F27+G27</f>
        <v>5</v>
      </c>
      <c r="F27" s="10">
        <v>4</v>
      </c>
      <c r="G27" s="10">
        <v>1</v>
      </c>
      <c r="H27" s="10">
        <f>I27+J27</f>
        <v>5</v>
      </c>
      <c r="I27" s="10">
        <v>5</v>
      </c>
      <c r="J27" s="10">
        <v>0</v>
      </c>
      <c r="K27" s="10">
        <f>L27+M27</f>
        <v>5</v>
      </c>
      <c r="L27" s="10">
        <v>5</v>
      </c>
      <c r="M27" s="10">
        <v>0</v>
      </c>
      <c r="N27" s="10">
        <f>O27+P27</f>
        <v>4</v>
      </c>
      <c r="O27" s="10">
        <v>4</v>
      </c>
      <c r="P27" s="10">
        <v>0</v>
      </c>
    </row>
    <row r="28" spans="1:16">
      <c r="A28" s="11" t="s">
        <v>14</v>
      </c>
      <c r="B28" s="10">
        <f>C28+D28</f>
        <v>0</v>
      </c>
      <c r="C28" s="10">
        <v>0</v>
      </c>
      <c r="D28" s="10">
        <v>0</v>
      </c>
      <c r="E28" s="10">
        <f>F28+G28</f>
        <v>0</v>
      </c>
      <c r="F28" s="10">
        <v>0</v>
      </c>
      <c r="G28" s="10">
        <v>0</v>
      </c>
      <c r="H28" s="10">
        <f>I28+J28</f>
        <v>0</v>
      </c>
      <c r="I28" s="10">
        <v>0</v>
      </c>
      <c r="J28" s="10">
        <v>0</v>
      </c>
      <c r="K28" s="10">
        <f>L28+M28</f>
        <v>1</v>
      </c>
      <c r="L28" s="10">
        <v>1</v>
      </c>
      <c r="M28" s="10">
        <v>0</v>
      </c>
      <c r="N28" s="10">
        <f>O28+P28</f>
        <v>0</v>
      </c>
      <c r="O28" s="10">
        <v>0</v>
      </c>
      <c r="P28" s="10">
        <v>0</v>
      </c>
    </row>
    <row r="29" spans="1:16">
      <c r="A29" s="11" t="s">
        <v>13</v>
      </c>
      <c r="B29" s="10">
        <f>C29+D29</f>
        <v>0</v>
      </c>
      <c r="C29" s="10">
        <v>0</v>
      </c>
      <c r="D29" s="10">
        <v>0</v>
      </c>
      <c r="E29" s="10">
        <f>F29+G29</f>
        <v>2</v>
      </c>
      <c r="F29" s="10">
        <v>2</v>
      </c>
      <c r="G29" s="10">
        <v>0</v>
      </c>
      <c r="H29" s="10">
        <f>I29+J29</f>
        <v>1</v>
      </c>
      <c r="I29" s="10">
        <v>1</v>
      </c>
      <c r="J29" s="10">
        <v>0</v>
      </c>
      <c r="K29" s="10">
        <f>L29+M29</f>
        <v>0</v>
      </c>
      <c r="L29" s="10">
        <v>0</v>
      </c>
      <c r="M29" s="10">
        <v>0</v>
      </c>
      <c r="N29" s="10">
        <f>O29+P29</f>
        <v>0</v>
      </c>
      <c r="O29" s="10">
        <v>0</v>
      </c>
      <c r="P29" s="10">
        <v>0</v>
      </c>
    </row>
    <row r="30" spans="1:16">
      <c r="A30" s="11" t="s">
        <v>12</v>
      </c>
      <c r="B30" s="10">
        <f>C30+D30</f>
        <v>3</v>
      </c>
      <c r="C30" s="10">
        <v>3</v>
      </c>
      <c r="D30" s="10">
        <v>0</v>
      </c>
      <c r="E30" s="10">
        <f>F30+G30</f>
        <v>3</v>
      </c>
      <c r="F30" s="10">
        <v>2</v>
      </c>
      <c r="G30" s="10">
        <v>1</v>
      </c>
      <c r="H30" s="10">
        <f>I30+J30</f>
        <v>5</v>
      </c>
      <c r="I30" s="10">
        <v>5</v>
      </c>
      <c r="J30" s="10">
        <v>0</v>
      </c>
      <c r="K30" s="10">
        <f>L30+M30</f>
        <v>4</v>
      </c>
      <c r="L30" s="10">
        <v>4</v>
      </c>
      <c r="M30" s="10">
        <v>0</v>
      </c>
      <c r="N30" s="10">
        <f>O30+P30</f>
        <v>4</v>
      </c>
      <c r="O30" s="10">
        <v>4</v>
      </c>
      <c r="P30" s="10">
        <v>0</v>
      </c>
    </row>
    <row r="31" spans="1:16">
      <c r="A31" s="9" t="s">
        <v>11</v>
      </c>
      <c r="B31" s="10">
        <f>C31+D31</f>
        <v>1</v>
      </c>
      <c r="C31" s="10">
        <v>1</v>
      </c>
      <c r="D31" s="10">
        <v>0</v>
      </c>
      <c r="E31" s="10">
        <f>F31+G31</f>
        <v>0</v>
      </c>
      <c r="F31" s="10">
        <v>0</v>
      </c>
      <c r="G31" s="10">
        <v>0</v>
      </c>
      <c r="H31" s="10">
        <f>I31+J31</f>
        <v>3</v>
      </c>
      <c r="I31" s="10">
        <v>3</v>
      </c>
      <c r="J31" s="10">
        <v>0</v>
      </c>
      <c r="K31" s="10">
        <f>L31+M31</f>
        <v>2</v>
      </c>
      <c r="L31" s="10">
        <v>2</v>
      </c>
      <c r="M31" s="10">
        <v>0</v>
      </c>
      <c r="N31" s="10">
        <f>O31+P31</f>
        <v>1</v>
      </c>
      <c r="O31" s="10">
        <v>1</v>
      </c>
      <c r="P31" s="10">
        <v>0</v>
      </c>
    </row>
    <row r="32" spans="1:16">
      <c r="A32" s="9" t="s">
        <v>10</v>
      </c>
      <c r="B32" s="10">
        <f>C32+D32</f>
        <v>1</v>
      </c>
      <c r="C32" s="10">
        <v>1</v>
      </c>
      <c r="D32" s="10">
        <v>0</v>
      </c>
      <c r="E32" s="10">
        <f>F32+G32</f>
        <v>3</v>
      </c>
      <c r="F32" s="10">
        <v>3</v>
      </c>
      <c r="G32" s="10">
        <v>0</v>
      </c>
      <c r="H32" s="10">
        <f>I32+J32</f>
        <v>1</v>
      </c>
      <c r="I32" s="10">
        <v>1</v>
      </c>
      <c r="J32" s="10">
        <v>0</v>
      </c>
      <c r="K32" s="10">
        <f>L32+M32</f>
        <v>3</v>
      </c>
      <c r="L32" s="10">
        <v>3</v>
      </c>
      <c r="M32" s="10">
        <v>0</v>
      </c>
      <c r="N32" s="10">
        <f>O32+P32</f>
        <v>3</v>
      </c>
      <c r="O32" s="10">
        <v>1</v>
      </c>
      <c r="P32" s="10">
        <v>2</v>
      </c>
    </row>
    <row r="33" spans="1:16" ht="12.75" customHeight="1">
      <c r="A33" s="11" t="s">
        <v>9</v>
      </c>
      <c r="B33" s="10">
        <f>C33+D33</f>
        <v>2</v>
      </c>
      <c r="C33" s="10">
        <v>2</v>
      </c>
      <c r="D33" s="10">
        <v>0</v>
      </c>
      <c r="E33" s="10">
        <f>F33+G33</f>
        <v>0</v>
      </c>
      <c r="F33" s="10">
        <v>0</v>
      </c>
      <c r="G33" s="10">
        <v>0</v>
      </c>
      <c r="H33" s="10">
        <f>I33+J33</f>
        <v>2</v>
      </c>
      <c r="I33" s="10">
        <v>2</v>
      </c>
      <c r="J33" s="10">
        <v>0</v>
      </c>
      <c r="K33" s="10">
        <f>L33+M33</f>
        <v>3</v>
      </c>
      <c r="L33" s="10">
        <v>3</v>
      </c>
      <c r="M33" s="10">
        <v>0</v>
      </c>
      <c r="N33" s="10">
        <f>O33+P33</f>
        <v>7</v>
      </c>
      <c r="O33" s="10">
        <v>6</v>
      </c>
      <c r="P33" s="10">
        <v>1</v>
      </c>
    </row>
    <row r="34" spans="1:16" ht="12.75" customHeight="1">
      <c r="A34" s="11" t="s">
        <v>8</v>
      </c>
      <c r="B34" s="10">
        <f>C34+D34</f>
        <v>0</v>
      </c>
      <c r="C34" s="10">
        <v>0</v>
      </c>
      <c r="D34" s="10">
        <v>0</v>
      </c>
      <c r="E34" s="10">
        <f>F34+G34</f>
        <v>0</v>
      </c>
      <c r="F34" s="10">
        <v>0</v>
      </c>
      <c r="G34" s="10">
        <v>0</v>
      </c>
      <c r="H34" s="10">
        <f>I34+J34</f>
        <v>0</v>
      </c>
      <c r="I34" s="10">
        <v>0</v>
      </c>
      <c r="J34" s="10">
        <v>0</v>
      </c>
      <c r="K34" s="10">
        <f>L34+M34</f>
        <v>1</v>
      </c>
      <c r="L34" s="10">
        <v>1</v>
      </c>
      <c r="M34" s="10">
        <v>0</v>
      </c>
      <c r="N34" s="10">
        <f>O34+P34</f>
        <v>0</v>
      </c>
      <c r="O34" s="10">
        <v>0</v>
      </c>
      <c r="P34" s="10">
        <v>0</v>
      </c>
    </row>
    <row r="35" spans="1:16" ht="12.75" customHeight="1">
      <c r="A35" s="11" t="s">
        <v>7</v>
      </c>
      <c r="B35" s="10">
        <f>C35+D35</f>
        <v>0</v>
      </c>
      <c r="C35" s="10">
        <v>0</v>
      </c>
      <c r="D35" s="10">
        <v>0</v>
      </c>
      <c r="E35" s="10">
        <f>F35+G35</f>
        <v>0</v>
      </c>
      <c r="F35" s="10">
        <v>0</v>
      </c>
      <c r="G35" s="10">
        <v>0</v>
      </c>
      <c r="H35" s="10">
        <f>I35+J35</f>
        <v>1</v>
      </c>
      <c r="I35" s="10">
        <v>1</v>
      </c>
      <c r="J35" s="10">
        <v>0</v>
      </c>
      <c r="K35" s="10">
        <f>L35+M35</f>
        <v>0</v>
      </c>
      <c r="L35" s="10">
        <v>0</v>
      </c>
      <c r="M35" s="10">
        <v>0</v>
      </c>
      <c r="N35" s="10">
        <f>O35+P35</f>
        <v>1</v>
      </c>
      <c r="O35" s="10">
        <v>1</v>
      </c>
      <c r="P35" s="10">
        <v>0</v>
      </c>
    </row>
    <row r="36" spans="1:16">
      <c r="A36" s="11" t="s">
        <v>6</v>
      </c>
      <c r="B36" s="10">
        <f>C36+D36</f>
        <v>1</v>
      </c>
      <c r="C36" s="10">
        <v>1</v>
      </c>
      <c r="D36" s="10">
        <v>0</v>
      </c>
      <c r="E36" s="10">
        <f>F36+G36</f>
        <v>0</v>
      </c>
      <c r="F36" s="10">
        <v>0</v>
      </c>
      <c r="G36" s="10">
        <v>0</v>
      </c>
      <c r="H36" s="10">
        <f>I36+J36</f>
        <v>0</v>
      </c>
      <c r="I36" s="10">
        <v>0</v>
      </c>
      <c r="J36" s="10">
        <v>0</v>
      </c>
      <c r="K36" s="10">
        <f>L36+M36</f>
        <v>0</v>
      </c>
      <c r="L36" s="10">
        <v>0</v>
      </c>
      <c r="M36" s="10">
        <v>0</v>
      </c>
      <c r="N36" s="10">
        <f>O36+P36</f>
        <v>8</v>
      </c>
      <c r="O36" s="10">
        <v>8</v>
      </c>
      <c r="P36" s="10">
        <v>0</v>
      </c>
    </row>
    <row r="37" spans="1:16">
      <c r="A37" s="11" t="s">
        <v>5</v>
      </c>
      <c r="B37" s="10">
        <f>C37+D37</f>
        <v>0</v>
      </c>
      <c r="C37" s="10">
        <v>0</v>
      </c>
      <c r="D37" s="10">
        <v>0</v>
      </c>
      <c r="E37" s="10">
        <f>F37+G37</f>
        <v>0</v>
      </c>
      <c r="F37" s="10">
        <v>0</v>
      </c>
      <c r="G37" s="10">
        <v>0</v>
      </c>
      <c r="H37" s="10">
        <f>I37+J37</f>
        <v>0</v>
      </c>
      <c r="I37" s="10">
        <v>0</v>
      </c>
      <c r="J37" s="10">
        <v>0</v>
      </c>
      <c r="K37" s="10">
        <f>L37+M37</f>
        <v>0</v>
      </c>
      <c r="L37" s="10">
        <v>0</v>
      </c>
      <c r="M37" s="10">
        <v>0</v>
      </c>
      <c r="N37" s="10">
        <f>O37+P37</f>
        <v>1</v>
      </c>
      <c r="O37" s="10">
        <v>1</v>
      </c>
      <c r="P37" s="10">
        <v>0</v>
      </c>
    </row>
    <row r="38" spans="1:16">
      <c r="A38" s="9" t="s">
        <v>4</v>
      </c>
      <c r="B38" s="10">
        <f>C38+D38</f>
        <v>1</v>
      </c>
      <c r="C38" s="8">
        <v>1</v>
      </c>
      <c r="D38" s="8">
        <v>0</v>
      </c>
      <c r="E38" s="8">
        <f>F38+G38</f>
        <v>0</v>
      </c>
      <c r="F38" s="8">
        <v>0</v>
      </c>
      <c r="G38" s="8">
        <v>0</v>
      </c>
      <c r="H38" s="8">
        <f>I38+J38</f>
        <v>0</v>
      </c>
      <c r="I38" s="8">
        <v>0</v>
      </c>
      <c r="J38" s="8">
        <v>0</v>
      </c>
      <c r="K38" s="8">
        <f>L38+M38</f>
        <v>0</v>
      </c>
      <c r="L38" s="8">
        <v>0</v>
      </c>
      <c r="M38" s="8">
        <v>0</v>
      </c>
      <c r="N38" s="8">
        <f>O38+P38</f>
        <v>0</v>
      </c>
      <c r="O38" s="8">
        <v>0</v>
      </c>
      <c r="P38" s="8">
        <v>0</v>
      </c>
    </row>
    <row r="39" spans="1:16">
      <c r="A39" s="9" t="s">
        <v>3</v>
      </c>
      <c r="B39" s="8">
        <f>C39+D39</f>
        <v>0</v>
      </c>
      <c r="C39" s="8">
        <v>0</v>
      </c>
      <c r="D39" s="8">
        <v>0</v>
      </c>
      <c r="E39" s="8">
        <f>F39+G39</f>
        <v>0</v>
      </c>
      <c r="F39" s="8">
        <v>0</v>
      </c>
      <c r="G39" s="8">
        <v>0</v>
      </c>
      <c r="H39" s="8">
        <f>I39+J39</f>
        <v>1</v>
      </c>
      <c r="I39" s="8">
        <v>1</v>
      </c>
      <c r="J39" s="8">
        <v>0</v>
      </c>
      <c r="K39" s="8">
        <f>L39+M39</f>
        <v>0</v>
      </c>
      <c r="L39" s="8">
        <v>0</v>
      </c>
      <c r="M39" s="8">
        <v>0</v>
      </c>
      <c r="N39" s="8">
        <f>O39+P39</f>
        <v>0</v>
      </c>
      <c r="O39" s="8">
        <v>0</v>
      </c>
      <c r="P39" s="8">
        <v>0</v>
      </c>
    </row>
    <row r="40" spans="1:16">
      <c r="A40" s="9" t="s">
        <v>2</v>
      </c>
      <c r="B40" s="8">
        <f>C40+D40</f>
        <v>0</v>
      </c>
      <c r="C40" s="8">
        <v>0</v>
      </c>
      <c r="D40" s="8">
        <v>0</v>
      </c>
      <c r="E40" s="8">
        <f>F40+G40</f>
        <v>0</v>
      </c>
      <c r="F40" s="8">
        <v>0</v>
      </c>
      <c r="G40" s="8">
        <v>0</v>
      </c>
      <c r="H40" s="8">
        <f>I40+J40</f>
        <v>2</v>
      </c>
      <c r="I40" s="8">
        <v>2</v>
      </c>
      <c r="J40" s="8">
        <v>0</v>
      </c>
      <c r="K40" s="8">
        <f>L40+M40</f>
        <v>2</v>
      </c>
      <c r="L40" s="8">
        <v>2</v>
      </c>
      <c r="M40" s="8">
        <v>0</v>
      </c>
      <c r="N40" s="8">
        <f>O40+P40</f>
        <v>0</v>
      </c>
      <c r="O40" s="8">
        <v>0</v>
      </c>
      <c r="P40" s="8">
        <v>0</v>
      </c>
    </row>
    <row r="41" spans="1:16" ht="5.0999999999999996" customHeight="1">
      <c r="A41" s="7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5.0999999999999996" customHeight="1">
      <c r="E42" s="4"/>
      <c r="F42" s="3"/>
      <c r="G42" s="3"/>
      <c r="I42" s="3"/>
      <c r="J42" s="3"/>
    </row>
    <row r="43" spans="1:16" ht="18">
      <c r="A43" s="5" t="s">
        <v>1</v>
      </c>
      <c r="E43" s="4"/>
      <c r="F43" s="3"/>
      <c r="G43" s="3"/>
      <c r="I43" s="3"/>
      <c r="J43" s="3"/>
    </row>
    <row r="44" spans="1:16">
      <c r="A44" s="2" t="s">
        <v>0</v>
      </c>
    </row>
  </sheetData>
  <mergeCells count="18">
    <mergeCell ref="N5:P5"/>
    <mergeCell ref="N6:N7"/>
    <mergeCell ref="E5:G5"/>
    <mergeCell ref="L6:M6"/>
    <mergeCell ref="F6:G6"/>
    <mergeCell ref="H6:H7"/>
    <mergeCell ref="I6:J6"/>
    <mergeCell ref="K6:K7"/>
    <mergeCell ref="O6:P6"/>
    <mergeCell ref="A3:P3"/>
    <mergeCell ref="A2:P2"/>
    <mergeCell ref="H5:J5"/>
    <mergeCell ref="K5:M5"/>
    <mergeCell ref="A5:A7"/>
    <mergeCell ref="B5:D5"/>
    <mergeCell ref="B6:B7"/>
    <mergeCell ref="C6:D6"/>
    <mergeCell ref="E6:E7"/>
  </mergeCells>
  <printOptions horizontalCentered="1"/>
  <pageMargins left="0.19685039370078741" right="0.19685039370078741" top="0.39370078740157483" bottom="0.98425196850393704" header="0" footer="0"/>
  <pageSetup scale="95" orientation="landscape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4.6-05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2012-07-16T18:06:31Z</dcterms:created>
  <dcterms:modified xsi:type="dcterms:W3CDTF">2012-07-16T18:07:39Z</dcterms:modified>
</cp:coreProperties>
</file>