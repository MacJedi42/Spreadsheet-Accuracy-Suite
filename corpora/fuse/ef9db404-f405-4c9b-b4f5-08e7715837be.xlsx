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05" windowWidth="19230" windowHeight="8130" activeTab="1"/>
  </bookViews>
  <sheets>
    <sheet name="Sheet1" sheetId="1" r:id="rId1"/>
    <sheet name="Sheet2" sheetId="2" r:id="rId2"/>
    <sheet name="Sheet3" sheetId="3" r:id="rId3"/>
  </sheets>
  <definedNames>
    <definedName name="_xlnm.Print_Area" localSheetId="1">Sheet2!$A$1:$E$56</definedName>
  </definedNames>
  <calcPr calcId="125725"/>
</workbook>
</file>

<file path=xl/calcChain.xml><?xml version="1.0" encoding="utf-8"?>
<calcChain xmlns="http://schemas.openxmlformats.org/spreadsheetml/2006/main">
  <c r="G49" i="1"/>
  <c r="H49"/>
  <c r="A49"/>
</calcChain>
</file>

<file path=xl/sharedStrings.xml><?xml version="1.0" encoding="utf-8"?>
<sst xmlns="http://schemas.openxmlformats.org/spreadsheetml/2006/main" count="355" uniqueCount="225">
  <si>
    <t>POSITION</t>
  </si>
  <si>
    <t>NAME</t>
  </si>
  <si>
    <t>TELEPHONE</t>
  </si>
  <si>
    <t>E-MAIL ADDRESS</t>
  </si>
  <si>
    <t>NICKNAME</t>
  </si>
  <si>
    <t>NUMBER</t>
  </si>
  <si>
    <t>DC</t>
  </si>
  <si>
    <t xml:space="preserve">Dom Bee </t>
  </si>
  <si>
    <t>(H) 540-720-0929</t>
  </si>
  <si>
    <t>Coastiewm99@hotmail.com</t>
  </si>
  <si>
    <t>(C) 757-710-9786</t>
  </si>
  <si>
    <t>dominique.bee@HQ.dhs.gov</t>
  </si>
  <si>
    <t xml:space="preserve">ADC </t>
  </si>
  <si>
    <t>Duke Snyder</t>
  </si>
  <si>
    <t>(H) 540-659-6015</t>
  </si>
  <si>
    <t>(W) BSADuke@yahoo.com</t>
  </si>
  <si>
    <t>P/T845, C/T850, P/T218</t>
  </si>
  <si>
    <t>Cell 571-220-5287</t>
  </si>
  <si>
    <t>ADC LDS Units</t>
  </si>
  <si>
    <t>Harold Tuttle</t>
  </si>
  <si>
    <t>(h) 540-903-0734</t>
  </si>
  <si>
    <t>harold.tuttle@grinding.com</t>
  </si>
  <si>
    <t>LDS Units</t>
  </si>
  <si>
    <t>UC</t>
  </si>
  <si>
    <t>ADC/RTC Venturing</t>
  </si>
  <si>
    <t>Mike Engiles</t>
  </si>
  <si>
    <t>(C) 540) 295-0158</t>
  </si>
  <si>
    <t>mengiles@comcast.net</t>
  </si>
  <si>
    <t>C84</t>
  </si>
  <si>
    <t xml:space="preserve">Bob Lange </t>
  </si>
  <si>
    <t>(H) 540-658-1012</t>
  </si>
  <si>
    <t>(H) rob.a.lange@gmail.com</t>
  </si>
  <si>
    <t>Scout RT Commissioner Staff</t>
  </si>
  <si>
    <t>Dick Haas</t>
  </si>
  <si>
    <t>(H) 540-371-3808</t>
  </si>
  <si>
    <t>RT</t>
  </si>
  <si>
    <t>Cell 540-429-4059</t>
  </si>
  <si>
    <t xml:space="preserve">UC LDS </t>
  </si>
  <si>
    <t>Travis Black</t>
  </si>
  <si>
    <t>(h) 540-318-8043</t>
  </si>
  <si>
    <t>bunablack-travis@yahoo.com</t>
  </si>
  <si>
    <t>P 94</t>
  </si>
  <si>
    <t>Scout RT Commissioner</t>
  </si>
  <si>
    <t>Mike Haas</t>
  </si>
  <si>
    <t>(C) 540-809-4926</t>
  </si>
  <si>
    <t>mikehaas1111@gmail.com</t>
  </si>
  <si>
    <t xml:space="preserve">RT </t>
  </si>
  <si>
    <t>Ken Todd</t>
  </si>
  <si>
    <t>(H) 540-657-8988</t>
  </si>
  <si>
    <t>(W) Ken.Todd@frb.gov</t>
  </si>
  <si>
    <t>(W) 202-452-2223</t>
  </si>
  <si>
    <t>CS RT Staff</t>
  </si>
  <si>
    <t>Lew Steinhoff</t>
  </si>
  <si>
    <t>(H) 240-477-2415   (W) 202-586-6303</t>
  </si>
  <si>
    <t>lewsteinhoff@yahoo.com</t>
  </si>
  <si>
    <t>WEBELOS RT Staff</t>
  </si>
  <si>
    <t>Lauren Bass</t>
  </si>
  <si>
    <t>(H) 540-659-6297</t>
  </si>
  <si>
    <t>lbass65@comcast.net</t>
  </si>
  <si>
    <t>T840, P242</t>
  </si>
  <si>
    <t>UC (Quantico)</t>
  </si>
  <si>
    <t>Jennifer Bell</t>
  </si>
  <si>
    <t>(H) 540-659-4282</t>
  </si>
  <si>
    <t>(H) cajnbell4@verizon.net</t>
  </si>
  <si>
    <t>T121, T176, P176, P1425</t>
  </si>
  <si>
    <t>Steve Cover</t>
  </si>
  <si>
    <t>(H) 540-720-2424</t>
  </si>
  <si>
    <t>(H) cover6@aol.com</t>
  </si>
  <si>
    <t>T26, P26</t>
  </si>
  <si>
    <t>(W) 703-695-4345</t>
  </si>
  <si>
    <t>Carl Darron</t>
  </si>
  <si>
    <t>(H) 540-373-9581 (C) 540-538-0697</t>
  </si>
  <si>
    <t>(H) an-hour-a-week@cox.net</t>
  </si>
  <si>
    <t>P197, S212</t>
  </si>
  <si>
    <t>(W) carl.darron@navy.mil</t>
  </si>
  <si>
    <t>Greg Desgroseillier</t>
  </si>
  <si>
    <t>(H) 540-288-4269</t>
  </si>
  <si>
    <t>gdesgrosseilli@comcast.net</t>
  </si>
  <si>
    <t>P850</t>
  </si>
  <si>
    <t>gregory.desgrosseill@navy.mil)</t>
  </si>
  <si>
    <t>Ben Klinefelter</t>
  </si>
  <si>
    <t>(H) 540-373-7086</t>
  </si>
  <si>
    <t>(W) Benjamin.Klinefelter@hq.doe.gov</t>
  </si>
  <si>
    <t>P578, P579, T/C1717</t>
  </si>
  <si>
    <t>(W) 202-586-6900</t>
  </si>
  <si>
    <t>(M) 540-429-6836</t>
  </si>
  <si>
    <t>Joe Klocek</t>
  </si>
  <si>
    <t>(H) (540) 286-6498 (W) 703-432-3610</t>
  </si>
  <si>
    <t>jnjklocek@comcast.net</t>
  </si>
  <si>
    <t>T317, P458</t>
  </si>
  <si>
    <t>Tim Manning</t>
  </si>
  <si>
    <t>(H) 540-288-4258   (M) 540-729-9100</t>
  </si>
  <si>
    <t>elcid841962@yahoo.com</t>
  </si>
  <si>
    <t>T907, T1221, C1221</t>
  </si>
  <si>
    <t>Cindy Patishnock</t>
  </si>
  <si>
    <t>(H) 540-658-6060</t>
  </si>
  <si>
    <t>(H) jgowild@aol.com</t>
  </si>
  <si>
    <t>C840</t>
  </si>
  <si>
    <t>Sharon Patrick</t>
  </si>
  <si>
    <t>(H) 540-368-8011</t>
  </si>
  <si>
    <t>(H) sharon4scouts@cox.net</t>
  </si>
  <si>
    <t>P199, T199</t>
  </si>
  <si>
    <t>(W) 703-428-1941</t>
  </si>
  <si>
    <t>ADC new units</t>
  </si>
  <si>
    <t>Jorge Roca</t>
  </si>
  <si>
    <t>(H) 540-752-6841</t>
  </si>
  <si>
    <t>(H) rocajf@cox.net</t>
  </si>
  <si>
    <t>P/T2940, C1904</t>
  </si>
  <si>
    <t>(W) 703-693-2770</t>
  </si>
  <si>
    <t>Bart Routh</t>
  </si>
  <si>
    <t>(H) 540-720-3272</t>
  </si>
  <si>
    <t xml:space="preserve">(H) bartr119@aol.com </t>
  </si>
  <si>
    <t>(W) 703-440-2108</t>
  </si>
  <si>
    <t>(W) bart.routh@sicpa.com</t>
  </si>
  <si>
    <t>Katerine Shaw</t>
  </si>
  <si>
    <t>(540) 720-9656</t>
  </si>
  <si>
    <t>(H) vashaws@hotmail.com</t>
  </si>
  <si>
    <t>P/T/C 142</t>
  </si>
  <si>
    <t>Ken Buszta</t>
  </si>
  <si>
    <t>(H) (540) 286-6489</t>
  </si>
  <si>
    <t>1717scouter@gmail.com</t>
  </si>
  <si>
    <t>P/T1410</t>
  </si>
  <si>
    <t>(C ) 540-737-8536</t>
  </si>
  <si>
    <t>Aquia District Commissioner Staff</t>
  </si>
  <si>
    <t>Cub RT Commissioner/UC</t>
  </si>
  <si>
    <t>RT, P40</t>
  </si>
  <si>
    <t>T516, P213, C598</t>
  </si>
  <si>
    <t>UNITS</t>
  </si>
  <si>
    <t>COMMISSIONER BASIC TRAINING</t>
  </si>
  <si>
    <t>Chuck Harris</t>
  </si>
  <si>
    <t>Brent Anderson</t>
  </si>
  <si>
    <t>(H) 540-429-2452</t>
  </si>
  <si>
    <t>brentdanderson@yahoo.com</t>
  </si>
  <si>
    <t>(540)657-2357</t>
  </si>
  <si>
    <t>caharris@comcast.net</t>
  </si>
  <si>
    <t>RT Commissioner/UC</t>
  </si>
  <si>
    <t>N/A</t>
  </si>
  <si>
    <t>bonnka37@cox.net</t>
  </si>
  <si>
    <t>T1889, T/T/C 1940, T/P63</t>
  </si>
  <si>
    <t>Josh Powell</t>
  </si>
  <si>
    <t>P1940</t>
  </si>
  <si>
    <t>(H)540-288-8302</t>
  </si>
  <si>
    <t>7236aic@gmail.com</t>
  </si>
  <si>
    <t>(C) 202-380-5923</t>
  </si>
  <si>
    <t>Garry Lewis</t>
  </si>
  <si>
    <t>(H) 540-288-3825</t>
  </si>
  <si>
    <t>(W) 703-432-8215</t>
  </si>
  <si>
    <t>Lewisgw@aol.com</t>
  </si>
  <si>
    <t>P907, T244, T1425</t>
  </si>
  <si>
    <t>P578, P579, C1717</t>
  </si>
  <si>
    <t xml:space="preserve">UC </t>
  </si>
  <si>
    <t>P40</t>
  </si>
  <si>
    <t>ADC</t>
  </si>
  <si>
    <t>Aquia District Commissioner Roster</t>
  </si>
  <si>
    <t>(H) 540-903-0734 (C) 540-207-5275</t>
  </si>
  <si>
    <t>T1889, T1717, T/P63</t>
  </si>
  <si>
    <t>Dan Marshall</t>
  </si>
  <si>
    <t>danielhmarshall@gmail.com</t>
  </si>
  <si>
    <t>Wayne Mathis</t>
  </si>
  <si>
    <t>(H) 703 581-8619</t>
  </si>
  <si>
    <t>(H) 540-318-8043</t>
  </si>
  <si>
    <t>(H) 540-288-8302</t>
  </si>
  <si>
    <t>mathisw@si.edu</t>
  </si>
  <si>
    <t>(H) 540 659-5466 (C) 540 273-8509</t>
  </si>
  <si>
    <t>Mike Cooper</t>
  </si>
  <si>
    <t>(H) 540-657-2032</t>
  </si>
  <si>
    <t>michael.g.cooper2@usmc.mil</t>
  </si>
  <si>
    <t>(H) 540-752-0983</t>
  </si>
  <si>
    <t>(C) 571-220-5287</t>
  </si>
  <si>
    <t>T516, P213</t>
  </si>
  <si>
    <t>C598</t>
  </si>
  <si>
    <t>P/T/Te/C949</t>
  </si>
  <si>
    <t>T1945</t>
  </si>
  <si>
    <t>P/T/C142</t>
  </si>
  <si>
    <t>P317</t>
  </si>
  <si>
    <t>ricsast@aol.com</t>
  </si>
  <si>
    <t>Richard Ast</t>
  </si>
  <si>
    <t>T/Te1940</t>
  </si>
  <si>
    <t>(H) 540-659-4203</t>
  </si>
  <si>
    <t>(C) 540-226-5547</t>
  </si>
  <si>
    <t>rcgary55@aol.com</t>
  </si>
  <si>
    <t>Gary Morrison</t>
  </si>
  <si>
    <t>cajnbell4@verizon.net</t>
  </si>
  <si>
    <t>P/T218</t>
  </si>
  <si>
    <t>James Reed</t>
  </si>
  <si>
    <t>Guy Smith</t>
  </si>
  <si>
    <t>H (540) 370-4509</t>
  </si>
  <si>
    <t>James.R.Reed@usdoj.gov</t>
  </si>
  <si>
    <t>H (540) 654-5164</t>
  </si>
  <si>
    <t>B (703) 632-5320</t>
  </si>
  <si>
    <t>smith6202@hotmail.com</t>
  </si>
  <si>
    <t>rob.a.lange@gmail.com</t>
  </si>
  <si>
    <t>Benjamin.Klinefelter@hq.doe.gov</t>
  </si>
  <si>
    <t>(W) dominique.bee@HQ.dhs.gov</t>
  </si>
  <si>
    <t>BSADuke@yahoo.com</t>
  </si>
  <si>
    <t>rocajf@cox.net</t>
  </si>
  <si>
    <t>cover6@aol.com</t>
  </si>
  <si>
    <t>(H) krtodd@rocketmail.com</t>
  </si>
  <si>
    <t>Don Jenkins</t>
  </si>
  <si>
    <t>djenkins56@comcast.net</t>
  </si>
  <si>
    <t>(540) 288-3830</t>
  </si>
  <si>
    <t>(H) coastiewm99@hotmail.com</t>
  </si>
  <si>
    <t>Vacant</t>
  </si>
  <si>
    <t>T940</t>
  </si>
  <si>
    <t>P94</t>
  </si>
  <si>
    <t>H (540) 752-5190  B (703) 661-4528</t>
  </si>
  <si>
    <t>C1904</t>
  </si>
  <si>
    <t>ndwolf68@gmail.com</t>
  </si>
  <si>
    <t>Norm Wolf</t>
  </si>
  <si>
    <t>H (540) 372-7779</t>
  </si>
  <si>
    <t>W (202) 621-1174</t>
  </si>
  <si>
    <t>P458</t>
  </si>
  <si>
    <t>T845</t>
  </si>
  <si>
    <t>P/T2940</t>
  </si>
  <si>
    <t>Te/C1945</t>
  </si>
  <si>
    <t>T/Te/C94</t>
  </si>
  <si>
    <t>P/Te/C940/</t>
  </si>
  <si>
    <t>P1945</t>
  </si>
  <si>
    <t>Kerry Riley</t>
  </si>
  <si>
    <t>540 657-7371</t>
  </si>
  <si>
    <t>kerriley@yahoo.com</t>
  </si>
  <si>
    <t>T317</t>
  </si>
  <si>
    <t>P/T/C850</t>
  </si>
  <si>
    <t>P/T199</t>
  </si>
  <si>
    <t>P845</t>
  </si>
</sst>
</file>

<file path=xl/styles.xml><?xml version="1.0" encoding="utf-8"?>
<styleSheet xmlns="http://schemas.openxmlformats.org/spreadsheetml/2006/main">
  <numFmts count="1">
    <numFmt numFmtId="164" formatCode="m/d/yy;@"/>
  </numFmts>
  <fonts count="17">
    <font>
      <sz val="11"/>
      <color theme="1"/>
      <name val="Calibri"/>
      <family val="2"/>
      <scheme val="minor"/>
    </font>
    <font>
      <b/>
      <sz val="12"/>
      <name val="Comic Sans MS"/>
      <family val="4"/>
    </font>
    <font>
      <u/>
      <sz val="10"/>
      <color indexed="12"/>
      <name val="Arial"/>
      <family val="2"/>
    </font>
    <font>
      <u/>
      <sz val="10"/>
      <color indexed="12"/>
      <name val="Comic Sans MS"/>
      <family val="4"/>
    </font>
    <font>
      <u/>
      <sz val="11"/>
      <color indexed="12"/>
      <name val="Comic Sans MS"/>
      <family val="4"/>
    </font>
    <font>
      <b/>
      <sz val="16"/>
      <name val="Times New Roman"/>
      <family val="1"/>
    </font>
    <font>
      <sz val="11"/>
      <name val="Comic Sans MS"/>
      <family val="4"/>
    </font>
    <font>
      <sz val="11"/>
      <color indexed="8"/>
      <name val="Comic Sans MS"/>
      <family val="4"/>
    </font>
    <font>
      <sz val="12"/>
      <name val="Comic Sans MS"/>
      <family val="4"/>
    </font>
    <font>
      <sz val="12"/>
      <color indexed="8"/>
      <name val="Comic Sans MS"/>
      <family val="4"/>
    </font>
    <font>
      <b/>
      <sz val="14"/>
      <name val="Comic Sans MS"/>
      <family val="4"/>
    </font>
    <font>
      <sz val="11"/>
      <color rgb="FF000000"/>
      <name val="Comic Sans MS"/>
      <family val="4"/>
    </font>
    <font>
      <sz val="11"/>
      <color theme="1"/>
      <name val="Comic Sans MS"/>
      <family val="4"/>
    </font>
    <font>
      <sz val="9.1"/>
      <color rgb="FF2A2A2A"/>
      <name val="Segoe UI"/>
      <family val="2"/>
    </font>
    <font>
      <sz val="12"/>
      <color rgb="FF0000CC"/>
      <name val="Comic Sans MS"/>
      <family val="4"/>
    </font>
    <font>
      <sz val="12"/>
      <color theme="1"/>
      <name val="Comic Sans MS"/>
      <family val="4"/>
    </font>
    <font>
      <sz val="2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98">
    <xf numFmtId="0" fontId="0" fillId="0" borderId="0" xfId="0"/>
    <xf numFmtId="0" fontId="0" fillId="0" borderId="0" xfId="0" applyAlignment="1"/>
    <xf numFmtId="0" fontId="0" fillId="0" borderId="0" xfId="0" applyBorder="1"/>
    <xf numFmtId="0" fontId="3" fillId="0" borderId="0" xfId="1" applyFont="1" applyBorder="1" applyAlignment="1" applyProtection="1">
      <alignment horizontal="left" vertical="center" wrapText="1"/>
    </xf>
    <xf numFmtId="0" fontId="4" fillId="0" borderId="0" xfId="1" applyFont="1" applyBorder="1" applyAlignment="1" applyProtection="1"/>
    <xf numFmtId="0" fontId="6" fillId="0" borderId="1" xfId="0" applyFont="1" applyFill="1" applyBorder="1" applyAlignment="1">
      <alignment vertical="center" wrapText="1"/>
    </xf>
    <xf numFmtId="0" fontId="6" fillId="0" borderId="0" xfId="0" applyFont="1" applyBorder="1"/>
    <xf numFmtId="0" fontId="4" fillId="0" borderId="2" xfId="1" applyFont="1" applyBorder="1" applyAlignment="1" applyProtection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vertical="center" wrapText="1"/>
    </xf>
    <xf numFmtId="14" fontId="11" fillId="2" borderId="4" xfId="0" applyNumberFormat="1" applyFont="1" applyFill="1" applyBorder="1" applyAlignment="1">
      <alignment horizontal="center"/>
    </xf>
    <xf numFmtId="14" fontId="11" fillId="0" borderId="4" xfId="0" applyNumberFormat="1" applyFont="1" applyBorder="1" applyAlignment="1">
      <alignment horizontal="center"/>
    </xf>
    <xf numFmtId="0" fontId="6" fillId="0" borderId="2" xfId="0" applyFont="1" applyFill="1" applyBorder="1" applyAlignment="1">
      <alignment vertical="center" wrapText="1"/>
    </xf>
    <xf numFmtId="0" fontId="6" fillId="0" borderId="2" xfId="0" applyFont="1" applyBorder="1" applyAlignment="1">
      <alignment horizontal="left"/>
    </xf>
    <xf numFmtId="0" fontId="1" fillId="0" borderId="5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4" fillId="0" borderId="6" xfId="1" applyFont="1" applyBorder="1" applyAlignment="1" applyProtection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2" xfId="0" applyFont="1" applyBorder="1" applyAlignment="1">
      <alignment vertical="center" wrapText="1"/>
    </xf>
    <xf numFmtId="0" fontId="12" fillId="0" borderId="3" xfId="0" applyFont="1" applyBorder="1" applyAlignment="1">
      <alignment vertical="center" wrapText="1"/>
    </xf>
    <xf numFmtId="14" fontId="6" fillId="3" borderId="4" xfId="0" applyNumberFormat="1" applyFont="1" applyFill="1" applyBorder="1" applyAlignment="1">
      <alignment horizontal="center" vertical="center"/>
    </xf>
    <xf numFmtId="0" fontId="7" fillId="0" borderId="3" xfId="0" applyFont="1" applyBorder="1" applyAlignment="1">
      <alignment vertical="center" wrapText="1"/>
    </xf>
    <xf numFmtId="0" fontId="4" fillId="0" borderId="2" xfId="1" applyFont="1" applyBorder="1" applyAlignment="1" applyProtection="1">
      <alignment vertical="center" wrapText="1"/>
    </xf>
    <xf numFmtId="0" fontId="6" fillId="4" borderId="4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12" fillId="0" borderId="0" xfId="0" applyFont="1"/>
    <xf numFmtId="0" fontId="0" fillId="0" borderId="0" xfId="0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6" fillId="4" borderId="4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14" fontId="6" fillId="4" borderId="11" xfId="0" applyNumberFormat="1" applyFont="1" applyFill="1" applyBorder="1" applyAlignment="1">
      <alignment horizontal="center" vertical="center"/>
    </xf>
    <xf numFmtId="0" fontId="4" fillId="0" borderId="10" xfId="1" applyFont="1" applyBorder="1" applyAlignment="1" applyProtection="1">
      <alignment horizontal="left" vertical="center" wrapText="1"/>
    </xf>
    <xf numFmtId="14" fontId="6" fillId="4" borderId="4" xfId="0" applyNumberFormat="1" applyFont="1" applyFill="1" applyBorder="1" applyAlignment="1">
      <alignment horizontal="center" vertical="center"/>
    </xf>
    <xf numFmtId="0" fontId="4" fillId="0" borderId="2" xfId="1" applyFont="1" applyBorder="1" applyAlignment="1" applyProtection="1"/>
    <xf numFmtId="0" fontId="6" fillId="0" borderId="9" xfId="0" applyFont="1" applyBorder="1" applyAlignment="1">
      <alignment vertical="center" wrapText="1"/>
    </xf>
    <xf numFmtId="0" fontId="6" fillId="0" borderId="10" xfId="0" applyFont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0" fontId="6" fillId="4" borderId="11" xfId="0" applyFont="1" applyFill="1" applyBorder="1" applyAlignment="1">
      <alignment vertical="center"/>
    </xf>
    <xf numFmtId="14" fontId="6" fillId="0" borderId="4" xfId="0" applyNumberFormat="1" applyFont="1" applyFill="1" applyBorder="1" applyAlignment="1">
      <alignment horizontal="center" vertical="center"/>
    </xf>
    <xf numFmtId="0" fontId="12" fillId="0" borderId="3" xfId="0" applyFont="1" applyBorder="1" applyAlignment="1">
      <alignment vertical="center" wrapText="1"/>
    </xf>
    <xf numFmtId="0" fontId="8" fillId="5" borderId="3" xfId="0" applyFont="1" applyFill="1" applyBorder="1" applyAlignment="1">
      <alignment vertical="center" wrapText="1"/>
    </xf>
    <xf numFmtId="0" fontId="8" fillId="2" borderId="3" xfId="0" applyFont="1" applyFill="1" applyBorder="1" applyAlignment="1">
      <alignment vertical="center" wrapText="1"/>
    </xf>
    <xf numFmtId="0" fontId="8" fillId="2" borderId="2" xfId="0" applyFont="1" applyFill="1" applyBorder="1" applyAlignment="1">
      <alignment horizontal="left" vertical="center" wrapText="1"/>
    </xf>
    <xf numFmtId="0" fontId="8" fillId="5" borderId="2" xfId="0" applyFont="1" applyFill="1" applyBorder="1" applyAlignment="1">
      <alignment vertical="center" wrapText="1"/>
    </xf>
    <xf numFmtId="0" fontId="8" fillId="2" borderId="2" xfId="0" applyFont="1" applyFill="1" applyBorder="1" applyAlignment="1">
      <alignment vertical="center" wrapText="1"/>
    </xf>
    <xf numFmtId="0" fontId="9" fillId="2" borderId="2" xfId="0" applyFont="1" applyFill="1" applyBorder="1" applyAlignment="1">
      <alignment horizontal="left" vertical="center" wrapText="1"/>
    </xf>
    <xf numFmtId="0" fontId="9" fillId="2" borderId="2" xfId="0" applyFont="1" applyFill="1" applyBorder="1" applyAlignment="1">
      <alignment vertical="center" wrapText="1"/>
    </xf>
    <xf numFmtId="0" fontId="14" fillId="5" borderId="2" xfId="1" applyFont="1" applyFill="1" applyBorder="1" applyAlignment="1" applyProtection="1">
      <alignment horizontal="left" vertical="center" wrapText="1"/>
    </xf>
    <xf numFmtId="0" fontId="14" fillId="5" borderId="2" xfId="0" applyFont="1" applyFill="1" applyBorder="1"/>
    <xf numFmtId="0" fontId="8" fillId="6" borderId="3" xfId="0" applyFont="1" applyFill="1" applyBorder="1" applyAlignment="1">
      <alignment vertical="center" wrapText="1"/>
    </xf>
    <xf numFmtId="0" fontId="8" fillId="5" borderId="3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/>
    </xf>
    <xf numFmtId="0" fontId="8" fillId="5" borderId="12" xfId="0" applyFont="1" applyFill="1" applyBorder="1" applyAlignment="1">
      <alignment vertical="center" wrapText="1"/>
    </xf>
    <xf numFmtId="0" fontId="15" fillId="2" borderId="3" xfId="0" applyFont="1" applyFill="1" applyBorder="1"/>
    <xf numFmtId="0" fontId="14" fillId="7" borderId="2" xfId="0" applyFont="1" applyFill="1" applyBorder="1"/>
    <xf numFmtId="0" fontId="14" fillId="5" borderId="2" xfId="0" applyFont="1" applyFill="1" applyBorder="1" applyAlignment="1">
      <alignment vertical="center"/>
    </xf>
    <xf numFmtId="0" fontId="8" fillId="5" borderId="3" xfId="0" applyFont="1" applyFill="1" applyBorder="1" applyAlignment="1">
      <alignment horizontal="left"/>
    </xf>
    <xf numFmtId="0" fontId="9" fillId="5" borderId="10" xfId="0" applyFont="1" applyFill="1" applyBorder="1" applyAlignment="1">
      <alignment horizontal="left" vertical="center" wrapText="1"/>
    </xf>
    <xf numFmtId="0" fontId="9" fillId="5" borderId="6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/>
    <xf numFmtId="0" fontId="15" fillId="2" borderId="2" xfId="0" applyFont="1" applyFill="1" applyBorder="1"/>
    <xf numFmtId="0" fontId="9" fillId="5" borderId="2" xfId="0" applyFont="1" applyFill="1" applyBorder="1" applyAlignment="1">
      <alignment vertical="center" wrapText="1"/>
    </xf>
    <xf numFmtId="0" fontId="15" fillId="2" borderId="12" xfId="0" applyFont="1" applyFill="1" applyBorder="1"/>
    <xf numFmtId="0" fontId="14" fillId="2" borderId="2" xfId="0" applyFont="1" applyFill="1" applyBorder="1"/>
    <xf numFmtId="0" fontId="9" fillId="5" borderId="6" xfId="0" applyFont="1" applyFill="1" applyBorder="1" applyAlignment="1">
      <alignment vertical="center" wrapText="1"/>
    </xf>
    <xf numFmtId="0" fontId="9" fillId="2" borderId="10" xfId="0" applyFont="1" applyFill="1" applyBorder="1" applyAlignment="1">
      <alignment vertical="center" wrapText="1"/>
    </xf>
    <xf numFmtId="0" fontId="8" fillId="2" borderId="6" xfId="0" applyFont="1" applyFill="1" applyBorder="1" applyAlignment="1">
      <alignment horizontal="left" vertical="center" wrapText="1"/>
    </xf>
    <xf numFmtId="0" fontId="8" fillId="2" borderId="10" xfId="0" applyFont="1" applyFill="1" applyBorder="1" applyAlignment="1">
      <alignment vertical="center" wrapText="1"/>
    </xf>
    <xf numFmtId="0" fontId="8" fillId="2" borderId="6" xfId="0" applyFont="1" applyFill="1" applyBorder="1" applyAlignment="1">
      <alignment vertical="center" wrapText="1"/>
    </xf>
    <xf numFmtId="0" fontId="8" fillId="5" borderId="6" xfId="0" applyFont="1" applyFill="1" applyBorder="1" applyAlignment="1">
      <alignment vertical="center" wrapText="1"/>
    </xf>
    <xf numFmtId="0" fontId="9" fillId="2" borderId="6" xfId="0" applyFont="1" applyFill="1" applyBorder="1" applyAlignment="1">
      <alignment horizontal="left" vertical="center" wrapText="1"/>
    </xf>
    <xf numFmtId="0" fontId="15" fillId="2" borderId="6" xfId="0" applyFont="1" applyFill="1" applyBorder="1" applyAlignment="1">
      <alignment horizontal="left" vertical="center"/>
    </xf>
    <xf numFmtId="0" fontId="8" fillId="2" borderId="12" xfId="0" applyFont="1" applyFill="1" applyBorder="1" applyAlignment="1">
      <alignment vertical="center" wrapText="1"/>
    </xf>
    <xf numFmtId="0" fontId="14" fillId="2" borderId="2" xfId="0" applyFont="1" applyFill="1" applyBorder="1" applyAlignment="1">
      <alignment vertical="center"/>
    </xf>
    <xf numFmtId="0" fontId="8" fillId="5" borderId="6" xfId="0" applyFont="1" applyFill="1" applyBorder="1" applyAlignment="1">
      <alignment horizontal="left" vertical="center" wrapText="1"/>
    </xf>
    <xf numFmtId="0" fontId="15" fillId="5" borderId="26" xfId="0" applyFont="1" applyFill="1" applyBorder="1" applyAlignment="1">
      <alignment vertical="center"/>
    </xf>
    <xf numFmtId="0" fontId="8" fillId="2" borderId="2" xfId="0" applyFont="1" applyFill="1" applyBorder="1" applyAlignment="1">
      <alignment horizontal="right" vertical="center" wrapText="1"/>
    </xf>
    <xf numFmtId="0" fontId="15" fillId="2" borderId="2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15" fillId="5" borderId="2" xfId="0" applyFont="1" applyFill="1" applyBorder="1" applyAlignment="1">
      <alignment vertical="center" wrapText="1"/>
    </xf>
    <xf numFmtId="0" fontId="14" fillId="2" borderId="0" xfId="0" applyFont="1" applyFill="1" applyBorder="1" applyAlignment="1">
      <alignment vertical="center"/>
    </xf>
    <xf numFmtId="0" fontId="8" fillId="2" borderId="6" xfId="0" applyFont="1" applyFill="1" applyBorder="1" applyAlignment="1">
      <alignment horizontal="right"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8" fillId="2" borderId="10" xfId="0" applyFont="1" applyFill="1" applyBorder="1" applyAlignment="1">
      <alignment horizontal="right" vertical="center" wrapText="1"/>
    </xf>
    <xf numFmtId="0" fontId="14" fillId="2" borderId="27" xfId="0" applyFont="1" applyFill="1" applyBorder="1" applyAlignment="1">
      <alignment horizontal="left" vertical="center"/>
    </xf>
    <xf numFmtId="0" fontId="10" fillId="4" borderId="6" xfId="0" applyFont="1" applyFill="1" applyBorder="1" applyAlignment="1">
      <alignment horizontal="center" wrapText="1"/>
    </xf>
    <xf numFmtId="0" fontId="10" fillId="4" borderId="2" xfId="0" applyFont="1" applyFill="1" applyBorder="1" applyAlignment="1">
      <alignment horizontal="center" wrapText="1"/>
    </xf>
    <xf numFmtId="14" fontId="0" fillId="0" borderId="15" xfId="0" applyNumberFormat="1" applyFont="1" applyBorder="1"/>
    <xf numFmtId="14" fontId="0" fillId="0" borderId="16" xfId="0" applyNumberFormat="1" applyFont="1" applyBorder="1"/>
    <xf numFmtId="14" fontId="0" fillId="0" borderId="17" xfId="0" applyNumberFormat="1" applyFont="1" applyBorder="1"/>
    <xf numFmtId="0" fontId="1" fillId="0" borderId="18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2" xfId="0" applyFont="1" applyBorder="1" applyAlignment="1">
      <alignment vertical="center" wrapText="1"/>
    </xf>
    <xf numFmtId="14" fontId="6" fillId="3" borderId="4" xfId="0" applyNumberFormat="1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164" fontId="6" fillId="3" borderId="4" xfId="0" applyNumberFormat="1" applyFont="1" applyFill="1" applyBorder="1" applyAlignment="1">
      <alignment horizontal="center" vertical="center"/>
    </xf>
    <xf numFmtId="0" fontId="7" fillId="0" borderId="3" xfId="0" applyFont="1" applyBorder="1" applyAlignment="1">
      <alignment vertical="center" wrapText="1"/>
    </xf>
    <xf numFmtId="0" fontId="6" fillId="4" borderId="4" xfId="0" applyFont="1" applyFill="1" applyBorder="1" applyAlignment="1">
      <alignment horizontal="center" vertical="center"/>
    </xf>
    <xf numFmtId="14" fontId="12" fillId="0" borderId="11" xfId="0" applyNumberFormat="1" applyFont="1" applyFill="1" applyBorder="1" applyAlignment="1">
      <alignment horizontal="center"/>
    </xf>
    <xf numFmtId="0" fontId="12" fillId="0" borderId="13" xfId="0" applyFont="1" applyFill="1" applyBorder="1" applyAlignment="1">
      <alignment horizontal="center"/>
    </xf>
    <xf numFmtId="0" fontId="6" fillId="0" borderId="10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4" fillId="0" borderId="2" xfId="1" applyFont="1" applyBorder="1" applyAlignment="1" applyProtection="1">
      <alignment vertical="center" wrapText="1"/>
    </xf>
    <xf numFmtId="0" fontId="6" fillId="0" borderId="9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4" fillId="0" borderId="10" xfId="1" applyFont="1" applyBorder="1" applyAlignment="1" applyProtection="1">
      <alignment horizontal="left" vertical="center" wrapText="1"/>
    </xf>
    <xf numFmtId="0" fontId="4" fillId="0" borderId="6" xfId="1" applyFont="1" applyBorder="1" applyAlignment="1" applyProtection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10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6" fillId="3" borderId="11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4" fontId="6" fillId="2" borderId="4" xfId="0" applyNumberFormat="1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4" fillId="0" borderId="10" xfId="1" applyFont="1" applyBorder="1" applyAlignment="1" applyProtection="1">
      <alignment horizontal="left" vertical="center"/>
    </xf>
    <xf numFmtId="0" fontId="4" fillId="0" borderId="1" xfId="1" applyFont="1" applyBorder="1" applyAlignment="1" applyProtection="1">
      <alignment horizontal="left" vertical="center"/>
    </xf>
    <xf numFmtId="0" fontId="4" fillId="0" borderId="6" xfId="1" applyFont="1" applyBorder="1" applyAlignment="1" applyProtection="1">
      <alignment horizontal="left" vertical="center"/>
    </xf>
    <xf numFmtId="0" fontId="12" fillId="0" borderId="3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4" fillId="0" borderId="10" xfId="1" applyFont="1" applyBorder="1" applyAlignment="1" applyProtection="1">
      <alignment horizontal="left"/>
    </xf>
    <xf numFmtId="0" fontId="4" fillId="0" borderId="6" xfId="1" applyFont="1" applyBorder="1" applyAlignment="1" applyProtection="1">
      <alignment horizontal="left"/>
    </xf>
    <xf numFmtId="0" fontId="7" fillId="0" borderId="3" xfId="0" applyFont="1" applyBorder="1" applyAlignment="1">
      <alignment horizontal="left" vertical="center" wrapText="1"/>
    </xf>
    <xf numFmtId="0" fontId="9" fillId="5" borderId="10" xfId="0" applyFont="1" applyFill="1" applyBorder="1" applyAlignment="1">
      <alignment vertical="center" wrapText="1"/>
    </xf>
    <xf numFmtId="0" fontId="9" fillId="5" borderId="6" xfId="0" applyFont="1" applyFill="1" applyBorder="1" applyAlignment="1">
      <alignment vertical="center" wrapText="1"/>
    </xf>
    <xf numFmtId="0" fontId="9" fillId="2" borderId="10" xfId="0" applyFont="1" applyFill="1" applyBorder="1" applyAlignment="1">
      <alignment vertical="center" wrapText="1"/>
    </xf>
    <xf numFmtId="0" fontId="9" fillId="2" borderId="6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vertical="center" wrapText="1"/>
    </xf>
    <xf numFmtId="0" fontId="8" fillId="2" borderId="10" xfId="0" applyFont="1" applyFill="1" applyBorder="1" applyAlignment="1">
      <alignment horizontal="right" vertical="center" wrapText="1"/>
    </xf>
    <xf numFmtId="0" fontId="8" fillId="2" borderId="6" xfId="0" applyFont="1" applyFill="1" applyBorder="1" applyAlignment="1">
      <alignment horizontal="right" vertical="center" wrapText="1"/>
    </xf>
    <xf numFmtId="0" fontId="8" fillId="2" borderId="10" xfId="0" applyFont="1" applyFill="1" applyBorder="1" applyAlignment="1">
      <alignment horizontal="left" vertical="center" wrapText="1"/>
    </xf>
    <xf numFmtId="0" fontId="8" fillId="2" borderId="6" xfId="0" applyFont="1" applyFill="1" applyBorder="1" applyAlignment="1">
      <alignment horizontal="left" vertical="center" wrapText="1"/>
    </xf>
    <xf numFmtId="0" fontId="8" fillId="2" borderId="10" xfId="0" applyFont="1" applyFill="1" applyBorder="1" applyAlignment="1">
      <alignment vertical="center" wrapText="1"/>
    </xf>
    <xf numFmtId="0" fontId="8" fillId="2" borderId="6" xfId="0" applyFont="1" applyFill="1" applyBorder="1" applyAlignment="1">
      <alignment vertical="center" wrapText="1"/>
    </xf>
    <xf numFmtId="0" fontId="8" fillId="5" borderId="10" xfId="0" applyFont="1" applyFill="1" applyBorder="1" applyAlignment="1">
      <alignment vertical="center" wrapText="1"/>
    </xf>
    <xf numFmtId="0" fontId="8" fillId="5" borderId="6" xfId="0" applyFont="1" applyFill="1" applyBorder="1" applyAlignment="1">
      <alignment vertical="center" wrapText="1"/>
    </xf>
    <xf numFmtId="0" fontId="9" fillId="2" borderId="10" xfId="0" applyFont="1" applyFill="1" applyBorder="1" applyAlignment="1">
      <alignment horizontal="left" vertical="center" wrapText="1"/>
    </xf>
    <xf numFmtId="0" fontId="9" fillId="2" borderId="6" xfId="0" applyFont="1" applyFill="1" applyBorder="1" applyAlignment="1">
      <alignment horizontal="left" vertical="center" wrapText="1"/>
    </xf>
    <xf numFmtId="0" fontId="14" fillId="5" borderId="10" xfId="0" applyFont="1" applyFill="1" applyBorder="1" applyAlignment="1">
      <alignment vertical="center"/>
    </xf>
    <xf numFmtId="0" fontId="14" fillId="5" borderId="6" xfId="0" applyFont="1" applyFill="1" applyBorder="1" applyAlignment="1">
      <alignment vertical="center"/>
    </xf>
    <xf numFmtId="0" fontId="10" fillId="4" borderId="10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left" vertical="center"/>
    </xf>
    <xf numFmtId="0" fontId="15" fillId="2" borderId="6" xfId="0" applyFont="1" applyFill="1" applyBorder="1" applyAlignment="1">
      <alignment horizontal="left" vertical="center"/>
    </xf>
    <xf numFmtId="0" fontId="14" fillId="2" borderId="10" xfId="0" applyFont="1" applyFill="1" applyBorder="1" applyAlignment="1">
      <alignment horizontal="left" vertical="center"/>
    </xf>
    <xf numFmtId="0" fontId="14" fillId="2" borderId="6" xfId="0" applyFont="1" applyFill="1" applyBorder="1" applyAlignment="1">
      <alignment horizontal="left" vertical="center"/>
    </xf>
    <xf numFmtId="0" fontId="8" fillId="6" borderId="10" xfId="0" applyFont="1" applyFill="1" applyBorder="1" applyAlignment="1">
      <alignment horizontal="center" vertical="center" wrapText="1"/>
    </xf>
    <xf numFmtId="0" fontId="8" fillId="6" borderId="6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vertical="center" wrapText="1"/>
    </xf>
    <xf numFmtId="0" fontId="8" fillId="2" borderId="12" xfId="0" applyFont="1" applyFill="1" applyBorder="1" applyAlignment="1">
      <alignment vertical="center" wrapText="1"/>
    </xf>
    <xf numFmtId="0" fontId="14" fillId="2" borderId="23" xfId="0" applyFont="1" applyFill="1" applyBorder="1" applyAlignment="1">
      <alignment horizontal="left" vertical="center"/>
    </xf>
    <xf numFmtId="0" fontId="14" fillId="2" borderId="24" xfId="0" applyFont="1" applyFill="1" applyBorder="1" applyAlignment="1">
      <alignment horizontal="left" vertical="center"/>
    </xf>
    <xf numFmtId="0" fontId="14" fillId="2" borderId="25" xfId="0" applyFont="1" applyFill="1" applyBorder="1" applyAlignment="1">
      <alignment horizontal="left" vertical="center"/>
    </xf>
    <xf numFmtId="0" fontId="14" fillId="2" borderId="10" xfId="0" applyFont="1" applyFill="1" applyBorder="1" applyAlignment="1">
      <alignment vertical="center"/>
    </xf>
    <xf numFmtId="0" fontId="14" fillId="2" borderId="1" xfId="0" applyFont="1" applyFill="1" applyBorder="1" applyAlignment="1">
      <alignment vertical="center"/>
    </xf>
    <xf numFmtId="0" fontId="14" fillId="2" borderId="6" xfId="0" applyFont="1" applyFill="1" applyBorder="1" applyAlignment="1">
      <alignment vertical="center"/>
    </xf>
    <xf numFmtId="0" fontId="14" fillId="2" borderId="2" xfId="1" applyFont="1" applyFill="1" applyBorder="1" applyAlignment="1" applyProtection="1">
      <alignment horizontal="left" vertical="center" wrapText="1"/>
    </xf>
    <xf numFmtId="0" fontId="14" fillId="5" borderId="10" xfId="0" applyFont="1" applyFill="1" applyBorder="1" applyAlignment="1">
      <alignment horizontal="left" vertical="center"/>
    </xf>
    <xf numFmtId="0" fontId="14" fillId="5" borderId="6" xfId="0" applyFont="1" applyFill="1" applyBorder="1" applyAlignment="1">
      <alignment horizontal="left" vertical="center"/>
    </xf>
    <xf numFmtId="0" fontId="8" fillId="5" borderId="10" xfId="0" applyFont="1" applyFill="1" applyBorder="1" applyAlignment="1">
      <alignment horizontal="left" vertical="center" wrapText="1"/>
    </xf>
    <xf numFmtId="0" fontId="8" fillId="5" borderId="6" xfId="0" applyFont="1" applyFill="1" applyBorder="1" applyAlignment="1">
      <alignment horizontal="left" vertical="center" wrapText="1"/>
    </xf>
    <xf numFmtId="0" fontId="14" fillId="2" borderId="2" xfId="0" applyFont="1" applyFill="1" applyBorder="1" applyAlignment="1">
      <alignment horizontal="left" vertical="center"/>
    </xf>
    <xf numFmtId="0" fontId="16" fillId="8" borderId="2" xfId="0" applyFont="1" applyFill="1" applyBorder="1" applyAlignment="1">
      <alignment horizontal="center"/>
    </xf>
    <xf numFmtId="0" fontId="16" fillId="8" borderId="3" xfId="0" applyFont="1" applyFill="1" applyBorder="1" applyAlignment="1">
      <alignment horizontal="center"/>
    </xf>
    <xf numFmtId="0" fontId="16" fillId="8" borderId="28" xfId="0" applyFont="1" applyFill="1" applyBorder="1" applyAlignment="1">
      <alignment horizontal="center"/>
    </xf>
    <xf numFmtId="0" fontId="16" fillId="8" borderId="27" xfId="0" applyFont="1" applyFill="1" applyBorder="1" applyAlignment="1">
      <alignment horizontal="center"/>
    </xf>
    <xf numFmtId="0" fontId="8" fillId="6" borderId="10" xfId="0" applyFont="1" applyFill="1" applyBorder="1" applyAlignment="1">
      <alignment vertical="center" wrapText="1"/>
    </xf>
    <xf numFmtId="0" fontId="8" fillId="6" borderId="6" xfId="0" applyFont="1" applyFill="1" applyBorder="1" applyAlignment="1">
      <alignment vertical="center" wrapText="1"/>
    </xf>
    <xf numFmtId="0" fontId="15" fillId="6" borderId="10" xfId="0" applyFont="1" applyFill="1" applyBorder="1" applyAlignment="1">
      <alignment vertical="center" wrapText="1"/>
    </xf>
    <xf numFmtId="0" fontId="15" fillId="6" borderId="6" xfId="0" applyFont="1" applyFill="1" applyBorder="1" applyAlignment="1">
      <alignment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left" vertical="center" wrapText="1"/>
    </xf>
    <xf numFmtId="0" fontId="15" fillId="2" borderId="6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right" vertical="center" wrapText="1"/>
    </xf>
    <xf numFmtId="0" fontId="10" fillId="4" borderId="10" xfId="0" applyFont="1" applyFill="1" applyBorder="1" applyAlignment="1">
      <alignment horizontal="center" wrapText="1"/>
    </xf>
    <xf numFmtId="0" fontId="10" fillId="4" borderId="6" xfId="0" applyFont="1" applyFill="1" applyBorder="1" applyAlignment="1">
      <alignment horizontal="center" wrapText="1"/>
    </xf>
    <xf numFmtId="0" fontId="14" fillId="2" borderId="2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vertical="center" wrapText="1"/>
    </xf>
    <xf numFmtId="0" fontId="15" fillId="2" borderId="6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1</xdr:row>
      <xdr:rowOff>9525</xdr:rowOff>
    </xdr:from>
    <xdr:to>
      <xdr:col>0</xdr:col>
      <xdr:colOff>781050</xdr:colOff>
      <xdr:row>3</xdr:row>
      <xdr:rowOff>180975</xdr:rowOff>
    </xdr:to>
    <xdr:pic>
      <xdr:nvPicPr>
        <xdr:cNvPr id="1081" name="Picture 1" descr="ADLogo-SVA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2875" y="200025"/>
          <a:ext cx="638175" cy="619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art.routh@sicpa.com" TargetMode="External"/><Relationship Id="rId13" Type="http://schemas.openxmlformats.org/officeDocument/2006/relationships/hyperlink" Target="mailto:mengiles@comcast.net" TargetMode="External"/><Relationship Id="rId18" Type="http://schemas.openxmlformats.org/officeDocument/2006/relationships/hyperlink" Target="mailto:Benjamin.Klinefelter@hq.doe.gov" TargetMode="External"/><Relationship Id="rId26" Type="http://schemas.openxmlformats.org/officeDocument/2006/relationships/hyperlink" Target="mailto:7236aic@gmail.com" TargetMode="External"/><Relationship Id="rId3" Type="http://schemas.openxmlformats.org/officeDocument/2006/relationships/hyperlink" Target="mailto:carl.darron@navy.mil" TargetMode="External"/><Relationship Id="rId21" Type="http://schemas.openxmlformats.org/officeDocument/2006/relationships/hyperlink" Target="http://mail.live.com/?rru=compose%3faction%3dcompose%26to%3dmikehaas1111%40gmail.com&amp;ru=http%3a%2f%2fcid-c323d55430f6a546.profile.live.com%2fdetails%2f%3fContactId%3d2f21a9d3-7399-4a6c-b219-94b10e0795db%26ru%3dhttp%253a%252f%252fco115w.col115.mail.live.com%252fmail%252fContactMainLight.aspx%253fContactFilter%253d7%2526n%253d213855460" TargetMode="External"/><Relationship Id="rId34" Type="http://schemas.openxmlformats.org/officeDocument/2006/relationships/oleObject" Target="../embeddings/oleObject1.bin"/><Relationship Id="rId7" Type="http://schemas.openxmlformats.org/officeDocument/2006/relationships/hyperlink" Target="mailto:bartr119@aol.com" TargetMode="External"/><Relationship Id="rId12" Type="http://schemas.openxmlformats.org/officeDocument/2006/relationships/hyperlink" Target="mailto:lewsteinhoff@yahoo.com" TargetMode="External"/><Relationship Id="rId17" Type="http://schemas.openxmlformats.org/officeDocument/2006/relationships/hyperlink" Target="mailto:sharon4scouts@cox.net" TargetMode="External"/><Relationship Id="rId25" Type="http://schemas.openxmlformats.org/officeDocument/2006/relationships/hyperlink" Target="mailto:gdesgrosseilli@comcast.net" TargetMode="External"/><Relationship Id="rId33" Type="http://schemas.openxmlformats.org/officeDocument/2006/relationships/vmlDrawing" Target="../drawings/vmlDrawing1.vml"/><Relationship Id="rId2" Type="http://schemas.openxmlformats.org/officeDocument/2006/relationships/hyperlink" Target="mailto:carl.darron@navy.mil" TargetMode="External"/><Relationship Id="rId16" Type="http://schemas.openxmlformats.org/officeDocument/2006/relationships/hyperlink" Target="mailto:vashaws@aotmail.com" TargetMode="External"/><Relationship Id="rId20" Type="http://schemas.openxmlformats.org/officeDocument/2006/relationships/hyperlink" Target="mailto:bunablack-travis@yahoo.com" TargetMode="External"/><Relationship Id="rId29" Type="http://schemas.openxmlformats.org/officeDocument/2006/relationships/hyperlink" Target="mailto:gregory.desgrosseill@navy.mil)" TargetMode="External"/><Relationship Id="rId1" Type="http://schemas.openxmlformats.org/officeDocument/2006/relationships/hyperlink" Target="mailto:Coastiewm99@hotmail.com" TargetMode="External"/><Relationship Id="rId6" Type="http://schemas.openxmlformats.org/officeDocument/2006/relationships/hyperlink" Target="mailto:jodiandbob@comcast.net" TargetMode="External"/><Relationship Id="rId11" Type="http://schemas.openxmlformats.org/officeDocument/2006/relationships/hyperlink" Target="mailto:Skavdahl@aol.com" TargetMode="External"/><Relationship Id="rId24" Type="http://schemas.openxmlformats.org/officeDocument/2006/relationships/hyperlink" Target="mailto:bonnka37@cox.net" TargetMode="External"/><Relationship Id="rId32" Type="http://schemas.openxmlformats.org/officeDocument/2006/relationships/drawing" Target="../drawings/drawing1.xml"/><Relationship Id="rId5" Type="http://schemas.openxmlformats.org/officeDocument/2006/relationships/hyperlink" Target="mailto:cover6@aol.com" TargetMode="External"/><Relationship Id="rId15" Type="http://schemas.openxmlformats.org/officeDocument/2006/relationships/hyperlink" Target="mailto:jnjklocek@comcast.net" TargetMode="External"/><Relationship Id="rId23" Type="http://schemas.openxmlformats.org/officeDocument/2006/relationships/hyperlink" Target="mailto:1717scouter@gmail.com" TargetMode="External"/><Relationship Id="rId28" Type="http://schemas.openxmlformats.org/officeDocument/2006/relationships/hyperlink" Target="mailto:caharris@comcast.net" TargetMode="External"/><Relationship Id="rId10" Type="http://schemas.openxmlformats.org/officeDocument/2006/relationships/hyperlink" Target="mailto:lbass65@comcast.net" TargetMode="External"/><Relationship Id="rId19" Type="http://schemas.openxmlformats.org/officeDocument/2006/relationships/hyperlink" Target="mailto:cajnbell4@verizon.net" TargetMode="External"/><Relationship Id="rId31" Type="http://schemas.openxmlformats.org/officeDocument/2006/relationships/printerSettings" Target="../printerSettings/printerSettings1.bin"/><Relationship Id="rId4" Type="http://schemas.openxmlformats.org/officeDocument/2006/relationships/hyperlink" Target="mailto:BSADuke@yahoo.com" TargetMode="External"/><Relationship Id="rId9" Type="http://schemas.openxmlformats.org/officeDocument/2006/relationships/hyperlink" Target="mailto:Skavdahl@aol.com" TargetMode="External"/><Relationship Id="rId14" Type="http://schemas.openxmlformats.org/officeDocument/2006/relationships/hyperlink" Target="mailto:elcid841962@yahoo.com" TargetMode="External"/><Relationship Id="rId22" Type="http://schemas.openxmlformats.org/officeDocument/2006/relationships/hyperlink" Target="mailto:dominique.bee@HQ.dhs.gov" TargetMode="External"/><Relationship Id="rId27" Type="http://schemas.openxmlformats.org/officeDocument/2006/relationships/hyperlink" Target="mailto:brentdanderson@yahoo.com" TargetMode="External"/><Relationship Id="rId30" Type="http://schemas.openxmlformats.org/officeDocument/2006/relationships/hyperlink" Target="mailto:Lewisgw@ao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Lewisgw@ao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9"/>
  <sheetViews>
    <sheetView zoomScaleNormal="100" workbookViewId="0">
      <selection activeCell="A5" sqref="A5:F49"/>
    </sheetView>
  </sheetViews>
  <sheetFormatPr defaultRowHeight="15"/>
  <cols>
    <col min="1" max="1" width="31" customWidth="1"/>
    <col min="2" max="2" width="21.28515625" customWidth="1"/>
    <col min="3" max="3" width="22.140625" customWidth="1"/>
    <col min="4" max="4" width="33" customWidth="1"/>
    <col min="5" max="5" width="17.7109375" bestFit="1" customWidth="1"/>
    <col min="6" max="6" width="22.5703125" customWidth="1"/>
    <col min="10" max="10" width="32.7109375" customWidth="1"/>
  </cols>
  <sheetData>
    <row r="1" spans="1:11">
      <c r="B1" s="129" t="s">
        <v>123</v>
      </c>
      <c r="C1" s="129"/>
      <c r="D1" s="129"/>
      <c r="E1" s="129"/>
    </row>
    <row r="2" spans="1:11">
      <c r="A2" s="137"/>
      <c r="B2" s="129"/>
      <c r="C2" s="129"/>
      <c r="D2" s="129"/>
      <c r="E2" s="129"/>
      <c r="F2" s="1"/>
    </row>
    <row r="3" spans="1:11" ht="20.25" customHeight="1">
      <c r="A3" s="137"/>
      <c r="B3" s="129"/>
      <c r="C3" s="129"/>
      <c r="D3" s="129"/>
      <c r="E3" s="129"/>
      <c r="F3" s="1"/>
    </row>
    <row r="4" spans="1:11" ht="20.25" customHeight="1" thickBot="1">
      <c r="A4" s="137"/>
      <c r="B4" s="130"/>
      <c r="C4" s="130"/>
      <c r="D4" s="130"/>
      <c r="E4" s="130"/>
      <c r="F4" s="1"/>
    </row>
    <row r="5" spans="1:11" ht="19.5">
      <c r="A5" s="97" t="s">
        <v>0</v>
      </c>
      <c r="B5" s="14" t="s">
        <v>1</v>
      </c>
      <c r="C5" s="14" t="s">
        <v>2</v>
      </c>
      <c r="D5" s="99" t="s">
        <v>3</v>
      </c>
      <c r="E5" s="101" t="s">
        <v>127</v>
      </c>
      <c r="F5" s="103" t="s">
        <v>128</v>
      </c>
    </row>
    <row r="6" spans="1:11" ht="19.5">
      <c r="A6" s="98"/>
      <c r="B6" s="15" t="s">
        <v>4</v>
      </c>
      <c r="C6" s="15" t="s">
        <v>5</v>
      </c>
      <c r="D6" s="100"/>
      <c r="E6" s="102"/>
      <c r="F6" s="104"/>
      <c r="H6" s="16" t="s">
        <v>23</v>
      </c>
    </row>
    <row r="7" spans="1:11" ht="16.5">
      <c r="A7" s="105" t="s">
        <v>6</v>
      </c>
      <c r="B7" s="106" t="s">
        <v>7</v>
      </c>
      <c r="C7" s="19" t="s">
        <v>8</v>
      </c>
      <c r="D7" s="23" t="s">
        <v>9</v>
      </c>
      <c r="E7" s="136" t="s">
        <v>138</v>
      </c>
      <c r="F7" s="107">
        <v>40096</v>
      </c>
      <c r="G7" s="16">
        <v>1</v>
      </c>
      <c r="H7" s="16"/>
    </row>
    <row r="8" spans="1:11" ht="16.5">
      <c r="A8" s="105"/>
      <c r="B8" s="106"/>
      <c r="C8" s="19" t="s">
        <v>10</v>
      </c>
      <c r="D8" s="23" t="s">
        <v>11</v>
      </c>
      <c r="E8" s="136"/>
      <c r="F8" s="108"/>
      <c r="G8" s="16"/>
      <c r="H8" s="16"/>
    </row>
    <row r="9" spans="1:11" ht="16.5">
      <c r="A9" s="105" t="s">
        <v>12</v>
      </c>
      <c r="B9" s="106" t="s">
        <v>13</v>
      </c>
      <c r="C9" s="19" t="s">
        <v>14</v>
      </c>
      <c r="D9" s="116" t="s">
        <v>15</v>
      </c>
      <c r="E9" s="136" t="s">
        <v>16</v>
      </c>
      <c r="F9" s="111"/>
      <c r="G9" s="16">
        <v>1</v>
      </c>
      <c r="H9" s="16"/>
      <c r="J9" s="2"/>
    </row>
    <row r="10" spans="1:11" ht="16.5">
      <c r="A10" s="105"/>
      <c r="B10" s="106"/>
      <c r="C10" s="19" t="s">
        <v>17</v>
      </c>
      <c r="D10" s="116"/>
      <c r="E10" s="136"/>
      <c r="F10" s="111"/>
      <c r="G10" s="16"/>
      <c r="H10" s="16"/>
      <c r="J10" s="2"/>
    </row>
    <row r="11" spans="1:11" ht="15.75" customHeight="1">
      <c r="A11" s="105" t="s">
        <v>103</v>
      </c>
      <c r="B11" s="106" t="s">
        <v>104</v>
      </c>
      <c r="C11" s="12" t="s">
        <v>105</v>
      </c>
      <c r="D11" s="116" t="s">
        <v>106</v>
      </c>
      <c r="E11" s="110" t="s">
        <v>107</v>
      </c>
      <c r="F11" s="109">
        <v>40670</v>
      </c>
      <c r="G11" s="30"/>
      <c r="H11" s="30"/>
    </row>
    <row r="12" spans="1:11" ht="16.5">
      <c r="A12" s="105"/>
      <c r="B12" s="106"/>
      <c r="C12" s="19" t="s">
        <v>108</v>
      </c>
      <c r="D12" s="116"/>
      <c r="E12" s="110"/>
      <c r="F12" s="109"/>
      <c r="G12" s="30">
        <v>1</v>
      </c>
      <c r="H12" s="30"/>
    </row>
    <row r="13" spans="1:11" ht="16.5">
      <c r="A13" s="18" t="s">
        <v>24</v>
      </c>
      <c r="B13" s="5" t="s">
        <v>25</v>
      </c>
      <c r="C13" s="6" t="s">
        <v>26</v>
      </c>
      <c r="D13" s="7" t="s">
        <v>27</v>
      </c>
      <c r="E13" s="20" t="s">
        <v>28</v>
      </c>
      <c r="F13" s="24"/>
      <c r="G13" s="16">
        <v>1</v>
      </c>
      <c r="H13" s="16"/>
      <c r="J13" s="3"/>
      <c r="K13" s="29"/>
    </row>
    <row r="14" spans="1:11" ht="16.5">
      <c r="A14" s="18" t="s">
        <v>18</v>
      </c>
      <c r="B14" s="19" t="s">
        <v>19</v>
      </c>
      <c r="C14" s="19" t="s">
        <v>20</v>
      </c>
      <c r="D14" s="38" t="s">
        <v>21</v>
      </c>
      <c r="E14" s="22" t="s">
        <v>22</v>
      </c>
      <c r="F14" s="39"/>
      <c r="G14" s="16">
        <v>1</v>
      </c>
      <c r="H14" s="16"/>
      <c r="J14" s="2"/>
    </row>
    <row r="15" spans="1:11" ht="16.5">
      <c r="A15" s="27" t="s">
        <v>37</v>
      </c>
      <c r="B15" s="19" t="s">
        <v>38</v>
      </c>
      <c r="C15" s="19" t="s">
        <v>39</v>
      </c>
      <c r="D15" s="23" t="s">
        <v>40</v>
      </c>
      <c r="E15" s="25" t="s">
        <v>41</v>
      </c>
      <c r="F15" s="24"/>
      <c r="G15" s="16"/>
      <c r="H15" s="16">
        <v>1</v>
      </c>
    </row>
    <row r="16" spans="1:11" ht="16.5">
      <c r="A16" s="18" t="s">
        <v>37</v>
      </c>
      <c r="B16" s="19" t="s">
        <v>139</v>
      </c>
      <c r="C16" s="19" t="s">
        <v>141</v>
      </c>
      <c r="D16" s="23" t="s">
        <v>142</v>
      </c>
      <c r="E16" s="22" t="s">
        <v>140</v>
      </c>
      <c r="F16" s="33"/>
      <c r="G16" s="30"/>
      <c r="H16" s="30">
        <v>1</v>
      </c>
    </row>
    <row r="17" spans="1:10" ht="16.5">
      <c r="A17" s="34" t="s">
        <v>37</v>
      </c>
      <c r="B17" s="35" t="s">
        <v>130</v>
      </c>
      <c r="C17" s="13" t="s">
        <v>131</v>
      </c>
      <c r="D17" s="40" t="s">
        <v>132</v>
      </c>
      <c r="E17" s="36"/>
      <c r="F17" s="37"/>
      <c r="G17" s="30"/>
      <c r="H17" s="31">
        <v>1</v>
      </c>
    </row>
    <row r="18" spans="1:10" ht="16.5">
      <c r="A18" s="41" t="s">
        <v>37</v>
      </c>
      <c r="B18" s="42" t="s">
        <v>129</v>
      </c>
      <c r="C18" s="19" t="s">
        <v>133</v>
      </c>
      <c r="D18" s="4" t="s">
        <v>134</v>
      </c>
      <c r="E18" s="43"/>
      <c r="F18" s="44"/>
      <c r="G18" s="30"/>
      <c r="H18" s="30">
        <v>1</v>
      </c>
    </row>
    <row r="19" spans="1:10" ht="15" customHeight="1">
      <c r="A19" s="18" t="s">
        <v>135</v>
      </c>
      <c r="B19" s="19" t="s">
        <v>29</v>
      </c>
      <c r="C19" s="19" t="s">
        <v>30</v>
      </c>
      <c r="D19" s="23" t="s">
        <v>31</v>
      </c>
      <c r="E19" s="46" t="s">
        <v>35</v>
      </c>
      <c r="F19" s="45">
        <v>37555</v>
      </c>
      <c r="G19" s="16">
        <v>1</v>
      </c>
      <c r="H19" s="16"/>
      <c r="J19" s="3"/>
    </row>
    <row r="20" spans="1:10" ht="16.5">
      <c r="A20" s="105" t="s">
        <v>32</v>
      </c>
      <c r="B20" s="106" t="s">
        <v>33</v>
      </c>
      <c r="C20" s="19" t="s">
        <v>34</v>
      </c>
      <c r="D20" s="138" t="s">
        <v>137</v>
      </c>
      <c r="E20" s="140" t="s">
        <v>35</v>
      </c>
      <c r="F20" s="132" t="s">
        <v>136</v>
      </c>
      <c r="G20" s="16"/>
      <c r="H20" s="16"/>
      <c r="J20" s="2"/>
    </row>
    <row r="21" spans="1:10" ht="16.5">
      <c r="A21" s="105"/>
      <c r="B21" s="106"/>
      <c r="C21" s="19" t="s">
        <v>36</v>
      </c>
      <c r="D21" s="139"/>
      <c r="E21" s="140"/>
      <c r="F21" s="132"/>
      <c r="G21" s="16"/>
      <c r="H21" s="16"/>
      <c r="J21" s="2"/>
    </row>
    <row r="22" spans="1:10" ht="21" customHeight="1">
      <c r="A22" s="18" t="s">
        <v>42</v>
      </c>
      <c r="B22" s="19" t="s">
        <v>43</v>
      </c>
      <c r="C22" s="28" t="s">
        <v>44</v>
      </c>
      <c r="D22" s="4" t="s">
        <v>45</v>
      </c>
      <c r="E22" s="25" t="s">
        <v>46</v>
      </c>
      <c r="F22" s="26" t="s">
        <v>136</v>
      </c>
      <c r="G22" s="16"/>
      <c r="H22" s="16"/>
    </row>
    <row r="23" spans="1:10" ht="16.5">
      <c r="A23" s="105" t="s">
        <v>124</v>
      </c>
      <c r="B23" s="106" t="s">
        <v>47</v>
      </c>
      <c r="C23" s="19" t="s">
        <v>48</v>
      </c>
      <c r="D23" s="116" t="s">
        <v>49</v>
      </c>
      <c r="E23" s="110" t="s">
        <v>125</v>
      </c>
      <c r="F23" s="131">
        <v>40544</v>
      </c>
      <c r="G23" s="16">
        <v>1</v>
      </c>
      <c r="H23" s="16"/>
    </row>
    <row r="24" spans="1:10" ht="16.5">
      <c r="A24" s="105"/>
      <c r="B24" s="106"/>
      <c r="C24" s="19" t="s">
        <v>50</v>
      </c>
      <c r="D24" s="116"/>
      <c r="E24" s="110"/>
      <c r="F24" s="132"/>
      <c r="G24" s="16"/>
      <c r="H24" s="16"/>
    </row>
    <row r="25" spans="1:10" ht="33">
      <c r="A25" s="18" t="s">
        <v>51</v>
      </c>
      <c r="B25" s="19" t="s">
        <v>52</v>
      </c>
      <c r="C25" s="19" t="s">
        <v>53</v>
      </c>
      <c r="D25" s="23" t="s">
        <v>54</v>
      </c>
      <c r="E25" s="22" t="s">
        <v>55</v>
      </c>
      <c r="F25" s="10">
        <v>38108</v>
      </c>
      <c r="G25" s="16"/>
      <c r="H25" s="16"/>
    </row>
    <row r="26" spans="1:10" ht="18.75" customHeight="1">
      <c r="A26" s="18" t="s">
        <v>23</v>
      </c>
      <c r="B26" s="19" t="s">
        <v>56</v>
      </c>
      <c r="C26" s="19" t="s">
        <v>57</v>
      </c>
      <c r="D26" s="23" t="s">
        <v>58</v>
      </c>
      <c r="E26" s="9" t="s">
        <v>59</v>
      </c>
      <c r="F26" s="11">
        <v>40096</v>
      </c>
      <c r="G26" s="16"/>
      <c r="H26" s="16">
        <v>1</v>
      </c>
    </row>
    <row r="27" spans="1:10" ht="33">
      <c r="A27" s="18" t="s">
        <v>60</v>
      </c>
      <c r="B27" s="19" t="s">
        <v>61</v>
      </c>
      <c r="C27" s="19" t="s">
        <v>62</v>
      </c>
      <c r="D27" s="23" t="s">
        <v>63</v>
      </c>
      <c r="E27" s="22" t="s">
        <v>64</v>
      </c>
      <c r="F27" s="21">
        <v>39403</v>
      </c>
      <c r="G27" s="16"/>
      <c r="H27" s="16">
        <v>1</v>
      </c>
    </row>
    <row r="28" spans="1:10" ht="16.5">
      <c r="A28" s="105" t="s">
        <v>23</v>
      </c>
      <c r="B28" s="106" t="s">
        <v>65</v>
      </c>
      <c r="C28" s="19" t="s">
        <v>66</v>
      </c>
      <c r="D28" s="116" t="s">
        <v>67</v>
      </c>
      <c r="E28" s="110" t="s">
        <v>68</v>
      </c>
      <c r="F28" s="111"/>
      <c r="G28" s="16"/>
      <c r="H28" s="16">
        <v>1</v>
      </c>
    </row>
    <row r="29" spans="1:10" ht="16.5">
      <c r="A29" s="105"/>
      <c r="B29" s="106"/>
      <c r="C29" s="19" t="s">
        <v>69</v>
      </c>
      <c r="D29" s="116"/>
      <c r="E29" s="110"/>
      <c r="F29" s="111"/>
      <c r="G29" s="30"/>
      <c r="H29" s="30"/>
    </row>
    <row r="30" spans="1:10" ht="16.5">
      <c r="A30" s="117" t="s">
        <v>23</v>
      </c>
      <c r="B30" s="106" t="s">
        <v>70</v>
      </c>
      <c r="C30" s="106" t="s">
        <v>71</v>
      </c>
      <c r="D30" s="23" t="s">
        <v>72</v>
      </c>
      <c r="E30" s="110" t="s">
        <v>73</v>
      </c>
      <c r="F30" s="107">
        <v>37972</v>
      </c>
      <c r="G30" s="30"/>
      <c r="H30" s="30">
        <v>1</v>
      </c>
    </row>
    <row r="31" spans="1:10" ht="16.5">
      <c r="A31" s="119"/>
      <c r="B31" s="106"/>
      <c r="C31" s="106"/>
      <c r="D31" s="23" t="s">
        <v>74</v>
      </c>
      <c r="E31" s="110"/>
      <c r="F31" s="108"/>
      <c r="G31" s="30"/>
      <c r="H31" s="30"/>
    </row>
    <row r="32" spans="1:10" ht="16.5">
      <c r="A32" s="117" t="s">
        <v>23</v>
      </c>
      <c r="B32" s="114" t="s">
        <v>75</v>
      </c>
      <c r="C32" s="19" t="s">
        <v>76</v>
      </c>
      <c r="D32" s="40" t="s">
        <v>77</v>
      </c>
      <c r="E32" s="123" t="s">
        <v>78</v>
      </c>
      <c r="F32" s="112">
        <v>39711</v>
      </c>
      <c r="G32" s="30"/>
      <c r="H32" s="30"/>
    </row>
    <row r="33" spans="1:8" ht="14.25" customHeight="1">
      <c r="A33" s="119"/>
      <c r="B33" s="115"/>
      <c r="C33" s="19" t="s">
        <v>143</v>
      </c>
      <c r="D33" s="40" t="s">
        <v>79</v>
      </c>
      <c r="E33" s="124"/>
      <c r="F33" s="113"/>
      <c r="G33" s="30"/>
      <c r="H33" s="30">
        <v>1</v>
      </c>
    </row>
    <row r="34" spans="1:8" ht="18" customHeight="1">
      <c r="A34" s="117" t="s">
        <v>23</v>
      </c>
      <c r="B34" s="114" t="s">
        <v>80</v>
      </c>
      <c r="C34" s="8" t="s">
        <v>81</v>
      </c>
      <c r="D34" s="133" t="s">
        <v>82</v>
      </c>
      <c r="E34" s="110" t="s">
        <v>83</v>
      </c>
      <c r="F34" s="111"/>
      <c r="G34" s="30"/>
      <c r="H34" s="30"/>
    </row>
    <row r="35" spans="1:8" ht="17.25" customHeight="1">
      <c r="A35" s="118"/>
      <c r="B35" s="120"/>
      <c r="C35" s="8" t="s">
        <v>84</v>
      </c>
      <c r="D35" s="134"/>
      <c r="E35" s="110"/>
      <c r="F35" s="111"/>
      <c r="G35" s="30"/>
      <c r="H35" s="30">
        <v>1</v>
      </c>
    </row>
    <row r="36" spans="1:8" ht="16.5">
      <c r="A36" s="119"/>
      <c r="B36" s="115"/>
      <c r="C36" s="8" t="s">
        <v>85</v>
      </c>
      <c r="D36" s="135"/>
      <c r="E36" s="110"/>
      <c r="F36" s="111"/>
      <c r="G36" s="30"/>
      <c r="H36" s="30"/>
    </row>
    <row r="37" spans="1:8" ht="33">
      <c r="A37" s="18" t="s">
        <v>23</v>
      </c>
      <c r="B37" s="19" t="s">
        <v>86</v>
      </c>
      <c r="C37" s="19" t="s">
        <v>87</v>
      </c>
      <c r="D37" s="23" t="s">
        <v>88</v>
      </c>
      <c r="E37" s="22" t="s">
        <v>89</v>
      </c>
      <c r="F37" s="21">
        <v>40670</v>
      </c>
      <c r="G37" s="30"/>
      <c r="H37" s="30">
        <v>1</v>
      </c>
    </row>
    <row r="38" spans="1:8" ht="33">
      <c r="A38" s="27" t="s">
        <v>23</v>
      </c>
      <c r="B38" s="12" t="s">
        <v>90</v>
      </c>
      <c r="C38" s="8" t="s">
        <v>91</v>
      </c>
      <c r="D38" s="17" t="s">
        <v>92</v>
      </c>
      <c r="E38" s="9" t="s">
        <v>93</v>
      </c>
      <c r="F38" s="24"/>
      <c r="G38" s="30"/>
      <c r="H38" s="30">
        <v>1</v>
      </c>
    </row>
    <row r="39" spans="1:8" ht="16.5">
      <c r="A39" s="18" t="s">
        <v>23</v>
      </c>
      <c r="B39" s="19" t="s">
        <v>94</v>
      </c>
      <c r="C39" s="19" t="s">
        <v>95</v>
      </c>
      <c r="D39" s="23" t="s">
        <v>96</v>
      </c>
      <c r="E39" s="20" t="s">
        <v>97</v>
      </c>
      <c r="F39" s="24"/>
      <c r="G39" s="30"/>
      <c r="H39" s="30">
        <v>1</v>
      </c>
    </row>
    <row r="40" spans="1:8" ht="16.5">
      <c r="A40" s="105" t="s">
        <v>23</v>
      </c>
      <c r="B40" s="106" t="s">
        <v>98</v>
      </c>
      <c r="C40" s="19" t="s">
        <v>99</v>
      </c>
      <c r="D40" s="116" t="s">
        <v>100</v>
      </c>
      <c r="E40" s="110" t="s">
        <v>101</v>
      </c>
      <c r="F40" s="107">
        <v>40096</v>
      </c>
      <c r="G40" s="30"/>
      <c r="H40" s="30">
        <v>1</v>
      </c>
    </row>
    <row r="41" spans="1:8" ht="16.5">
      <c r="A41" s="105"/>
      <c r="B41" s="106"/>
      <c r="C41" s="19" t="s">
        <v>102</v>
      </c>
      <c r="D41" s="116"/>
      <c r="E41" s="110"/>
      <c r="F41" s="108"/>
      <c r="G41" s="30"/>
      <c r="H41" s="30"/>
    </row>
    <row r="42" spans="1:8" ht="16.5">
      <c r="A42" s="105" t="s">
        <v>23</v>
      </c>
      <c r="B42" s="106" t="s">
        <v>109</v>
      </c>
      <c r="C42" s="19" t="s">
        <v>110</v>
      </c>
      <c r="D42" s="23" t="s">
        <v>111</v>
      </c>
      <c r="E42" s="110" t="s">
        <v>126</v>
      </c>
      <c r="F42" s="107">
        <v>39340</v>
      </c>
      <c r="G42" s="30"/>
      <c r="H42" s="30">
        <v>1</v>
      </c>
    </row>
    <row r="43" spans="1:8" ht="16.5">
      <c r="A43" s="105"/>
      <c r="B43" s="106"/>
      <c r="C43" s="19" t="s">
        <v>112</v>
      </c>
      <c r="D43" s="23" t="s">
        <v>113</v>
      </c>
      <c r="E43" s="110"/>
      <c r="F43" s="108"/>
      <c r="G43" s="30"/>
      <c r="H43" s="30"/>
    </row>
    <row r="44" spans="1:8" ht="16.5">
      <c r="A44" s="117" t="s">
        <v>23</v>
      </c>
      <c r="B44" s="114" t="s">
        <v>144</v>
      </c>
      <c r="C44" s="19" t="s">
        <v>146</v>
      </c>
      <c r="D44" s="121" t="s">
        <v>147</v>
      </c>
      <c r="E44" s="125" t="s">
        <v>148</v>
      </c>
      <c r="F44" s="127"/>
      <c r="G44" s="30"/>
      <c r="H44" s="30">
        <v>1</v>
      </c>
    </row>
    <row r="45" spans="1:8" ht="16.5">
      <c r="A45" s="119"/>
      <c r="B45" s="115"/>
      <c r="C45" s="19" t="s">
        <v>145</v>
      </c>
      <c r="D45" s="122"/>
      <c r="E45" s="126"/>
      <c r="F45" s="128"/>
      <c r="G45" s="30"/>
      <c r="H45" s="30"/>
    </row>
    <row r="46" spans="1:8" ht="16.5">
      <c r="A46" s="18" t="s">
        <v>23</v>
      </c>
      <c r="B46" s="19" t="s">
        <v>114</v>
      </c>
      <c r="C46" s="13" t="s">
        <v>115</v>
      </c>
      <c r="D46" s="23" t="s">
        <v>116</v>
      </c>
      <c r="E46" s="22" t="s">
        <v>117</v>
      </c>
      <c r="F46" s="21">
        <v>40635</v>
      </c>
      <c r="G46" s="30"/>
      <c r="H46" s="30">
        <v>1</v>
      </c>
    </row>
    <row r="47" spans="1:8" ht="16.5">
      <c r="A47" s="117" t="s">
        <v>23</v>
      </c>
      <c r="B47" s="114" t="s">
        <v>118</v>
      </c>
      <c r="C47" s="13" t="s">
        <v>119</v>
      </c>
      <c r="D47" s="121" t="s">
        <v>120</v>
      </c>
      <c r="E47" s="123" t="s">
        <v>121</v>
      </c>
      <c r="F47" s="109">
        <v>40670</v>
      </c>
      <c r="G47" s="30"/>
      <c r="H47" s="30"/>
    </row>
    <row r="48" spans="1:8" ht="16.5">
      <c r="A48" s="119"/>
      <c r="B48" s="115"/>
      <c r="C48" s="19" t="s">
        <v>122</v>
      </c>
      <c r="D48" s="122"/>
      <c r="E48" s="124"/>
      <c r="F48" s="109"/>
      <c r="G48" s="30"/>
      <c r="H48" s="32">
        <v>1</v>
      </c>
    </row>
    <row r="49" spans="1:8" ht="15.75" thickBot="1">
      <c r="A49" s="94">
        <f ca="1">TODAY()</f>
        <v>41190</v>
      </c>
      <c r="B49" s="95"/>
      <c r="C49" s="95"/>
      <c r="D49" s="95"/>
      <c r="E49" s="95"/>
      <c r="F49" s="96"/>
      <c r="G49" s="16">
        <f>SUM(G7:G48)</f>
        <v>7</v>
      </c>
      <c r="H49" s="16">
        <f>SUM(H7:H48)</f>
        <v>18</v>
      </c>
    </row>
  </sheetData>
  <mergeCells count="69">
    <mergeCell ref="A2:A4"/>
    <mergeCell ref="B30:B31"/>
    <mergeCell ref="A20:A21"/>
    <mergeCell ref="D20:D21"/>
    <mergeCell ref="D28:D29"/>
    <mergeCell ref="E28:E29"/>
    <mergeCell ref="A30:A31"/>
    <mergeCell ref="E20:E21"/>
    <mergeCell ref="E7:E8"/>
    <mergeCell ref="D34:D36"/>
    <mergeCell ref="F20:F21"/>
    <mergeCell ref="F28:F29"/>
    <mergeCell ref="A32:A33"/>
    <mergeCell ref="D9:D10"/>
    <mergeCell ref="E9:E10"/>
    <mergeCell ref="E32:E33"/>
    <mergeCell ref="D23:D24"/>
    <mergeCell ref="E23:E24"/>
    <mergeCell ref="B20:B21"/>
    <mergeCell ref="F44:F45"/>
    <mergeCell ref="B1:E4"/>
    <mergeCell ref="A11:A12"/>
    <mergeCell ref="B11:B12"/>
    <mergeCell ref="D11:D12"/>
    <mergeCell ref="E11:E12"/>
    <mergeCell ref="B9:B10"/>
    <mergeCell ref="F9:F10"/>
    <mergeCell ref="F23:F24"/>
    <mergeCell ref="B28:B29"/>
    <mergeCell ref="B34:B36"/>
    <mergeCell ref="A40:A41"/>
    <mergeCell ref="A47:A48"/>
    <mergeCell ref="B47:B48"/>
    <mergeCell ref="D47:D48"/>
    <mergeCell ref="E47:E48"/>
    <mergeCell ref="D44:D45"/>
    <mergeCell ref="E44:E45"/>
    <mergeCell ref="A44:A45"/>
    <mergeCell ref="B44:B45"/>
    <mergeCell ref="F32:F33"/>
    <mergeCell ref="A28:A29"/>
    <mergeCell ref="C30:C31"/>
    <mergeCell ref="B32:B33"/>
    <mergeCell ref="D40:D41"/>
    <mergeCell ref="E34:E36"/>
    <mergeCell ref="E40:E41"/>
    <mergeCell ref="B40:B41"/>
    <mergeCell ref="E30:E31"/>
    <mergeCell ref="A34:A36"/>
    <mergeCell ref="F11:F12"/>
    <mergeCell ref="A42:A43"/>
    <mergeCell ref="B42:B43"/>
    <mergeCell ref="E42:E43"/>
    <mergeCell ref="F42:F43"/>
    <mergeCell ref="F34:F36"/>
    <mergeCell ref="F30:F31"/>
    <mergeCell ref="F40:F41"/>
    <mergeCell ref="A23:A24"/>
    <mergeCell ref="B23:B24"/>
    <mergeCell ref="A49:F49"/>
    <mergeCell ref="A5:A6"/>
    <mergeCell ref="D5:D6"/>
    <mergeCell ref="E5:E6"/>
    <mergeCell ref="F5:F6"/>
    <mergeCell ref="A7:A8"/>
    <mergeCell ref="B7:B8"/>
    <mergeCell ref="F7:F8"/>
    <mergeCell ref="A9:A10"/>
    <mergeCell ref="F47:F48"/>
  </mergeCells>
  <hyperlinks>
    <hyperlink ref="D7" r:id="rId1"/>
    <hyperlink ref="D30" r:id="rId2" display="mailto:carl.darron@navy.mil"/>
    <hyperlink ref="D31" r:id="rId3" display="mailto:carl.darron@navy.mil"/>
    <hyperlink ref="D9" r:id="rId4" display="mailto:BSADuke@yahoo.com"/>
    <hyperlink ref="D28" r:id="rId5" display="mailto:cover6@aol.com"/>
    <hyperlink ref="D19" r:id="rId6" display="mailto:jodiandbob@comcast.net"/>
    <hyperlink ref="D42" r:id="rId7" tooltip="blocked::mailto:bartr119@aol.com" display="mailto:bartr119@aol.com"/>
    <hyperlink ref="D43" r:id="rId8" tooltip="blocked::mailto:bart.routh@sicpa.com" display="mailto:bart.routh@sicpa.com"/>
    <hyperlink ref="D39" r:id="rId9" display="mailto:Skavdahl@aol.com"/>
    <hyperlink ref="D26" r:id="rId10"/>
    <hyperlink ref="D11" r:id="rId11" display="mailto:Skavdahl@aol.com"/>
    <hyperlink ref="D25" r:id="rId12"/>
    <hyperlink ref="D13" r:id="rId13"/>
    <hyperlink ref="D38" r:id="rId14"/>
    <hyperlink ref="D37" r:id="rId15"/>
    <hyperlink ref="D46" r:id="rId16" display="(H) vashaws@aotmail.com"/>
    <hyperlink ref="D40:D41" r:id="rId17" display="(H) sharon4scouts@cox.net"/>
    <hyperlink ref="D34:D36" r:id="rId18" display="(W) Benjamin.Klinefelter@hq.doe.gov"/>
    <hyperlink ref="D27" r:id="rId19"/>
    <hyperlink ref="D15" r:id="rId20"/>
    <hyperlink ref="D22" r:id="rId21" display="http://mail.live.com/?rru=compose%3faction%3dcompose%26to%3dmikehaas1111%40gmail.com&amp;ru=http%3a%2f%2fcid-c323d55430f6a546.profile.live.com%2fdetails%2f%3fContactId%3d2f21a9d3-7399-4a6c-b219-94b10e0795db%26ru%3dhttp%253a%252f%252fco115w.col115.mail.live.com%252fmail%252fContactMainLight.aspx%253fContactFilter%253d7%2526n%253d213855460"/>
    <hyperlink ref="D8" r:id="rId22"/>
    <hyperlink ref="D47" r:id="rId23"/>
    <hyperlink ref="D20" r:id="rId24"/>
    <hyperlink ref="D32" r:id="rId25"/>
    <hyperlink ref="D16" r:id="rId26"/>
    <hyperlink ref="D17" r:id="rId27"/>
    <hyperlink ref="D18" r:id="rId28"/>
    <hyperlink ref="D33" r:id="rId29"/>
    <hyperlink ref="D44" r:id="rId30"/>
  </hyperlinks>
  <pageMargins left="0.7" right="0.7" top="0.75" bottom="0.75" header="0.3" footer="0.3"/>
  <pageSetup scale="61" orientation="portrait" horizontalDpi="4294967293" r:id="rId31"/>
  <colBreaks count="1" manualBreakCount="1">
    <brk id="6" max="1048575" man="1"/>
  </colBreaks>
  <drawing r:id="rId32"/>
  <legacyDrawing r:id="rId33"/>
  <oleObjects>
    <oleObject progId="Word.Picture.8" shapeId="1025" r:id="rId34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:E56"/>
  <sheetViews>
    <sheetView tabSelected="1" zoomScaleNormal="100" workbookViewId="0">
      <selection activeCell="N45" sqref="N45"/>
    </sheetView>
  </sheetViews>
  <sheetFormatPr defaultRowHeight="15"/>
  <cols>
    <col min="1" max="1" width="24.7109375" customWidth="1"/>
    <col min="2" max="2" width="21.28515625" customWidth="1"/>
    <col min="3" max="3" width="22.85546875" customWidth="1"/>
    <col min="4" max="4" width="41" customWidth="1"/>
    <col min="5" max="5" width="21.28515625" customWidth="1"/>
  </cols>
  <sheetData>
    <row r="1" spans="1:5" ht="36" customHeight="1">
      <c r="A1" s="180" t="s">
        <v>153</v>
      </c>
      <c r="B1" s="181"/>
      <c r="C1" s="182"/>
      <c r="D1" s="182"/>
      <c r="E1" s="183"/>
    </row>
    <row r="2" spans="1:5" ht="22.5" customHeight="1">
      <c r="A2" s="192" t="s">
        <v>0</v>
      </c>
      <c r="B2" s="158" t="s">
        <v>1</v>
      </c>
      <c r="C2" s="92" t="s">
        <v>2</v>
      </c>
      <c r="D2" s="188" t="s">
        <v>3</v>
      </c>
      <c r="E2" s="188" t="s">
        <v>127</v>
      </c>
    </row>
    <row r="3" spans="1:5" ht="19.5" customHeight="1">
      <c r="A3" s="193"/>
      <c r="B3" s="159"/>
      <c r="C3" s="93" t="s">
        <v>5</v>
      </c>
      <c r="D3" s="159"/>
      <c r="E3" s="159"/>
    </row>
    <row r="4" spans="1:5" ht="21.75" customHeight="1">
      <c r="A4" s="164" t="s">
        <v>6</v>
      </c>
      <c r="B4" s="184" t="s">
        <v>7</v>
      </c>
      <c r="C4" s="56" t="s">
        <v>8</v>
      </c>
      <c r="D4" s="61" t="s">
        <v>201</v>
      </c>
      <c r="E4" s="186" t="s">
        <v>155</v>
      </c>
    </row>
    <row r="5" spans="1:5" ht="19.5">
      <c r="A5" s="165"/>
      <c r="B5" s="185"/>
      <c r="C5" s="56" t="s">
        <v>10</v>
      </c>
      <c r="D5" s="61" t="s">
        <v>193</v>
      </c>
      <c r="E5" s="187"/>
    </row>
    <row r="6" spans="1:5" ht="43.5" customHeight="1">
      <c r="A6" s="82" t="s">
        <v>152</v>
      </c>
      <c r="B6" s="50" t="s">
        <v>90</v>
      </c>
      <c r="C6" s="57" t="s">
        <v>91</v>
      </c>
      <c r="D6" s="62" t="s">
        <v>92</v>
      </c>
      <c r="E6" s="50" t="s">
        <v>93</v>
      </c>
    </row>
    <row r="7" spans="1:5" ht="18.75" customHeight="1">
      <c r="A7" s="146" t="s">
        <v>23</v>
      </c>
      <c r="B7" s="150" t="s">
        <v>70</v>
      </c>
      <c r="C7" s="166" t="s">
        <v>71</v>
      </c>
      <c r="D7" s="70" t="s">
        <v>72</v>
      </c>
      <c r="E7" s="143" t="s">
        <v>73</v>
      </c>
    </row>
    <row r="8" spans="1:5" ht="19.5">
      <c r="A8" s="147"/>
      <c r="B8" s="151"/>
      <c r="C8" s="167"/>
      <c r="D8" s="70" t="s">
        <v>74</v>
      </c>
      <c r="E8" s="144"/>
    </row>
    <row r="9" spans="1:5" ht="19.5">
      <c r="A9" s="83" t="s">
        <v>23</v>
      </c>
      <c r="B9" s="51" t="s">
        <v>94</v>
      </c>
      <c r="C9" s="48" t="s">
        <v>95</v>
      </c>
      <c r="D9" s="70" t="s">
        <v>96</v>
      </c>
      <c r="E9" s="84" t="s">
        <v>97</v>
      </c>
    </row>
    <row r="10" spans="1:5" ht="19.5">
      <c r="A10" s="83" t="s">
        <v>23</v>
      </c>
      <c r="B10" s="51" t="s">
        <v>202</v>
      </c>
      <c r="C10" s="48"/>
      <c r="D10" s="70"/>
      <c r="E10" s="84" t="s">
        <v>224</v>
      </c>
    </row>
    <row r="11" spans="1:5" ht="19.5" customHeight="1">
      <c r="A11" s="83" t="s">
        <v>23</v>
      </c>
      <c r="B11" s="51" t="s">
        <v>114</v>
      </c>
      <c r="C11" s="58" t="s">
        <v>115</v>
      </c>
      <c r="D11" s="70" t="s">
        <v>116</v>
      </c>
      <c r="E11" s="53" t="s">
        <v>173</v>
      </c>
    </row>
    <row r="12" spans="1:5" ht="18.75" customHeight="1">
      <c r="A12" s="85" t="s">
        <v>12</v>
      </c>
      <c r="B12" s="50" t="s">
        <v>176</v>
      </c>
      <c r="C12" s="47" t="s">
        <v>205</v>
      </c>
      <c r="D12" s="55" t="s">
        <v>175</v>
      </c>
      <c r="E12" s="86" t="s">
        <v>174</v>
      </c>
    </row>
    <row r="13" spans="1:5" ht="15.75" customHeight="1">
      <c r="A13" s="146" t="s">
        <v>23</v>
      </c>
      <c r="B13" s="196" t="s">
        <v>13</v>
      </c>
      <c r="C13" s="79" t="s">
        <v>14</v>
      </c>
      <c r="D13" s="171" t="s">
        <v>194</v>
      </c>
      <c r="E13" s="196" t="s">
        <v>212</v>
      </c>
    </row>
    <row r="14" spans="1:5" ht="19.5">
      <c r="A14" s="147"/>
      <c r="B14" s="151"/>
      <c r="C14" s="48" t="s">
        <v>168</v>
      </c>
      <c r="D14" s="173"/>
      <c r="E14" s="197"/>
    </row>
    <row r="15" spans="1:5" ht="39">
      <c r="A15" s="83" t="s">
        <v>150</v>
      </c>
      <c r="B15" s="51" t="s">
        <v>61</v>
      </c>
      <c r="C15" s="48" t="s">
        <v>62</v>
      </c>
      <c r="D15" s="70" t="s">
        <v>182</v>
      </c>
      <c r="E15" s="53" t="s">
        <v>64</v>
      </c>
    </row>
    <row r="16" spans="1:5" ht="21" customHeight="1">
      <c r="A16" s="146" t="s">
        <v>150</v>
      </c>
      <c r="B16" s="148" t="s">
        <v>202</v>
      </c>
      <c r="C16" s="66"/>
      <c r="D16" s="194"/>
      <c r="E16" s="189" t="s">
        <v>28</v>
      </c>
    </row>
    <row r="17" spans="1:5" ht="21" customHeight="1">
      <c r="A17" s="147"/>
      <c r="B17" s="149"/>
      <c r="C17" s="66"/>
      <c r="D17" s="194"/>
      <c r="E17" s="190"/>
    </row>
    <row r="18" spans="1:5" ht="15.75" customHeight="1">
      <c r="A18" s="146" t="s">
        <v>23</v>
      </c>
      <c r="B18" s="148" t="s">
        <v>202</v>
      </c>
      <c r="C18" s="48"/>
      <c r="D18" s="171"/>
      <c r="E18" s="143" t="s">
        <v>223</v>
      </c>
    </row>
    <row r="19" spans="1:5" ht="21" customHeight="1">
      <c r="A19" s="191"/>
      <c r="B19" s="195"/>
      <c r="C19" s="48"/>
      <c r="D19" s="172"/>
      <c r="E19" s="145"/>
    </row>
    <row r="20" spans="1:5" ht="19.5" customHeight="1">
      <c r="A20" s="147"/>
      <c r="B20" s="149"/>
      <c r="C20" s="48"/>
      <c r="D20" s="173"/>
      <c r="E20" s="144"/>
    </row>
    <row r="21" spans="1:5" ht="15.75" customHeight="1">
      <c r="A21" s="146" t="s">
        <v>23</v>
      </c>
      <c r="B21" s="148" t="s">
        <v>144</v>
      </c>
      <c r="C21" s="48" t="s">
        <v>146</v>
      </c>
      <c r="D21" s="174" t="s">
        <v>147</v>
      </c>
      <c r="E21" s="143" t="s">
        <v>148</v>
      </c>
    </row>
    <row r="22" spans="1:5" ht="19.5">
      <c r="A22" s="147"/>
      <c r="B22" s="149"/>
      <c r="C22" s="48" t="s">
        <v>145</v>
      </c>
      <c r="D22" s="174"/>
      <c r="E22" s="144"/>
    </row>
    <row r="23" spans="1:5" ht="19.5">
      <c r="A23" s="146" t="s">
        <v>23</v>
      </c>
      <c r="B23" s="148" t="s">
        <v>181</v>
      </c>
      <c r="C23" s="48" t="s">
        <v>178</v>
      </c>
      <c r="D23" s="162" t="s">
        <v>180</v>
      </c>
      <c r="E23" s="154" t="s">
        <v>183</v>
      </c>
    </row>
    <row r="24" spans="1:5" ht="19.5">
      <c r="A24" s="147"/>
      <c r="B24" s="149"/>
      <c r="C24" s="48" t="s">
        <v>179</v>
      </c>
      <c r="D24" s="163"/>
      <c r="E24" s="155"/>
    </row>
    <row r="25" spans="1:5" ht="19.5">
      <c r="A25" s="177" t="s">
        <v>152</v>
      </c>
      <c r="B25" s="177" t="s">
        <v>118</v>
      </c>
      <c r="C25" s="63" t="s">
        <v>119</v>
      </c>
      <c r="D25" s="175" t="s">
        <v>120</v>
      </c>
      <c r="E25" s="64" t="s">
        <v>121</v>
      </c>
    </row>
    <row r="26" spans="1:5" ht="19.5">
      <c r="A26" s="178"/>
      <c r="B26" s="178"/>
      <c r="C26" s="47" t="s">
        <v>122</v>
      </c>
      <c r="D26" s="176"/>
      <c r="E26" s="65"/>
    </row>
    <row r="27" spans="1:5" ht="19.5">
      <c r="A27" s="73"/>
      <c r="B27" s="49" t="s">
        <v>202</v>
      </c>
      <c r="C27" s="51"/>
      <c r="D27" s="91"/>
      <c r="E27" s="77" t="s">
        <v>211</v>
      </c>
    </row>
    <row r="28" spans="1:5" ht="39.75" customHeight="1">
      <c r="A28" s="83" t="s">
        <v>23</v>
      </c>
      <c r="B28" s="75" t="s">
        <v>86</v>
      </c>
      <c r="C28" s="75" t="s">
        <v>87</v>
      </c>
      <c r="D28" s="87" t="s">
        <v>88</v>
      </c>
      <c r="E28" s="53" t="s">
        <v>221</v>
      </c>
    </row>
    <row r="29" spans="1:5" ht="24" customHeight="1">
      <c r="A29" s="83" t="s">
        <v>23</v>
      </c>
      <c r="B29" s="51" t="s">
        <v>56</v>
      </c>
      <c r="C29" s="48" t="s">
        <v>57</v>
      </c>
      <c r="D29" s="70" t="s">
        <v>58</v>
      </c>
      <c r="E29" s="51" t="s">
        <v>59</v>
      </c>
    </row>
    <row r="30" spans="1:5" ht="19.5">
      <c r="A30" s="146" t="s">
        <v>23</v>
      </c>
      <c r="B30" s="148" t="s">
        <v>80</v>
      </c>
      <c r="C30" s="49" t="s">
        <v>167</v>
      </c>
      <c r="D30" s="168" t="s">
        <v>192</v>
      </c>
      <c r="E30" s="143" t="s">
        <v>149</v>
      </c>
    </row>
    <row r="31" spans="1:5" ht="21.75" customHeight="1">
      <c r="A31" s="191"/>
      <c r="B31" s="195"/>
      <c r="C31" s="49" t="s">
        <v>84</v>
      </c>
      <c r="D31" s="169"/>
      <c r="E31" s="145"/>
    </row>
    <row r="32" spans="1:5" ht="19.5">
      <c r="A32" s="147"/>
      <c r="B32" s="149"/>
      <c r="C32" s="49" t="s">
        <v>85</v>
      </c>
      <c r="D32" s="170"/>
      <c r="E32" s="144"/>
    </row>
    <row r="33" spans="1:5" ht="19.5">
      <c r="A33" s="146" t="s">
        <v>23</v>
      </c>
      <c r="B33" s="148" t="s">
        <v>47</v>
      </c>
      <c r="C33" s="48" t="s">
        <v>48</v>
      </c>
      <c r="D33" s="70" t="s">
        <v>49</v>
      </c>
      <c r="E33" s="143" t="s">
        <v>151</v>
      </c>
    </row>
    <row r="34" spans="1:5" ht="20.25" customHeight="1">
      <c r="A34" s="147"/>
      <c r="B34" s="149"/>
      <c r="C34" s="48" t="s">
        <v>50</v>
      </c>
      <c r="D34" s="70" t="s">
        <v>197</v>
      </c>
      <c r="E34" s="144"/>
    </row>
    <row r="35" spans="1:5" ht="19.5">
      <c r="A35" s="146" t="s">
        <v>23</v>
      </c>
      <c r="B35" s="148" t="s">
        <v>202</v>
      </c>
      <c r="C35" s="48"/>
      <c r="D35" s="70"/>
      <c r="E35" s="154" t="s">
        <v>222</v>
      </c>
    </row>
    <row r="36" spans="1:5" ht="19.5">
      <c r="A36" s="147"/>
      <c r="B36" s="149"/>
      <c r="C36" s="48"/>
      <c r="D36" s="70"/>
      <c r="E36" s="155"/>
    </row>
    <row r="37" spans="1:5" ht="15.75" customHeight="1">
      <c r="A37" s="177" t="s">
        <v>103</v>
      </c>
      <c r="B37" s="152" t="s">
        <v>104</v>
      </c>
      <c r="C37" s="47" t="s">
        <v>105</v>
      </c>
      <c r="D37" s="156" t="s">
        <v>195</v>
      </c>
      <c r="E37" s="141" t="s">
        <v>206</v>
      </c>
    </row>
    <row r="38" spans="1:5" ht="18" customHeight="1">
      <c r="A38" s="178"/>
      <c r="B38" s="153"/>
      <c r="C38" s="47" t="s">
        <v>108</v>
      </c>
      <c r="D38" s="157"/>
      <c r="E38" s="142"/>
    </row>
    <row r="39" spans="1:5" ht="19.5" customHeight="1">
      <c r="A39" s="146" t="s">
        <v>23</v>
      </c>
      <c r="B39" s="150" t="s">
        <v>65</v>
      </c>
      <c r="C39" s="48" t="s">
        <v>66</v>
      </c>
      <c r="D39" s="162" t="s">
        <v>196</v>
      </c>
      <c r="E39" s="143" t="s">
        <v>68</v>
      </c>
    </row>
    <row r="40" spans="1:5" ht="16.5" customHeight="1">
      <c r="A40" s="147"/>
      <c r="B40" s="151"/>
      <c r="C40" s="48" t="s">
        <v>69</v>
      </c>
      <c r="D40" s="163"/>
      <c r="E40" s="144"/>
    </row>
    <row r="41" spans="1:5" ht="19.5" customHeight="1">
      <c r="A41" s="146" t="s">
        <v>23</v>
      </c>
      <c r="B41" s="150" t="s">
        <v>109</v>
      </c>
      <c r="C41" s="48" t="s">
        <v>110</v>
      </c>
      <c r="D41" s="70" t="s">
        <v>111</v>
      </c>
      <c r="E41" s="143" t="s">
        <v>169</v>
      </c>
    </row>
    <row r="42" spans="1:5" ht="19.5">
      <c r="A42" s="147"/>
      <c r="B42" s="151"/>
      <c r="C42" s="48" t="s">
        <v>112</v>
      </c>
      <c r="D42" s="70" t="s">
        <v>113</v>
      </c>
      <c r="E42" s="144"/>
    </row>
    <row r="43" spans="1:5" ht="19.5">
      <c r="A43" s="88" t="s">
        <v>23</v>
      </c>
      <c r="B43" s="51" t="s">
        <v>29</v>
      </c>
      <c r="C43" s="48" t="s">
        <v>30</v>
      </c>
      <c r="D43" s="70" t="s">
        <v>191</v>
      </c>
      <c r="E43" s="84" t="s">
        <v>170</v>
      </c>
    </row>
    <row r="44" spans="1:5" ht="39">
      <c r="A44" s="89" t="s">
        <v>18</v>
      </c>
      <c r="B44" s="50" t="s">
        <v>19</v>
      </c>
      <c r="C44" s="47" t="s">
        <v>154</v>
      </c>
      <c r="D44" s="54" t="s">
        <v>21</v>
      </c>
      <c r="E44" s="68" t="s">
        <v>216</v>
      </c>
    </row>
    <row r="45" spans="1:5" ht="19.5">
      <c r="A45" s="83" t="s">
        <v>37</v>
      </c>
      <c r="B45" s="51" t="s">
        <v>139</v>
      </c>
      <c r="C45" s="48" t="s">
        <v>161</v>
      </c>
      <c r="D45" s="70" t="s">
        <v>142</v>
      </c>
      <c r="E45" s="53" t="s">
        <v>140</v>
      </c>
    </row>
    <row r="46" spans="1:5" ht="19.5">
      <c r="A46" s="90" t="s">
        <v>37</v>
      </c>
      <c r="B46" s="74" t="s">
        <v>156</v>
      </c>
      <c r="C46" s="48" t="s">
        <v>159</v>
      </c>
      <c r="D46" s="70" t="s">
        <v>157</v>
      </c>
      <c r="E46" s="72" t="s">
        <v>177</v>
      </c>
    </row>
    <row r="47" spans="1:5" ht="19.5">
      <c r="A47" s="83" t="s">
        <v>37</v>
      </c>
      <c r="B47" s="51" t="s">
        <v>184</v>
      </c>
      <c r="C47" s="48" t="s">
        <v>186</v>
      </c>
      <c r="D47" s="70" t="s">
        <v>187</v>
      </c>
      <c r="E47" s="53" t="s">
        <v>203</v>
      </c>
    </row>
    <row r="48" spans="1:5" ht="19.5" customHeight="1">
      <c r="A48" s="146" t="s">
        <v>37</v>
      </c>
      <c r="B48" s="160" t="s">
        <v>185</v>
      </c>
      <c r="C48" s="60" t="s">
        <v>188</v>
      </c>
      <c r="D48" s="179" t="s">
        <v>190</v>
      </c>
      <c r="E48" s="154" t="s">
        <v>214</v>
      </c>
    </row>
    <row r="49" spans="1:5" ht="19.5" customHeight="1">
      <c r="A49" s="147"/>
      <c r="B49" s="161"/>
      <c r="C49" s="60" t="s">
        <v>189</v>
      </c>
      <c r="D49" s="179"/>
      <c r="E49" s="155"/>
    </row>
    <row r="50" spans="1:5" ht="19.5" customHeight="1">
      <c r="A50" s="146" t="s">
        <v>37</v>
      </c>
      <c r="B50" s="160" t="s">
        <v>208</v>
      </c>
      <c r="C50" s="69" t="s">
        <v>209</v>
      </c>
      <c r="D50" s="162" t="s">
        <v>207</v>
      </c>
      <c r="E50" s="154" t="s">
        <v>215</v>
      </c>
    </row>
    <row r="51" spans="1:5" ht="19.5" customHeight="1">
      <c r="A51" s="147"/>
      <c r="B51" s="161"/>
      <c r="C51" s="69" t="s">
        <v>210</v>
      </c>
      <c r="D51" s="163"/>
      <c r="E51" s="155"/>
    </row>
    <row r="52" spans="1:5" ht="19.5" customHeight="1">
      <c r="A52" s="88" t="s">
        <v>37</v>
      </c>
      <c r="B52" s="78" t="s">
        <v>218</v>
      </c>
      <c r="C52" s="69" t="s">
        <v>219</v>
      </c>
      <c r="D52" s="70" t="s">
        <v>220</v>
      </c>
      <c r="E52" s="77" t="s">
        <v>217</v>
      </c>
    </row>
    <row r="53" spans="1:5" ht="19.5">
      <c r="A53" s="81" t="s">
        <v>18</v>
      </c>
      <c r="B53" s="76" t="s">
        <v>164</v>
      </c>
      <c r="C53" s="59" t="s">
        <v>165</v>
      </c>
      <c r="D53" s="55" t="s">
        <v>166</v>
      </c>
      <c r="E53" s="71" t="s">
        <v>213</v>
      </c>
    </row>
    <row r="54" spans="1:5" ht="19.5">
      <c r="A54" s="88" t="s">
        <v>37</v>
      </c>
      <c r="B54" s="51" t="s">
        <v>38</v>
      </c>
      <c r="C54" s="48" t="s">
        <v>160</v>
      </c>
      <c r="D54" s="70" t="s">
        <v>40</v>
      </c>
      <c r="E54" s="52" t="s">
        <v>204</v>
      </c>
    </row>
    <row r="55" spans="1:5" ht="39" customHeight="1">
      <c r="A55" s="83" t="s">
        <v>37</v>
      </c>
      <c r="B55" s="51" t="s">
        <v>158</v>
      </c>
      <c r="C55" s="51" t="s">
        <v>163</v>
      </c>
      <c r="D55" s="80" t="s">
        <v>162</v>
      </c>
      <c r="E55" s="53" t="s">
        <v>172</v>
      </c>
    </row>
    <row r="56" spans="1:5" s="29" customFormat="1" ht="19.5">
      <c r="A56" s="88" t="s">
        <v>37</v>
      </c>
      <c r="B56" s="67" t="s">
        <v>198</v>
      </c>
      <c r="C56" s="67" t="s">
        <v>200</v>
      </c>
      <c r="D56" s="70" t="s">
        <v>199</v>
      </c>
      <c r="E56" s="52" t="s">
        <v>171</v>
      </c>
    </row>
  </sheetData>
  <mergeCells count="64">
    <mergeCell ref="A37:A38"/>
    <mergeCell ref="B18:B20"/>
    <mergeCell ref="B25:B26"/>
    <mergeCell ref="B30:B32"/>
    <mergeCell ref="A13:A14"/>
    <mergeCell ref="B13:B14"/>
    <mergeCell ref="A21:A22"/>
    <mergeCell ref="A18:A20"/>
    <mergeCell ref="A2:A3"/>
    <mergeCell ref="A23:A24"/>
    <mergeCell ref="E50:E51"/>
    <mergeCell ref="A35:A36"/>
    <mergeCell ref="A16:A17"/>
    <mergeCell ref="B16:B17"/>
    <mergeCell ref="D16:D17"/>
    <mergeCell ref="E48:E49"/>
    <mergeCell ref="A50:A51"/>
    <mergeCell ref="A1:E1"/>
    <mergeCell ref="B4:B5"/>
    <mergeCell ref="E4:E5"/>
    <mergeCell ref="D2:D3"/>
    <mergeCell ref="A7:A8"/>
    <mergeCell ref="E7:E8"/>
    <mergeCell ref="E2:E3"/>
    <mergeCell ref="E33:E34"/>
    <mergeCell ref="E16:E17"/>
    <mergeCell ref="E41:E42"/>
    <mergeCell ref="D25:D26"/>
    <mergeCell ref="A25:A26"/>
    <mergeCell ref="A41:A42"/>
    <mergeCell ref="B41:B42"/>
    <mergeCell ref="A48:A49"/>
    <mergeCell ref="B48:B49"/>
    <mergeCell ref="D48:D49"/>
    <mergeCell ref="A30:A32"/>
    <mergeCell ref="E39:E40"/>
    <mergeCell ref="B50:B51"/>
    <mergeCell ref="D50:D51"/>
    <mergeCell ref="A4:A5"/>
    <mergeCell ref="B7:B8"/>
    <mergeCell ref="C7:C8"/>
    <mergeCell ref="D30:D32"/>
    <mergeCell ref="D18:D20"/>
    <mergeCell ref="D23:D24"/>
    <mergeCell ref="D39:D40"/>
    <mergeCell ref="D21:D22"/>
    <mergeCell ref="B23:B24"/>
    <mergeCell ref="E18:E20"/>
    <mergeCell ref="E35:E36"/>
    <mergeCell ref="E23:E24"/>
    <mergeCell ref="D37:D38"/>
    <mergeCell ref="B2:B3"/>
    <mergeCell ref="D13:D14"/>
    <mergeCell ref="E13:E14"/>
    <mergeCell ref="E37:E38"/>
    <mergeCell ref="E21:E22"/>
    <mergeCell ref="E30:E32"/>
    <mergeCell ref="A33:A34"/>
    <mergeCell ref="B33:B34"/>
    <mergeCell ref="B39:B40"/>
    <mergeCell ref="B35:B36"/>
    <mergeCell ref="A39:A40"/>
    <mergeCell ref="B37:B38"/>
    <mergeCell ref="B21:B22"/>
  </mergeCells>
  <hyperlinks>
    <hyperlink ref="D21" r:id="rId1"/>
  </hyperlinks>
  <pageMargins left="0.7" right="0.7" top="0.75" bottom="0.75" header="0.3" footer="0.3"/>
  <pageSetup scale="43" orientation="portrait" horizontalDpi="4294967293"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Sheet2!Print_Area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Charles</cp:lastModifiedBy>
  <cp:lastPrinted>2012-08-04T13:56:26Z</cp:lastPrinted>
  <dcterms:created xsi:type="dcterms:W3CDTF">2011-06-13T03:06:22Z</dcterms:created>
  <dcterms:modified xsi:type="dcterms:W3CDTF">2012-10-08T20:34:31Z</dcterms:modified>
</cp:coreProperties>
</file>