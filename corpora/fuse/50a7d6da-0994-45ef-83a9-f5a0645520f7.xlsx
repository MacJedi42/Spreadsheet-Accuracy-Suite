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codeName="ThisWorkbook" defaultThemeVersion="124226"/>
  <bookViews>
    <workbookView xWindow="-15" yWindow="105" windowWidth="15405" windowHeight="3960" tabRatio="719"/>
  </bookViews>
  <sheets>
    <sheet name="Definitions" sheetId="10" r:id="rId1"/>
    <sheet name="Charter Lite" sheetId="9" r:id="rId2"/>
    <sheet name="Directory" sheetId="16" r:id="rId3"/>
    <sheet name="Communications" sheetId="11" r:id="rId4"/>
    <sheet name="Schedule" sheetId="12" r:id="rId5"/>
    <sheet name="Risks" sheetId="15" r:id="rId6"/>
    <sheet name="Action Items" sheetId="1" r:id="rId7"/>
    <sheet name="Issues" sheetId="8" r:id="rId8"/>
    <sheet name="Decisions" sheetId="3" r:id="rId9"/>
    <sheet name="Changes" sheetId="6" r:id="rId10"/>
    <sheet name="Parking Lot" sheetId="14" r:id="rId11"/>
    <sheet name="Quality (Optional)" sheetId="18" r:id="rId12"/>
    <sheet name="Report" sheetId="17" r:id="rId13"/>
  </sheets>
  <definedNames>
    <definedName name="_xlnm._FilterDatabase" localSheetId="6" hidden="1">'Action Items'!$A$4:$H$28</definedName>
    <definedName name="_xlnm._FilterDatabase" localSheetId="9" hidden="1">Changes!$A$5:$I$5</definedName>
    <definedName name="_xlnm._FilterDatabase" localSheetId="8" hidden="1">Decisions!$A$4:$E$4</definedName>
    <definedName name="_xlnm._FilterDatabase" localSheetId="7" hidden="1">Issues!$A$4:$H$4</definedName>
    <definedName name="_xlnm._FilterDatabase" localSheetId="10" hidden="1">'Parking Lot'!$A$6:$G$6</definedName>
    <definedName name="_xlnm._FilterDatabase" localSheetId="5" hidden="1">Risks!$A$4:$P$4</definedName>
    <definedName name="_xlnm.Print_Area" localSheetId="6">'Action Items'!$A$1:$H$28</definedName>
    <definedName name="_xlnm.Print_Area" localSheetId="9">Changes!$A$3:$I$31</definedName>
    <definedName name="_xlnm.Print_Area" localSheetId="7">Issues!$A$1:$H$28</definedName>
    <definedName name="_xlnm.Print_Area" localSheetId="5">Risks!$A$1:$P$19</definedName>
  </definedNames>
  <calcPr calcId="145621"/>
</workbook>
</file>

<file path=xl/calcChain.xml><?xml version="1.0" encoding="utf-8"?>
<calcChain xmlns="http://schemas.openxmlformats.org/spreadsheetml/2006/main">
  <c r="S19" i="15" l="1"/>
  <c r="R19" i="15"/>
  <c r="S18" i="15"/>
  <c r="R18" i="15"/>
  <c r="S17" i="15"/>
  <c r="R17" i="15"/>
  <c r="S16" i="15"/>
  <c r="R16" i="15"/>
  <c r="S15" i="15"/>
  <c r="R15" i="15"/>
  <c r="S14" i="15"/>
  <c r="R14" i="15"/>
  <c r="S13" i="15"/>
  <c r="R13" i="15"/>
  <c r="S12" i="15"/>
  <c r="R12" i="15"/>
  <c r="S11" i="15"/>
  <c r="R11" i="15"/>
  <c r="S10" i="15"/>
  <c r="R10" i="15"/>
  <c r="S9" i="15"/>
  <c r="R9" i="15"/>
  <c r="S8" i="15"/>
  <c r="R8" i="15"/>
  <c r="S7" i="15"/>
  <c r="R7" i="15"/>
  <c r="S6" i="15"/>
  <c r="R6" i="15"/>
  <c r="S5" i="15"/>
  <c r="R5" i="15"/>
  <c r="Z9" i="15" l="1"/>
  <c r="Z8" i="15"/>
  <c r="Z7" i="15"/>
  <c r="Y9" i="15"/>
  <c r="Y8" i="15"/>
  <c r="Y7" i="15"/>
  <c r="X9" i="15"/>
  <c r="X8" i="15"/>
  <c r="X7" i="15"/>
  <c r="J2" i="18" l="1"/>
  <c r="J1" i="18"/>
  <c r="C2" i="18"/>
  <c r="C1" i="18"/>
  <c r="M44" i="18"/>
  <c r="L44" i="18"/>
  <c r="K44" i="18"/>
  <c r="J44" i="18"/>
  <c r="I44" i="18"/>
  <c r="H44" i="18"/>
  <c r="G44" i="18"/>
  <c r="F44" i="18"/>
  <c r="E44" i="18"/>
  <c r="D44" i="18"/>
  <c r="C44" i="18"/>
  <c r="B44" i="18"/>
  <c r="M43" i="18"/>
  <c r="L43" i="18"/>
  <c r="K43" i="18"/>
  <c r="J43" i="18"/>
  <c r="I43" i="18"/>
  <c r="H43" i="18"/>
  <c r="G43" i="18"/>
  <c r="F43" i="18"/>
  <c r="E43" i="18"/>
  <c r="D43" i="18"/>
  <c r="C43" i="18"/>
  <c r="B43" i="18"/>
  <c r="M42" i="18"/>
  <c r="L42" i="18"/>
  <c r="K42" i="18"/>
  <c r="J42" i="18"/>
  <c r="I42" i="18"/>
  <c r="H42" i="18"/>
  <c r="G42" i="18"/>
  <c r="F42" i="18"/>
  <c r="E42" i="18"/>
  <c r="D42" i="18"/>
  <c r="C42" i="18"/>
  <c r="B42" i="18"/>
  <c r="M24" i="18"/>
  <c r="L24" i="18"/>
  <c r="K24" i="18"/>
  <c r="J24" i="18"/>
  <c r="I24" i="18"/>
  <c r="H24" i="18"/>
  <c r="G24" i="18"/>
  <c r="F24" i="18"/>
  <c r="E24" i="18"/>
  <c r="D24" i="18"/>
  <c r="C24" i="18"/>
  <c r="B24" i="18"/>
  <c r="M23" i="18"/>
  <c r="L23" i="18"/>
  <c r="K23" i="18"/>
  <c r="J23" i="18"/>
  <c r="I23" i="18"/>
  <c r="H23" i="18"/>
  <c r="G23" i="18"/>
  <c r="F23" i="18"/>
  <c r="E23" i="18"/>
  <c r="D23" i="18"/>
  <c r="C23" i="18"/>
  <c r="B23" i="18"/>
  <c r="M22" i="18"/>
  <c r="L22" i="18"/>
  <c r="K22" i="18"/>
  <c r="J22" i="18"/>
  <c r="I22" i="18"/>
  <c r="H22" i="18"/>
  <c r="G22" i="18"/>
  <c r="F22" i="18"/>
  <c r="E22" i="18"/>
  <c r="D22" i="18"/>
  <c r="C22" i="18"/>
  <c r="B22" i="18"/>
  <c r="F11" i="17" l="1"/>
  <c r="F10" i="17"/>
  <c r="F9" i="17"/>
  <c r="F8" i="17"/>
  <c r="F7" i="17"/>
  <c r="F6" i="17"/>
  <c r="F5" i="17"/>
  <c r="E11" i="17"/>
  <c r="E10" i="17"/>
  <c r="E9" i="17"/>
  <c r="E8" i="17"/>
  <c r="E7" i="17"/>
  <c r="E6" i="17"/>
  <c r="E5" i="17"/>
  <c r="B11" i="17"/>
  <c r="B10" i="17"/>
  <c r="B9" i="17"/>
  <c r="B8" i="17"/>
  <c r="B7" i="17"/>
  <c r="B6" i="17"/>
  <c r="B5" i="17"/>
  <c r="L2" i="15"/>
  <c r="L1" i="15"/>
  <c r="C1" i="12" l="1"/>
  <c r="G1" i="12"/>
  <c r="C2" i="12"/>
  <c r="G2" i="12"/>
  <c r="H2" i="17"/>
  <c r="A6" i="12"/>
  <c r="A7" i="12" s="1"/>
  <c r="A8" i="12" s="1"/>
  <c r="A9" i="12" s="1"/>
  <c r="A10" i="12" s="1"/>
  <c r="A11" i="12" s="1"/>
  <c r="I19" i="15" l="1"/>
  <c r="I18" i="15"/>
  <c r="I17" i="15"/>
  <c r="I16" i="15"/>
  <c r="I15" i="15"/>
  <c r="I14" i="15"/>
  <c r="I13" i="15"/>
  <c r="I12" i="15"/>
  <c r="I11" i="15"/>
  <c r="I10" i="15"/>
  <c r="I9" i="15"/>
  <c r="I8" i="15"/>
  <c r="I7" i="15"/>
  <c r="I6" i="15"/>
  <c r="I5" i="15" l="1"/>
  <c r="A6" i="17" l="1"/>
  <c r="C2" i="17"/>
  <c r="H1" i="17"/>
  <c r="C1" i="17"/>
  <c r="A7" i="17" l="1"/>
  <c r="D2" i="16"/>
  <c r="D1" i="16"/>
  <c r="B2" i="16"/>
  <c r="B1" i="16"/>
  <c r="A8" i="17" l="1"/>
  <c r="A9" i="17" s="1"/>
  <c r="A10" i="17" s="1"/>
  <c r="A11" i="17" s="1"/>
  <c r="A12" i="17" s="1"/>
  <c r="A13" i="17" s="1"/>
  <c r="A14" i="17" s="1"/>
  <c r="A15" i="17" s="1"/>
  <c r="A16" i="17" s="1"/>
  <c r="A17" i="17" s="1"/>
  <c r="A18" i="17" s="1"/>
  <c r="A19" i="17" s="1"/>
  <c r="A20" i="17" s="1"/>
  <c r="G2" i="1"/>
  <c r="G2" i="14"/>
  <c r="C2" i="14"/>
  <c r="G1" i="14"/>
  <c r="C1" i="14"/>
  <c r="G2" i="6"/>
  <c r="G1" i="6"/>
  <c r="C2" i="6"/>
  <c r="C1" i="6"/>
  <c r="E2" i="3"/>
  <c r="E1" i="3"/>
  <c r="C2" i="3"/>
  <c r="C1" i="3"/>
  <c r="G2" i="8"/>
  <c r="G1" i="8"/>
  <c r="C2" i="8"/>
  <c r="C1" i="8"/>
  <c r="G1" i="1"/>
  <c r="C2" i="1"/>
  <c r="C1" i="1"/>
  <c r="D2" i="15"/>
  <c r="D1" i="15"/>
  <c r="E2" i="11"/>
  <c r="E1" i="11"/>
  <c r="C2" i="11"/>
  <c r="C1" i="11"/>
</calcChain>
</file>

<file path=xl/sharedStrings.xml><?xml version="1.0" encoding="utf-8"?>
<sst xmlns="http://schemas.openxmlformats.org/spreadsheetml/2006/main" count="245" uniqueCount="146">
  <si>
    <t>ID</t>
  </si>
  <si>
    <t>Date Opened</t>
  </si>
  <si>
    <t>Date Closed</t>
  </si>
  <si>
    <t>Notes</t>
  </si>
  <si>
    <t>Status</t>
  </si>
  <si>
    <t>Description</t>
  </si>
  <si>
    <t>Assigned To</t>
  </si>
  <si>
    <t>Priority (L/M/H)</t>
  </si>
  <si>
    <t>Requested By</t>
  </si>
  <si>
    <t>Resolution/Comments</t>
  </si>
  <si>
    <t>Made by</t>
  </si>
  <si>
    <t>Due Date</t>
  </si>
  <si>
    <t>Decision Made</t>
  </si>
  <si>
    <t>The project workbook allows project managers, team members, sponsors, and stakeholders to easily track and monitor project activities. Any of these worksheets can easily be broken out into separate documents.</t>
  </si>
  <si>
    <t>Suggested Sheets for All Projects</t>
  </si>
  <si>
    <t>Risks</t>
  </si>
  <si>
    <t>The Risk Management Matrix sheet allows you to identify, qualify, quantify, and prioritize risks (events that might happen; the uncertainty of a project), create mitigation and contingency plans, and assign risks owners.</t>
  </si>
  <si>
    <t>Issues</t>
  </si>
  <si>
    <t>The Issues Log sheet allows you to identify and monitor project issues (unplanned events that have happened).</t>
  </si>
  <si>
    <t>The Action Items sheet allows you to track and monitor action items assigned to team members. Action items are tasks that must be done but are too insignificant from a time perspective to track in your project schedule.</t>
  </si>
  <si>
    <t>The Decision Log sheet allows you to track all major decisions made during the course of the project.</t>
  </si>
  <si>
    <t>The Communication Plan sheet allows you to detail your communication plan: how you are going to communicate, whom you will be communicating with, how often, in what format, etc.</t>
  </si>
  <si>
    <t>Communication Plan</t>
  </si>
  <si>
    <t>Project</t>
  </si>
  <si>
    <t>Project manager</t>
  </si>
  <si>
    <t>Sponsor</t>
  </si>
  <si>
    <t>Updated</t>
  </si>
  <si>
    <t>Background</t>
  </si>
  <si>
    <t>Business need and business benefits</t>
  </si>
  <si>
    <t>Objectives</t>
  </si>
  <si>
    <t>Scope</t>
  </si>
  <si>
    <t>In Scope</t>
  </si>
  <si>
    <t>Out of Scope</t>
  </si>
  <si>
    <t>Deliverables</t>
  </si>
  <si>
    <t>Assumptions &amp; Constraints</t>
  </si>
  <si>
    <t>Success criteria</t>
  </si>
  <si>
    <t>Signature</t>
  </si>
  <si>
    <t>Printed name</t>
  </si>
  <si>
    <t>Date</t>
  </si>
  <si>
    <t>Project Manager</t>
  </si>
  <si>
    <t>Key Considerations</t>
  </si>
  <si>
    <t>Date Updated</t>
  </si>
  <si>
    <t xml:space="preserve">
Project Manager</t>
  </si>
  <si>
    <t>Communication</t>
  </si>
  <si>
    <t>Frequency</t>
  </si>
  <si>
    <t>Format</t>
  </si>
  <si>
    <t>Owner</t>
  </si>
  <si>
    <t>Recipient/ Attendees</t>
  </si>
  <si>
    <t>Project Name</t>
  </si>
  <si>
    <t>Charter Lite</t>
  </si>
  <si>
    <t>Schedule</t>
  </si>
  <si>
    <t>Name</t>
  </si>
  <si>
    <t>The schedule sheet contains a list of activities to be worked in order to fulfill the need expressed in the charter.  Included in this sheet are  Planned Start, Planned Finish, Actual Start, Actual Finish dates and a Responsibility field to designate who is responsible for making sure the work is completed for that activity.</t>
  </si>
  <si>
    <t>Requestor</t>
  </si>
  <si>
    <t>Budget</t>
  </si>
  <si>
    <t>Action Items</t>
  </si>
  <si>
    <t>Decisions</t>
  </si>
  <si>
    <t>Changes</t>
  </si>
  <si>
    <t>The Changes Log sheet allows you to track the changes that have been approved for the project.</t>
  </si>
  <si>
    <t>Parking Lot</t>
  </si>
  <si>
    <t>The Parking Lot Log sheet allows you to track things to be discussed at a later date.</t>
  </si>
  <si>
    <t>The Project Charter Lite sheet can be used as a charter for small projects or a summarization of a full charter for larger projects.</t>
  </si>
  <si>
    <t>Risk Owner</t>
  </si>
  <si>
    <t>Phone</t>
  </si>
  <si>
    <t>Sponsor 
Signature</t>
  </si>
  <si>
    <t>Role</t>
  </si>
  <si>
    <t>Agency</t>
  </si>
  <si>
    <t>Email</t>
  </si>
  <si>
    <t>Directory</t>
  </si>
  <si>
    <t>The Directory is used to capture contact information about each person participating in the project.</t>
  </si>
  <si>
    <t>Probability</t>
  </si>
  <si>
    <t>Dates</t>
  </si>
  <si>
    <t>Current % Complete</t>
  </si>
  <si>
    <t>Previous % Complete</t>
  </si>
  <si>
    <t>Comments</t>
  </si>
  <si>
    <t>Impact</t>
  </si>
  <si>
    <t>Prob
Score</t>
  </si>
  <si>
    <t>Impact
Score</t>
  </si>
  <si>
    <t>Report</t>
  </si>
  <si>
    <t>Start</t>
  </si>
  <si>
    <t>Finish</t>
  </si>
  <si>
    <t>The Report sheet contains the information for Project Status information.</t>
  </si>
  <si>
    <t>Issues Plan</t>
  </si>
  <si>
    <t>The Issues Plan sheet allows you to define how issues will be captured and tracked for the life of the project.</t>
  </si>
  <si>
    <t>Change Plan</t>
  </si>
  <si>
    <t>The Chang Plan sheet allows you to define the process for changes to be captured, reviewed, impact determined and approved/disapproved.</t>
  </si>
  <si>
    <t>What type of communication is this?</t>
  </si>
  <si>
    <t>What is the description of the contents/purpose of this communication?</t>
  </si>
  <si>
    <t>How often?</t>
  </si>
  <si>
    <t>Email, Report</t>
  </si>
  <si>
    <t>Who sends?</t>
  </si>
  <si>
    <t>Who gets?</t>
  </si>
  <si>
    <t>Risk Response</t>
  </si>
  <si>
    <t>Risk 
Score</t>
  </si>
  <si>
    <t>Category</t>
  </si>
  <si>
    <t>List….</t>
  </si>
  <si>
    <t>Cost</t>
  </si>
  <si>
    <t>Quality</t>
  </si>
  <si>
    <t>Technical</t>
  </si>
  <si>
    <t>Requirements</t>
  </si>
  <si>
    <t>Res. Avail</t>
  </si>
  <si>
    <t>Staffing</t>
  </si>
  <si>
    <t>Vendor</t>
  </si>
  <si>
    <t>Regulatory</t>
  </si>
  <si>
    <t>Political</t>
  </si>
  <si>
    <t>End User</t>
  </si>
  <si>
    <t>Architecture</t>
  </si>
  <si>
    <t>Enterprise</t>
  </si>
  <si>
    <t>Business</t>
  </si>
  <si>
    <t>Change Mgt</t>
  </si>
  <si>
    <t>Planned Start</t>
  </si>
  <si>
    <t>Planned Finish</t>
  </si>
  <si>
    <t>Actual Start</t>
  </si>
  <si>
    <t>Actual Finish</t>
  </si>
  <si>
    <t>Detailed Risk Response</t>
  </si>
  <si>
    <t>Risk
Owner</t>
  </si>
  <si>
    <t>Close
Date</t>
  </si>
  <si>
    <t>Date Made</t>
  </si>
  <si>
    <t>Software Defects</t>
  </si>
  <si>
    <t>Months</t>
  </si>
  <si>
    <t>System Test</t>
  </si>
  <si>
    <t>Severity High</t>
  </si>
  <si>
    <t>High - Open</t>
  </si>
  <si>
    <t>High - Closed</t>
  </si>
  <si>
    <t>High - Total</t>
  </si>
  <si>
    <t>Severity Medium</t>
  </si>
  <si>
    <t>Medium - Open</t>
  </si>
  <si>
    <t>Medium - Closed</t>
  </si>
  <si>
    <t>Medium - Total</t>
  </si>
  <si>
    <t>Severity Low</t>
  </si>
  <si>
    <t>Low - Open</t>
  </si>
  <si>
    <t>Low - Closed</t>
  </si>
  <si>
    <t>Low - Total</t>
  </si>
  <si>
    <t>Total Open</t>
  </si>
  <si>
    <t>Total Closed</t>
  </si>
  <si>
    <t>Total Defects</t>
  </si>
  <si>
    <t>Acceptance Test</t>
  </si>
  <si>
    <t>Date
Reported</t>
  </si>
  <si>
    <t>Timing</t>
  </si>
  <si>
    <t>Risk Trigger(s)</t>
  </si>
  <si>
    <t>High</t>
  </si>
  <si>
    <t>Medium</t>
  </si>
  <si>
    <t>Low</t>
  </si>
  <si>
    <t>Date
Opened</t>
  </si>
  <si>
    <t>Cust. Satisfaction</t>
  </si>
  <si>
    <t>Project Log - TIMO (Level 3 Project)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</si>
</sst>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0_);[Red]\(&quot;$&quot;#,##0\)"/>
    <numFmt numFmtId="164" formatCode="m/d/yy;@"/>
    <numFmt numFmtId="165" formatCode="[$-409]mmmm\ d\,\ yyyy;@"/>
  </numFmts>
  <fonts count="23" x14ac:knownFonts="1">
    <font>
      <sz val="11"/>
      <color theme="1"/>
      <name val="Calibri"/>
      <family val="2"/>
      <scheme val="minor"/>
    </font>
    <font>
      <sz val="10"/>
      <color theme="1"/>
      <name val="Verdana"/>
      <family val="2"/>
    </font>
    <font>
      <b/>
      <sz val="10"/>
      <color theme="1"/>
      <name val="Verdana"/>
      <family val="2"/>
    </font>
    <font>
      <b/>
      <sz val="10"/>
      <name val="Verdana"/>
      <family val="2"/>
    </font>
    <font>
      <sz val="10"/>
      <name val="Verdana"/>
      <family val="2"/>
    </font>
    <font>
      <b/>
      <sz val="9"/>
      <name val="Verdana"/>
      <family val="2"/>
    </font>
    <font>
      <sz val="11"/>
      <color theme="1"/>
      <name val="Verdana"/>
      <family val="2"/>
    </font>
    <font>
      <sz val="10"/>
      <color theme="1"/>
      <name val="Calibri"/>
      <family val="2"/>
      <scheme val="minor"/>
    </font>
    <font>
      <sz val="14"/>
      <color theme="1"/>
      <name val="Calibri"/>
      <family val="2"/>
      <scheme val="minor"/>
    </font>
    <font>
      <b/>
      <sz val="14"/>
      <name val="Verdana"/>
      <family val="2"/>
    </font>
    <font>
      <b/>
      <sz val="11"/>
      <color theme="1"/>
      <name val="Calibri"/>
      <family val="2"/>
      <scheme val="minor"/>
    </font>
    <font>
      <b/>
      <sz val="11"/>
      <name val="Calibri"/>
      <family val="2"/>
      <scheme val="minor"/>
    </font>
    <font>
      <sz val="8"/>
      <name val="Arial"/>
      <family val="2"/>
    </font>
    <font>
      <sz val="8"/>
      <color theme="1"/>
      <name val="Arial"/>
      <family val="2"/>
    </font>
    <font>
      <sz val="9"/>
      <name val="Verdana"/>
      <family val="2"/>
    </font>
    <font>
      <b/>
      <sz val="11"/>
      <color rgb="FF000000"/>
      <name val="Verdana"/>
      <family val="2"/>
    </font>
    <font>
      <u/>
      <sz val="11"/>
      <color theme="10"/>
      <name val="Calibri"/>
      <family val="2"/>
      <scheme val="minor"/>
    </font>
    <font>
      <sz val="11"/>
      <color theme="1"/>
      <name val="Calibri"/>
      <family val="2"/>
      <scheme val="minor"/>
    </font>
    <font>
      <b/>
      <sz val="11"/>
      <color rgb="FFFF0000"/>
      <name val="Verdana"/>
      <family val="2"/>
    </font>
    <font>
      <sz val="11"/>
      <name val="Verdana"/>
      <family val="2"/>
    </font>
    <font>
      <b/>
      <sz val="11"/>
      <name val="Verdana"/>
      <family val="2"/>
    </font>
    <font>
      <b/>
      <sz val="10"/>
      <color theme="1"/>
      <name val="Calibri"/>
      <family val="2"/>
      <scheme val="minor"/>
    </font>
    <font>
      <b/>
      <sz val="12"/>
      <color theme="1"/>
      <name val="Calibri"/>
      <family val="2"/>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E0E0E0"/>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0" tint="-0.14996795556505021"/>
        <bgColor indexed="64"/>
      </patternFill>
    </fill>
    <fill>
      <patternFill patternType="solid">
        <fgColor rgb="FFFF0000"/>
        <bgColor indexed="64"/>
      </patternFill>
    </fill>
    <fill>
      <patternFill patternType="solid">
        <fgColor rgb="FFFFFF00"/>
        <bgColor indexed="64"/>
      </patternFill>
    </fill>
    <fill>
      <patternFill patternType="solid">
        <fgColor rgb="FF00B050"/>
        <bgColor indexed="64"/>
      </patternFill>
    </fill>
  </fills>
  <borders count="72">
    <border>
      <left/>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indexed="64"/>
      </right>
      <top/>
      <bottom/>
      <diagonal/>
    </border>
    <border>
      <left style="thin">
        <color auto="1"/>
      </left>
      <right style="medium">
        <color indexed="64"/>
      </right>
      <top style="thin">
        <color auto="1"/>
      </top>
      <bottom style="thin">
        <color auto="1"/>
      </bottom>
      <diagonal/>
    </border>
    <border>
      <left style="medium">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auto="1"/>
      </right>
      <top style="medium">
        <color indexed="64"/>
      </top>
      <bottom style="thin">
        <color auto="1"/>
      </bottom>
      <diagonal/>
    </border>
    <border>
      <left style="medium">
        <color indexed="64"/>
      </left>
      <right style="thin">
        <color auto="1"/>
      </right>
      <top style="thin">
        <color auto="1"/>
      </top>
      <bottom style="medium">
        <color indexed="64"/>
      </bottom>
      <diagonal/>
    </border>
    <border>
      <left style="medium">
        <color indexed="64"/>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style="thin">
        <color indexed="64"/>
      </bottom>
      <diagonal/>
    </border>
    <border>
      <left style="thin">
        <color indexed="64"/>
      </left>
      <right/>
      <top style="medium">
        <color indexed="64"/>
      </top>
      <bottom style="thin">
        <color theme="0" tint="-0.499984740745262"/>
      </bottom>
      <diagonal/>
    </border>
    <border>
      <left/>
      <right style="thin">
        <color indexed="64"/>
      </right>
      <top style="medium">
        <color indexed="64"/>
      </top>
      <bottom style="thin">
        <color theme="0" tint="-0.499984740745262"/>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theme="0" tint="-0.499984740745262"/>
      </top>
      <bottom style="medium">
        <color indexed="64"/>
      </bottom>
      <diagonal/>
    </border>
    <border>
      <left/>
      <right style="thin">
        <color indexed="64"/>
      </right>
      <top style="thin">
        <color theme="0" tint="-0.499984740745262"/>
      </top>
      <bottom style="medium">
        <color indexed="64"/>
      </bottom>
      <diagonal/>
    </border>
    <border>
      <left/>
      <right style="medium">
        <color indexed="64"/>
      </right>
      <top style="medium">
        <color indexed="64"/>
      </top>
      <bottom style="thin">
        <color theme="0" tint="-0.499984740745262"/>
      </bottom>
      <diagonal/>
    </border>
    <border>
      <left/>
      <right style="medium">
        <color indexed="64"/>
      </right>
      <top style="thin">
        <color theme="0" tint="-0.499984740745262"/>
      </top>
      <bottom style="medium">
        <color indexed="64"/>
      </bottom>
      <diagonal/>
    </border>
    <border>
      <left style="thin">
        <color theme="0" tint="-0.499984740745262"/>
      </left>
      <right style="medium">
        <color indexed="64"/>
      </right>
      <top style="medium">
        <color indexed="64"/>
      </top>
      <bottom style="thin">
        <color theme="0" tint="-0.499984740745262"/>
      </bottom>
      <diagonal/>
    </border>
    <border>
      <left style="thin">
        <color theme="0" tint="-0.499984740745262"/>
      </left>
      <right style="medium">
        <color indexed="64"/>
      </right>
      <top style="thin">
        <color theme="0" tint="-0.499984740745262"/>
      </top>
      <bottom style="medium">
        <color indexed="64"/>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right/>
      <top/>
      <bottom style="medium">
        <color indexed="64"/>
      </bottom>
      <diagonal/>
    </border>
    <border>
      <left/>
      <right style="thin">
        <color auto="1"/>
      </right>
      <top style="thin">
        <color auto="1"/>
      </top>
      <bottom style="thin">
        <color auto="1"/>
      </bottom>
      <diagonal/>
    </border>
    <border>
      <left style="thin">
        <color auto="1"/>
      </left>
      <right style="medium">
        <color indexed="64"/>
      </right>
      <top style="medium">
        <color indexed="64"/>
      </top>
      <bottom/>
      <diagonal/>
    </border>
    <border>
      <left style="thin">
        <color auto="1"/>
      </left>
      <right style="medium">
        <color indexed="64"/>
      </right>
      <top/>
      <bottom style="medium">
        <color indexed="64"/>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auto="1"/>
      </top>
      <bottom/>
      <diagonal/>
    </border>
    <border>
      <left/>
      <right style="thin">
        <color auto="1"/>
      </right>
      <top style="thin">
        <color auto="1"/>
      </top>
      <bottom/>
      <diagonal/>
    </border>
    <border>
      <left/>
      <right/>
      <top style="thin">
        <color auto="1"/>
      </top>
      <bottom/>
      <diagonal/>
    </border>
  </borders>
  <cellStyleXfs count="3">
    <xf numFmtId="0" fontId="0" fillId="0" borderId="0"/>
    <xf numFmtId="0" fontId="16" fillId="0" borderId="0" applyNumberFormat="0" applyFill="0" applyBorder="0" applyAlignment="0" applyProtection="0"/>
    <xf numFmtId="9" fontId="17" fillId="0" borderId="0" applyFont="0" applyFill="0" applyBorder="0" applyAlignment="0" applyProtection="0"/>
  </cellStyleXfs>
  <cellXfs count="334">
    <xf numFmtId="0" fontId="0" fillId="0" borderId="0" xfId="0"/>
    <xf numFmtId="0" fontId="0" fillId="0" borderId="0" xfId="0" applyAlignment="1">
      <alignment horizontal="center"/>
    </xf>
    <xf numFmtId="0" fontId="1" fillId="0" borderId="0" xfId="0" applyFont="1" applyAlignment="1">
      <alignment horizontal="center"/>
    </xf>
    <xf numFmtId="0" fontId="1" fillId="0" borderId="0" xfId="0" applyFont="1"/>
    <xf numFmtId="0" fontId="3" fillId="2" borderId="1" xfId="0" applyFont="1" applyFill="1" applyBorder="1" applyAlignment="1">
      <alignment horizontal="center"/>
    </xf>
    <xf numFmtId="0" fontId="3" fillId="2" borderId="1" xfId="0" applyFont="1" applyFill="1" applyBorder="1" applyAlignment="1">
      <alignment horizontal="center" wrapText="1"/>
    </xf>
    <xf numFmtId="0" fontId="1" fillId="0" borderId="1" xfId="0" applyFont="1" applyBorder="1" applyAlignment="1">
      <alignment horizontal="center"/>
    </xf>
    <xf numFmtId="0" fontId="1" fillId="0" borderId="1" xfId="0" applyFont="1" applyBorder="1" applyAlignment="1">
      <alignment wrapText="1"/>
    </xf>
    <xf numFmtId="0" fontId="2" fillId="2" borderId="1" xfId="0" applyFont="1" applyFill="1" applyBorder="1" applyAlignment="1">
      <alignment horizontal="center" wrapText="1"/>
    </xf>
    <xf numFmtId="0" fontId="1" fillId="0" borderId="0" xfId="0" applyFont="1" applyBorder="1" applyAlignment="1">
      <alignment wrapText="1"/>
    </xf>
    <xf numFmtId="0" fontId="4" fillId="0" borderId="2" xfId="0" applyFont="1" applyBorder="1" applyAlignment="1">
      <alignment wrapText="1"/>
    </xf>
    <xf numFmtId="0" fontId="3" fillId="2" borderId="2" xfId="0" applyFont="1" applyFill="1" applyBorder="1" applyAlignment="1">
      <alignment horizontal="center" wrapText="1"/>
    </xf>
    <xf numFmtId="0" fontId="4" fillId="0" borderId="2" xfId="0" applyFont="1" applyBorder="1" applyAlignment="1">
      <alignment horizontal="center"/>
    </xf>
    <xf numFmtId="0" fontId="8" fillId="0" borderId="0" xfId="0" applyFont="1"/>
    <xf numFmtId="0" fontId="10" fillId="2" borderId="2" xfId="0" applyFont="1" applyFill="1" applyBorder="1" applyAlignment="1">
      <alignment horizontal="center"/>
    </xf>
    <xf numFmtId="164" fontId="0" fillId="0" borderId="0" xfId="0" applyNumberFormat="1"/>
    <xf numFmtId="0" fontId="0" fillId="0" borderId="2" xfId="0" applyBorder="1"/>
    <xf numFmtId="0" fontId="1" fillId="0" borderId="1" xfId="0" applyFont="1" applyBorder="1" applyAlignment="1">
      <alignment horizontal="center" vertical="top"/>
    </xf>
    <xf numFmtId="0" fontId="1" fillId="0" borderId="1" xfId="0" applyFont="1" applyBorder="1" applyAlignment="1">
      <alignment vertical="top" wrapText="1"/>
    </xf>
    <xf numFmtId="164" fontId="12" fillId="0" borderId="2" xfId="0" applyNumberFormat="1" applyFont="1" applyBorder="1" applyAlignment="1">
      <alignment horizontal="center" vertical="center"/>
    </xf>
    <xf numFmtId="1" fontId="12" fillId="0" borderId="2" xfId="0" applyNumberFormat="1" applyFont="1" applyBorder="1" applyAlignment="1">
      <alignment vertical="center" wrapText="1"/>
    </xf>
    <xf numFmtId="0" fontId="0" fillId="0" borderId="0" xfId="0" applyBorder="1" applyAlignment="1"/>
    <xf numFmtId="0" fontId="1" fillId="0" borderId="0" xfId="0" applyFont="1" applyAlignment="1">
      <alignment horizontal="center" vertical="center"/>
    </xf>
    <xf numFmtId="0" fontId="3" fillId="2" borderId="1" xfId="0" applyFont="1" applyFill="1"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0" fillId="0" borderId="0" xfId="0" applyAlignment="1">
      <alignment horizontal="center" vertical="center"/>
    </xf>
    <xf numFmtId="0" fontId="5" fillId="2" borderId="9" xfId="0" applyFont="1" applyFill="1" applyBorder="1"/>
    <xf numFmtId="0" fontId="5" fillId="2" borderId="23" xfId="0" applyFont="1" applyFill="1" applyBorder="1" applyAlignment="1">
      <alignment vertical="top"/>
    </xf>
    <xf numFmtId="0" fontId="5" fillId="2" borderId="23" xfId="0" applyFont="1" applyFill="1" applyBorder="1" applyAlignment="1">
      <alignment vertical="top" wrapText="1"/>
    </xf>
    <xf numFmtId="0" fontId="5" fillId="2" borderId="23" xfId="0" applyFont="1" applyFill="1" applyBorder="1"/>
    <xf numFmtId="0" fontId="0" fillId="0" borderId="2" xfId="0" applyBorder="1" applyAlignment="1">
      <alignment horizontal="left" indent="1"/>
    </xf>
    <xf numFmtId="0" fontId="4" fillId="0" borderId="1" xfId="0" applyFont="1" applyBorder="1" applyAlignment="1">
      <alignment horizontal="center" vertical="center"/>
    </xf>
    <xf numFmtId="1" fontId="12" fillId="0" borderId="2" xfId="0" applyNumberFormat="1" applyFont="1" applyBorder="1" applyAlignment="1">
      <alignment vertical="center"/>
    </xf>
    <xf numFmtId="164" fontId="13" fillId="0" borderId="2" xfId="0" applyNumberFormat="1" applyFont="1" applyBorder="1" applyAlignment="1">
      <alignment horizontal="center"/>
    </xf>
    <xf numFmtId="0" fontId="13" fillId="0" borderId="2" xfId="0" applyFont="1" applyBorder="1" applyAlignment="1">
      <alignment wrapText="1"/>
    </xf>
    <xf numFmtId="0" fontId="6" fillId="0" borderId="0" xfId="0" applyFont="1" applyAlignment="1">
      <alignment vertical="center"/>
    </xf>
    <xf numFmtId="0" fontId="5" fillId="2" borderId="17" xfId="0" applyFont="1" applyFill="1" applyBorder="1" applyAlignment="1"/>
    <xf numFmtId="0" fontId="0" fillId="0" borderId="2" xfId="0" applyBorder="1" applyAlignment="1">
      <alignment vertical="top" wrapText="1"/>
    </xf>
    <xf numFmtId="0" fontId="0" fillId="0" borderId="2" xfId="0" applyBorder="1" applyAlignment="1">
      <alignment wrapText="1"/>
    </xf>
    <xf numFmtId="0" fontId="5" fillId="2" borderId="34" xfId="0" applyFont="1" applyFill="1" applyBorder="1" applyAlignment="1"/>
    <xf numFmtId="0" fontId="5" fillId="2" borderId="9" xfId="0" applyFont="1" applyFill="1" applyBorder="1" applyAlignment="1"/>
    <xf numFmtId="0" fontId="5" fillId="2" borderId="35" xfId="0" applyFont="1" applyFill="1" applyBorder="1" applyAlignment="1"/>
    <xf numFmtId="165" fontId="5" fillId="2" borderId="21" xfId="0" applyNumberFormat="1" applyFont="1" applyFill="1" applyBorder="1" applyAlignment="1"/>
    <xf numFmtId="0" fontId="15" fillId="4" borderId="34"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10" xfId="0" applyFont="1" applyFill="1" applyBorder="1" applyAlignment="1">
      <alignment horizontal="center" vertical="center" wrapText="1"/>
    </xf>
    <xf numFmtId="0" fontId="0" fillId="0" borderId="36" xfId="0" applyBorder="1" applyAlignment="1">
      <alignment vertical="top" wrapText="1"/>
    </xf>
    <xf numFmtId="0" fontId="16" fillId="0" borderId="12" xfId="1" applyBorder="1" applyAlignment="1">
      <alignment vertical="top" wrapText="1"/>
    </xf>
    <xf numFmtId="0" fontId="0" fillId="0" borderId="12" xfId="0" applyBorder="1" applyAlignment="1">
      <alignment vertical="top" wrapText="1"/>
    </xf>
    <xf numFmtId="0" fontId="0" fillId="0" borderId="35" xfId="0" applyBorder="1" applyAlignment="1">
      <alignment vertical="top" wrapText="1"/>
    </xf>
    <xf numFmtId="0" fontId="0" fillId="0" borderId="21" xfId="0" applyBorder="1" applyAlignment="1">
      <alignment wrapText="1"/>
    </xf>
    <xf numFmtId="0" fontId="0" fillId="0" borderId="21" xfId="0" applyBorder="1" applyAlignment="1">
      <alignment vertical="top" wrapText="1"/>
    </xf>
    <xf numFmtId="0" fontId="0" fillId="0" borderId="22" xfId="0" applyBorder="1" applyAlignment="1">
      <alignment vertical="top" wrapText="1"/>
    </xf>
    <xf numFmtId="0" fontId="5" fillId="2" borderId="34" xfId="0" applyFont="1" applyFill="1" applyBorder="1"/>
    <xf numFmtId="0" fontId="4" fillId="0" borderId="9" xfId="0" applyFont="1" applyFill="1" applyBorder="1"/>
    <xf numFmtId="0" fontId="4" fillId="0" borderId="10" xfId="0" applyFont="1" applyFill="1" applyBorder="1"/>
    <xf numFmtId="0" fontId="5" fillId="2" borderId="35" xfId="0" applyFont="1" applyFill="1" applyBorder="1"/>
    <xf numFmtId="0" fontId="4" fillId="0" borderId="21" xfId="0" applyFont="1" applyFill="1" applyBorder="1"/>
    <xf numFmtId="0" fontId="5" fillId="2" borderId="21" xfId="0" applyFont="1" applyFill="1" applyBorder="1"/>
    <xf numFmtId="165" fontId="4" fillId="0" borderId="22" xfId="0" applyNumberFormat="1" applyFont="1" applyFill="1" applyBorder="1" applyAlignment="1">
      <alignment horizontal="left"/>
    </xf>
    <xf numFmtId="0" fontId="1" fillId="0" borderId="37" xfId="0" applyFont="1" applyBorder="1"/>
    <xf numFmtId="0" fontId="4" fillId="0" borderId="9" xfId="0" applyFont="1" applyBorder="1" applyAlignment="1">
      <alignment horizontal="left" wrapText="1"/>
    </xf>
    <xf numFmtId="0" fontId="3" fillId="2" borderId="9" xfId="0" applyFont="1" applyFill="1" applyBorder="1"/>
    <xf numFmtId="0" fontId="4" fillId="0" borderId="21" xfId="0" applyFont="1" applyBorder="1" applyAlignment="1">
      <alignment horizontal="left" wrapText="1"/>
    </xf>
    <xf numFmtId="0" fontId="3" fillId="2" borderId="21" xfId="0" applyFont="1" applyFill="1" applyBorder="1"/>
    <xf numFmtId="0" fontId="1" fillId="0" borderId="10" xfId="0" applyFont="1" applyBorder="1" applyAlignment="1">
      <alignment horizontal="left" wrapText="1"/>
    </xf>
    <xf numFmtId="165" fontId="1" fillId="0" borderId="22" xfId="0" applyNumberFormat="1" applyFont="1" applyBorder="1" applyAlignment="1">
      <alignment horizontal="left" wrapText="1"/>
    </xf>
    <xf numFmtId="0" fontId="1" fillId="0" borderId="47" xfId="0" applyFont="1" applyBorder="1" applyAlignment="1">
      <alignment horizontal="left" wrapText="1"/>
    </xf>
    <xf numFmtId="0" fontId="5" fillId="2" borderId="14" xfId="0" applyFont="1" applyFill="1" applyBorder="1" applyAlignment="1"/>
    <xf numFmtId="165" fontId="1" fillId="0" borderId="48" xfId="0" applyNumberFormat="1" applyFont="1" applyBorder="1" applyAlignment="1">
      <alignment horizontal="left" wrapText="1"/>
    </xf>
    <xf numFmtId="0" fontId="1" fillId="0" borderId="9" xfId="0" applyFont="1" applyBorder="1" applyAlignment="1">
      <alignment horizontal="left" wrapText="1"/>
    </xf>
    <xf numFmtId="0" fontId="1" fillId="0" borderId="21" xfId="0" applyFont="1" applyBorder="1" applyAlignment="1">
      <alignment horizontal="left" wrapText="1"/>
    </xf>
    <xf numFmtId="0" fontId="0" fillId="0" borderId="10" xfId="0" applyBorder="1" applyAlignment="1"/>
    <xf numFmtId="165" fontId="0" fillId="0" borderId="22" xfId="0" applyNumberFormat="1" applyBorder="1" applyAlignment="1">
      <alignment horizontal="left"/>
    </xf>
    <xf numFmtId="1" fontId="12" fillId="0" borderId="2" xfId="0" applyNumberFormat="1" applyFont="1" applyBorder="1" applyAlignment="1">
      <alignment horizontal="center" vertical="center" wrapText="1"/>
    </xf>
    <xf numFmtId="9" fontId="12" fillId="0" borderId="2" xfId="2" applyFont="1" applyBorder="1" applyAlignment="1">
      <alignment horizontal="center" vertical="center" wrapText="1"/>
    </xf>
    <xf numFmtId="14" fontId="1" fillId="0" borderId="1" xfId="0" applyNumberFormat="1" applyFont="1" applyBorder="1" applyAlignment="1">
      <alignment vertical="center"/>
    </xf>
    <xf numFmtId="0" fontId="1" fillId="0" borderId="1" xfId="0" applyFont="1" applyBorder="1" applyAlignment="1">
      <alignment vertical="center"/>
    </xf>
    <xf numFmtId="0" fontId="0" fillId="0" borderId="0" xfId="0" applyAlignment="1">
      <alignment horizontal="left" indent="1"/>
    </xf>
    <xf numFmtId="164" fontId="0" fillId="0" borderId="0" xfId="0" applyNumberFormat="1" applyAlignment="1">
      <alignment horizontal="left" indent="1"/>
    </xf>
    <xf numFmtId="0" fontId="0" fillId="0" borderId="54" xfId="0" applyBorder="1"/>
    <xf numFmtId="0" fontId="5" fillId="2" borderId="57" xfId="0" applyFont="1" applyFill="1" applyBorder="1" applyAlignment="1">
      <alignment vertical="center" wrapText="1"/>
    </xf>
    <xf numFmtId="0" fontId="6" fillId="0" borderId="36" xfId="0" applyFont="1" applyBorder="1" applyAlignment="1">
      <alignment horizontal="left" vertical="center" wrapText="1"/>
    </xf>
    <xf numFmtId="0" fontId="5" fillId="2" borderId="34" xfId="0" applyFont="1" applyFill="1" applyBorder="1" applyAlignment="1">
      <alignment horizontal="center"/>
    </xf>
    <xf numFmtId="0" fontId="18" fillId="0" borderId="58" xfId="0" applyFont="1" applyBorder="1" applyAlignment="1">
      <alignment horizontal="left" vertical="center" wrapText="1"/>
    </xf>
    <xf numFmtId="6" fontId="4" fillId="0" borderId="57" xfId="0" applyNumberFormat="1" applyFont="1" applyBorder="1" applyAlignment="1">
      <alignment horizontal="left"/>
    </xf>
    <xf numFmtId="9" fontId="10" fillId="0" borderId="2" xfId="2" applyFont="1" applyBorder="1" applyAlignment="1">
      <alignment horizontal="center" vertical="center"/>
    </xf>
    <xf numFmtId="9" fontId="10" fillId="0" borderId="4" xfId="2" applyFont="1" applyFill="1" applyBorder="1" applyAlignment="1">
      <alignment horizontal="center" vertical="center"/>
    </xf>
    <xf numFmtId="9" fontId="17" fillId="0" borderId="2" xfId="2" applyFont="1" applyBorder="1" applyAlignment="1">
      <alignment horizontal="center" vertical="center"/>
    </xf>
    <xf numFmtId="9" fontId="17" fillId="0" borderId="2" xfId="2" applyFont="1" applyFill="1" applyBorder="1" applyAlignment="1">
      <alignment horizontal="center" vertical="center"/>
    </xf>
    <xf numFmtId="0" fontId="0" fillId="0" borderId="2" xfId="0" applyFill="1" applyBorder="1" applyAlignment="1">
      <alignment horizontal="center"/>
    </xf>
    <xf numFmtId="0" fontId="4" fillId="0" borderId="2" xfId="0" applyFont="1" applyFill="1" applyBorder="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0" fillId="0" borderId="2" xfId="0" applyBorder="1" applyAlignment="1">
      <alignment horizontal="center" vertical="center"/>
    </xf>
    <xf numFmtId="0" fontId="11"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center" wrapText="1"/>
    </xf>
    <xf numFmtId="0" fontId="1" fillId="0" borderId="2" xfId="0" applyFont="1" applyBorder="1" applyAlignment="1">
      <alignment vertical="center"/>
    </xf>
    <xf numFmtId="0" fontId="1" fillId="0" borderId="1" xfId="0" applyFont="1" applyBorder="1" applyAlignment="1">
      <alignment vertical="center" wrapText="1"/>
    </xf>
    <xf numFmtId="14" fontId="1" fillId="0" borderId="1" xfId="0" applyNumberFormat="1" applyFont="1" applyBorder="1" applyAlignment="1">
      <alignment vertical="center" wrapText="1"/>
    </xf>
    <xf numFmtId="0" fontId="10" fillId="2" borderId="2" xfId="0" applyFont="1" applyFill="1" applyBorder="1" applyAlignment="1">
      <alignment horizontal="center" vertical="center"/>
    </xf>
    <xf numFmtId="0" fontId="10" fillId="2" borderId="2" xfId="0" applyFont="1" applyFill="1" applyBorder="1" applyAlignment="1">
      <alignment horizontal="center" vertical="center" wrapText="1"/>
    </xf>
    <xf numFmtId="0" fontId="0" fillId="0" borderId="2" xfId="0" applyBorder="1" applyAlignment="1">
      <alignment vertical="center"/>
    </xf>
    <xf numFmtId="0" fontId="0" fillId="0" borderId="2" xfId="0" applyBorder="1" applyAlignment="1">
      <alignment horizontal="left" vertical="center"/>
    </xf>
    <xf numFmtId="0" fontId="0" fillId="0" borderId="2" xfId="0" applyFont="1" applyBorder="1" applyAlignment="1">
      <alignment vertical="top"/>
    </xf>
    <xf numFmtId="0" fontId="10" fillId="0" borderId="2" xfId="0" applyFont="1" applyBorder="1" applyAlignment="1">
      <alignment vertical="top"/>
    </xf>
    <xf numFmtId="0" fontId="0" fillId="0" borderId="2" xfId="0" applyFont="1" applyBorder="1" applyAlignment="1">
      <alignment horizontal="left" vertical="top"/>
    </xf>
    <xf numFmtId="0" fontId="10" fillId="0" borderId="4" xfId="0" applyFont="1" applyFill="1" applyBorder="1" applyAlignment="1">
      <alignment horizontal="left" vertical="top"/>
    </xf>
    <xf numFmtId="0" fontId="0" fillId="0" borderId="2" xfId="0" applyBorder="1" applyAlignment="1">
      <alignment horizontal="left" vertical="top"/>
    </xf>
    <xf numFmtId="0" fontId="1" fillId="0" borderId="29" xfId="0" applyFont="1" applyBorder="1" applyAlignment="1">
      <alignment horizontal="left" wrapText="1"/>
    </xf>
    <xf numFmtId="0" fontId="1" fillId="0" borderId="30" xfId="0" applyFont="1" applyBorder="1" applyAlignment="1">
      <alignment horizontal="left" wrapText="1"/>
    </xf>
    <xf numFmtId="14" fontId="1" fillId="0" borderId="1" xfId="0" applyNumberFormat="1" applyFont="1" applyBorder="1" applyAlignment="1">
      <alignment horizontal="center" vertical="center"/>
    </xf>
    <xf numFmtId="164" fontId="0" fillId="0" borderId="2" xfId="0" applyNumberFormat="1" applyFill="1" applyBorder="1" applyAlignment="1">
      <alignment horizontal="left" indent="1"/>
    </xf>
    <xf numFmtId="164" fontId="0" fillId="0" borderId="2" xfId="0" applyNumberFormat="1" applyFill="1" applyBorder="1" applyAlignment="1">
      <alignment vertical="center"/>
    </xf>
    <xf numFmtId="164" fontId="0" fillId="0" borderId="2" xfId="0" applyNumberFormat="1" applyFill="1" applyBorder="1" applyAlignment="1">
      <alignment horizontal="left" vertical="center"/>
    </xf>
    <xf numFmtId="0" fontId="1" fillId="0" borderId="62" xfId="0" applyFont="1" applyBorder="1" applyAlignment="1">
      <alignment horizontal="left" wrapText="1"/>
    </xf>
    <xf numFmtId="0" fontId="0" fillId="0" borderId="30" xfId="0" applyBorder="1" applyAlignment="1">
      <alignment horizontal="left"/>
    </xf>
    <xf numFmtId="165" fontId="1" fillId="0" borderId="63" xfId="0" applyNumberFormat="1" applyFont="1" applyBorder="1" applyAlignment="1">
      <alignment horizontal="left" wrapText="1"/>
    </xf>
    <xf numFmtId="0" fontId="4" fillId="0" borderId="2" xfId="0" applyFont="1" applyBorder="1" applyAlignment="1">
      <alignment wrapText="1"/>
    </xf>
    <xf numFmtId="0" fontId="4" fillId="0" borderId="2" xfId="0" applyFont="1" applyBorder="1" applyAlignment="1">
      <alignment horizontal="center" wrapText="1"/>
    </xf>
    <xf numFmtId="0" fontId="11" fillId="2" borderId="61" xfId="0" applyFont="1" applyFill="1" applyBorder="1" applyAlignment="1">
      <alignment horizontal="center" vertical="center"/>
    </xf>
    <xf numFmtId="0" fontId="12" fillId="0" borderId="2" xfId="0" applyFont="1" applyFill="1" applyBorder="1" applyAlignment="1">
      <alignment horizontal="center" vertical="center"/>
    </xf>
    <xf numFmtId="0" fontId="13" fillId="0" borderId="2" xfId="0" applyFont="1" applyFill="1" applyBorder="1" applyAlignment="1">
      <alignment horizontal="center" vertical="center"/>
    </xf>
    <xf numFmtId="0" fontId="13" fillId="0" borderId="2" xfId="0" applyFont="1" applyFill="1" applyBorder="1" applyAlignment="1">
      <alignment horizontal="center"/>
    </xf>
    <xf numFmtId="0" fontId="10" fillId="5" borderId="2" xfId="0" applyFont="1" applyFill="1" applyBorder="1" applyAlignment="1">
      <alignment horizontal="center" vertical="center" wrapText="1"/>
    </xf>
    <xf numFmtId="164" fontId="12" fillId="0" borderId="2" xfId="0" applyNumberFormat="1" applyFont="1" applyBorder="1" applyAlignment="1" applyProtection="1">
      <alignment horizontal="center" vertical="center"/>
      <protection locked="0"/>
    </xf>
    <xf numFmtId="164" fontId="13" fillId="0" borderId="2" xfId="0" applyNumberFormat="1" applyFont="1" applyBorder="1" applyAlignment="1" applyProtection="1">
      <alignment horizontal="center"/>
      <protection locked="0"/>
    </xf>
    <xf numFmtId="0" fontId="21" fillId="0" borderId="0" xfId="0" applyFont="1" applyAlignment="1">
      <alignment horizontal="left" wrapText="1"/>
    </xf>
    <xf numFmtId="0" fontId="7" fillId="0" borderId="0" xfId="0" applyFont="1"/>
    <xf numFmtId="0" fontId="7" fillId="0" borderId="0" xfId="0" applyFont="1" applyAlignment="1">
      <alignment horizontal="left"/>
    </xf>
    <xf numFmtId="164" fontId="0" fillId="0" borderId="61" xfId="0" applyNumberFormat="1" applyFill="1" applyBorder="1" applyAlignment="1">
      <alignment horizontal="center"/>
    </xf>
    <xf numFmtId="0" fontId="10" fillId="2" borderId="61" xfId="0" applyFont="1" applyFill="1" applyBorder="1" applyAlignment="1">
      <alignment horizontal="center"/>
    </xf>
    <xf numFmtId="164" fontId="0" fillId="0" borderId="5" xfId="0" applyNumberFormat="1" applyFill="1" applyBorder="1" applyAlignment="1">
      <alignment horizontal="left" indent="1"/>
    </xf>
    <xf numFmtId="49" fontId="12" fillId="0" borderId="2" xfId="0" applyNumberFormat="1" applyFont="1" applyBorder="1" applyAlignment="1" applyProtection="1">
      <alignment horizontal="center" vertical="center"/>
      <protection locked="0"/>
    </xf>
    <xf numFmtId="0" fontId="1" fillId="0" borderId="29" xfId="0" applyFont="1" applyBorder="1" applyAlignment="1">
      <alignment wrapText="1"/>
    </xf>
    <xf numFmtId="0" fontId="1" fillId="0" borderId="50" xfId="0" applyFont="1" applyBorder="1" applyAlignment="1">
      <alignment wrapText="1"/>
    </xf>
    <xf numFmtId="14" fontId="1" fillId="0" borderId="64" xfId="0" applyNumberFormat="1" applyFont="1" applyBorder="1" applyAlignment="1">
      <alignment horizontal="center" vertical="center"/>
    </xf>
    <xf numFmtId="0" fontId="3" fillId="2" borderId="65" xfId="0" applyFont="1" applyFill="1" applyBorder="1" applyAlignment="1">
      <alignment horizontal="center"/>
    </xf>
    <xf numFmtId="164" fontId="0" fillId="0" borderId="2" xfId="0" applyNumberFormat="1" applyFill="1" applyBorder="1" applyAlignment="1">
      <alignment horizontal="center" vertical="center"/>
    </xf>
    <xf numFmtId="164" fontId="0" fillId="6" borderId="2" xfId="0" applyNumberFormat="1" applyFill="1" applyBorder="1" applyAlignment="1">
      <alignment horizontal="center" vertical="center"/>
    </xf>
    <xf numFmtId="164" fontId="0" fillId="7" borderId="5" xfId="0" applyNumberFormat="1" applyFill="1" applyBorder="1" applyAlignment="1">
      <alignment horizontal="center" vertical="center"/>
    </xf>
    <xf numFmtId="164" fontId="0" fillId="7" borderId="2" xfId="0" applyNumberFormat="1" applyFill="1" applyBorder="1" applyAlignment="1">
      <alignment horizontal="center" vertical="center"/>
    </xf>
    <xf numFmtId="0" fontId="10" fillId="0" borderId="2" xfId="0" applyFont="1" applyBorder="1" applyAlignment="1">
      <alignment vertical="center"/>
    </xf>
    <xf numFmtId="0" fontId="10" fillId="0" borderId="4" xfId="0" applyFont="1" applyFill="1" applyBorder="1" applyAlignment="1">
      <alignment horizontal="left" vertical="center"/>
    </xf>
    <xf numFmtId="0" fontId="10" fillId="2" borderId="2" xfId="0" applyNumberFormat="1" applyFont="1" applyFill="1" applyBorder="1" applyAlignment="1">
      <alignment horizontal="center" vertical="top" wrapText="1"/>
    </xf>
    <xf numFmtId="0" fontId="22" fillId="2" borderId="2" xfId="0" applyFont="1" applyFill="1" applyBorder="1" applyAlignment="1">
      <alignment vertical="top" wrapText="1"/>
    </xf>
    <xf numFmtId="17" fontId="10" fillId="8" borderId="2" xfId="0" applyNumberFormat="1" applyFont="1" applyFill="1" applyBorder="1" applyAlignment="1">
      <alignment horizontal="center" vertical="top" wrapText="1"/>
    </xf>
    <xf numFmtId="0" fontId="10" fillId="8" borderId="2" xfId="0" applyFont="1" applyFill="1" applyBorder="1" applyAlignment="1">
      <alignment horizontal="center" vertical="top" wrapText="1"/>
    </xf>
    <xf numFmtId="0" fontId="10" fillId="8" borderId="2" xfId="0" applyFont="1" applyFill="1" applyBorder="1" applyAlignment="1">
      <alignment horizontal="center" vertical="top"/>
    </xf>
    <xf numFmtId="0" fontId="0" fillId="8" borderId="2" xfId="0" applyFill="1" applyBorder="1" applyAlignment="1">
      <alignment horizontal="center" vertical="top"/>
    </xf>
    <xf numFmtId="0" fontId="10" fillId="0" borderId="2" xfId="0" applyFont="1" applyFill="1" applyBorder="1" applyAlignment="1">
      <alignment vertical="top" wrapText="1"/>
    </xf>
    <xf numFmtId="17" fontId="10" fillId="0" borderId="2" xfId="0" applyNumberFormat="1" applyFont="1" applyFill="1" applyBorder="1" applyAlignment="1">
      <alignment horizontal="center" vertical="top" wrapText="1"/>
    </xf>
    <xf numFmtId="0" fontId="10" fillId="0" borderId="2" xfId="0" applyFont="1" applyFill="1" applyBorder="1" applyAlignment="1">
      <alignment horizontal="center" vertical="top" wrapText="1"/>
    </xf>
    <xf numFmtId="0" fontId="10" fillId="0" borderId="2" xfId="0" applyFont="1" applyFill="1" applyBorder="1" applyAlignment="1">
      <alignment horizontal="center" vertical="top"/>
    </xf>
    <xf numFmtId="0" fontId="0" fillId="0" borderId="2" xfId="0" applyBorder="1" applyAlignment="1">
      <alignment horizontal="center" vertical="top"/>
    </xf>
    <xf numFmtId="0" fontId="0" fillId="0" borderId="2" xfId="0" applyBorder="1" applyAlignment="1">
      <alignment vertical="top"/>
    </xf>
    <xf numFmtId="0" fontId="22" fillId="8" borderId="2" xfId="0" applyFont="1" applyFill="1" applyBorder="1" applyAlignment="1">
      <alignment vertical="top" wrapText="1"/>
    </xf>
    <xf numFmtId="0" fontId="9" fillId="2" borderId="53" xfId="0" applyFont="1" applyFill="1" applyBorder="1" applyAlignment="1">
      <alignment horizontal="center"/>
    </xf>
    <xf numFmtId="0" fontId="9" fillId="2" borderId="66" xfId="0" applyFont="1" applyFill="1" applyBorder="1" applyAlignment="1">
      <alignment horizontal="center"/>
    </xf>
    <xf numFmtId="0" fontId="5" fillId="2" borderId="34" xfId="0" applyFont="1" applyFill="1" applyBorder="1" applyAlignment="1">
      <alignment vertical="center" wrapText="1"/>
    </xf>
    <xf numFmtId="0" fontId="4" fillId="0" borderId="10" xfId="0" applyFont="1" applyBorder="1" applyAlignment="1">
      <alignment vertical="center" wrapText="1"/>
    </xf>
    <xf numFmtId="0" fontId="5" fillId="2" borderId="36" xfId="0" applyFont="1" applyFill="1" applyBorder="1" applyAlignment="1">
      <alignment vertical="center" wrapText="1"/>
    </xf>
    <xf numFmtId="0" fontId="4" fillId="0" borderId="12" xfId="0" applyFont="1" applyBorder="1" applyAlignment="1">
      <alignment vertical="center" wrapText="1"/>
    </xf>
    <xf numFmtId="0" fontId="5" fillId="2" borderId="35" xfId="0" applyFont="1" applyFill="1" applyBorder="1" applyAlignment="1">
      <alignment vertical="center" wrapText="1"/>
    </xf>
    <xf numFmtId="0" fontId="4" fillId="0" borderId="22" xfId="0" applyFont="1" applyFill="1" applyBorder="1" applyAlignment="1">
      <alignment vertical="center" wrapText="1"/>
    </xf>
    <xf numFmtId="0" fontId="0" fillId="9" borderId="2" xfId="0" applyFont="1" applyFill="1" applyBorder="1" applyAlignment="1">
      <alignment horizontal="center" vertical="center"/>
    </xf>
    <xf numFmtId="0" fontId="0" fillId="10" borderId="2" xfId="0" applyFont="1" applyFill="1" applyBorder="1" applyAlignment="1">
      <alignment horizontal="center" vertical="center"/>
    </xf>
    <xf numFmtId="0" fontId="0" fillId="11" borderId="2" xfId="0" applyFont="1" applyFill="1" applyBorder="1" applyAlignment="1">
      <alignment horizontal="center" vertical="center"/>
    </xf>
    <xf numFmtId="0" fontId="11" fillId="2" borderId="61" xfId="0" applyFont="1" applyFill="1" applyBorder="1" applyAlignment="1">
      <alignment horizontal="center" vertical="center" wrapText="1"/>
    </xf>
    <xf numFmtId="164" fontId="12" fillId="0" borderId="61" xfId="0" applyNumberFormat="1" applyFont="1" applyBorder="1" applyAlignment="1">
      <alignment vertical="center" wrapText="1"/>
    </xf>
    <xf numFmtId="0" fontId="13" fillId="0" borderId="2" xfId="0" applyFont="1" applyBorder="1" applyAlignment="1">
      <alignment horizontal="left" vertical="center" wrapText="1"/>
    </xf>
    <xf numFmtId="0" fontId="0" fillId="0" borderId="2" xfId="0" applyBorder="1" applyAlignment="1">
      <alignment horizontal="left" vertical="center" wrapText="1"/>
    </xf>
    <xf numFmtId="0" fontId="0" fillId="0" borderId="0" xfId="0" applyAlignment="1">
      <alignment horizontal="left" vertical="center" wrapText="1"/>
    </xf>
    <xf numFmtId="49" fontId="13" fillId="0" borderId="2" xfId="0" applyNumberFormat="1" applyFont="1" applyBorder="1" applyAlignment="1" applyProtection="1">
      <alignment horizontal="center" vertical="center"/>
      <protection locked="0"/>
    </xf>
    <xf numFmtId="0" fontId="12" fillId="0" borderId="61" xfId="0" applyFont="1" applyBorder="1" applyAlignment="1">
      <alignment horizontal="left" vertical="center" wrapText="1"/>
    </xf>
    <xf numFmtId="0" fontId="13" fillId="0" borderId="61" xfId="0" applyFont="1" applyBorder="1" applyAlignment="1">
      <alignment horizontal="left" vertical="center" wrapText="1"/>
    </xf>
    <xf numFmtId="0" fontId="9" fillId="2" borderId="52" xfId="0" applyFont="1" applyFill="1" applyBorder="1" applyAlignment="1">
      <alignment horizontal="center"/>
    </xf>
    <xf numFmtId="0" fontId="9" fillId="2" borderId="31" xfId="0" applyFont="1" applyFill="1" applyBorder="1" applyAlignment="1">
      <alignment horizontal="center"/>
    </xf>
    <xf numFmtId="0" fontId="4" fillId="2" borderId="53" xfId="0" applyFont="1" applyFill="1" applyBorder="1" applyAlignment="1">
      <alignment wrapText="1"/>
    </xf>
    <xf numFmtId="0" fontId="4" fillId="2" borderId="66" xfId="0" applyFont="1" applyFill="1" applyBorder="1" applyAlignment="1">
      <alignment wrapText="1"/>
    </xf>
    <xf numFmtId="0" fontId="3" fillId="2" borderId="67" xfId="0" applyFont="1" applyFill="1" applyBorder="1" applyAlignment="1">
      <alignment horizontal="center"/>
    </xf>
    <xf numFmtId="0" fontId="3" fillId="2" borderId="68" xfId="0" applyFont="1" applyFill="1" applyBorder="1" applyAlignment="1">
      <alignment horizontal="center"/>
    </xf>
    <xf numFmtId="0" fontId="4" fillId="0" borderId="25" xfId="0" applyFont="1" applyBorder="1" applyAlignment="1">
      <alignment vertical="top" wrapText="1"/>
    </xf>
    <xf numFmtId="0" fontId="4" fillId="0" borderId="26" xfId="0" applyFont="1" applyBorder="1" applyAlignment="1">
      <alignment vertical="top" wrapText="1"/>
    </xf>
    <xf numFmtId="0" fontId="4" fillId="0" borderId="27" xfId="0" applyFont="1" applyBorder="1" applyAlignment="1">
      <alignment vertical="top" wrapText="1"/>
    </xf>
    <xf numFmtId="0" fontId="4" fillId="0" borderId="28" xfId="0" applyFont="1" applyBorder="1" applyAlignment="1">
      <alignment vertical="top" wrapText="1"/>
    </xf>
    <xf numFmtId="0" fontId="4" fillId="0" borderId="24" xfId="0" applyFont="1" applyBorder="1" applyAlignment="1">
      <alignment vertical="top" wrapText="1"/>
    </xf>
    <xf numFmtId="0" fontId="5" fillId="2" borderId="9" xfId="0" applyFont="1" applyFill="1" applyBorder="1" applyAlignment="1">
      <alignment wrapText="1"/>
    </xf>
    <xf numFmtId="0" fontId="6" fillId="2" borderId="10" xfId="0" applyFont="1" applyFill="1" applyBorder="1" applyAlignment="1">
      <alignment wrapText="1"/>
    </xf>
    <xf numFmtId="0" fontId="4" fillId="0" borderId="2" xfId="0" applyFont="1" applyFill="1" applyBorder="1" applyAlignment="1">
      <alignment wrapText="1"/>
    </xf>
    <xf numFmtId="0" fontId="4" fillId="0" borderId="12" xfId="0" applyFont="1" applyBorder="1" applyAlignment="1">
      <alignment wrapText="1"/>
    </xf>
    <xf numFmtId="0" fontId="14" fillId="0" borderId="5" xfId="0" applyFont="1" applyFill="1" applyBorder="1" applyAlignment="1">
      <alignment horizontal="left"/>
    </xf>
    <xf numFmtId="0" fontId="14" fillId="0" borderId="7" xfId="0" applyFont="1" applyFill="1" applyBorder="1" applyAlignment="1">
      <alignment horizontal="left"/>
    </xf>
    <xf numFmtId="0" fontId="14" fillId="0" borderId="20" xfId="0" applyFont="1" applyFill="1" applyBorder="1" applyAlignment="1">
      <alignment horizontal="left"/>
    </xf>
    <xf numFmtId="0" fontId="4" fillId="0" borderId="2" xfId="0" applyFont="1" applyBorder="1" applyAlignment="1">
      <alignment wrapText="1"/>
    </xf>
    <xf numFmtId="0" fontId="4" fillId="0" borderId="25" xfId="0" applyFont="1" applyBorder="1" applyAlignment="1">
      <alignment horizontal="center" wrapText="1"/>
    </xf>
    <xf numFmtId="0" fontId="4" fillId="0" borderId="26" xfId="0" applyFont="1" applyBorder="1" applyAlignment="1">
      <alignment horizontal="center" wrapText="1"/>
    </xf>
    <xf numFmtId="0" fontId="4" fillId="0" borderId="5" xfId="0" applyFont="1" applyBorder="1" applyAlignment="1">
      <alignment horizontal="center" wrapText="1"/>
    </xf>
    <xf numFmtId="0" fontId="4" fillId="0" borderId="20" xfId="0" applyFont="1" applyBorder="1" applyAlignment="1">
      <alignment horizontal="center" wrapText="1"/>
    </xf>
    <xf numFmtId="0" fontId="5" fillId="2" borderId="52" xfId="0" applyFont="1" applyFill="1" applyBorder="1" applyAlignment="1">
      <alignment vertical="top" wrapText="1"/>
    </xf>
    <xf numFmtId="0" fontId="5" fillId="2" borderId="53" xfId="0" applyFont="1" applyFill="1" applyBorder="1" applyAlignment="1">
      <alignment vertical="top" wrapText="1"/>
    </xf>
    <xf numFmtId="0" fontId="3" fillId="2" borderId="17" xfId="0" applyFont="1" applyFill="1" applyBorder="1" applyAlignment="1">
      <alignment horizontal="center" wrapText="1"/>
    </xf>
    <xf numFmtId="0" fontId="3" fillId="2" borderId="19" xfId="0" applyFont="1" applyFill="1" applyBorder="1" applyAlignment="1">
      <alignment horizontal="center" wrapText="1"/>
    </xf>
    <xf numFmtId="14" fontId="19" fillId="0" borderId="2" xfId="0" applyNumberFormat="1" applyFont="1" applyFill="1" applyBorder="1" applyAlignment="1">
      <alignment horizontal="center" wrapText="1"/>
    </xf>
    <xf numFmtId="0" fontId="19" fillId="0" borderId="12" xfId="0" applyFont="1" applyFill="1" applyBorder="1" applyAlignment="1">
      <alignment horizontal="center" wrapText="1"/>
    </xf>
    <xf numFmtId="14" fontId="20" fillId="0" borderId="54" xfId="0" applyNumberFormat="1" applyFont="1" applyBorder="1" applyAlignment="1">
      <alignment horizontal="center" wrapText="1"/>
    </xf>
    <xf numFmtId="0" fontId="20" fillId="0" borderId="59" xfId="0" applyFont="1" applyBorder="1" applyAlignment="1">
      <alignment horizontal="center" wrapText="1"/>
    </xf>
    <xf numFmtId="0" fontId="19" fillId="0" borderId="12" xfId="0" applyFont="1" applyBorder="1" applyAlignment="1">
      <alignment horizontal="center" wrapText="1"/>
    </xf>
    <xf numFmtId="0" fontId="5" fillId="2" borderId="8" xfId="0" applyFont="1" applyFill="1" applyBorder="1" applyAlignment="1">
      <alignment horizontal="right" vertical="top" wrapText="1"/>
    </xf>
    <xf numFmtId="0" fontId="5" fillId="2" borderId="11" xfId="0" applyFont="1" applyFill="1" applyBorder="1" applyAlignment="1">
      <alignment horizontal="right" vertical="top" wrapText="1"/>
    </xf>
    <xf numFmtId="0" fontId="5" fillId="2" borderId="13" xfId="0" applyFont="1" applyFill="1" applyBorder="1" applyAlignment="1">
      <alignment horizontal="right" vertical="top" wrapText="1"/>
    </xf>
    <xf numFmtId="0" fontId="6" fillId="0" borderId="29" xfId="0" applyFont="1" applyBorder="1" applyAlignment="1"/>
    <xf numFmtId="0" fontId="6" fillId="0" borderId="30" xfId="0" applyFont="1" applyBorder="1" applyAlignment="1"/>
    <xf numFmtId="0" fontId="6" fillId="0" borderId="31" xfId="0" applyFont="1" applyBorder="1" applyAlignment="1"/>
    <xf numFmtId="0" fontId="6" fillId="0" borderId="6" xfId="0" applyFont="1" applyBorder="1" applyAlignment="1"/>
    <xf numFmtId="0" fontId="6" fillId="0" borderId="3" xfId="0" applyFont="1" applyBorder="1" applyAlignment="1"/>
    <xf numFmtId="0" fontId="6" fillId="0" borderId="32" xfId="0" applyFont="1" applyBorder="1" applyAlignment="1"/>
    <xf numFmtId="0" fontId="4" fillId="0" borderId="2" xfId="0" applyFont="1" applyBorder="1" applyAlignment="1"/>
    <xf numFmtId="0" fontId="4" fillId="0" borderId="12" xfId="0" applyFont="1" applyBorder="1" applyAlignment="1"/>
    <xf numFmtId="0" fontId="6" fillId="0" borderId="2" xfId="0" applyFont="1" applyBorder="1" applyAlignment="1"/>
    <xf numFmtId="0" fontId="6" fillId="0" borderId="12" xfId="0" applyFont="1" applyBorder="1" applyAlignment="1"/>
    <xf numFmtId="0" fontId="4" fillId="0" borderId="2" xfId="0" applyFont="1" applyFill="1" applyBorder="1" applyAlignment="1">
      <alignment horizontal="left"/>
    </xf>
    <xf numFmtId="0" fontId="4" fillId="0" borderId="12" xfId="0" applyFont="1" applyFill="1" applyBorder="1" applyAlignment="1">
      <alignment horizontal="left"/>
    </xf>
    <xf numFmtId="0" fontId="4" fillId="0" borderId="21" xfId="0" applyFont="1" applyBorder="1" applyAlignment="1"/>
    <xf numFmtId="0" fontId="4" fillId="0" borderId="22" xfId="0" applyFont="1" applyBorder="1" applyAlignment="1"/>
    <xf numFmtId="0" fontId="5" fillId="2" borderId="8" xfId="0" applyFont="1" applyFill="1" applyBorder="1" applyAlignment="1">
      <alignment vertical="top" wrapText="1"/>
    </xf>
    <xf numFmtId="0" fontId="5" fillId="2" borderId="11" xfId="0" applyFont="1" applyFill="1" applyBorder="1" applyAlignment="1">
      <alignment vertical="top" wrapText="1"/>
    </xf>
    <xf numFmtId="0" fontId="5" fillId="2" borderId="13" xfId="0" applyFont="1" applyFill="1" applyBorder="1" applyAlignment="1">
      <alignment vertical="top" wrapText="1"/>
    </xf>
    <xf numFmtId="0" fontId="4" fillId="0" borderId="9" xfId="0" applyFont="1" applyBorder="1" applyAlignment="1">
      <alignment horizontal="left"/>
    </xf>
    <xf numFmtId="0" fontId="4" fillId="0" borderId="10" xfId="0" applyFont="1" applyBorder="1" applyAlignment="1">
      <alignment horizontal="left"/>
    </xf>
    <xf numFmtId="0" fontId="4" fillId="0" borderId="2" xfId="0" applyFont="1" applyBorder="1" applyAlignment="1">
      <alignment horizontal="left"/>
    </xf>
    <xf numFmtId="0" fontId="4" fillId="0" borderId="12" xfId="0" applyFont="1" applyBorder="1" applyAlignment="1">
      <alignment horizontal="left"/>
    </xf>
    <xf numFmtId="0" fontId="5" fillId="2" borderId="17" xfId="0" applyFont="1" applyFill="1" applyBorder="1" applyAlignment="1">
      <alignment horizontal="left"/>
    </xf>
    <xf numFmtId="0" fontId="5" fillId="2" borderId="18" xfId="0" applyFont="1" applyFill="1" applyBorder="1" applyAlignment="1">
      <alignment horizontal="left"/>
    </xf>
    <xf numFmtId="0" fontId="5" fillId="2" borderId="19" xfId="0" applyFont="1" applyFill="1" applyBorder="1" applyAlignment="1">
      <alignment horizontal="left"/>
    </xf>
    <xf numFmtId="0" fontId="4" fillId="0" borderId="14" xfId="0" applyFont="1" applyBorder="1" applyAlignment="1">
      <alignment horizontal="left"/>
    </xf>
    <xf numFmtId="0" fontId="4" fillId="0" borderId="15" xfId="0" applyFont="1" applyBorder="1" applyAlignment="1">
      <alignment horizontal="left"/>
    </xf>
    <xf numFmtId="0" fontId="4" fillId="0" borderId="16" xfId="0" applyFont="1" applyBorder="1" applyAlignment="1">
      <alignment horizontal="left"/>
    </xf>
    <xf numFmtId="0" fontId="5" fillId="2" borderId="8" xfId="0" applyFont="1" applyFill="1" applyBorder="1" applyAlignment="1">
      <alignment horizontal="left" vertical="top"/>
    </xf>
    <xf numFmtId="0" fontId="5" fillId="2" borderId="11" xfId="0" applyFont="1" applyFill="1" applyBorder="1" applyAlignment="1">
      <alignment horizontal="left" vertical="top"/>
    </xf>
    <xf numFmtId="0" fontId="5" fillId="2" borderId="13" xfId="0" applyFont="1" applyFill="1" applyBorder="1" applyAlignment="1">
      <alignment horizontal="left" vertical="top"/>
    </xf>
    <xf numFmtId="0" fontId="5" fillId="2" borderId="8" xfId="0" applyFont="1" applyFill="1" applyBorder="1" applyAlignment="1">
      <alignment horizontal="left" vertical="center" wrapText="1"/>
    </xf>
    <xf numFmtId="0" fontId="5" fillId="2" borderId="11" xfId="0" applyFont="1" applyFill="1" applyBorder="1" applyAlignment="1">
      <alignment horizontal="left" vertical="center"/>
    </xf>
    <xf numFmtId="0" fontId="5" fillId="2" borderId="13" xfId="0" applyFont="1" applyFill="1" applyBorder="1" applyAlignment="1">
      <alignment horizontal="left" vertical="center"/>
    </xf>
    <xf numFmtId="0" fontId="6" fillId="0" borderId="21" xfId="0" applyFont="1" applyBorder="1" applyAlignment="1"/>
    <xf numFmtId="0" fontId="6" fillId="0" borderId="22" xfId="0" applyFont="1" applyBorder="1" applyAlignment="1"/>
    <xf numFmtId="0" fontId="4" fillId="0" borderId="9" xfId="0" applyFont="1" applyBorder="1" applyAlignment="1"/>
    <xf numFmtId="0" fontId="4" fillId="0" borderId="10" xfId="0" applyFont="1" applyBorder="1" applyAlignment="1"/>
    <xf numFmtId="0" fontId="14" fillId="0" borderId="14" xfId="0" applyFont="1" applyFill="1" applyBorder="1" applyAlignment="1">
      <alignment horizontal="left"/>
    </xf>
    <xf numFmtId="0" fontId="14" fillId="0" borderId="15" xfId="0" applyFont="1" applyFill="1" applyBorder="1" applyAlignment="1">
      <alignment horizontal="left"/>
    </xf>
    <xf numFmtId="0" fontId="14" fillId="0" borderId="16" xfId="0" applyFont="1" applyFill="1" applyBorder="1" applyAlignment="1">
      <alignment horizontal="left"/>
    </xf>
    <xf numFmtId="0" fontId="5" fillId="2" borderId="11" xfId="0" applyFont="1" applyFill="1" applyBorder="1" applyAlignment="1">
      <alignment horizontal="left" vertical="center" wrapText="1"/>
    </xf>
    <xf numFmtId="0" fontId="5" fillId="2" borderId="13" xfId="0" applyFont="1" applyFill="1" applyBorder="1" applyAlignment="1">
      <alignment horizontal="left" vertical="center" wrapText="1"/>
    </xf>
    <xf numFmtId="0" fontId="4" fillId="0" borderId="55" xfId="0" applyFont="1" applyBorder="1" applyAlignment="1">
      <alignment horizontal="center" wrapText="1"/>
    </xf>
    <xf numFmtId="0" fontId="4" fillId="0" borderId="56" xfId="0" applyFont="1" applyBorder="1" applyAlignment="1">
      <alignment horizontal="center" wrapText="1"/>
    </xf>
    <xf numFmtId="0" fontId="14" fillId="0" borderId="9" xfId="0" applyFont="1" applyFill="1" applyBorder="1" applyAlignment="1">
      <alignment horizontal="left"/>
    </xf>
    <xf numFmtId="0" fontId="14" fillId="0" borderId="10" xfId="0" applyFont="1" applyFill="1" applyBorder="1" applyAlignment="1">
      <alignment horizontal="left"/>
    </xf>
    <xf numFmtId="165" fontId="14" fillId="0" borderId="21" xfId="0" applyNumberFormat="1" applyFont="1" applyFill="1" applyBorder="1" applyAlignment="1">
      <alignment horizontal="left"/>
    </xf>
    <xf numFmtId="165" fontId="14" fillId="0" borderId="22" xfId="0" applyNumberFormat="1" applyFont="1" applyFill="1" applyBorder="1" applyAlignment="1">
      <alignment horizontal="left"/>
    </xf>
    <xf numFmtId="0" fontId="3" fillId="0" borderId="37" xfId="0" applyFont="1" applyFill="1" applyBorder="1" applyAlignment="1"/>
    <xf numFmtId="0" fontId="1" fillId="0" borderId="37" xfId="0" applyFont="1" applyFill="1" applyBorder="1" applyAlignment="1"/>
    <xf numFmtId="0" fontId="4" fillId="3" borderId="17" xfId="0" applyFont="1" applyFill="1" applyBorder="1" applyAlignment="1">
      <alignment horizontal="left"/>
    </xf>
    <xf numFmtId="0" fontId="4" fillId="3" borderId="18" xfId="0" applyFont="1" applyFill="1" applyBorder="1" applyAlignment="1">
      <alignment horizontal="left"/>
    </xf>
    <xf numFmtId="0" fontId="4" fillId="3" borderId="19" xfId="0" applyFont="1" applyFill="1" applyBorder="1" applyAlignment="1">
      <alignment horizontal="left"/>
    </xf>
    <xf numFmtId="165" fontId="4" fillId="3" borderId="14" xfId="0" applyNumberFormat="1" applyFont="1" applyFill="1" applyBorder="1" applyAlignment="1">
      <alignment horizontal="left"/>
    </xf>
    <xf numFmtId="165" fontId="4" fillId="3" borderId="15" xfId="0" applyNumberFormat="1" applyFont="1" applyFill="1" applyBorder="1" applyAlignment="1">
      <alignment horizontal="left"/>
    </xf>
    <xf numFmtId="165" fontId="4" fillId="3" borderId="16" xfId="0" applyNumberFormat="1" applyFont="1" applyFill="1" applyBorder="1" applyAlignment="1">
      <alignment horizontal="left"/>
    </xf>
    <xf numFmtId="0" fontId="3" fillId="2" borderId="38" xfId="0" applyFont="1" applyFill="1" applyBorder="1" applyAlignment="1">
      <alignment horizontal="left"/>
    </xf>
    <xf numFmtId="0" fontId="3" fillId="2" borderId="33" xfId="0" applyFont="1" applyFill="1" applyBorder="1" applyAlignment="1">
      <alignment horizontal="left"/>
    </xf>
    <xf numFmtId="0" fontId="3" fillId="2" borderId="35" xfId="0" applyFont="1" applyFill="1" applyBorder="1" applyAlignment="1">
      <alignment horizontal="left"/>
    </xf>
    <xf numFmtId="0" fontId="3" fillId="2" borderId="21" xfId="0" applyFont="1" applyFill="1" applyBorder="1" applyAlignment="1">
      <alignment horizontal="left"/>
    </xf>
    <xf numFmtId="0" fontId="1" fillId="0" borderId="43" xfId="0" applyFont="1" applyBorder="1" applyAlignment="1">
      <alignment horizontal="left" wrapText="1"/>
    </xf>
    <xf numFmtId="0" fontId="1" fillId="0" borderId="44" xfId="0" applyFont="1" applyBorder="1" applyAlignment="1">
      <alignment horizontal="left" wrapText="1"/>
    </xf>
    <xf numFmtId="0" fontId="1" fillId="0" borderId="39" xfId="0" applyFont="1" applyBorder="1" applyAlignment="1">
      <alignment horizontal="left" wrapText="1"/>
    </xf>
    <xf numFmtId="0" fontId="1" fillId="0" borderId="40" xfId="0" applyFont="1" applyBorder="1" applyAlignment="1">
      <alignment horizontal="left" wrapText="1"/>
    </xf>
    <xf numFmtId="0" fontId="5" fillId="2" borderId="38" xfId="0" applyFont="1" applyFill="1" applyBorder="1" applyAlignment="1">
      <alignment horizontal="left"/>
    </xf>
    <xf numFmtId="0" fontId="5" fillId="2" borderId="33" xfId="0" applyFont="1" applyFill="1" applyBorder="1" applyAlignment="1">
      <alignment horizontal="left"/>
    </xf>
    <xf numFmtId="0" fontId="5" fillId="2" borderId="41" xfId="0" applyFont="1" applyFill="1" applyBorder="1" applyAlignment="1">
      <alignment horizontal="left"/>
    </xf>
    <xf numFmtId="0" fontId="5" fillId="2" borderId="42" xfId="0" applyFont="1" applyFill="1" applyBorder="1" applyAlignment="1">
      <alignment horizontal="left"/>
    </xf>
    <xf numFmtId="0" fontId="2" fillId="5" borderId="29" xfId="0" applyFont="1" applyFill="1" applyBorder="1" applyAlignment="1">
      <alignment horizontal="left" wrapText="1"/>
    </xf>
    <xf numFmtId="0" fontId="2" fillId="5" borderId="49" xfId="0" applyFont="1" applyFill="1" applyBorder="1" applyAlignment="1">
      <alignment horizontal="left" wrapText="1"/>
    </xf>
    <xf numFmtId="0" fontId="2" fillId="5" borderId="50" xfId="0" applyFont="1" applyFill="1" applyBorder="1" applyAlignment="1">
      <alignment horizontal="left" wrapText="1"/>
    </xf>
    <xf numFmtId="0" fontId="2" fillId="5" borderId="51" xfId="0" applyFont="1" applyFill="1" applyBorder="1" applyAlignment="1">
      <alignment horizontal="left" wrapText="1"/>
    </xf>
    <xf numFmtId="0" fontId="4" fillId="0" borderId="17" xfId="0" applyFont="1" applyFill="1" applyBorder="1" applyAlignment="1">
      <alignment horizontal="left"/>
    </xf>
    <xf numFmtId="0" fontId="4" fillId="0" borderId="18" xfId="0" applyFont="1" applyFill="1" applyBorder="1" applyAlignment="1">
      <alignment horizontal="left"/>
    </xf>
    <xf numFmtId="0" fontId="4" fillId="0" borderId="33" xfId="0" applyFont="1" applyFill="1" applyBorder="1" applyAlignment="1">
      <alignment horizontal="left"/>
    </xf>
    <xf numFmtId="0" fontId="4" fillId="0" borderId="14" xfId="0" applyFont="1" applyFill="1" applyBorder="1" applyAlignment="1">
      <alignment horizontal="left"/>
    </xf>
    <xf numFmtId="0" fontId="4" fillId="0" borderId="15" xfId="0" applyFont="1" applyFill="1" applyBorder="1" applyAlignment="1">
      <alignment horizontal="left"/>
    </xf>
    <xf numFmtId="0" fontId="4" fillId="0" borderId="42" xfId="0" applyFont="1" applyFill="1" applyBorder="1" applyAlignment="1">
      <alignment horizontal="left"/>
    </xf>
    <xf numFmtId="0" fontId="5" fillId="2" borderId="69" xfId="0" applyFont="1" applyFill="1" applyBorder="1" applyAlignment="1">
      <alignment horizontal="left"/>
    </xf>
    <xf numFmtId="0" fontId="5" fillId="2" borderId="71" xfId="0" applyFont="1" applyFill="1" applyBorder="1" applyAlignment="1">
      <alignment horizontal="left"/>
    </xf>
    <xf numFmtId="0" fontId="5" fillId="2" borderId="70" xfId="0" applyFont="1" applyFill="1" applyBorder="1" applyAlignment="1">
      <alignment horizontal="left"/>
    </xf>
    <xf numFmtId="0" fontId="10" fillId="2" borderId="54" xfId="0" applyFont="1" applyFill="1" applyBorder="1" applyAlignment="1">
      <alignment horizontal="center" vertical="center" textRotation="180"/>
    </xf>
    <xf numFmtId="0" fontId="10" fillId="2" borderId="4" xfId="0" applyFont="1" applyFill="1" applyBorder="1" applyAlignment="1">
      <alignment horizontal="center" vertical="center" textRotation="180"/>
    </xf>
    <xf numFmtId="0" fontId="10" fillId="2" borderId="37" xfId="0" applyFont="1" applyFill="1" applyBorder="1" applyAlignment="1">
      <alignment horizontal="center" vertical="center" textRotation="180"/>
    </xf>
    <xf numFmtId="0" fontId="10" fillId="2" borderId="5"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61" xfId="0" applyFont="1" applyFill="1" applyBorder="1" applyAlignment="1">
      <alignment horizontal="center" vertical="center"/>
    </xf>
    <xf numFmtId="0" fontId="5" fillId="2" borderId="14" xfId="0" applyFont="1" applyFill="1" applyBorder="1" applyAlignment="1">
      <alignment horizontal="left"/>
    </xf>
    <xf numFmtId="0" fontId="5" fillId="2" borderId="15" xfId="0" applyFont="1" applyFill="1" applyBorder="1" applyAlignment="1">
      <alignment horizontal="left"/>
    </xf>
    <xf numFmtId="165" fontId="14" fillId="0" borderId="14" xfId="0" applyNumberFormat="1" applyFont="1" applyFill="1" applyBorder="1" applyAlignment="1">
      <alignment horizontal="left"/>
    </xf>
    <xf numFmtId="165" fontId="14" fillId="0" borderId="15" xfId="0" applyNumberFormat="1" applyFont="1" applyFill="1" applyBorder="1" applyAlignment="1">
      <alignment horizontal="left"/>
    </xf>
    <xf numFmtId="165" fontId="14" fillId="0" borderId="16" xfId="0" applyNumberFormat="1" applyFont="1" applyFill="1" applyBorder="1" applyAlignment="1">
      <alignment horizontal="left"/>
    </xf>
    <xf numFmtId="0" fontId="14" fillId="0" borderId="17" xfId="0" applyFont="1" applyFill="1" applyBorder="1" applyAlignment="1">
      <alignment horizontal="left"/>
    </xf>
    <xf numFmtId="0" fontId="14" fillId="0" borderId="18" xfId="0" applyFont="1" applyFill="1" applyBorder="1" applyAlignment="1">
      <alignment horizontal="left"/>
    </xf>
    <xf numFmtId="0" fontId="14" fillId="0" borderId="19" xfId="0" applyFont="1" applyFill="1" applyBorder="1" applyAlignment="1">
      <alignment horizontal="left"/>
    </xf>
    <xf numFmtId="0" fontId="1" fillId="0" borderId="45" xfId="0" applyFont="1" applyBorder="1" applyAlignment="1">
      <alignment horizontal="left" wrapText="1"/>
    </xf>
    <xf numFmtId="165" fontId="1" fillId="0" borderId="43" xfId="0" applyNumberFormat="1" applyFont="1" applyBorder="1" applyAlignment="1">
      <alignment horizontal="left" wrapText="1"/>
    </xf>
    <xf numFmtId="165" fontId="1" fillId="0" borderId="46" xfId="0" applyNumberFormat="1" applyFont="1" applyBorder="1" applyAlignment="1">
      <alignment horizontal="left" wrapText="1"/>
    </xf>
    <xf numFmtId="0" fontId="0" fillId="0" borderId="9" xfId="0" applyBorder="1" applyAlignment="1">
      <alignment horizontal="left"/>
    </xf>
    <xf numFmtId="0" fontId="0" fillId="0" borderId="10" xfId="0" applyBorder="1" applyAlignment="1">
      <alignment horizontal="left"/>
    </xf>
    <xf numFmtId="165" fontId="0" fillId="0" borderId="21" xfId="0" applyNumberFormat="1" applyBorder="1" applyAlignment="1">
      <alignment horizontal="left"/>
    </xf>
    <xf numFmtId="165" fontId="0" fillId="0" borderId="22" xfId="0" applyNumberFormat="1" applyBorder="1" applyAlignment="1">
      <alignment horizontal="left"/>
    </xf>
    <xf numFmtId="0" fontId="1" fillId="0" borderId="9" xfId="0" applyFont="1" applyBorder="1" applyAlignment="1">
      <alignment horizontal="left" wrapText="1"/>
    </xf>
    <xf numFmtId="0" fontId="1" fillId="0" borderId="21" xfId="0" applyFont="1" applyBorder="1" applyAlignment="1">
      <alignment horizontal="left" wrapText="1"/>
    </xf>
    <xf numFmtId="0" fontId="5" fillId="2" borderId="9" xfId="0" applyFont="1" applyFill="1" applyBorder="1" applyAlignment="1">
      <alignment horizontal="left"/>
    </xf>
    <xf numFmtId="0" fontId="5" fillId="2" borderId="21" xfId="0" applyFont="1" applyFill="1" applyBorder="1" applyAlignment="1">
      <alignment horizontal="left"/>
    </xf>
    <xf numFmtId="17" fontId="2" fillId="8" borderId="2" xfId="0" applyNumberFormat="1" applyFont="1" applyFill="1" applyBorder="1" applyAlignment="1">
      <alignment horizontal="left" vertical="center" wrapText="1"/>
    </xf>
    <xf numFmtId="0" fontId="10" fillId="2" borderId="2" xfId="0" applyFont="1" applyFill="1" applyBorder="1" applyAlignment="1">
      <alignment horizontal="center" vertical="top"/>
    </xf>
    <xf numFmtId="0" fontId="5" fillId="2" borderId="2" xfId="0" applyFont="1" applyFill="1" applyBorder="1" applyAlignment="1">
      <alignment horizontal="left"/>
    </xf>
    <xf numFmtId="0" fontId="1" fillId="0" borderId="2" xfId="0" applyFont="1" applyBorder="1" applyAlignment="1">
      <alignment horizontal="left" wrapText="1"/>
    </xf>
    <xf numFmtId="0" fontId="0" fillId="0" borderId="2" xfId="0" applyBorder="1" applyAlignment="1">
      <alignment horizontal="left"/>
    </xf>
    <xf numFmtId="165" fontId="0" fillId="0" borderId="2" xfId="0" applyNumberFormat="1" applyBorder="1" applyAlignment="1">
      <alignment horizontal="left"/>
    </xf>
    <xf numFmtId="0" fontId="5" fillId="2" borderId="29" xfId="0" applyFont="1" applyFill="1" applyBorder="1" applyAlignment="1">
      <alignment horizontal="left"/>
    </xf>
    <xf numFmtId="0" fontId="5" fillId="2" borderId="49" xfId="0" applyFont="1" applyFill="1" applyBorder="1" applyAlignment="1">
      <alignment horizontal="left"/>
    </xf>
    <xf numFmtId="165" fontId="5" fillId="2" borderId="50" xfId="0" applyNumberFormat="1" applyFont="1" applyFill="1" applyBorder="1" applyAlignment="1">
      <alignment horizontal="left"/>
    </xf>
    <xf numFmtId="165" fontId="5" fillId="2" borderId="51" xfId="0" applyNumberFormat="1" applyFont="1" applyFill="1" applyBorder="1" applyAlignment="1">
      <alignment horizontal="left"/>
    </xf>
    <xf numFmtId="0" fontId="1" fillId="0" borderId="50" xfId="0" applyFont="1" applyBorder="1" applyAlignment="1">
      <alignment horizontal="left" wrapText="1"/>
    </xf>
    <xf numFmtId="0" fontId="1" fillId="0" borderId="60" xfId="0" applyFont="1" applyBorder="1" applyAlignment="1">
      <alignment horizontal="left" wrapText="1"/>
    </xf>
    <xf numFmtId="0" fontId="1" fillId="0" borderId="51" xfId="0" applyFont="1" applyBorder="1" applyAlignment="1">
      <alignment horizontal="left" wrapText="1"/>
    </xf>
  </cellXfs>
  <cellStyles count="3">
    <cellStyle name="Hyperlink" xfId="1" builtinId="8"/>
    <cellStyle name="Normal" xfId="0" builtinId="0"/>
    <cellStyle name="Percent" xfId="2" builtinId="5"/>
  </cellStyles>
  <dxfs count="48">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rgb="FF00B050"/>
      </font>
      <fill>
        <patternFill>
          <bgColor rgb="FF00B050"/>
        </patternFill>
      </fill>
    </dxf>
    <dxf>
      <font>
        <color rgb="FFFFFF00"/>
      </font>
      <fill>
        <patternFill>
          <bgColor rgb="FFFFFF00"/>
        </patternFill>
      </fill>
    </dxf>
    <dxf>
      <font>
        <color rgb="FFFF0000"/>
      </font>
      <fill>
        <patternFill>
          <bgColor rgb="FFFF0000"/>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ont>
        <condense val="0"/>
        <extend val="0"/>
        <color rgb="FF9C0006"/>
      </font>
      <fill>
        <patternFill>
          <bgColor rgb="FFFFC7CE"/>
        </patternFill>
      </fill>
    </dxf>
    <dxf>
      <font>
        <color auto="1"/>
      </font>
      <fill>
        <patternFill>
          <bgColor theme="9" tint="0.39994506668294322"/>
        </patternFill>
      </fill>
    </dxf>
    <dxf>
      <font>
        <condense val="0"/>
        <extend val="0"/>
        <color rgb="FF9C0006"/>
      </font>
      <fill>
        <patternFill>
          <bgColor rgb="FFFFC7CE"/>
        </patternFill>
      </fill>
    </dxf>
    <dxf>
      <font>
        <strike val="0"/>
        <color auto="1"/>
      </font>
      <fill>
        <patternFill>
          <bgColor theme="6" tint="0.39994506668294322"/>
        </patternFill>
      </fill>
    </dxf>
    <dxf>
      <font>
        <color auto="1"/>
      </font>
      <fill>
        <patternFill>
          <bgColor theme="3" tint="0.59996337778862885"/>
        </patternFill>
      </fill>
    </dxf>
    <dxf>
      <font>
        <color auto="1"/>
      </font>
      <fill>
        <patternFill>
          <bgColor theme="9" tint="0.39994506668294322"/>
        </patternFill>
      </fill>
    </dxf>
    <dxf>
      <font>
        <color auto="1"/>
      </font>
      <fill>
        <patternFill>
          <bgColor theme="3" tint="0.59996337778862885"/>
        </patternFill>
      </fill>
    </dxf>
    <dxf>
      <font>
        <strike val="0"/>
        <color auto="1"/>
      </font>
      <fill>
        <patternFill>
          <bgColor theme="6" tint="0.39994506668294322"/>
        </patternFill>
      </fill>
    </dxf>
    <dxf>
      <fill>
        <patternFill>
          <bgColor rgb="FF00B050"/>
        </patternFill>
      </fill>
    </dxf>
    <dxf>
      <fill>
        <patternFill>
          <bgColor rgb="FFFFFF00"/>
        </patternFill>
      </fill>
    </dxf>
    <dxf>
      <fill>
        <patternFill>
          <bgColor rgb="FFFF0000"/>
        </patternFill>
      </fill>
    </dxf>
    <dxf>
      <font>
        <color auto="1"/>
      </font>
      <fill>
        <patternFill>
          <bgColor theme="6" tint="0.39994506668294322"/>
        </patternFill>
      </fill>
    </dxf>
    <dxf>
      <fill>
        <patternFill>
          <bgColor theme="4" tint="0.59996337778862885"/>
        </patternFill>
      </fill>
    </dxf>
    <dxf>
      <font>
        <color auto="1"/>
      </font>
      <fill>
        <patternFill>
          <bgColor theme="6" tint="0.39994506668294322"/>
        </patternFill>
      </fill>
    </dxf>
    <dxf>
      <fill>
        <patternFill>
          <bgColor theme="4" tint="0.59996337778862885"/>
        </patternFill>
      </fill>
    </dxf>
    <dxf>
      <font>
        <color auto="1"/>
      </font>
      <fill>
        <patternFill>
          <bgColor theme="6" tint="0.39994506668294322"/>
        </patternFill>
      </fill>
    </dxf>
    <dxf>
      <fill>
        <patternFill>
          <bgColor theme="4" tint="0.59996337778862885"/>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18"/>
  <sheetViews>
    <sheetView tabSelected="1" workbookViewId="0">
      <selection sqref="A1:B1"/>
    </sheetView>
  </sheetViews>
  <sheetFormatPr defaultRowHeight="15" x14ac:dyDescent="0.25"/>
  <cols>
    <col min="1" max="1" width="19.28515625" customWidth="1"/>
    <col min="2" max="2" width="108.42578125" customWidth="1"/>
  </cols>
  <sheetData>
    <row r="1" spans="1:2" s="13" customFormat="1" ht="28.5" customHeight="1" x14ac:dyDescent="0.3">
      <c r="A1" s="180" t="s">
        <v>145</v>
      </c>
      <c r="B1" s="181"/>
    </row>
    <row r="2" spans="1:2" s="13" customFormat="1" ht="28.5" customHeight="1" x14ac:dyDescent="0.3">
      <c r="A2" s="161"/>
      <c r="B2" s="162"/>
    </row>
    <row r="3" spans="1:2" ht="25.5" customHeight="1" x14ac:dyDescent="0.25">
      <c r="A3" s="182" t="s">
        <v>13</v>
      </c>
      <c r="B3" s="183"/>
    </row>
    <row r="4" spans="1:2" x14ac:dyDescent="0.25">
      <c r="A4" s="182"/>
      <c r="B4" s="183"/>
    </row>
    <row r="5" spans="1:2" ht="15.75" thickBot="1" x14ac:dyDescent="0.3">
      <c r="A5" s="184" t="s">
        <v>14</v>
      </c>
      <c r="B5" s="185"/>
    </row>
    <row r="6" spans="1:2" ht="29.25" customHeight="1" x14ac:dyDescent="0.25">
      <c r="A6" s="163" t="s">
        <v>49</v>
      </c>
      <c r="B6" s="164" t="s">
        <v>61</v>
      </c>
    </row>
    <row r="7" spans="1:2" ht="30" customHeight="1" x14ac:dyDescent="0.25">
      <c r="A7" s="165" t="s">
        <v>68</v>
      </c>
      <c r="B7" s="166" t="s">
        <v>69</v>
      </c>
    </row>
    <row r="8" spans="1:2" ht="30" customHeight="1" x14ac:dyDescent="0.25">
      <c r="A8" s="165" t="s">
        <v>22</v>
      </c>
      <c r="B8" s="166" t="s">
        <v>21</v>
      </c>
    </row>
    <row r="9" spans="1:2" ht="30" customHeight="1" x14ac:dyDescent="0.25">
      <c r="A9" s="165" t="s">
        <v>82</v>
      </c>
      <c r="B9" s="166" t="s">
        <v>83</v>
      </c>
    </row>
    <row r="10" spans="1:2" ht="30" customHeight="1" x14ac:dyDescent="0.25">
      <c r="A10" s="165" t="s">
        <v>84</v>
      </c>
      <c r="B10" s="166" t="s">
        <v>85</v>
      </c>
    </row>
    <row r="11" spans="1:2" ht="38.25" x14ac:dyDescent="0.25">
      <c r="A11" s="165" t="s">
        <v>50</v>
      </c>
      <c r="B11" s="166" t="s">
        <v>52</v>
      </c>
    </row>
    <row r="12" spans="1:2" ht="38.25" x14ac:dyDescent="0.25">
      <c r="A12" s="165" t="s">
        <v>15</v>
      </c>
      <c r="B12" s="166" t="s">
        <v>16</v>
      </c>
    </row>
    <row r="13" spans="1:2" ht="38.25" x14ac:dyDescent="0.25">
      <c r="A13" s="165" t="s">
        <v>55</v>
      </c>
      <c r="B13" s="166" t="s">
        <v>19</v>
      </c>
    </row>
    <row r="14" spans="1:2" ht="25.5" x14ac:dyDescent="0.25">
      <c r="A14" s="165" t="s">
        <v>17</v>
      </c>
      <c r="B14" s="166" t="s">
        <v>18</v>
      </c>
    </row>
    <row r="15" spans="1:2" ht="21.75" customHeight="1" x14ac:dyDescent="0.25">
      <c r="A15" s="165" t="s">
        <v>56</v>
      </c>
      <c r="B15" s="166" t="s">
        <v>20</v>
      </c>
    </row>
    <row r="16" spans="1:2" ht="21.75" customHeight="1" x14ac:dyDescent="0.25">
      <c r="A16" s="165" t="s">
        <v>57</v>
      </c>
      <c r="B16" s="166" t="s">
        <v>58</v>
      </c>
    </row>
    <row r="17" spans="1:2" ht="21.75" customHeight="1" x14ac:dyDescent="0.25">
      <c r="A17" s="165" t="s">
        <v>59</v>
      </c>
      <c r="B17" s="166" t="s">
        <v>60</v>
      </c>
    </row>
    <row r="18" spans="1:2" ht="15.75" thickBot="1" x14ac:dyDescent="0.3">
      <c r="A18" s="167" t="s">
        <v>78</v>
      </c>
      <c r="B18" s="168" t="s">
        <v>81</v>
      </c>
    </row>
  </sheetData>
  <mergeCells count="4">
    <mergeCell ref="A1:B1"/>
    <mergeCell ref="A4:B4"/>
    <mergeCell ref="A5:B5"/>
    <mergeCell ref="A3:B3"/>
  </mergeCells>
  <pageMargins left="0.25" right="0.25" top="1.25" bottom="0.75" header="0.3" footer="0.3"/>
  <pageSetup orientation="landscape" horizontalDpi="300" verticalDpi="300" r:id="rId1"/>
  <headerFooter>
    <oddHeader>&amp;L&amp;G&amp;R&amp;"-,Bold"&amp;18Definitions</oddHeader>
    <oddFooter>&amp;C&amp;P&amp;R&amp;D</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D47"/>
  <sheetViews>
    <sheetView zoomScaleNormal="100" workbookViewId="0">
      <selection activeCell="A2" sqref="A2"/>
    </sheetView>
  </sheetViews>
  <sheetFormatPr defaultRowHeight="15" x14ac:dyDescent="0.25"/>
  <cols>
    <col min="1" max="1" width="18.42578125" customWidth="1"/>
    <col min="2" max="2" width="54.5703125" customWidth="1"/>
    <col min="3" max="3" width="16.85546875" customWidth="1"/>
    <col min="4" max="4" width="36.7109375" customWidth="1"/>
    <col min="7" max="7" width="26.140625" bestFit="1" customWidth="1"/>
  </cols>
  <sheetData>
    <row r="1" spans="1:4" x14ac:dyDescent="0.25">
      <c r="A1" s="54" t="s">
        <v>23</v>
      </c>
      <c r="B1" s="55"/>
      <c r="C1" s="27" t="s">
        <v>25</v>
      </c>
      <c r="D1" s="56"/>
    </row>
    <row r="2" spans="1:4" ht="15.75" thickBot="1" x14ac:dyDescent="0.3">
      <c r="A2" s="57" t="s">
        <v>39</v>
      </c>
      <c r="B2" s="58"/>
      <c r="C2" s="59" t="s">
        <v>41</v>
      </c>
      <c r="D2" s="60"/>
    </row>
    <row r="3" spans="1:4" ht="84.75" customHeight="1" thickBot="1" x14ac:dyDescent="0.3">
      <c r="A3" s="30" t="s">
        <v>27</v>
      </c>
      <c r="B3" s="186"/>
      <c r="C3" s="186"/>
      <c r="D3" s="187"/>
    </row>
    <row r="4" spans="1:4" ht="48" customHeight="1" thickBot="1" x14ac:dyDescent="0.3">
      <c r="A4" s="29" t="s">
        <v>28</v>
      </c>
      <c r="B4" s="188"/>
      <c r="C4" s="188"/>
      <c r="D4" s="189"/>
    </row>
    <row r="5" spans="1:4" ht="15.75" thickBot="1" x14ac:dyDescent="0.3">
      <c r="A5" s="28" t="s">
        <v>29</v>
      </c>
      <c r="B5" s="190"/>
      <c r="C5" s="186"/>
      <c r="D5" s="187"/>
    </row>
    <row r="6" spans="1:4" x14ac:dyDescent="0.25">
      <c r="A6" s="245" t="s">
        <v>30</v>
      </c>
      <c r="B6" s="27" t="s">
        <v>31</v>
      </c>
      <c r="C6" s="191" t="s">
        <v>32</v>
      </c>
      <c r="D6" s="192"/>
    </row>
    <row r="7" spans="1:4" x14ac:dyDescent="0.25">
      <c r="A7" s="255"/>
      <c r="B7" s="16"/>
      <c r="C7" s="193"/>
      <c r="D7" s="194"/>
    </row>
    <row r="8" spans="1:4" x14ac:dyDescent="0.25">
      <c r="A8" s="255"/>
      <c r="B8" s="16"/>
      <c r="C8" s="193"/>
      <c r="D8" s="194"/>
    </row>
    <row r="9" spans="1:4" x14ac:dyDescent="0.25">
      <c r="A9" s="255"/>
      <c r="B9" s="16"/>
      <c r="C9" s="198"/>
      <c r="D9" s="194"/>
    </row>
    <row r="10" spans="1:4" x14ac:dyDescent="0.25">
      <c r="A10" s="255"/>
      <c r="B10" s="16"/>
      <c r="C10" s="201"/>
      <c r="D10" s="202"/>
    </row>
    <row r="11" spans="1:4" x14ac:dyDescent="0.25">
      <c r="A11" s="255"/>
      <c r="B11" s="16"/>
      <c r="C11" s="201"/>
      <c r="D11" s="202"/>
    </row>
    <row r="12" spans="1:4" x14ac:dyDescent="0.25">
      <c r="A12" s="255"/>
      <c r="B12" s="16"/>
      <c r="C12" s="201"/>
      <c r="D12" s="202"/>
    </row>
    <row r="13" spans="1:4" x14ac:dyDescent="0.25">
      <c r="A13" s="255"/>
      <c r="B13" s="16"/>
      <c r="C13" s="201"/>
      <c r="D13" s="202"/>
    </row>
    <row r="14" spans="1:4" x14ac:dyDescent="0.25">
      <c r="A14" s="255"/>
      <c r="B14" s="16"/>
      <c r="C14" s="201"/>
      <c r="D14" s="202"/>
    </row>
    <row r="15" spans="1:4" x14ac:dyDescent="0.25">
      <c r="A15" s="255"/>
      <c r="B15" s="16"/>
      <c r="C15" s="201"/>
      <c r="D15" s="202"/>
    </row>
    <row r="16" spans="1:4" x14ac:dyDescent="0.25">
      <c r="A16" s="255"/>
      <c r="B16" s="16"/>
      <c r="C16" s="201"/>
      <c r="D16" s="202"/>
    </row>
    <row r="17" spans="1:4" ht="15.75" thickBot="1" x14ac:dyDescent="0.3">
      <c r="A17" s="256"/>
      <c r="B17" s="81"/>
      <c r="C17" s="257"/>
      <c r="D17" s="258"/>
    </row>
    <row r="18" spans="1:4" x14ac:dyDescent="0.25">
      <c r="A18" s="203" t="s">
        <v>33</v>
      </c>
      <c r="B18" s="84" t="s">
        <v>33</v>
      </c>
      <c r="C18" s="205" t="s">
        <v>71</v>
      </c>
      <c r="D18" s="206"/>
    </row>
    <row r="19" spans="1:4" x14ac:dyDescent="0.25">
      <c r="A19" s="204"/>
      <c r="B19" s="83"/>
      <c r="C19" s="207"/>
      <c r="D19" s="208"/>
    </row>
    <row r="20" spans="1:4" x14ac:dyDescent="0.25">
      <c r="A20" s="204"/>
      <c r="B20" s="83"/>
      <c r="C20" s="207"/>
      <c r="D20" s="208"/>
    </row>
    <row r="21" spans="1:4" x14ac:dyDescent="0.25">
      <c r="A21" s="204"/>
      <c r="B21" s="83"/>
      <c r="C21" s="207"/>
      <c r="D21" s="208"/>
    </row>
    <row r="22" spans="1:4" x14ac:dyDescent="0.25">
      <c r="A22" s="204"/>
      <c r="B22" s="83"/>
      <c r="C22" s="207"/>
      <c r="D22" s="208"/>
    </row>
    <row r="23" spans="1:4" x14ac:dyDescent="0.25">
      <c r="A23" s="204"/>
      <c r="B23" s="83"/>
      <c r="C23" s="207"/>
      <c r="D23" s="211"/>
    </row>
    <row r="24" spans="1:4" ht="15.75" thickBot="1" x14ac:dyDescent="0.3">
      <c r="A24" s="204"/>
      <c r="B24" s="85"/>
      <c r="C24" s="209"/>
      <c r="D24" s="210"/>
    </row>
    <row r="25" spans="1:4" ht="15.75" thickBot="1" x14ac:dyDescent="0.3">
      <c r="A25" s="82" t="s">
        <v>54</v>
      </c>
      <c r="B25" s="86"/>
      <c r="C25" s="199"/>
      <c r="D25" s="200"/>
    </row>
    <row r="26" spans="1:4" x14ac:dyDescent="0.25">
      <c r="A26" s="229" t="s">
        <v>40</v>
      </c>
      <c r="B26" s="236" t="s">
        <v>34</v>
      </c>
      <c r="C26" s="237"/>
      <c r="D26" s="238"/>
    </row>
    <row r="27" spans="1:4" x14ac:dyDescent="0.25">
      <c r="A27" s="230"/>
      <c r="B27" s="195"/>
      <c r="C27" s="196"/>
      <c r="D27" s="197"/>
    </row>
    <row r="28" spans="1:4" x14ac:dyDescent="0.25">
      <c r="A28" s="230"/>
      <c r="B28" s="195"/>
      <c r="C28" s="196"/>
      <c r="D28" s="197"/>
    </row>
    <row r="29" spans="1:4" x14ac:dyDescent="0.25">
      <c r="A29" s="230"/>
      <c r="B29" s="195"/>
      <c r="C29" s="196"/>
      <c r="D29" s="197"/>
    </row>
    <row r="30" spans="1:4" ht="15.75" thickBot="1" x14ac:dyDescent="0.3">
      <c r="A30" s="231"/>
      <c r="B30" s="252"/>
      <c r="C30" s="253"/>
      <c r="D30" s="254"/>
    </row>
    <row r="31" spans="1:4" x14ac:dyDescent="0.25">
      <c r="A31" s="242" t="s">
        <v>35</v>
      </c>
      <c r="B31" s="232"/>
      <c r="C31" s="232"/>
      <c r="D31" s="233"/>
    </row>
    <row r="32" spans="1:4" x14ac:dyDescent="0.25">
      <c r="A32" s="243"/>
      <c r="B32" s="234"/>
      <c r="C32" s="234"/>
      <c r="D32" s="235"/>
    </row>
    <row r="33" spans="1:4" x14ac:dyDescent="0.25">
      <c r="A33" s="243"/>
      <c r="B33" s="234"/>
      <c r="C33" s="234"/>
      <c r="D33" s="235"/>
    </row>
    <row r="34" spans="1:4" ht="15.75" thickBot="1" x14ac:dyDescent="0.3">
      <c r="A34" s="244"/>
      <c r="B34" s="239"/>
      <c r="C34" s="240"/>
      <c r="D34" s="241"/>
    </row>
    <row r="35" spans="1:4" ht="26.25" customHeight="1" x14ac:dyDescent="0.25">
      <c r="A35" s="245" t="s">
        <v>64</v>
      </c>
      <c r="B35" s="250" t="s">
        <v>36</v>
      </c>
      <c r="C35" s="250"/>
      <c r="D35" s="251"/>
    </row>
    <row r="36" spans="1:4" x14ac:dyDescent="0.25">
      <c r="A36" s="246"/>
      <c r="B36" s="221"/>
      <c r="C36" s="221"/>
      <c r="D36" s="222"/>
    </row>
    <row r="37" spans="1:4" x14ac:dyDescent="0.25">
      <c r="A37" s="246"/>
      <c r="B37" s="225" t="s">
        <v>37</v>
      </c>
      <c r="C37" s="225"/>
      <c r="D37" s="226"/>
    </row>
    <row r="38" spans="1:4" x14ac:dyDescent="0.25">
      <c r="A38" s="246"/>
      <c r="B38" s="223"/>
      <c r="C38" s="223"/>
      <c r="D38" s="224"/>
    </row>
    <row r="39" spans="1:4" x14ac:dyDescent="0.25">
      <c r="A39" s="246"/>
      <c r="B39" s="221" t="s">
        <v>38</v>
      </c>
      <c r="C39" s="221"/>
      <c r="D39" s="222"/>
    </row>
    <row r="40" spans="1:4" ht="15.75" thickBot="1" x14ac:dyDescent="0.3">
      <c r="A40" s="247"/>
      <c r="B40" s="248"/>
      <c r="C40" s="248"/>
      <c r="D40" s="249"/>
    </row>
    <row r="41" spans="1:4" ht="15" hidden="1" customHeight="1" x14ac:dyDescent="0.25">
      <c r="A41" s="212" t="s">
        <v>42</v>
      </c>
      <c r="B41" s="215"/>
      <c r="C41" s="216"/>
      <c r="D41" s="217"/>
    </row>
    <row r="42" spans="1:4" x14ac:dyDescent="0.25">
      <c r="A42" s="213"/>
      <c r="B42" s="218"/>
      <c r="C42" s="219"/>
      <c r="D42" s="220"/>
    </row>
    <row r="43" spans="1:4" ht="24.75" customHeight="1" x14ac:dyDescent="0.25">
      <c r="A43" s="213"/>
      <c r="B43" s="221" t="s">
        <v>36</v>
      </c>
      <c r="C43" s="221"/>
      <c r="D43" s="222"/>
    </row>
    <row r="44" spans="1:4" x14ac:dyDescent="0.25">
      <c r="A44" s="213"/>
      <c r="B44" s="223"/>
      <c r="C44" s="223"/>
      <c r="D44" s="224"/>
    </row>
    <row r="45" spans="1:4" x14ac:dyDescent="0.25">
      <c r="A45" s="213"/>
      <c r="B45" s="225" t="s">
        <v>37</v>
      </c>
      <c r="C45" s="225"/>
      <c r="D45" s="226"/>
    </row>
    <row r="46" spans="1:4" x14ac:dyDescent="0.25">
      <c r="A46" s="213"/>
      <c r="B46" s="223"/>
      <c r="C46" s="223"/>
      <c r="D46" s="224"/>
    </row>
    <row r="47" spans="1:4" ht="15.75" thickBot="1" x14ac:dyDescent="0.3">
      <c r="A47" s="214"/>
      <c r="B47" s="227" t="s">
        <v>38</v>
      </c>
      <c r="C47" s="227"/>
      <c r="D47" s="228"/>
    </row>
  </sheetData>
  <mergeCells count="50">
    <mergeCell ref="A6:A17"/>
    <mergeCell ref="C16:D16"/>
    <mergeCell ref="C14:D14"/>
    <mergeCell ref="C17:D17"/>
    <mergeCell ref="C15:D15"/>
    <mergeCell ref="C13:D13"/>
    <mergeCell ref="C12:D12"/>
    <mergeCell ref="C11:D11"/>
    <mergeCell ref="B37:D37"/>
    <mergeCell ref="B38:D38"/>
    <mergeCell ref="B39:D39"/>
    <mergeCell ref="A26:A30"/>
    <mergeCell ref="B31:D31"/>
    <mergeCell ref="B32:D32"/>
    <mergeCell ref="B33:D33"/>
    <mergeCell ref="B26:D26"/>
    <mergeCell ref="B34:D34"/>
    <mergeCell ref="A31:A34"/>
    <mergeCell ref="A35:A40"/>
    <mergeCell ref="B40:D40"/>
    <mergeCell ref="B35:D35"/>
    <mergeCell ref="B36:D36"/>
    <mergeCell ref="B30:D30"/>
    <mergeCell ref="B27:D27"/>
    <mergeCell ref="A41:A47"/>
    <mergeCell ref="B41:D42"/>
    <mergeCell ref="B43:D43"/>
    <mergeCell ref="B44:D44"/>
    <mergeCell ref="B45:D45"/>
    <mergeCell ref="B46:D46"/>
    <mergeCell ref="B47:D47"/>
    <mergeCell ref="A18:A24"/>
    <mergeCell ref="C18:D18"/>
    <mergeCell ref="C19:D19"/>
    <mergeCell ref="C24:D24"/>
    <mergeCell ref="C23:D23"/>
    <mergeCell ref="C22:D22"/>
    <mergeCell ref="C21:D21"/>
    <mergeCell ref="C20:D20"/>
    <mergeCell ref="B28:D28"/>
    <mergeCell ref="C8:D8"/>
    <mergeCell ref="C9:D9"/>
    <mergeCell ref="B29:D29"/>
    <mergeCell ref="C25:D25"/>
    <mergeCell ref="C10:D10"/>
    <mergeCell ref="B3:D3"/>
    <mergeCell ref="B4:D4"/>
    <mergeCell ref="B5:D5"/>
    <mergeCell ref="C6:D6"/>
    <mergeCell ref="C7:D7"/>
  </mergeCells>
  <pageMargins left="0.25" right="0.25" top="1.25" bottom="0.75" header="0.3" footer="0.3"/>
  <pageSetup scale="82" fitToHeight="2" orientation="portrait" horizontalDpi="300" verticalDpi="300" r:id="rId1"/>
  <headerFooter>
    <oddHeader>&amp;L&amp;G&amp;R&amp;"-,Bold"&amp;18Charter Lite</oddHeader>
    <oddFooter>&amp;R&amp;Z&amp;F</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E20"/>
  <sheetViews>
    <sheetView workbookViewId="0">
      <selection activeCell="A2" sqref="A2"/>
    </sheetView>
  </sheetViews>
  <sheetFormatPr defaultRowHeight="15" x14ac:dyDescent="0.25"/>
  <cols>
    <col min="1" max="1" width="29" customWidth="1"/>
    <col min="2" max="2" width="39.140625" customWidth="1"/>
    <col min="3" max="3" width="33.28515625" customWidth="1"/>
    <col min="4" max="4" width="23.140625" customWidth="1"/>
    <col min="5" max="5" width="30.5703125" customWidth="1"/>
  </cols>
  <sheetData>
    <row r="1" spans="1:5" ht="15" customHeight="1" x14ac:dyDescent="0.25">
      <c r="A1" s="40" t="s">
        <v>48</v>
      </c>
      <c r="B1" s="71">
        <f>'Charter Lite'!B1</f>
        <v>0</v>
      </c>
      <c r="C1" s="41" t="s">
        <v>25</v>
      </c>
      <c r="D1" s="259">
        <f>'Charter Lite'!D1</f>
        <v>0</v>
      </c>
      <c r="E1" s="260"/>
    </row>
    <row r="2" spans="1:5" ht="15.75" thickBot="1" x14ac:dyDescent="0.3">
      <c r="A2" s="42" t="s">
        <v>39</v>
      </c>
      <c r="B2" s="72">
        <f>'Charter Lite'!B2</f>
        <v>0</v>
      </c>
      <c r="C2" s="43" t="s">
        <v>41</v>
      </c>
      <c r="D2" s="261">
        <f>'Charter Lite'!D2</f>
        <v>0</v>
      </c>
      <c r="E2" s="262"/>
    </row>
    <row r="3" spans="1:5" x14ac:dyDescent="0.25">
      <c r="A3" s="36"/>
    </row>
    <row r="4" spans="1:5" ht="15.75" thickBot="1" x14ac:dyDescent="0.3">
      <c r="A4" s="36"/>
    </row>
    <row r="5" spans="1:5" x14ac:dyDescent="0.25">
      <c r="A5" s="44" t="s">
        <v>51</v>
      </c>
      <c r="B5" s="45" t="s">
        <v>65</v>
      </c>
      <c r="C5" s="45" t="s">
        <v>66</v>
      </c>
      <c r="D5" s="45" t="s">
        <v>63</v>
      </c>
      <c r="E5" s="46" t="s">
        <v>67</v>
      </c>
    </row>
    <row r="6" spans="1:5" x14ac:dyDescent="0.25">
      <c r="A6" s="47"/>
      <c r="B6" s="39"/>
      <c r="C6" s="39"/>
      <c r="D6" s="38"/>
      <c r="E6" s="48"/>
    </row>
    <row r="7" spans="1:5" x14ac:dyDescent="0.25">
      <c r="A7" s="47"/>
      <c r="B7" s="39"/>
      <c r="C7" s="39"/>
      <c r="D7" s="38"/>
      <c r="E7" s="48"/>
    </row>
    <row r="8" spans="1:5" x14ac:dyDescent="0.25">
      <c r="A8" s="47"/>
      <c r="B8" s="39"/>
      <c r="C8" s="39"/>
      <c r="D8" s="38"/>
      <c r="E8" s="48"/>
    </row>
    <row r="9" spans="1:5" x14ac:dyDescent="0.25">
      <c r="A9" s="47"/>
      <c r="B9" s="39"/>
      <c r="C9" s="39"/>
      <c r="D9" s="38"/>
      <c r="E9" s="48"/>
    </row>
    <row r="10" spans="1:5" x14ac:dyDescent="0.25">
      <c r="A10" s="47"/>
      <c r="B10" s="39"/>
      <c r="C10" s="39"/>
      <c r="D10" s="38"/>
      <c r="E10" s="49"/>
    </row>
    <row r="11" spans="1:5" x14ac:dyDescent="0.25">
      <c r="A11" s="47"/>
      <c r="B11" s="39"/>
      <c r="C11" s="39"/>
      <c r="D11" s="38"/>
      <c r="E11" s="49"/>
    </row>
    <row r="12" spans="1:5" x14ac:dyDescent="0.25">
      <c r="A12" s="47"/>
      <c r="B12" s="39"/>
      <c r="C12" s="39"/>
      <c r="D12" s="38"/>
      <c r="E12" s="49"/>
    </row>
    <row r="13" spans="1:5" x14ac:dyDescent="0.25">
      <c r="A13" s="47"/>
      <c r="B13" s="39"/>
      <c r="C13" s="39"/>
      <c r="D13" s="38"/>
      <c r="E13" s="49"/>
    </row>
    <row r="14" spans="1:5" x14ac:dyDescent="0.25">
      <c r="A14" s="47"/>
      <c r="B14" s="39"/>
      <c r="C14" s="39"/>
      <c r="D14" s="38"/>
      <c r="E14" s="49"/>
    </row>
    <row r="15" spans="1:5" x14ac:dyDescent="0.25">
      <c r="A15" s="47"/>
      <c r="B15" s="39"/>
      <c r="C15" s="39"/>
      <c r="D15" s="38"/>
      <c r="E15" s="49"/>
    </row>
    <row r="16" spans="1:5" x14ac:dyDescent="0.25">
      <c r="A16" s="47"/>
      <c r="B16" s="39"/>
      <c r="C16" s="39"/>
      <c r="D16" s="38"/>
      <c r="E16" s="49"/>
    </row>
    <row r="17" spans="1:5" x14ac:dyDescent="0.25">
      <c r="A17" s="47"/>
      <c r="B17" s="39"/>
      <c r="C17" s="39"/>
      <c r="D17" s="38"/>
      <c r="E17" s="49"/>
    </row>
    <row r="18" spans="1:5" x14ac:dyDescent="0.25">
      <c r="A18" s="47"/>
      <c r="B18" s="39"/>
      <c r="C18" s="39"/>
      <c r="D18" s="38"/>
      <c r="E18" s="49"/>
    </row>
    <row r="19" spans="1:5" x14ac:dyDescent="0.25">
      <c r="A19" s="47"/>
      <c r="B19" s="39"/>
      <c r="C19" s="39"/>
      <c r="D19" s="38"/>
      <c r="E19" s="49"/>
    </row>
    <row r="20" spans="1:5" ht="15.75" thickBot="1" x14ac:dyDescent="0.3">
      <c r="A20" s="50"/>
      <c r="B20" s="51"/>
      <c r="C20" s="51"/>
      <c r="D20" s="52"/>
      <c r="E20" s="53"/>
    </row>
  </sheetData>
  <mergeCells count="2">
    <mergeCell ref="D1:E1"/>
    <mergeCell ref="D2:E2"/>
  </mergeCells>
  <pageMargins left="0.7" right="0.7" top="1.25" bottom="0.75" header="0.3" footer="0.3"/>
  <pageSetup scale="80" orientation="landscape" horizontalDpi="300" verticalDpi="300" r:id="rId1"/>
  <headerFooter>
    <oddHeader>&amp;L&amp;G&amp;R&amp;"-,Bold"&amp;18Project Directory</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G23"/>
  <sheetViews>
    <sheetView zoomScaleNormal="100" workbookViewId="0">
      <selection activeCell="A2" sqref="A2"/>
    </sheetView>
  </sheetViews>
  <sheetFormatPr defaultRowHeight="15" x14ac:dyDescent="0.25"/>
  <cols>
    <col min="1" max="1" width="5" customWidth="1"/>
    <col min="2" max="2" width="37.42578125" customWidth="1"/>
    <col min="3" max="3" width="36" customWidth="1"/>
    <col min="4" max="4" width="12.7109375" customWidth="1"/>
    <col min="5" max="6" width="11.42578125" customWidth="1"/>
    <col min="7" max="7" width="18.5703125" customWidth="1"/>
  </cols>
  <sheetData>
    <row r="1" spans="1:7" x14ac:dyDescent="0.25">
      <c r="A1" s="271" t="s">
        <v>23</v>
      </c>
      <c r="B1" s="272"/>
      <c r="C1" s="62">
        <f>'Charter Lite'!B1</f>
        <v>0</v>
      </c>
      <c r="D1" s="63" t="s">
        <v>25</v>
      </c>
      <c r="E1" s="265">
        <f>'Charter Lite'!D1</f>
        <v>0</v>
      </c>
      <c r="F1" s="266"/>
      <c r="G1" s="267"/>
    </row>
    <row r="2" spans="1:7" ht="15.75" thickBot="1" x14ac:dyDescent="0.3">
      <c r="A2" s="273" t="s">
        <v>24</v>
      </c>
      <c r="B2" s="274"/>
      <c r="C2" s="64">
        <f>'Charter Lite'!B2</f>
        <v>0</v>
      </c>
      <c r="D2" s="65" t="s">
        <v>26</v>
      </c>
      <c r="E2" s="268">
        <f>'Charter Lite'!D2</f>
        <v>0</v>
      </c>
      <c r="F2" s="269"/>
      <c r="G2" s="270"/>
    </row>
    <row r="3" spans="1:7" x14ac:dyDescent="0.25">
      <c r="A3" s="263"/>
      <c r="B3" s="264"/>
      <c r="C3" s="264"/>
      <c r="D3" s="264"/>
      <c r="E3" s="264"/>
      <c r="F3" s="264"/>
      <c r="G3" s="61"/>
    </row>
    <row r="4" spans="1:7" ht="26.25" x14ac:dyDescent="0.25">
      <c r="A4" s="11" t="s">
        <v>0</v>
      </c>
      <c r="B4" s="11" t="s">
        <v>43</v>
      </c>
      <c r="C4" s="11" t="s">
        <v>5</v>
      </c>
      <c r="D4" s="11" t="s">
        <v>44</v>
      </c>
      <c r="E4" s="11" t="s">
        <v>45</v>
      </c>
      <c r="F4" s="11" t="s">
        <v>46</v>
      </c>
      <c r="G4" s="11" t="s">
        <v>47</v>
      </c>
    </row>
    <row r="5" spans="1:7" ht="39" x14ac:dyDescent="0.25">
      <c r="A5" s="12">
        <v>1</v>
      </c>
      <c r="B5" s="122" t="s">
        <v>86</v>
      </c>
      <c r="C5" s="122" t="s">
        <v>87</v>
      </c>
      <c r="D5" s="123" t="s">
        <v>88</v>
      </c>
      <c r="E5" s="122" t="s">
        <v>89</v>
      </c>
      <c r="F5" s="123" t="s">
        <v>90</v>
      </c>
      <c r="G5" s="122" t="s">
        <v>91</v>
      </c>
    </row>
    <row r="6" spans="1:7" x14ac:dyDescent="0.25">
      <c r="A6" s="92">
        <v>2</v>
      </c>
      <c r="B6" s="100"/>
      <c r="C6" s="10"/>
      <c r="D6" s="99"/>
      <c r="E6" s="100"/>
      <c r="F6" s="99"/>
      <c r="G6" s="101"/>
    </row>
    <row r="7" spans="1:7" x14ac:dyDescent="0.25">
      <c r="A7" s="92">
        <v>3</v>
      </c>
      <c r="B7" s="100"/>
      <c r="C7" s="10"/>
      <c r="D7" s="99"/>
      <c r="E7" s="100"/>
      <c r="F7" s="99"/>
      <c r="G7" s="101"/>
    </row>
    <row r="8" spans="1:7" x14ac:dyDescent="0.25">
      <c r="A8" s="12"/>
      <c r="B8" s="100"/>
      <c r="C8" s="10"/>
      <c r="D8" s="99"/>
      <c r="E8" s="100"/>
      <c r="F8" s="99"/>
      <c r="G8" s="101"/>
    </row>
    <row r="9" spans="1:7" x14ac:dyDescent="0.25">
      <c r="A9" s="12"/>
      <c r="B9" s="100"/>
      <c r="C9" s="10"/>
      <c r="D9" s="99"/>
      <c r="E9" s="100"/>
      <c r="F9" s="99"/>
      <c r="G9" s="101"/>
    </row>
    <row r="10" spans="1:7" x14ac:dyDescent="0.25">
      <c r="A10" s="12"/>
      <c r="B10" s="100"/>
      <c r="C10" s="10"/>
      <c r="D10" s="99"/>
      <c r="E10" s="100"/>
      <c r="F10" s="99"/>
      <c r="G10" s="101"/>
    </row>
    <row r="11" spans="1:7" x14ac:dyDescent="0.25">
      <c r="A11" s="12"/>
      <c r="B11" s="100"/>
      <c r="C11" s="10"/>
      <c r="D11" s="99"/>
      <c r="E11" s="100"/>
      <c r="F11" s="99"/>
      <c r="G11" s="101"/>
    </row>
    <row r="12" spans="1:7" x14ac:dyDescent="0.25">
      <c r="A12" s="12"/>
      <c r="B12" s="100"/>
      <c r="C12" s="10"/>
      <c r="D12" s="99"/>
      <c r="E12" s="100"/>
      <c r="F12" s="99"/>
      <c r="G12" s="101"/>
    </row>
    <row r="13" spans="1:7" x14ac:dyDescent="0.25">
      <c r="A13" s="12"/>
      <c r="B13" s="100"/>
      <c r="C13" s="10"/>
      <c r="D13" s="99"/>
      <c r="E13" s="100"/>
      <c r="F13" s="99"/>
      <c r="G13" s="101"/>
    </row>
    <row r="14" spans="1:7" x14ac:dyDescent="0.25">
      <c r="A14" s="12"/>
      <c r="B14" s="100"/>
      <c r="C14" s="10"/>
      <c r="D14" s="99"/>
      <c r="E14" s="100"/>
      <c r="F14" s="99"/>
      <c r="G14" s="101"/>
    </row>
    <row r="15" spans="1:7" x14ac:dyDescent="0.25">
      <c r="A15" s="12"/>
      <c r="B15" s="100"/>
      <c r="C15" s="10"/>
      <c r="D15" s="99"/>
      <c r="E15" s="100"/>
      <c r="F15" s="99"/>
      <c r="G15" s="101"/>
    </row>
    <row r="16" spans="1:7" x14ac:dyDescent="0.25">
      <c r="A16" s="12"/>
      <c r="B16" s="100"/>
      <c r="C16" s="10"/>
      <c r="D16" s="99"/>
      <c r="E16" s="100"/>
      <c r="F16" s="99"/>
      <c r="G16" s="101"/>
    </row>
    <row r="17" spans="1:7" x14ac:dyDescent="0.25">
      <c r="A17" s="12"/>
      <c r="B17" s="100"/>
      <c r="C17" s="10"/>
      <c r="D17" s="99"/>
      <c r="E17" s="100"/>
      <c r="F17" s="99"/>
      <c r="G17" s="101"/>
    </row>
    <row r="18" spans="1:7" x14ac:dyDescent="0.25">
      <c r="A18" s="12"/>
      <c r="B18" s="100"/>
      <c r="C18" s="10"/>
      <c r="D18" s="99"/>
      <c r="E18" s="100"/>
      <c r="F18" s="99"/>
      <c r="G18" s="101"/>
    </row>
    <row r="19" spans="1:7" x14ac:dyDescent="0.25">
      <c r="A19" s="12"/>
      <c r="B19" s="100"/>
      <c r="C19" s="10"/>
      <c r="D19" s="99"/>
      <c r="E19" s="100"/>
      <c r="F19" s="99"/>
      <c r="G19" s="101"/>
    </row>
    <row r="20" spans="1:7" x14ac:dyDescent="0.25">
      <c r="A20" s="12"/>
      <c r="B20" s="100"/>
      <c r="C20" s="10"/>
      <c r="D20" s="99"/>
      <c r="E20" s="100"/>
      <c r="F20" s="99"/>
      <c r="G20" s="101"/>
    </row>
    <row r="21" spans="1:7" x14ac:dyDescent="0.25">
      <c r="A21" s="12"/>
      <c r="B21" s="100"/>
      <c r="C21" s="10"/>
      <c r="D21" s="99"/>
      <c r="E21" s="100"/>
      <c r="F21" s="99"/>
      <c r="G21" s="101"/>
    </row>
    <row r="22" spans="1:7" x14ac:dyDescent="0.25">
      <c r="A22" s="12"/>
      <c r="B22" s="100"/>
      <c r="C22" s="10"/>
      <c r="D22" s="99"/>
      <c r="E22" s="100"/>
      <c r="F22" s="99"/>
      <c r="G22" s="101"/>
    </row>
    <row r="23" spans="1:7" x14ac:dyDescent="0.25">
      <c r="A23" s="12"/>
      <c r="B23" s="100"/>
      <c r="C23" s="10"/>
      <c r="D23" s="99"/>
      <c r="E23" s="100"/>
      <c r="F23" s="99"/>
      <c r="G23" s="101"/>
    </row>
  </sheetData>
  <mergeCells count="5">
    <mergeCell ref="A3:F3"/>
    <mergeCell ref="E1:G1"/>
    <mergeCell ref="E2:G2"/>
    <mergeCell ref="A1:B1"/>
    <mergeCell ref="A2:B2"/>
  </mergeCells>
  <pageMargins left="0.25" right="0.25" top="1.25" bottom="0.75" header="0.3" footer="0.3"/>
  <pageSetup orientation="landscape" horizontalDpi="300" verticalDpi="300" r:id="rId1"/>
  <headerFooter>
    <oddHeader>&amp;L&amp;G&amp;R&amp;"-,Bold"&amp;18Communications</oddHead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H12"/>
  <sheetViews>
    <sheetView workbookViewId="0">
      <pane ySplit="4" topLeftCell="A5" activePane="bottomLeft" state="frozen"/>
      <selection activeCell="A2" sqref="A2"/>
      <selection pane="bottomLeft" activeCell="A2" sqref="A2"/>
    </sheetView>
  </sheetViews>
  <sheetFormatPr defaultRowHeight="15" x14ac:dyDescent="0.25"/>
  <cols>
    <col min="1" max="1" width="6.7109375" customWidth="1"/>
    <col min="2" max="2" width="36.5703125" customWidth="1"/>
    <col min="3" max="6" width="14.42578125" customWidth="1"/>
    <col min="7" max="7" width="32.42578125" customWidth="1"/>
    <col min="8" max="8" width="18.5703125" customWidth="1"/>
  </cols>
  <sheetData>
    <row r="1" spans="1:8" x14ac:dyDescent="0.25">
      <c r="A1" s="279" t="s">
        <v>48</v>
      </c>
      <c r="B1" s="280"/>
      <c r="C1" s="277">
        <f>'Charter Lite'!B1</f>
        <v>0</v>
      </c>
      <c r="D1" s="278"/>
      <c r="E1" s="283" t="s">
        <v>25</v>
      </c>
      <c r="F1" s="284"/>
      <c r="G1" s="66">
        <f>'Charter Lite'!D1</f>
        <v>0</v>
      </c>
      <c r="H1" s="9"/>
    </row>
    <row r="2" spans="1:8" ht="15.75" thickBot="1" x14ac:dyDescent="0.3">
      <c r="A2" s="281" t="s">
        <v>39</v>
      </c>
      <c r="B2" s="282"/>
      <c r="C2" s="275">
        <f>'Charter Lite'!B2</f>
        <v>0</v>
      </c>
      <c r="D2" s="276"/>
      <c r="E2" s="285" t="s">
        <v>41</v>
      </c>
      <c r="F2" s="286"/>
      <c r="G2" s="67">
        <f>'Charter Lite'!D2</f>
        <v>0</v>
      </c>
      <c r="H2" s="9"/>
    </row>
    <row r="4" spans="1:8" x14ac:dyDescent="0.25">
      <c r="A4" s="14" t="s">
        <v>0</v>
      </c>
      <c r="B4" s="14" t="s">
        <v>51</v>
      </c>
      <c r="C4" s="14" t="s">
        <v>110</v>
      </c>
      <c r="D4" s="14" t="s">
        <v>111</v>
      </c>
      <c r="E4" s="14" t="s">
        <v>112</v>
      </c>
      <c r="F4" s="14" t="s">
        <v>113</v>
      </c>
      <c r="G4" s="135" t="s">
        <v>3</v>
      </c>
    </row>
    <row r="5" spans="1:8" x14ac:dyDescent="0.25">
      <c r="A5" s="91">
        <v>1</v>
      </c>
      <c r="B5" s="146"/>
      <c r="C5" s="143"/>
      <c r="D5" s="143"/>
      <c r="E5" s="144"/>
      <c r="F5" s="145"/>
      <c r="G5" s="134"/>
    </row>
    <row r="6" spans="1:8" x14ac:dyDescent="0.25">
      <c r="A6" s="91">
        <f>A5+1</f>
        <v>2</v>
      </c>
      <c r="B6" s="146"/>
      <c r="C6" s="143"/>
      <c r="D6" s="143"/>
      <c r="E6" s="144"/>
      <c r="F6" s="145"/>
      <c r="G6" s="134"/>
    </row>
    <row r="7" spans="1:8" x14ac:dyDescent="0.25">
      <c r="A7" s="91">
        <f t="shared" ref="A7:A11" si="0">A6+1</f>
        <v>3</v>
      </c>
      <c r="B7" s="146"/>
      <c r="C7" s="143"/>
      <c r="D7" s="143"/>
      <c r="E7" s="144"/>
      <c r="F7" s="145"/>
      <c r="G7" s="134"/>
    </row>
    <row r="8" spans="1:8" x14ac:dyDescent="0.25">
      <c r="A8" s="91">
        <f t="shared" si="0"/>
        <v>4</v>
      </c>
      <c r="B8" s="146"/>
      <c r="C8" s="143"/>
      <c r="D8" s="143"/>
      <c r="E8" s="144"/>
      <c r="F8" s="145"/>
      <c r="G8" s="134"/>
    </row>
    <row r="9" spans="1:8" x14ac:dyDescent="0.25">
      <c r="A9" s="91">
        <f t="shared" si="0"/>
        <v>5</v>
      </c>
      <c r="B9" s="146"/>
      <c r="C9" s="143"/>
      <c r="D9" s="143"/>
      <c r="E9" s="144"/>
      <c r="F9" s="145"/>
      <c r="G9" s="134"/>
    </row>
    <row r="10" spans="1:8" x14ac:dyDescent="0.25">
      <c r="A10" s="91">
        <f t="shared" si="0"/>
        <v>6</v>
      </c>
      <c r="B10" s="146"/>
      <c r="C10" s="143"/>
      <c r="D10" s="143"/>
      <c r="E10" s="144"/>
      <c r="F10" s="145"/>
      <c r="G10" s="134"/>
    </row>
    <row r="11" spans="1:8" x14ac:dyDescent="0.25">
      <c r="A11" s="91">
        <f t="shared" si="0"/>
        <v>7</v>
      </c>
      <c r="B11" s="147"/>
      <c r="C11" s="143"/>
      <c r="D11" s="143"/>
      <c r="E11" s="144"/>
      <c r="F11" s="145"/>
      <c r="G11" s="134"/>
    </row>
    <row r="12" spans="1:8" x14ac:dyDescent="0.25">
      <c r="A12" s="31"/>
      <c r="B12" s="31"/>
      <c r="C12" s="116"/>
      <c r="D12" s="116"/>
      <c r="E12" s="136"/>
      <c r="F12" s="116"/>
      <c r="G12" s="134"/>
    </row>
  </sheetData>
  <mergeCells count="6">
    <mergeCell ref="C2:D2"/>
    <mergeCell ref="C1:D1"/>
    <mergeCell ref="A1:B1"/>
    <mergeCell ref="A2:B2"/>
    <mergeCell ref="E1:F1"/>
    <mergeCell ref="E2:F2"/>
  </mergeCells>
  <pageMargins left="0.25" right="0.25" top="1.25" bottom="0.75" header="0.3" footer="0.3"/>
  <pageSetup scale="78" fitToHeight="5" orientation="portrait" horizontalDpi="300" verticalDpi="300" r:id="rId1"/>
  <headerFooter>
    <oddHeader>&amp;L&amp;G&amp;R&amp;"-,Bold"&amp;18Schedule</oddHeader>
    <oddFooter>&amp;C&amp;P&amp;R&amp;D</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Z37"/>
  <sheetViews>
    <sheetView zoomScaleNormal="100" workbookViewId="0">
      <selection activeCell="B5" sqref="B5"/>
    </sheetView>
  </sheetViews>
  <sheetFormatPr defaultRowHeight="15" x14ac:dyDescent="0.25"/>
  <cols>
    <col min="1" max="1" width="4" customWidth="1"/>
    <col min="2" max="2" width="26.7109375" customWidth="1"/>
    <col min="3" max="3" width="14.42578125" customWidth="1"/>
    <col min="4" max="4" width="11.5703125" customWidth="1"/>
    <col min="5" max="5" width="9.42578125" customWidth="1"/>
    <col min="6" max="6" width="14.42578125" customWidth="1"/>
    <col min="7" max="7" width="10.7109375" customWidth="1"/>
    <col min="8" max="9" width="10.42578125" customWidth="1"/>
    <col min="10" max="10" width="9.5703125" customWidth="1"/>
    <col min="11" max="11" width="24.42578125" customWidth="1"/>
    <col min="12" max="12" width="28" customWidth="1"/>
    <col min="13" max="13" width="14.85546875" customWidth="1"/>
    <col min="14" max="14" width="11.5703125" customWidth="1"/>
    <col min="15" max="15" width="17.7109375" hidden="1" customWidth="1"/>
    <col min="16" max="16" width="10" customWidth="1"/>
    <col min="23" max="23" width="11.42578125" bestFit="1" customWidth="1"/>
    <col min="25" max="25" width="10.85546875" customWidth="1"/>
  </cols>
  <sheetData>
    <row r="1" spans="1:26" x14ac:dyDescent="0.25">
      <c r="A1" s="279" t="s">
        <v>48</v>
      </c>
      <c r="B1" s="237"/>
      <c r="C1" s="280"/>
      <c r="D1" s="287">
        <f>'Charter Lite'!B1</f>
        <v>0</v>
      </c>
      <c r="E1" s="288"/>
      <c r="F1" s="288"/>
      <c r="G1" s="289"/>
      <c r="H1" s="236" t="s">
        <v>25</v>
      </c>
      <c r="I1" s="237"/>
      <c r="J1" s="237"/>
      <c r="K1" s="280"/>
      <c r="L1" s="307" t="str">
        <f>'Charter Lite'!C1</f>
        <v>Sponsor</v>
      </c>
      <c r="M1" s="308"/>
      <c r="N1" s="308"/>
      <c r="O1" s="308"/>
      <c r="P1" s="309"/>
    </row>
    <row r="2" spans="1:26" ht="15.75" thickBot="1" x14ac:dyDescent="0.3">
      <c r="A2" s="293" t="s">
        <v>39</v>
      </c>
      <c r="B2" s="294"/>
      <c r="C2" s="295"/>
      <c r="D2" s="290">
        <f>'Charter Lite'!B2</f>
        <v>0</v>
      </c>
      <c r="E2" s="291"/>
      <c r="F2" s="291"/>
      <c r="G2" s="292"/>
      <c r="H2" s="302" t="s">
        <v>41</v>
      </c>
      <c r="I2" s="303"/>
      <c r="J2" s="303"/>
      <c r="K2" s="282"/>
      <c r="L2" s="304" t="str">
        <f>'Charter Lite'!C2</f>
        <v>Date Updated</v>
      </c>
      <c r="M2" s="305"/>
      <c r="N2" s="305"/>
      <c r="O2" s="305"/>
      <c r="P2" s="306"/>
    </row>
    <row r="3" spans="1:26" x14ac:dyDescent="0.25">
      <c r="A3" s="16"/>
    </row>
    <row r="4" spans="1:26" ht="30" x14ac:dyDescent="0.25">
      <c r="A4" s="97" t="s">
        <v>0</v>
      </c>
      <c r="B4" s="124" t="s">
        <v>5</v>
      </c>
      <c r="C4" s="172" t="s">
        <v>143</v>
      </c>
      <c r="D4" s="98" t="s">
        <v>1</v>
      </c>
      <c r="E4" s="98" t="s">
        <v>4</v>
      </c>
      <c r="F4" s="98" t="s">
        <v>94</v>
      </c>
      <c r="G4" s="98" t="s">
        <v>70</v>
      </c>
      <c r="H4" s="98" t="s">
        <v>75</v>
      </c>
      <c r="I4" s="98" t="s">
        <v>93</v>
      </c>
      <c r="J4" s="98" t="s">
        <v>92</v>
      </c>
      <c r="K4" s="98" t="s">
        <v>114</v>
      </c>
      <c r="L4" s="98" t="s">
        <v>139</v>
      </c>
      <c r="M4" s="98" t="s">
        <v>138</v>
      </c>
      <c r="N4" s="98" t="s">
        <v>115</v>
      </c>
      <c r="O4" s="97" t="s">
        <v>62</v>
      </c>
      <c r="P4" s="98" t="s">
        <v>116</v>
      </c>
      <c r="R4" s="128" t="s">
        <v>76</v>
      </c>
      <c r="S4" s="128" t="s">
        <v>77</v>
      </c>
    </row>
    <row r="5" spans="1:26" ht="15" customHeight="1" x14ac:dyDescent="0.25">
      <c r="A5" s="125">
        <v>1</v>
      </c>
      <c r="B5" s="178"/>
      <c r="C5" s="173"/>
      <c r="D5" s="19"/>
      <c r="E5" s="19"/>
      <c r="F5" s="19"/>
      <c r="G5" s="76"/>
      <c r="H5" s="76"/>
      <c r="I5" s="96" t="str">
        <f t="shared" ref="I5:I19" si="0">IF(R5=" "," ",IF(S5=" "," ",R5*S5))</f>
        <v xml:space="preserve"> </v>
      </c>
      <c r="J5" s="75"/>
      <c r="K5" s="174"/>
      <c r="L5" s="174"/>
      <c r="M5" s="174"/>
      <c r="N5" s="137"/>
      <c r="O5" s="20"/>
      <c r="P5" s="129"/>
      <c r="R5" s="96" t="str">
        <f>IF(G5="High",3,IF(G5="Moderate",2,IF(G5="Low",1," ")))</f>
        <v xml:space="preserve"> </v>
      </c>
      <c r="S5" s="96" t="str">
        <f>IF(H5="High",6,IF(H5="Moderate",4,IF(H5="Low",2," ")))</f>
        <v xml:space="preserve"> </v>
      </c>
      <c r="V5" s="296" t="s">
        <v>70</v>
      </c>
      <c r="W5" s="299" t="s">
        <v>75</v>
      </c>
      <c r="X5" s="300"/>
      <c r="Y5" s="300"/>
      <c r="Z5" s="301"/>
    </row>
    <row r="6" spans="1:26" x14ac:dyDescent="0.25">
      <c r="A6" s="125">
        <v>2</v>
      </c>
      <c r="B6" s="178"/>
      <c r="C6" s="173"/>
      <c r="D6" s="19"/>
      <c r="E6" s="19"/>
      <c r="F6" s="19"/>
      <c r="G6" s="76"/>
      <c r="H6" s="76"/>
      <c r="I6" s="96" t="str">
        <f t="shared" si="0"/>
        <v xml:space="preserve"> </v>
      </c>
      <c r="J6" s="75"/>
      <c r="K6" s="174"/>
      <c r="L6" s="174"/>
      <c r="M6" s="174"/>
      <c r="N6" s="137"/>
      <c r="O6" s="33"/>
      <c r="P6" s="129"/>
      <c r="R6" s="96" t="str">
        <f t="shared" ref="R6:R19" si="1">IF(G6="High",3,IF(G6="Moderate",2,IF(G6="Low",1," ")))</f>
        <v xml:space="preserve"> </v>
      </c>
      <c r="S6" s="96" t="str">
        <f t="shared" ref="S6:S19" si="2">IF(H6="High",6,IF(H6="Moderate",4,IF(H6="Low",2," ")))</f>
        <v xml:space="preserve"> </v>
      </c>
      <c r="V6" s="297"/>
      <c r="W6" s="104"/>
      <c r="X6" s="104" t="s">
        <v>140</v>
      </c>
      <c r="Y6" s="104" t="s">
        <v>141</v>
      </c>
      <c r="Z6" s="104" t="s">
        <v>142</v>
      </c>
    </row>
    <row r="7" spans="1:26" ht="15" customHeight="1" x14ac:dyDescent="0.25">
      <c r="A7" s="125">
        <v>3</v>
      </c>
      <c r="B7" s="179"/>
      <c r="C7" s="173"/>
      <c r="D7" s="34"/>
      <c r="E7" s="19"/>
      <c r="F7" s="19"/>
      <c r="G7" s="76"/>
      <c r="H7" s="76"/>
      <c r="I7" s="96" t="str">
        <f t="shared" si="0"/>
        <v xml:space="preserve"> </v>
      </c>
      <c r="J7" s="75"/>
      <c r="K7" s="175"/>
      <c r="L7" s="175"/>
      <c r="M7" s="176"/>
      <c r="N7" s="177"/>
      <c r="O7" s="35"/>
      <c r="P7" s="130"/>
      <c r="R7" s="96" t="str">
        <f t="shared" si="1"/>
        <v xml:space="preserve"> </v>
      </c>
      <c r="S7" s="96" t="str">
        <f t="shared" si="2"/>
        <v xml:space="preserve"> </v>
      </c>
      <c r="V7" s="297"/>
      <c r="W7" s="104" t="s">
        <v>140</v>
      </c>
      <c r="X7" s="169">
        <f>6*3</f>
        <v>18</v>
      </c>
      <c r="Y7" s="169">
        <f>3*4</f>
        <v>12</v>
      </c>
      <c r="Z7" s="170">
        <f>3*2</f>
        <v>6</v>
      </c>
    </row>
    <row r="8" spans="1:26" x14ac:dyDescent="0.25">
      <c r="A8" s="126">
        <v>4</v>
      </c>
      <c r="B8" s="179"/>
      <c r="C8" s="173"/>
      <c r="D8" s="34"/>
      <c r="E8" s="19"/>
      <c r="F8" s="19"/>
      <c r="G8" s="76"/>
      <c r="H8" s="76"/>
      <c r="I8" s="96" t="str">
        <f t="shared" si="0"/>
        <v xml:space="preserve"> </v>
      </c>
      <c r="J8" s="75"/>
      <c r="K8" s="174"/>
      <c r="L8" s="174"/>
      <c r="M8" s="174"/>
      <c r="N8" s="177"/>
      <c r="O8" s="35"/>
      <c r="P8" s="130"/>
      <c r="R8" s="96" t="str">
        <f t="shared" si="1"/>
        <v xml:space="preserve"> </v>
      </c>
      <c r="S8" s="96" t="str">
        <f t="shared" si="2"/>
        <v xml:space="preserve"> </v>
      </c>
      <c r="V8" s="297"/>
      <c r="W8" s="104" t="s">
        <v>141</v>
      </c>
      <c r="X8" s="169">
        <f>2*6</f>
        <v>12</v>
      </c>
      <c r="Y8" s="170">
        <f>2*4</f>
        <v>8</v>
      </c>
      <c r="Z8" s="171">
        <f>2*2</f>
        <v>4</v>
      </c>
    </row>
    <row r="9" spans="1:26" ht="15" customHeight="1" x14ac:dyDescent="0.25">
      <c r="A9" s="126">
        <v>5</v>
      </c>
      <c r="B9" s="179"/>
      <c r="C9" s="173"/>
      <c r="D9" s="34"/>
      <c r="E9" s="19"/>
      <c r="F9" s="19"/>
      <c r="G9" s="76"/>
      <c r="H9" s="76"/>
      <c r="I9" s="96" t="str">
        <f t="shared" si="0"/>
        <v xml:space="preserve"> </v>
      </c>
      <c r="J9" s="75"/>
      <c r="K9" s="174"/>
      <c r="L9" s="174"/>
      <c r="M9" s="174"/>
      <c r="N9" s="177"/>
      <c r="O9" s="35"/>
      <c r="P9" s="130"/>
      <c r="R9" s="96" t="str">
        <f t="shared" si="1"/>
        <v xml:space="preserve"> </v>
      </c>
      <c r="S9" s="96" t="str">
        <f t="shared" si="2"/>
        <v xml:space="preserve"> </v>
      </c>
      <c r="V9" s="298"/>
      <c r="W9" s="104" t="s">
        <v>142</v>
      </c>
      <c r="X9" s="170">
        <f>1*6</f>
        <v>6</v>
      </c>
      <c r="Y9" s="171">
        <f>1*4</f>
        <v>4</v>
      </c>
      <c r="Z9" s="171">
        <f>1*2</f>
        <v>2</v>
      </c>
    </row>
    <row r="10" spans="1:26" x14ac:dyDescent="0.25">
      <c r="A10" s="126">
        <v>6</v>
      </c>
      <c r="B10" s="179"/>
      <c r="C10" s="173"/>
      <c r="D10" s="34"/>
      <c r="E10" s="19"/>
      <c r="F10" s="19"/>
      <c r="G10" s="76"/>
      <c r="H10" s="76"/>
      <c r="I10" s="96" t="str">
        <f t="shared" si="0"/>
        <v xml:space="preserve"> </v>
      </c>
      <c r="J10" s="75"/>
      <c r="K10" s="174"/>
      <c r="L10" s="174"/>
      <c r="M10" s="174"/>
      <c r="N10" s="177"/>
      <c r="O10" s="35"/>
      <c r="P10" s="130"/>
      <c r="R10" s="96" t="str">
        <f t="shared" si="1"/>
        <v xml:space="preserve"> </v>
      </c>
      <c r="S10" s="96" t="str">
        <f t="shared" si="2"/>
        <v xml:space="preserve"> </v>
      </c>
    </row>
    <row r="11" spans="1:26" x14ac:dyDescent="0.25">
      <c r="A11" s="126">
        <v>7</v>
      </c>
      <c r="B11" s="179"/>
      <c r="C11" s="173"/>
      <c r="D11" s="34"/>
      <c r="E11" s="19"/>
      <c r="F11" s="19"/>
      <c r="G11" s="76"/>
      <c r="H11" s="76"/>
      <c r="I11" s="96" t="str">
        <f t="shared" si="0"/>
        <v xml:space="preserve"> </v>
      </c>
      <c r="J11" s="75"/>
      <c r="K11" s="174"/>
      <c r="L11" s="174"/>
      <c r="M11" s="174"/>
      <c r="N11" s="177"/>
      <c r="O11" s="35"/>
      <c r="P11" s="130"/>
      <c r="R11" s="96" t="str">
        <f t="shared" si="1"/>
        <v xml:space="preserve"> </v>
      </c>
      <c r="S11" s="96" t="str">
        <f t="shared" si="2"/>
        <v xml:space="preserve"> </v>
      </c>
    </row>
    <row r="12" spans="1:26" x14ac:dyDescent="0.25">
      <c r="A12" s="126">
        <v>8</v>
      </c>
      <c r="B12" s="179"/>
      <c r="C12" s="173"/>
      <c r="D12" s="34"/>
      <c r="E12" s="19"/>
      <c r="F12" s="19"/>
      <c r="G12" s="76"/>
      <c r="H12" s="76"/>
      <c r="I12" s="96" t="str">
        <f t="shared" si="0"/>
        <v xml:space="preserve"> </v>
      </c>
      <c r="J12" s="75"/>
      <c r="K12" s="174"/>
      <c r="L12" s="174"/>
      <c r="M12" s="174"/>
      <c r="N12" s="177"/>
      <c r="O12" s="35"/>
      <c r="P12" s="130"/>
      <c r="R12" s="96" t="str">
        <f t="shared" si="1"/>
        <v xml:space="preserve"> </v>
      </c>
      <c r="S12" s="96" t="str">
        <f t="shared" si="2"/>
        <v xml:space="preserve"> </v>
      </c>
    </row>
    <row r="13" spans="1:26" x14ac:dyDescent="0.25">
      <c r="A13" s="126">
        <v>9</v>
      </c>
      <c r="B13" s="179"/>
      <c r="C13" s="173"/>
      <c r="D13" s="34"/>
      <c r="E13" s="19"/>
      <c r="F13" s="19"/>
      <c r="G13" s="76"/>
      <c r="H13" s="76"/>
      <c r="I13" s="96" t="str">
        <f t="shared" si="0"/>
        <v xml:space="preserve"> </v>
      </c>
      <c r="J13" s="75"/>
      <c r="K13" s="174"/>
      <c r="L13" s="174"/>
      <c r="M13" s="174"/>
      <c r="N13" s="177"/>
      <c r="O13" s="35"/>
      <c r="P13" s="130"/>
      <c r="R13" s="96" t="str">
        <f t="shared" si="1"/>
        <v xml:space="preserve"> </v>
      </c>
      <c r="S13" s="96" t="str">
        <f t="shared" si="2"/>
        <v xml:space="preserve"> </v>
      </c>
    </row>
    <row r="14" spans="1:26" x14ac:dyDescent="0.25">
      <c r="A14" s="126">
        <v>10</v>
      </c>
      <c r="B14" s="179"/>
      <c r="C14" s="173"/>
      <c r="D14" s="34"/>
      <c r="E14" s="19"/>
      <c r="F14" s="19"/>
      <c r="G14" s="76"/>
      <c r="H14" s="76"/>
      <c r="I14" s="96" t="str">
        <f t="shared" si="0"/>
        <v xml:space="preserve"> </v>
      </c>
      <c r="J14" s="75"/>
      <c r="K14" s="174"/>
      <c r="L14" s="174"/>
      <c r="M14" s="174"/>
      <c r="N14" s="177"/>
      <c r="O14" s="35"/>
      <c r="P14" s="130"/>
      <c r="R14" s="96" t="str">
        <f t="shared" si="1"/>
        <v xml:space="preserve"> </v>
      </c>
      <c r="S14" s="96" t="str">
        <f t="shared" si="2"/>
        <v xml:space="preserve"> </v>
      </c>
    </row>
    <row r="15" spans="1:26" x14ac:dyDescent="0.25">
      <c r="A15" s="126">
        <v>11</v>
      </c>
      <c r="B15" s="179"/>
      <c r="C15" s="173"/>
      <c r="D15" s="34"/>
      <c r="E15" s="19"/>
      <c r="F15" s="19"/>
      <c r="G15" s="76"/>
      <c r="H15" s="76"/>
      <c r="I15" s="96" t="str">
        <f t="shared" si="0"/>
        <v xml:space="preserve"> </v>
      </c>
      <c r="J15" s="75"/>
      <c r="K15" s="174"/>
      <c r="L15" s="174"/>
      <c r="M15" s="174"/>
      <c r="N15" s="177"/>
      <c r="O15" s="35"/>
      <c r="P15" s="130"/>
      <c r="R15" s="96" t="str">
        <f t="shared" si="1"/>
        <v xml:space="preserve"> </v>
      </c>
      <c r="S15" s="96" t="str">
        <f t="shared" si="2"/>
        <v xml:space="preserve"> </v>
      </c>
    </row>
    <row r="16" spans="1:26" x14ac:dyDescent="0.25">
      <c r="A16" s="126">
        <v>12</v>
      </c>
      <c r="B16" s="179"/>
      <c r="C16" s="173"/>
      <c r="D16" s="34"/>
      <c r="E16" s="19"/>
      <c r="F16" s="19"/>
      <c r="G16" s="76"/>
      <c r="H16" s="76"/>
      <c r="I16" s="96" t="str">
        <f t="shared" si="0"/>
        <v xml:space="preserve"> </v>
      </c>
      <c r="J16" s="75"/>
      <c r="K16" s="174"/>
      <c r="L16" s="174"/>
      <c r="M16" s="174"/>
      <c r="N16" s="177"/>
      <c r="O16" s="35"/>
      <c r="P16" s="130"/>
      <c r="R16" s="96" t="str">
        <f t="shared" si="1"/>
        <v xml:space="preserve"> </v>
      </c>
      <c r="S16" s="96" t="str">
        <f t="shared" si="2"/>
        <v xml:space="preserve"> </v>
      </c>
    </row>
    <row r="17" spans="1:19" x14ac:dyDescent="0.25">
      <c r="A17" s="126">
        <v>13</v>
      </c>
      <c r="B17" s="179"/>
      <c r="C17" s="173"/>
      <c r="D17" s="34"/>
      <c r="E17" s="19"/>
      <c r="F17" s="19"/>
      <c r="G17" s="76"/>
      <c r="H17" s="76"/>
      <c r="I17" s="96" t="str">
        <f t="shared" si="0"/>
        <v xml:space="preserve"> </v>
      </c>
      <c r="J17" s="75"/>
      <c r="K17" s="174"/>
      <c r="L17" s="174"/>
      <c r="M17" s="174"/>
      <c r="N17" s="177"/>
      <c r="O17" s="35"/>
      <c r="P17" s="130"/>
      <c r="R17" s="96" t="str">
        <f t="shared" si="1"/>
        <v xml:space="preserve"> </v>
      </c>
      <c r="S17" s="96" t="str">
        <f t="shared" si="2"/>
        <v xml:space="preserve"> </v>
      </c>
    </row>
    <row r="18" spans="1:19" x14ac:dyDescent="0.25">
      <c r="A18" s="127">
        <v>14</v>
      </c>
      <c r="B18" s="179"/>
      <c r="C18" s="173"/>
      <c r="D18" s="34"/>
      <c r="E18" s="19"/>
      <c r="F18" s="19"/>
      <c r="G18" s="76"/>
      <c r="H18" s="76"/>
      <c r="I18" s="96" t="str">
        <f t="shared" si="0"/>
        <v xml:space="preserve"> </v>
      </c>
      <c r="J18" s="75"/>
      <c r="K18" s="174"/>
      <c r="L18" s="174"/>
      <c r="M18" s="174"/>
      <c r="N18" s="177"/>
      <c r="O18" s="35"/>
      <c r="P18" s="130"/>
      <c r="R18" s="96" t="str">
        <f t="shared" si="1"/>
        <v xml:space="preserve"> </v>
      </c>
      <c r="S18" s="96" t="str">
        <f t="shared" si="2"/>
        <v xml:space="preserve"> </v>
      </c>
    </row>
    <row r="19" spans="1:19" x14ac:dyDescent="0.25">
      <c r="A19" s="127">
        <v>15</v>
      </c>
      <c r="B19" s="179"/>
      <c r="C19" s="173"/>
      <c r="D19" s="34"/>
      <c r="E19" s="19"/>
      <c r="F19" s="19"/>
      <c r="G19" s="76"/>
      <c r="H19" s="76"/>
      <c r="I19" s="96" t="str">
        <f t="shared" si="0"/>
        <v xml:space="preserve"> </v>
      </c>
      <c r="J19" s="75"/>
      <c r="K19" s="174"/>
      <c r="L19" s="174"/>
      <c r="M19" s="174"/>
      <c r="N19" s="177"/>
      <c r="O19" s="35"/>
      <c r="P19" s="130"/>
      <c r="R19" s="96" t="str">
        <f t="shared" si="1"/>
        <v xml:space="preserve"> </v>
      </c>
      <c r="S19" s="96" t="str">
        <f t="shared" si="2"/>
        <v xml:space="preserve"> </v>
      </c>
    </row>
    <row r="20" spans="1:19" x14ac:dyDescent="0.25">
      <c r="A20" s="1"/>
      <c r="D20" s="1"/>
      <c r="E20" s="1"/>
      <c r="F20" s="1"/>
      <c r="G20" s="1"/>
    </row>
    <row r="21" spans="1:19" x14ac:dyDescent="0.25">
      <c r="A21" s="1"/>
      <c r="D21" s="1"/>
      <c r="E21" s="1"/>
      <c r="F21" s="131" t="s">
        <v>95</v>
      </c>
      <c r="G21" s="1"/>
    </row>
    <row r="22" spans="1:19" x14ac:dyDescent="0.25">
      <c r="A22" s="1"/>
      <c r="D22" s="1"/>
      <c r="E22" s="1"/>
      <c r="F22" s="132" t="s">
        <v>106</v>
      </c>
      <c r="G22" s="1"/>
    </row>
    <row r="23" spans="1:19" x14ac:dyDescent="0.25">
      <c r="F23" s="132" t="s">
        <v>108</v>
      </c>
    </row>
    <row r="24" spans="1:19" x14ac:dyDescent="0.25">
      <c r="F24" s="132" t="s">
        <v>109</v>
      </c>
    </row>
    <row r="25" spans="1:19" x14ac:dyDescent="0.25">
      <c r="F25" s="132" t="s">
        <v>96</v>
      </c>
    </row>
    <row r="26" spans="1:19" x14ac:dyDescent="0.25">
      <c r="F26" s="132" t="s">
        <v>144</v>
      </c>
    </row>
    <row r="27" spans="1:19" x14ac:dyDescent="0.25">
      <c r="F27" s="132" t="s">
        <v>105</v>
      </c>
    </row>
    <row r="28" spans="1:19" x14ac:dyDescent="0.25">
      <c r="F28" s="132" t="s">
        <v>107</v>
      </c>
    </row>
    <row r="29" spans="1:19" x14ac:dyDescent="0.25">
      <c r="F29" s="132" t="s">
        <v>104</v>
      </c>
    </row>
    <row r="30" spans="1:19" x14ac:dyDescent="0.25">
      <c r="F30" s="132" t="s">
        <v>97</v>
      </c>
    </row>
    <row r="31" spans="1:19" x14ac:dyDescent="0.25">
      <c r="F31" s="132" t="s">
        <v>103</v>
      </c>
    </row>
    <row r="32" spans="1:19" x14ac:dyDescent="0.25">
      <c r="F32" s="132" t="s">
        <v>99</v>
      </c>
    </row>
    <row r="33" spans="6:6" x14ac:dyDescent="0.25">
      <c r="F33" s="132" t="s">
        <v>100</v>
      </c>
    </row>
    <row r="34" spans="6:6" x14ac:dyDescent="0.25">
      <c r="F34" s="133" t="s">
        <v>50</v>
      </c>
    </row>
    <row r="35" spans="6:6" x14ac:dyDescent="0.25">
      <c r="F35" s="132" t="s">
        <v>101</v>
      </c>
    </row>
    <row r="36" spans="6:6" x14ac:dyDescent="0.25">
      <c r="F36" s="132" t="s">
        <v>98</v>
      </c>
    </row>
    <row r="37" spans="6:6" x14ac:dyDescent="0.25">
      <c r="F37" s="132" t="s">
        <v>102</v>
      </c>
    </row>
  </sheetData>
  <autoFilter ref="A4:P4"/>
  <mergeCells count="10">
    <mergeCell ref="W5:Z5"/>
    <mergeCell ref="H1:K1"/>
    <mergeCell ref="H2:K2"/>
    <mergeCell ref="L2:P2"/>
    <mergeCell ref="L1:P1"/>
    <mergeCell ref="D1:G1"/>
    <mergeCell ref="D2:G2"/>
    <mergeCell ref="A1:C1"/>
    <mergeCell ref="A2:C2"/>
    <mergeCell ref="V5:V9"/>
  </mergeCells>
  <conditionalFormatting sqref="I5">
    <cfRule type="cellIs" dxfId="47" priority="36" operator="between">
      <formula>11</formula>
      <formula>19</formula>
    </cfRule>
    <cfRule type="cellIs" dxfId="46" priority="37" operator="between">
      <formula>5</formula>
      <formula>9</formula>
    </cfRule>
    <cfRule type="cellIs" dxfId="45" priority="38" operator="between">
      <formula>1</formula>
      <formula>5</formula>
    </cfRule>
  </conditionalFormatting>
  <conditionalFormatting sqref="I6:I19">
    <cfRule type="cellIs" dxfId="44" priority="33" operator="between">
      <formula>11</formula>
      <formula>19</formula>
    </cfRule>
    <cfRule type="cellIs" dxfId="43" priority="34" operator="between">
      <formula>5</formula>
      <formula>9</formula>
    </cfRule>
    <cfRule type="cellIs" dxfId="42" priority="35" operator="between">
      <formula>1</formula>
      <formula>5</formula>
    </cfRule>
  </conditionalFormatting>
  <conditionalFormatting sqref="J5">
    <cfRule type="cellIs" dxfId="41" priority="21" operator="between">
      <formula>11</formula>
      <formula>19</formula>
    </cfRule>
    <cfRule type="cellIs" dxfId="40" priority="22" operator="between">
      <formula>5</formula>
      <formula>9</formula>
    </cfRule>
    <cfRule type="cellIs" dxfId="39" priority="23" operator="between">
      <formula>1</formula>
      <formula>5</formula>
    </cfRule>
  </conditionalFormatting>
  <conditionalFormatting sqref="E5:F5">
    <cfRule type="cellIs" dxfId="38" priority="13" operator="equal">
      <formula>"Closed"</formula>
    </cfRule>
    <cfRule type="cellIs" dxfId="37" priority="14" operator="equal">
      <formula>"Open"</formula>
    </cfRule>
  </conditionalFormatting>
  <conditionalFormatting sqref="E6:E19">
    <cfRule type="cellIs" dxfId="36" priority="11" operator="equal">
      <formula>"Closed"</formula>
    </cfRule>
    <cfRule type="cellIs" dxfId="35" priority="12" operator="equal">
      <formula>"Open"</formula>
    </cfRule>
  </conditionalFormatting>
  <conditionalFormatting sqref="F6:F19">
    <cfRule type="cellIs" dxfId="34" priority="7" operator="equal">
      <formula>"Closed"</formula>
    </cfRule>
    <cfRule type="cellIs" dxfId="33" priority="8" operator="equal">
      <formula>"Open"</formula>
    </cfRule>
  </conditionalFormatting>
  <conditionalFormatting sqref="J6:J19">
    <cfRule type="cellIs" dxfId="32" priority="1" operator="between">
      <formula>11</formula>
      <formula>19</formula>
    </cfRule>
    <cfRule type="cellIs" dxfId="31" priority="2" operator="between">
      <formula>5</formula>
      <formula>9</formula>
    </cfRule>
    <cfRule type="cellIs" dxfId="30" priority="3" operator="between">
      <formula>1</formula>
      <formula>5</formula>
    </cfRule>
  </conditionalFormatting>
  <dataValidations count="4">
    <dataValidation type="list" allowBlank="1" showInputMessage="1" showErrorMessage="1" sqref="E5:E19">
      <formula1>"Open,Closed"</formula1>
    </dataValidation>
    <dataValidation type="list" allowBlank="1" showInputMessage="1" showErrorMessage="1" sqref="F5:F19">
      <formula1>$F$22:$F$37</formula1>
    </dataValidation>
    <dataValidation type="list" allowBlank="1" showInputMessage="1" showErrorMessage="1" sqref="J5:J19">
      <formula1>"Accept,Avoid,Mitigate,Transfer"</formula1>
    </dataValidation>
    <dataValidation type="list" allowBlank="1" showInputMessage="1" showErrorMessage="1" sqref="G5:H19">
      <formula1>"High,Moderate,Low"</formula1>
    </dataValidation>
  </dataValidations>
  <pageMargins left="0.7" right="0.7" top="1.25" bottom="0.75" header="0.3" footer="0.3"/>
  <pageSetup scale="59" fitToHeight="2" orientation="landscape" horizontalDpi="300" verticalDpi="300" r:id="rId1"/>
  <headerFooter>
    <oddHeader>&amp;L&amp;G&amp;R&amp;"-,Bold"&amp;18Risks</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H28"/>
  <sheetViews>
    <sheetView zoomScaleNormal="100" workbookViewId="0">
      <selection activeCell="A2" sqref="A2"/>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2.42578125" customWidth="1"/>
    <col min="8" max="8" width="34.140625" customWidth="1"/>
    <col min="9" max="9" width="18.28515625" customWidth="1"/>
  </cols>
  <sheetData>
    <row r="1" spans="1:8" x14ac:dyDescent="0.25">
      <c r="A1" s="279" t="s">
        <v>48</v>
      </c>
      <c r="B1" s="280"/>
      <c r="C1" s="277">
        <f>'Charter Lite'!B1</f>
        <v>0</v>
      </c>
      <c r="D1" s="278"/>
      <c r="E1" s="236" t="s">
        <v>25</v>
      </c>
      <c r="F1" s="280"/>
      <c r="G1" s="277">
        <f>'Charter Lite'!D1</f>
        <v>0</v>
      </c>
      <c r="H1" s="310"/>
    </row>
    <row r="2" spans="1:8" ht="15.75" thickBot="1" x14ac:dyDescent="0.3">
      <c r="A2" s="281" t="s">
        <v>39</v>
      </c>
      <c r="B2" s="282"/>
      <c r="C2" s="275">
        <f>'Charter Lite'!B2</f>
        <v>0</v>
      </c>
      <c r="D2" s="276"/>
      <c r="E2" s="302" t="s">
        <v>41</v>
      </c>
      <c r="F2" s="282"/>
      <c r="G2" s="311">
        <f>'Charter Lite'!D2</f>
        <v>0</v>
      </c>
      <c r="H2" s="312"/>
    </row>
    <row r="3" spans="1:8" x14ac:dyDescent="0.25">
      <c r="A3" s="2"/>
      <c r="B3" s="3"/>
      <c r="C3" s="3"/>
      <c r="D3" s="3"/>
      <c r="E3" s="3"/>
      <c r="F3" s="3"/>
      <c r="G3" s="3"/>
      <c r="H3" s="3"/>
    </row>
    <row r="4" spans="1:8" ht="26.25" x14ac:dyDescent="0.25">
      <c r="A4" s="4" t="s">
        <v>0</v>
      </c>
      <c r="B4" s="4" t="s">
        <v>5</v>
      </c>
      <c r="C4" s="4" t="s">
        <v>6</v>
      </c>
      <c r="D4" s="5" t="s">
        <v>1</v>
      </c>
      <c r="E4" s="5" t="s">
        <v>11</v>
      </c>
      <c r="F4" s="5" t="s">
        <v>2</v>
      </c>
      <c r="G4" s="4" t="s">
        <v>4</v>
      </c>
      <c r="H4" s="4" t="s">
        <v>3</v>
      </c>
    </row>
    <row r="5" spans="1:8" x14ac:dyDescent="0.25">
      <c r="A5" s="93">
        <v>1</v>
      </c>
      <c r="B5" s="18"/>
      <c r="C5" s="78"/>
      <c r="D5" s="77"/>
      <c r="E5" s="77"/>
      <c r="F5" s="77"/>
      <c r="G5" s="32"/>
      <c r="H5" s="102"/>
    </row>
    <row r="6" spans="1:8" x14ac:dyDescent="0.25">
      <c r="A6" s="93">
        <v>2</v>
      </c>
      <c r="B6" s="18"/>
      <c r="C6" s="78"/>
      <c r="D6" s="77"/>
      <c r="E6" s="77"/>
      <c r="F6" s="78"/>
      <c r="G6" s="32"/>
      <c r="H6" s="102"/>
    </row>
    <row r="7" spans="1:8" x14ac:dyDescent="0.25">
      <c r="A7" s="93">
        <v>3</v>
      </c>
      <c r="B7" s="18"/>
      <c r="C7" s="78"/>
      <c r="D7" s="77"/>
      <c r="E7" s="77"/>
      <c r="F7" s="78"/>
      <c r="G7" s="32"/>
      <c r="H7" s="102"/>
    </row>
    <row r="8" spans="1:8" x14ac:dyDescent="0.25">
      <c r="A8" s="93">
        <v>4</v>
      </c>
      <c r="B8" s="18"/>
      <c r="C8" s="78"/>
      <c r="D8" s="77"/>
      <c r="E8" s="77"/>
      <c r="F8" s="78"/>
      <c r="G8" s="32"/>
      <c r="H8" s="102"/>
    </row>
    <row r="9" spans="1:8" x14ac:dyDescent="0.25">
      <c r="A9" s="93">
        <v>5</v>
      </c>
      <c r="B9" s="18"/>
      <c r="C9" s="78"/>
      <c r="D9" s="77"/>
      <c r="E9" s="77"/>
      <c r="F9" s="78"/>
      <c r="G9" s="32"/>
      <c r="H9" s="102"/>
    </row>
    <row r="10" spans="1:8" x14ac:dyDescent="0.25">
      <c r="A10" s="93">
        <v>6</v>
      </c>
      <c r="B10" s="18"/>
      <c r="C10" s="78"/>
      <c r="D10" s="77"/>
      <c r="E10" s="77"/>
      <c r="F10" s="78"/>
      <c r="G10" s="32"/>
      <c r="H10" s="102"/>
    </row>
    <row r="11" spans="1:8" x14ac:dyDescent="0.25">
      <c r="A11" s="93">
        <v>7</v>
      </c>
      <c r="B11" s="18"/>
      <c r="C11" s="78"/>
      <c r="D11" s="77"/>
      <c r="E11" s="77"/>
      <c r="F11" s="78"/>
      <c r="G11" s="32"/>
      <c r="H11" s="102"/>
    </row>
    <row r="12" spans="1:8" x14ac:dyDescent="0.25">
      <c r="A12" s="93">
        <v>8</v>
      </c>
      <c r="B12" s="18"/>
      <c r="C12" s="78"/>
      <c r="D12" s="77"/>
      <c r="E12" s="77"/>
      <c r="F12" s="78"/>
      <c r="G12" s="32"/>
      <c r="H12" s="102"/>
    </row>
    <row r="13" spans="1:8" x14ac:dyDescent="0.25">
      <c r="A13" s="93">
        <v>9</v>
      </c>
      <c r="B13" s="18"/>
      <c r="C13" s="78"/>
      <c r="D13" s="77"/>
      <c r="E13" s="77"/>
      <c r="F13" s="78"/>
      <c r="G13" s="32"/>
      <c r="H13" s="102"/>
    </row>
    <row r="14" spans="1:8" x14ac:dyDescent="0.25">
      <c r="A14" s="93">
        <v>10</v>
      </c>
      <c r="B14" s="18"/>
      <c r="C14" s="78"/>
      <c r="D14" s="77"/>
      <c r="E14" s="77"/>
      <c r="F14" s="78"/>
      <c r="G14" s="32"/>
      <c r="H14" s="102"/>
    </row>
    <row r="15" spans="1:8" x14ac:dyDescent="0.25">
      <c r="A15" s="93">
        <v>11</v>
      </c>
      <c r="B15" s="18"/>
      <c r="C15" s="78"/>
      <c r="D15" s="77"/>
      <c r="E15" s="77"/>
      <c r="F15" s="77"/>
      <c r="G15" s="32"/>
      <c r="H15" s="102"/>
    </row>
    <row r="16" spans="1:8" x14ac:dyDescent="0.25">
      <c r="A16" s="93">
        <v>12</v>
      </c>
      <c r="B16" s="18"/>
      <c r="C16" s="78"/>
      <c r="D16" s="77"/>
      <c r="E16" s="77"/>
      <c r="F16" s="77"/>
      <c r="G16" s="32"/>
      <c r="H16" s="102"/>
    </row>
    <row r="17" spans="1:8" x14ac:dyDescent="0.25">
      <c r="A17" s="93">
        <v>13</v>
      </c>
      <c r="B17" s="18"/>
      <c r="C17" s="78"/>
      <c r="D17" s="77"/>
      <c r="E17" s="77"/>
      <c r="F17" s="77"/>
      <c r="G17" s="32"/>
      <c r="H17" s="102"/>
    </row>
    <row r="18" spans="1:8" x14ac:dyDescent="0.25">
      <c r="A18" s="93">
        <v>14</v>
      </c>
      <c r="B18" s="18"/>
      <c r="C18" s="78"/>
      <c r="D18" s="77"/>
      <c r="E18" s="77"/>
      <c r="F18" s="78"/>
      <c r="G18" s="32"/>
      <c r="H18" s="102"/>
    </row>
    <row r="19" spans="1:8" x14ac:dyDescent="0.25">
      <c r="A19" s="93">
        <v>15</v>
      </c>
      <c r="B19" s="18"/>
      <c r="C19" s="78"/>
      <c r="D19" s="77"/>
      <c r="E19" s="77"/>
      <c r="F19" s="78"/>
      <c r="G19" s="32"/>
      <c r="H19" s="102"/>
    </row>
    <row r="20" spans="1:8" x14ac:dyDescent="0.25">
      <c r="A20" s="93">
        <v>16</v>
      </c>
      <c r="B20" s="18"/>
      <c r="C20" s="78"/>
      <c r="D20" s="77"/>
      <c r="E20" s="77"/>
      <c r="F20" s="78"/>
      <c r="G20" s="32"/>
      <c r="H20" s="102"/>
    </row>
    <row r="21" spans="1:8" x14ac:dyDescent="0.25">
      <c r="A21" s="93">
        <v>17</v>
      </c>
      <c r="B21" s="18"/>
      <c r="C21" s="78"/>
      <c r="D21" s="77"/>
      <c r="E21" s="77"/>
      <c r="F21" s="77"/>
      <c r="G21" s="32"/>
      <c r="H21" s="102"/>
    </row>
    <row r="22" spans="1:8" x14ac:dyDescent="0.25">
      <c r="A22" s="93">
        <v>18</v>
      </c>
      <c r="B22" s="18"/>
      <c r="C22" s="78"/>
      <c r="D22" s="77"/>
      <c r="E22" s="77"/>
      <c r="F22" s="77"/>
      <c r="G22" s="32"/>
      <c r="H22" s="102"/>
    </row>
    <row r="23" spans="1:8" x14ac:dyDescent="0.25">
      <c r="A23" s="93">
        <v>19</v>
      </c>
      <c r="B23" s="18"/>
      <c r="C23" s="78"/>
      <c r="D23" s="77"/>
      <c r="E23" s="77"/>
      <c r="F23" s="77"/>
      <c r="G23" s="32"/>
      <c r="H23" s="102"/>
    </row>
    <row r="24" spans="1:8" x14ac:dyDescent="0.25">
      <c r="A24" s="93">
        <v>20</v>
      </c>
      <c r="B24" s="18"/>
      <c r="C24" s="78"/>
      <c r="D24" s="77"/>
      <c r="E24" s="77"/>
      <c r="F24" s="77"/>
      <c r="G24" s="32"/>
      <c r="H24" s="102"/>
    </row>
    <row r="25" spans="1:8" x14ac:dyDescent="0.25">
      <c r="A25" s="93">
        <v>21</v>
      </c>
      <c r="B25" s="18"/>
      <c r="C25" s="78"/>
      <c r="D25" s="77"/>
      <c r="E25" s="77"/>
      <c r="F25" s="77"/>
      <c r="G25" s="32"/>
      <c r="H25" s="102"/>
    </row>
    <row r="26" spans="1:8" x14ac:dyDescent="0.25">
      <c r="A26" s="93">
        <v>22</v>
      </c>
      <c r="B26" s="18"/>
      <c r="C26" s="78"/>
      <c r="D26" s="77"/>
      <c r="E26" s="77"/>
      <c r="F26" s="77"/>
      <c r="G26" s="32"/>
      <c r="H26" s="102"/>
    </row>
    <row r="27" spans="1:8" x14ac:dyDescent="0.25">
      <c r="A27" s="93">
        <v>23</v>
      </c>
      <c r="B27" s="18"/>
      <c r="C27" s="78"/>
      <c r="D27" s="77"/>
      <c r="E27" s="77"/>
      <c r="F27" s="77"/>
      <c r="G27" s="32"/>
      <c r="H27" s="102"/>
    </row>
    <row r="28" spans="1:8" x14ac:dyDescent="0.25">
      <c r="A28" s="93">
        <v>24</v>
      </c>
      <c r="B28" s="18"/>
      <c r="C28" s="102"/>
      <c r="D28" s="77"/>
      <c r="E28" s="77"/>
      <c r="F28" s="77"/>
      <c r="G28" s="32"/>
      <c r="H28" s="102"/>
    </row>
  </sheetData>
  <autoFilter ref="A4:H28"/>
  <mergeCells count="8">
    <mergeCell ref="G1:H1"/>
    <mergeCell ref="G2:H2"/>
    <mergeCell ref="A1:B1"/>
    <mergeCell ref="A2:B2"/>
    <mergeCell ref="E1:F1"/>
    <mergeCell ref="E2:F2"/>
    <mergeCell ref="C1:D1"/>
    <mergeCell ref="C2:D2"/>
  </mergeCells>
  <conditionalFormatting sqref="G5:G28">
    <cfRule type="containsText" dxfId="29" priority="115" operator="containsText" text="In-Progress">
      <formula>NOT(ISERROR(SEARCH("In-Progress",G5)))</formula>
    </cfRule>
  </conditionalFormatting>
  <conditionalFormatting sqref="G5:G28">
    <cfRule type="containsText" dxfId="28" priority="113" operator="containsText" text="Closed">
      <formula>NOT(ISERROR(SEARCH("Closed",G5)))</formula>
    </cfRule>
  </conditionalFormatting>
  <conditionalFormatting sqref="G5:G28">
    <cfRule type="containsText" dxfId="27" priority="112" operator="containsText" text="On-Hold">
      <formula>NOT(ISERROR(SEARCH("On-Hold",G5)))</formula>
    </cfRule>
  </conditionalFormatting>
  <conditionalFormatting sqref="G5:G28">
    <cfRule type="cellIs" dxfId="26" priority="105" operator="equal">
      <formula>"Closed"</formula>
    </cfRule>
  </conditionalFormatting>
  <dataValidations count="2">
    <dataValidation type="list" allowBlank="1" showInputMessage="1" showErrorMessage="1" sqref="K5">
      <formula1>#REF!</formula1>
    </dataValidation>
    <dataValidation type="list" allowBlank="1" showInputMessage="1" showErrorMessage="1" sqref="G5:G28">
      <formula1>"In-Progress, Closed, On-Hold"</formula1>
    </dataValidation>
  </dataValidations>
  <pageMargins left="0.25" right="0.25" top="1.25" bottom="0.75" header="0.3" footer="0.3"/>
  <pageSetup fitToHeight="2" orientation="landscape" horizontalDpi="300" verticalDpi="300" r:id="rId1"/>
  <headerFooter>
    <oddHeader>&amp;L&amp;G&amp;R&amp;"-,Bold"&amp;18Action Items</oddHeader>
    <oddFooter>&amp;C&amp;P&amp;R&amp;D</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H28"/>
  <sheetViews>
    <sheetView zoomScaleNormal="100" workbookViewId="0">
      <selection activeCell="A2" sqref="A2"/>
    </sheetView>
  </sheetViews>
  <sheetFormatPr defaultRowHeight="15" x14ac:dyDescent="0.25"/>
  <cols>
    <col min="1" max="1" width="4.85546875" style="1" customWidth="1"/>
    <col min="2" max="2" width="31.85546875" customWidth="1"/>
    <col min="3" max="3" width="16" customWidth="1"/>
    <col min="4" max="4" width="12.7109375" bestFit="1" customWidth="1"/>
    <col min="5" max="5" width="12.7109375" customWidth="1"/>
    <col min="6" max="6" width="9.85546875" customWidth="1"/>
    <col min="7" max="7" width="12.42578125" customWidth="1"/>
    <col min="8" max="8" width="34.140625" customWidth="1"/>
  </cols>
  <sheetData>
    <row r="1" spans="1:8" x14ac:dyDescent="0.25">
      <c r="A1" s="279" t="s">
        <v>48</v>
      </c>
      <c r="B1" s="280"/>
      <c r="C1" s="277">
        <f>'Charter Lite'!B1</f>
        <v>0</v>
      </c>
      <c r="D1" s="278"/>
      <c r="E1" s="236" t="s">
        <v>25</v>
      </c>
      <c r="F1" s="280"/>
      <c r="G1" s="277">
        <f>'Charter Lite'!D1</f>
        <v>0</v>
      </c>
      <c r="H1" s="310"/>
    </row>
    <row r="2" spans="1:8" ht="15.75" thickBot="1" x14ac:dyDescent="0.3">
      <c r="A2" s="281" t="s">
        <v>39</v>
      </c>
      <c r="B2" s="282"/>
      <c r="C2" s="275">
        <f>'Charter Lite'!B2</f>
        <v>0</v>
      </c>
      <c r="D2" s="276"/>
      <c r="E2" s="302" t="s">
        <v>41</v>
      </c>
      <c r="F2" s="282"/>
      <c r="G2" s="311">
        <f>'Charter Lite'!D2</f>
        <v>0</v>
      </c>
      <c r="H2" s="312"/>
    </row>
    <row r="3" spans="1:8" x14ac:dyDescent="0.25">
      <c r="A3" s="2"/>
      <c r="B3" s="3"/>
      <c r="C3" s="3"/>
      <c r="D3" s="3"/>
      <c r="E3" s="3"/>
      <c r="F3" s="3"/>
      <c r="G3" s="3"/>
      <c r="H3" s="3"/>
    </row>
    <row r="4" spans="1:8" ht="26.25" x14ac:dyDescent="0.25">
      <c r="A4" s="4" t="s">
        <v>0</v>
      </c>
      <c r="B4" s="4" t="s">
        <v>5</v>
      </c>
      <c r="C4" s="4" t="s">
        <v>6</v>
      </c>
      <c r="D4" s="5" t="s">
        <v>1</v>
      </c>
      <c r="E4" s="5" t="s">
        <v>11</v>
      </c>
      <c r="F4" s="5" t="s">
        <v>2</v>
      </c>
      <c r="G4" s="4" t="s">
        <v>4</v>
      </c>
      <c r="H4" s="4" t="s">
        <v>3</v>
      </c>
    </row>
    <row r="5" spans="1:8" x14ac:dyDescent="0.25">
      <c r="A5" s="93">
        <v>1</v>
      </c>
      <c r="B5" s="18"/>
      <c r="C5" s="78"/>
      <c r="D5" s="77"/>
      <c r="E5" s="77"/>
      <c r="F5" s="77"/>
      <c r="G5" s="32"/>
      <c r="H5" s="102"/>
    </row>
    <row r="6" spans="1:8" x14ac:dyDescent="0.25">
      <c r="A6" s="93">
        <v>2</v>
      </c>
      <c r="B6" s="18"/>
      <c r="C6" s="78"/>
      <c r="D6" s="77"/>
      <c r="E6" s="77"/>
      <c r="F6" s="78"/>
      <c r="G6" s="32"/>
      <c r="H6" s="102"/>
    </row>
    <row r="7" spans="1:8" x14ac:dyDescent="0.25">
      <c r="A7" s="93">
        <v>3</v>
      </c>
      <c r="B7" s="18"/>
      <c r="C7" s="78"/>
      <c r="D7" s="77"/>
      <c r="E7" s="77"/>
      <c r="F7" s="78"/>
      <c r="G7" s="32"/>
      <c r="H7" s="102"/>
    </row>
    <row r="8" spans="1:8" x14ac:dyDescent="0.25">
      <c r="A8" s="93">
        <v>4</v>
      </c>
      <c r="B8" s="18"/>
      <c r="C8" s="78"/>
      <c r="D8" s="77"/>
      <c r="E8" s="77"/>
      <c r="F8" s="78"/>
      <c r="G8" s="32"/>
      <c r="H8" s="102"/>
    </row>
    <row r="9" spans="1:8" x14ac:dyDescent="0.25">
      <c r="A9" s="93">
        <v>5</v>
      </c>
      <c r="B9" s="18"/>
      <c r="C9" s="78"/>
      <c r="D9" s="77"/>
      <c r="E9" s="77"/>
      <c r="F9" s="78"/>
      <c r="G9" s="32"/>
      <c r="H9" s="102"/>
    </row>
    <row r="10" spans="1:8" x14ac:dyDescent="0.25">
      <c r="A10" s="93">
        <v>6</v>
      </c>
      <c r="B10" s="18"/>
      <c r="C10" s="78"/>
      <c r="D10" s="77"/>
      <c r="E10" s="77"/>
      <c r="F10" s="78"/>
      <c r="G10" s="32"/>
      <c r="H10" s="102"/>
    </row>
    <row r="11" spans="1:8" x14ac:dyDescent="0.25">
      <c r="A11" s="93">
        <v>7</v>
      </c>
      <c r="B11" s="18"/>
      <c r="C11" s="78"/>
      <c r="D11" s="77"/>
      <c r="E11" s="77"/>
      <c r="F11" s="78"/>
      <c r="G11" s="32"/>
      <c r="H11" s="102"/>
    </row>
    <row r="12" spans="1:8" x14ac:dyDescent="0.25">
      <c r="A12" s="93">
        <v>8</v>
      </c>
      <c r="B12" s="18"/>
      <c r="C12" s="78"/>
      <c r="D12" s="77"/>
      <c r="E12" s="77"/>
      <c r="F12" s="78"/>
      <c r="G12" s="32"/>
      <c r="H12" s="102"/>
    </row>
    <row r="13" spans="1:8" x14ac:dyDescent="0.25">
      <c r="A13" s="93">
        <v>9</v>
      </c>
      <c r="B13" s="18"/>
      <c r="C13" s="78"/>
      <c r="D13" s="77"/>
      <c r="E13" s="77"/>
      <c r="F13" s="78"/>
      <c r="G13" s="32"/>
      <c r="H13" s="102"/>
    </row>
    <row r="14" spans="1:8" x14ac:dyDescent="0.25">
      <c r="A14" s="93">
        <v>10</v>
      </c>
      <c r="B14" s="18"/>
      <c r="C14" s="78"/>
      <c r="D14" s="77"/>
      <c r="E14" s="77"/>
      <c r="F14" s="78"/>
      <c r="G14" s="32"/>
      <c r="H14" s="102"/>
    </row>
    <row r="15" spans="1:8" x14ac:dyDescent="0.25">
      <c r="A15" s="93">
        <v>11</v>
      </c>
      <c r="B15" s="18"/>
      <c r="C15" s="78"/>
      <c r="D15" s="77"/>
      <c r="E15" s="77"/>
      <c r="F15" s="77"/>
      <c r="G15" s="32"/>
      <c r="H15" s="102"/>
    </row>
    <row r="16" spans="1:8" x14ac:dyDescent="0.25">
      <c r="A16" s="93">
        <v>12</v>
      </c>
      <c r="B16" s="18"/>
      <c r="C16" s="78"/>
      <c r="D16" s="77"/>
      <c r="E16" s="77"/>
      <c r="F16" s="77"/>
      <c r="G16" s="32"/>
      <c r="H16" s="102"/>
    </row>
    <row r="17" spans="1:8" x14ac:dyDescent="0.25">
      <c r="A17" s="93">
        <v>13</v>
      </c>
      <c r="B17" s="18"/>
      <c r="C17" s="78"/>
      <c r="D17" s="77"/>
      <c r="E17" s="77"/>
      <c r="F17" s="77"/>
      <c r="G17" s="32"/>
      <c r="H17" s="102"/>
    </row>
    <row r="18" spans="1:8" x14ac:dyDescent="0.25">
      <c r="A18" s="93">
        <v>14</v>
      </c>
      <c r="B18" s="18"/>
      <c r="C18" s="78"/>
      <c r="D18" s="77"/>
      <c r="E18" s="77"/>
      <c r="F18" s="78"/>
      <c r="G18" s="32"/>
      <c r="H18" s="102"/>
    </row>
    <row r="19" spans="1:8" x14ac:dyDescent="0.25">
      <c r="A19" s="6"/>
      <c r="B19" s="18"/>
      <c r="C19" s="78"/>
      <c r="D19" s="77"/>
      <c r="E19" s="77"/>
      <c r="F19" s="78"/>
      <c r="G19" s="32"/>
      <c r="H19" s="102"/>
    </row>
    <row r="20" spans="1:8" x14ac:dyDescent="0.25">
      <c r="A20" s="6"/>
      <c r="B20" s="18"/>
      <c r="C20" s="78"/>
      <c r="D20" s="77"/>
      <c r="E20" s="77"/>
      <c r="F20" s="78"/>
      <c r="G20" s="32"/>
      <c r="H20" s="102"/>
    </row>
    <row r="21" spans="1:8" x14ac:dyDescent="0.25">
      <c r="A21" s="6"/>
      <c r="B21" s="18"/>
      <c r="C21" s="78"/>
      <c r="D21" s="77"/>
      <c r="E21" s="77"/>
      <c r="F21" s="77"/>
      <c r="G21" s="32"/>
      <c r="H21" s="102"/>
    </row>
    <row r="22" spans="1:8" x14ac:dyDescent="0.25">
      <c r="A22" s="6"/>
      <c r="B22" s="18"/>
      <c r="C22" s="78"/>
      <c r="D22" s="77"/>
      <c r="E22" s="77"/>
      <c r="F22" s="77"/>
      <c r="G22" s="32"/>
      <c r="H22" s="102"/>
    </row>
    <row r="23" spans="1:8" x14ac:dyDescent="0.25">
      <c r="A23" s="6"/>
      <c r="B23" s="18"/>
      <c r="C23" s="78"/>
      <c r="D23" s="77"/>
      <c r="E23" s="77"/>
      <c r="F23" s="77"/>
      <c r="G23" s="32"/>
      <c r="H23" s="102"/>
    </row>
    <row r="24" spans="1:8" x14ac:dyDescent="0.25">
      <c r="A24" s="6"/>
      <c r="B24" s="18"/>
      <c r="C24" s="78"/>
      <c r="D24" s="77"/>
      <c r="E24" s="77"/>
      <c r="F24" s="77"/>
      <c r="G24" s="32"/>
      <c r="H24" s="102"/>
    </row>
    <row r="25" spans="1:8" x14ac:dyDescent="0.25">
      <c r="A25" s="6"/>
      <c r="B25" s="18"/>
      <c r="C25" s="78"/>
      <c r="D25" s="77"/>
      <c r="E25" s="77"/>
      <c r="F25" s="77"/>
      <c r="G25" s="32"/>
      <c r="H25" s="102"/>
    </row>
    <row r="26" spans="1:8" x14ac:dyDescent="0.25">
      <c r="A26" s="6"/>
      <c r="B26" s="18"/>
      <c r="C26" s="78"/>
      <c r="D26" s="77"/>
      <c r="E26" s="77"/>
      <c r="F26" s="77"/>
      <c r="G26" s="32"/>
      <c r="H26" s="102"/>
    </row>
    <row r="27" spans="1:8" x14ac:dyDescent="0.25">
      <c r="A27" s="6"/>
      <c r="B27" s="18"/>
      <c r="C27" s="78"/>
      <c r="D27" s="77"/>
      <c r="E27" s="77"/>
      <c r="F27" s="77"/>
      <c r="G27" s="32"/>
      <c r="H27" s="102"/>
    </row>
    <row r="28" spans="1:8" x14ac:dyDescent="0.25">
      <c r="A28" s="6"/>
      <c r="B28" s="18"/>
      <c r="C28" s="102"/>
      <c r="D28" s="77"/>
      <c r="E28" s="77"/>
      <c r="F28" s="77"/>
      <c r="G28" s="32"/>
      <c r="H28" s="102"/>
    </row>
  </sheetData>
  <autoFilter ref="A4:H4"/>
  <mergeCells count="8">
    <mergeCell ref="G1:H1"/>
    <mergeCell ref="G2:H2"/>
    <mergeCell ref="A1:B1"/>
    <mergeCell ref="A2:B2"/>
    <mergeCell ref="E1:F1"/>
    <mergeCell ref="E2:F2"/>
    <mergeCell ref="C1:D1"/>
    <mergeCell ref="C2:D2"/>
  </mergeCells>
  <conditionalFormatting sqref="G5">
    <cfRule type="containsText" dxfId="25" priority="8" operator="containsText" text="In-Progress">
      <formula>NOT(ISERROR(SEARCH("In-Progress",G5)))</formula>
    </cfRule>
  </conditionalFormatting>
  <conditionalFormatting sqref="G5">
    <cfRule type="containsText" dxfId="24" priority="7" operator="containsText" text="Closed">
      <formula>NOT(ISERROR(SEARCH("Closed",G5)))</formula>
    </cfRule>
  </conditionalFormatting>
  <conditionalFormatting sqref="G5">
    <cfRule type="containsText" dxfId="23" priority="6" operator="containsText" text="On-Hold">
      <formula>NOT(ISERROR(SEARCH("On-Hold",G5)))</formula>
    </cfRule>
  </conditionalFormatting>
  <conditionalFormatting sqref="G5">
    <cfRule type="cellIs" dxfId="22" priority="5" operator="equal">
      <formula>"Closed"</formula>
    </cfRule>
  </conditionalFormatting>
  <conditionalFormatting sqref="G6:G28">
    <cfRule type="containsText" dxfId="21" priority="4" operator="containsText" text="In-Progress">
      <formula>NOT(ISERROR(SEARCH("In-Progress",G6)))</formula>
    </cfRule>
  </conditionalFormatting>
  <conditionalFormatting sqref="G6:G28">
    <cfRule type="containsText" dxfId="20" priority="3" operator="containsText" text="Closed">
      <formula>NOT(ISERROR(SEARCH("Closed",G6)))</formula>
    </cfRule>
  </conditionalFormatting>
  <conditionalFormatting sqref="G6:G28">
    <cfRule type="containsText" dxfId="19" priority="2" operator="containsText" text="On-Hold">
      <formula>NOT(ISERROR(SEARCH("On-Hold",G6)))</formula>
    </cfRule>
  </conditionalFormatting>
  <conditionalFormatting sqref="G6:G28">
    <cfRule type="cellIs" dxfId="18" priority="1" operator="equal">
      <formula>"Closed"</formula>
    </cfRule>
  </conditionalFormatting>
  <dataValidations count="1">
    <dataValidation type="list" allowBlank="1" showInputMessage="1" showErrorMessage="1" sqref="G5:G28">
      <formula1>"In-Progress, Closed, On-Hold"</formula1>
    </dataValidation>
  </dataValidations>
  <pageMargins left="0.25" right="0.25" top="1.25" bottom="0.75" header="0.3" footer="0.3"/>
  <pageSetup orientation="landscape" horizontalDpi="300" verticalDpi="300" r:id="rId1"/>
  <headerFooter>
    <oddHeader>&amp;L&amp;G&amp;R&amp;"-,Bold"&amp;18Issues</oddHeader>
    <oddFooter>&amp;C&amp;P&amp;R&amp;D</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31"/>
  <sheetViews>
    <sheetView zoomScaleNormal="100" workbookViewId="0">
      <selection activeCell="A2" sqref="A2"/>
    </sheetView>
  </sheetViews>
  <sheetFormatPr defaultRowHeight="15" x14ac:dyDescent="0.25"/>
  <cols>
    <col min="1" max="1" width="4.85546875" style="26" customWidth="1"/>
    <col min="2" max="2" width="35.42578125" customWidth="1"/>
    <col min="3" max="3" width="34.140625" customWidth="1"/>
    <col min="4" max="4" width="18.140625" customWidth="1"/>
    <col min="5" max="5" width="30.28515625" customWidth="1"/>
    <col min="6" max="6" width="18.28515625" customWidth="1"/>
  </cols>
  <sheetData>
    <row r="1" spans="1:5" x14ac:dyDescent="0.25">
      <c r="A1" s="279" t="s">
        <v>48</v>
      </c>
      <c r="B1" s="280"/>
      <c r="C1" s="138">
        <f>'Charter Lite'!B1</f>
        <v>0</v>
      </c>
      <c r="D1" s="37" t="s">
        <v>25</v>
      </c>
      <c r="E1" s="68">
        <f>'Charter Lite'!D1</f>
        <v>0</v>
      </c>
    </row>
    <row r="2" spans="1:5" ht="15.75" thickBot="1" x14ac:dyDescent="0.3">
      <c r="A2" s="281" t="s">
        <v>39</v>
      </c>
      <c r="B2" s="282"/>
      <c r="C2" s="139">
        <f>'Charter Lite'!B2</f>
        <v>0</v>
      </c>
      <c r="D2" s="69" t="s">
        <v>41</v>
      </c>
      <c r="E2" s="70">
        <f>'Charter Lite'!D2</f>
        <v>0</v>
      </c>
    </row>
    <row r="3" spans="1:5" x14ac:dyDescent="0.25">
      <c r="A3" s="22"/>
      <c r="B3" s="3"/>
      <c r="C3" s="3"/>
      <c r="D3" s="3"/>
      <c r="E3" s="3"/>
    </row>
    <row r="4" spans="1:5" x14ac:dyDescent="0.25">
      <c r="A4" s="23" t="s">
        <v>0</v>
      </c>
      <c r="B4" s="4" t="s">
        <v>12</v>
      </c>
      <c r="C4" s="4" t="s">
        <v>10</v>
      </c>
      <c r="D4" s="5" t="s">
        <v>117</v>
      </c>
      <c r="E4" s="141" t="s">
        <v>3</v>
      </c>
    </row>
    <row r="5" spans="1:5" x14ac:dyDescent="0.25">
      <c r="A5" s="94">
        <v>1</v>
      </c>
      <c r="B5" s="18"/>
      <c r="C5" s="25"/>
      <c r="D5" s="140"/>
      <c r="E5" s="16"/>
    </row>
    <row r="6" spans="1:5" x14ac:dyDescent="0.25">
      <c r="A6" s="94">
        <v>2</v>
      </c>
      <c r="B6" s="18"/>
      <c r="C6" s="25"/>
      <c r="D6" s="115"/>
      <c r="E6" s="16"/>
    </row>
    <row r="7" spans="1:5" x14ac:dyDescent="0.25">
      <c r="A7" s="94">
        <v>3</v>
      </c>
      <c r="B7" s="18"/>
      <c r="C7" s="25"/>
      <c r="D7" s="115"/>
      <c r="E7" s="16"/>
    </row>
    <row r="8" spans="1:5" x14ac:dyDescent="0.25">
      <c r="A8" s="94">
        <v>4</v>
      </c>
      <c r="B8" s="18"/>
      <c r="C8" s="25"/>
      <c r="D8" s="115"/>
      <c r="E8" s="16"/>
    </row>
    <row r="9" spans="1:5" x14ac:dyDescent="0.25">
      <c r="A9" s="94">
        <v>5</v>
      </c>
      <c r="B9" s="18"/>
      <c r="C9" s="25"/>
      <c r="D9" s="115"/>
      <c r="E9" s="16"/>
    </row>
    <row r="10" spans="1:5" x14ac:dyDescent="0.25">
      <c r="A10" s="94">
        <v>6</v>
      </c>
      <c r="B10" s="18"/>
      <c r="C10" s="25"/>
      <c r="D10" s="115"/>
      <c r="E10" s="16"/>
    </row>
    <row r="11" spans="1:5" x14ac:dyDescent="0.25">
      <c r="A11" s="95">
        <v>7</v>
      </c>
      <c r="B11" s="18"/>
      <c r="C11" s="25"/>
      <c r="D11" s="115"/>
      <c r="E11" s="16"/>
    </row>
    <row r="12" spans="1:5" x14ac:dyDescent="0.25">
      <c r="A12" s="95">
        <v>8</v>
      </c>
      <c r="B12" s="18"/>
      <c r="C12" s="25"/>
      <c r="D12" s="115"/>
      <c r="E12" s="16"/>
    </row>
    <row r="13" spans="1:5" x14ac:dyDescent="0.25">
      <c r="A13" s="95">
        <v>9</v>
      </c>
      <c r="B13" s="18"/>
      <c r="C13" s="25"/>
      <c r="D13" s="115"/>
      <c r="E13" s="16"/>
    </row>
    <row r="14" spans="1:5" x14ac:dyDescent="0.25">
      <c r="A14" s="25"/>
      <c r="B14" s="18"/>
      <c r="C14" s="25"/>
      <c r="D14" s="115"/>
      <c r="E14" s="16"/>
    </row>
    <row r="15" spans="1:5" x14ac:dyDescent="0.25">
      <c r="A15" s="25"/>
      <c r="B15" s="18"/>
      <c r="C15" s="25"/>
      <c r="D15" s="115"/>
      <c r="E15" s="16"/>
    </row>
    <row r="16" spans="1:5" x14ac:dyDescent="0.25">
      <c r="A16" s="25"/>
      <c r="B16" s="18"/>
      <c r="C16" s="25"/>
      <c r="D16" s="115"/>
      <c r="E16" s="16"/>
    </row>
    <row r="17" spans="1:5" x14ac:dyDescent="0.25">
      <c r="A17" s="25"/>
      <c r="B17" s="18"/>
      <c r="C17" s="25"/>
      <c r="D17" s="115"/>
      <c r="E17" s="16"/>
    </row>
    <row r="18" spans="1:5" x14ac:dyDescent="0.25">
      <c r="A18" s="25"/>
      <c r="B18" s="18"/>
      <c r="C18" s="25"/>
      <c r="D18" s="115"/>
      <c r="E18" s="16"/>
    </row>
    <row r="19" spans="1:5" x14ac:dyDescent="0.25">
      <c r="A19" s="25"/>
      <c r="B19" s="18"/>
      <c r="C19" s="25"/>
      <c r="D19" s="115"/>
      <c r="E19" s="16"/>
    </row>
    <row r="20" spans="1:5" x14ac:dyDescent="0.25">
      <c r="A20" s="25"/>
      <c r="B20" s="18"/>
      <c r="C20" s="25"/>
      <c r="D20" s="115"/>
      <c r="E20" s="16"/>
    </row>
    <row r="21" spans="1:5" x14ac:dyDescent="0.25">
      <c r="A21" s="25"/>
      <c r="B21" s="18"/>
      <c r="C21" s="25"/>
      <c r="D21" s="115"/>
      <c r="E21" s="16"/>
    </row>
    <row r="22" spans="1:5" x14ac:dyDescent="0.25">
      <c r="A22" s="25"/>
      <c r="B22" s="18"/>
      <c r="C22" s="25"/>
      <c r="D22" s="115"/>
      <c r="E22" s="16"/>
    </row>
    <row r="23" spans="1:5" x14ac:dyDescent="0.25">
      <c r="A23" s="25"/>
      <c r="B23" s="18"/>
      <c r="C23" s="25"/>
      <c r="D23" s="115"/>
      <c r="E23" s="16"/>
    </row>
    <row r="24" spans="1:5" x14ac:dyDescent="0.25">
      <c r="A24" s="25"/>
      <c r="B24" s="18"/>
      <c r="C24" s="25"/>
      <c r="D24" s="115"/>
      <c r="E24" s="16"/>
    </row>
    <row r="25" spans="1:5" x14ac:dyDescent="0.25">
      <c r="A25" s="25"/>
      <c r="B25" s="18"/>
      <c r="C25" s="25"/>
      <c r="D25" s="115"/>
      <c r="E25" s="16"/>
    </row>
    <row r="26" spans="1:5" x14ac:dyDescent="0.25">
      <c r="A26" s="25"/>
      <c r="B26" s="18"/>
      <c r="C26" s="25"/>
      <c r="D26" s="115"/>
      <c r="E26" s="16"/>
    </row>
    <row r="27" spans="1:5" x14ac:dyDescent="0.25">
      <c r="A27" s="25"/>
      <c r="B27" s="18"/>
      <c r="C27" s="25"/>
      <c r="D27" s="115"/>
      <c r="E27" s="16"/>
    </row>
    <row r="28" spans="1:5" x14ac:dyDescent="0.25">
      <c r="A28" s="25"/>
      <c r="B28" s="18"/>
      <c r="C28" s="25"/>
      <c r="D28" s="115"/>
      <c r="E28" s="16"/>
    </row>
    <row r="29" spans="1:5" x14ac:dyDescent="0.25">
      <c r="A29" s="25"/>
      <c r="B29" s="18"/>
      <c r="C29" s="25"/>
      <c r="D29" s="115"/>
      <c r="E29" s="16"/>
    </row>
    <row r="30" spans="1:5" x14ac:dyDescent="0.25">
      <c r="A30" s="25"/>
      <c r="B30" s="18"/>
      <c r="C30" s="25"/>
      <c r="D30" s="115"/>
      <c r="E30" s="16"/>
    </row>
    <row r="31" spans="1:5" x14ac:dyDescent="0.25">
      <c r="A31" s="25"/>
      <c r="B31" s="18"/>
      <c r="C31" s="25"/>
      <c r="D31" s="115"/>
      <c r="E31" s="16"/>
    </row>
  </sheetData>
  <autoFilter ref="A4:E4"/>
  <mergeCells count="2">
    <mergeCell ref="A1:B1"/>
    <mergeCell ref="A2:B2"/>
  </mergeCells>
  <pageMargins left="0.25" right="0.25" top="1.25" bottom="0.75" header="0.3" footer="0.3"/>
  <pageSetup orientation="landscape" horizontalDpi="300" verticalDpi="300" r:id="rId1"/>
  <headerFooter>
    <oddHeader>&amp;L&amp;G&amp;R&amp;"-,Bold"&amp;18Decisions</oddHeader>
    <oddFooter>&amp;C&amp;P&amp;R&amp;D</oddFooter>
  </headerFooter>
  <legacyDrawingHF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I31"/>
  <sheetViews>
    <sheetView zoomScaleNormal="100" workbookViewId="0">
      <selection activeCell="A2" sqref="A2"/>
    </sheetView>
  </sheetViews>
  <sheetFormatPr defaultRowHeight="15" x14ac:dyDescent="0.25"/>
  <cols>
    <col min="1" max="1" width="5.85546875" customWidth="1"/>
    <col min="2" max="2" width="27.85546875" customWidth="1"/>
    <col min="3" max="3" width="17.28515625" customWidth="1"/>
    <col min="4" max="4" width="15.7109375" customWidth="1"/>
    <col min="5" max="5" width="14.28515625" customWidth="1"/>
    <col min="6" max="6" width="11.7109375" customWidth="1"/>
    <col min="7" max="7" width="12.28515625" customWidth="1"/>
    <col min="8" max="8" width="10.28515625" customWidth="1"/>
    <col min="9" max="9" width="25.140625" customWidth="1"/>
  </cols>
  <sheetData>
    <row r="1" spans="1:9" x14ac:dyDescent="0.25">
      <c r="A1" s="279" t="s">
        <v>48</v>
      </c>
      <c r="B1" s="280"/>
      <c r="C1" s="317">
        <f>'Charter Lite'!B1</f>
        <v>0</v>
      </c>
      <c r="D1" s="317"/>
      <c r="E1" s="319" t="s">
        <v>25</v>
      </c>
      <c r="F1" s="319"/>
      <c r="G1" s="313">
        <f>'Charter Lite'!D1</f>
        <v>0</v>
      </c>
      <c r="H1" s="313"/>
      <c r="I1" s="314"/>
    </row>
    <row r="2" spans="1:9" ht="15.75" thickBot="1" x14ac:dyDescent="0.3">
      <c r="A2" s="281" t="s">
        <v>39</v>
      </c>
      <c r="B2" s="282"/>
      <c r="C2" s="318">
        <f>'Charter Lite'!B2</f>
        <v>0</v>
      </c>
      <c r="D2" s="318"/>
      <c r="E2" s="320" t="s">
        <v>41</v>
      </c>
      <c r="F2" s="320"/>
      <c r="G2" s="315">
        <f>'Charter Lite'!D2</f>
        <v>0</v>
      </c>
      <c r="H2" s="315"/>
      <c r="I2" s="316"/>
    </row>
    <row r="3" spans="1:9" x14ac:dyDescent="0.25">
      <c r="A3" s="3"/>
      <c r="B3" s="3"/>
      <c r="C3" s="3"/>
      <c r="D3" s="3"/>
      <c r="E3" s="3"/>
      <c r="F3" s="3"/>
      <c r="G3" s="3"/>
      <c r="H3" s="3"/>
      <c r="I3" s="3"/>
    </row>
    <row r="4" spans="1:9" x14ac:dyDescent="0.25">
      <c r="A4" s="3"/>
      <c r="B4" s="3"/>
      <c r="C4" s="3"/>
      <c r="D4" s="3"/>
      <c r="E4" s="3"/>
      <c r="F4" s="3"/>
      <c r="G4" s="3"/>
      <c r="H4" s="3"/>
      <c r="I4" s="3"/>
    </row>
    <row r="5" spans="1:9" ht="26.25" x14ac:dyDescent="0.25">
      <c r="A5" s="8" t="s">
        <v>0</v>
      </c>
      <c r="B5" s="8" t="s">
        <v>5</v>
      </c>
      <c r="C5" s="8" t="s">
        <v>7</v>
      </c>
      <c r="D5" s="8" t="s">
        <v>137</v>
      </c>
      <c r="E5" s="8" t="s">
        <v>8</v>
      </c>
      <c r="F5" s="8" t="s">
        <v>4</v>
      </c>
      <c r="G5" s="8" t="s">
        <v>6</v>
      </c>
      <c r="H5" s="8" t="s">
        <v>2</v>
      </c>
      <c r="I5" s="8" t="s">
        <v>9</v>
      </c>
    </row>
    <row r="6" spans="1:9" x14ac:dyDescent="0.25">
      <c r="A6" s="94">
        <v>1</v>
      </c>
      <c r="B6" s="7"/>
      <c r="C6" s="24"/>
      <c r="D6" s="103"/>
      <c r="E6" s="102"/>
      <c r="F6" s="32"/>
      <c r="G6" s="102"/>
      <c r="H6" s="102"/>
      <c r="I6" s="102"/>
    </row>
    <row r="7" spans="1:9" x14ac:dyDescent="0.25">
      <c r="A7" s="24"/>
      <c r="B7" s="7"/>
      <c r="C7" s="24"/>
      <c r="D7" s="102"/>
      <c r="E7" s="102"/>
      <c r="F7" s="32"/>
      <c r="G7" s="102"/>
      <c r="H7" s="102"/>
      <c r="I7" s="102"/>
    </row>
    <row r="8" spans="1:9" x14ac:dyDescent="0.25">
      <c r="A8" s="24"/>
      <c r="B8" s="7"/>
      <c r="C8" s="24"/>
      <c r="D8" s="102"/>
      <c r="E8" s="102"/>
      <c r="F8" s="32"/>
      <c r="G8" s="102"/>
      <c r="H8" s="102"/>
      <c r="I8" s="102"/>
    </row>
    <row r="9" spans="1:9" x14ac:dyDescent="0.25">
      <c r="A9" s="24"/>
      <c r="B9" s="7"/>
      <c r="C9" s="24"/>
      <c r="D9" s="102"/>
      <c r="E9" s="102"/>
      <c r="F9" s="32"/>
      <c r="G9" s="102"/>
      <c r="H9" s="102"/>
      <c r="I9" s="102"/>
    </row>
    <row r="10" spans="1:9" x14ac:dyDescent="0.25">
      <c r="A10" s="24"/>
      <c r="B10" s="7"/>
      <c r="C10" s="24"/>
      <c r="D10" s="102"/>
      <c r="E10" s="102"/>
      <c r="F10" s="32"/>
      <c r="G10" s="102"/>
      <c r="H10" s="102"/>
      <c r="I10" s="102"/>
    </row>
    <row r="11" spans="1:9" x14ac:dyDescent="0.25">
      <c r="A11" s="24"/>
      <c r="B11" s="7"/>
      <c r="C11" s="24"/>
      <c r="D11" s="102"/>
      <c r="E11" s="102"/>
      <c r="F11" s="32"/>
      <c r="G11" s="102"/>
      <c r="H11" s="102"/>
      <c r="I11" s="102"/>
    </row>
    <row r="12" spans="1:9" x14ac:dyDescent="0.25">
      <c r="A12" s="24"/>
      <c r="B12" s="7"/>
      <c r="C12" s="24"/>
      <c r="D12" s="102"/>
      <c r="E12" s="102"/>
      <c r="F12" s="32"/>
      <c r="G12" s="102"/>
      <c r="H12" s="102"/>
      <c r="I12" s="102"/>
    </row>
    <row r="13" spans="1:9" x14ac:dyDescent="0.25">
      <c r="A13" s="24"/>
      <c r="B13" s="7"/>
      <c r="C13" s="24"/>
      <c r="D13" s="102"/>
      <c r="E13" s="102"/>
      <c r="F13" s="32"/>
      <c r="G13" s="102"/>
      <c r="H13" s="102"/>
      <c r="I13" s="102"/>
    </row>
    <row r="14" spans="1:9" x14ac:dyDescent="0.25">
      <c r="A14" s="24"/>
      <c r="B14" s="7"/>
      <c r="C14" s="24"/>
      <c r="D14" s="102"/>
      <c r="E14" s="102"/>
      <c r="F14" s="32"/>
      <c r="G14" s="102"/>
      <c r="H14" s="102"/>
      <c r="I14" s="102"/>
    </row>
    <row r="15" spans="1:9" x14ac:dyDescent="0.25">
      <c r="A15" s="24"/>
      <c r="B15" s="7"/>
      <c r="C15" s="24"/>
      <c r="D15" s="102"/>
      <c r="E15" s="102"/>
      <c r="F15" s="32"/>
      <c r="G15" s="102"/>
      <c r="H15" s="102"/>
      <c r="I15" s="102"/>
    </row>
    <row r="16" spans="1:9" x14ac:dyDescent="0.25">
      <c r="A16" s="24"/>
      <c r="B16" s="7"/>
      <c r="C16" s="24"/>
      <c r="D16" s="102"/>
      <c r="E16" s="102"/>
      <c r="F16" s="32"/>
      <c r="G16" s="102"/>
      <c r="H16" s="102"/>
      <c r="I16" s="102"/>
    </row>
    <row r="17" spans="1:9" x14ac:dyDescent="0.25">
      <c r="A17" s="24"/>
      <c r="B17" s="7"/>
      <c r="C17" s="24"/>
      <c r="D17" s="102"/>
      <c r="E17" s="102"/>
      <c r="F17" s="32"/>
      <c r="G17" s="102"/>
      <c r="H17" s="102"/>
      <c r="I17" s="102"/>
    </row>
    <row r="18" spans="1:9" x14ac:dyDescent="0.25">
      <c r="A18" s="24"/>
      <c r="B18" s="7"/>
      <c r="C18" s="24"/>
      <c r="D18" s="102"/>
      <c r="E18" s="102"/>
      <c r="F18" s="32"/>
      <c r="G18" s="102"/>
      <c r="H18" s="102"/>
      <c r="I18" s="102"/>
    </row>
    <row r="19" spans="1:9" x14ac:dyDescent="0.25">
      <c r="A19" s="24"/>
      <c r="B19" s="7"/>
      <c r="C19" s="24"/>
      <c r="D19" s="102"/>
      <c r="E19" s="102"/>
      <c r="F19" s="32"/>
      <c r="G19" s="102"/>
      <c r="H19" s="102"/>
      <c r="I19" s="102"/>
    </row>
    <row r="20" spans="1:9" x14ac:dyDescent="0.25">
      <c r="A20" s="24"/>
      <c r="B20" s="7"/>
      <c r="C20" s="24"/>
      <c r="D20" s="102"/>
      <c r="E20" s="102"/>
      <c r="F20" s="32"/>
      <c r="G20" s="102"/>
      <c r="H20" s="102"/>
      <c r="I20" s="102"/>
    </row>
    <row r="21" spans="1:9" x14ac:dyDescent="0.25">
      <c r="A21" s="24"/>
      <c r="B21" s="7"/>
      <c r="C21" s="24"/>
      <c r="D21" s="102"/>
      <c r="E21" s="102"/>
      <c r="F21" s="32"/>
      <c r="G21" s="102"/>
      <c r="H21" s="102"/>
      <c r="I21" s="102"/>
    </row>
    <row r="22" spans="1:9" x14ac:dyDescent="0.25">
      <c r="A22" s="24"/>
      <c r="B22" s="7"/>
      <c r="C22" s="24"/>
      <c r="D22" s="102"/>
      <c r="E22" s="102"/>
      <c r="F22" s="32"/>
      <c r="G22" s="102"/>
      <c r="H22" s="102"/>
      <c r="I22" s="102"/>
    </row>
    <row r="23" spans="1:9" x14ac:dyDescent="0.25">
      <c r="A23" s="24"/>
      <c r="B23" s="7"/>
      <c r="C23" s="24"/>
      <c r="D23" s="102"/>
      <c r="E23" s="102"/>
      <c r="F23" s="32"/>
      <c r="G23" s="102"/>
      <c r="H23" s="102"/>
      <c r="I23" s="102"/>
    </row>
    <row r="24" spans="1:9" x14ac:dyDescent="0.25">
      <c r="A24" s="24"/>
      <c r="B24" s="7"/>
      <c r="C24" s="24"/>
      <c r="D24" s="102"/>
      <c r="E24" s="102"/>
      <c r="F24" s="32"/>
      <c r="G24" s="102"/>
      <c r="H24" s="102"/>
      <c r="I24" s="102"/>
    </row>
    <row r="25" spans="1:9" x14ac:dyDescent="0.25">
      <c r="A25" s="24"/>
      <c r="B25" s="7"/>
      <c r="C25" s="24"/>
      <c r="D25" s="102"/>
      <c r="E25" s="102"/>
      <c r="F25" s="32"/>
      <c r="G25" s="102"/>
      <c r="H25" s="102"/>
      <c r="I25" s="102"/>
    </row>
    <row r="26" spans="1:9" x14ac:dyDescent="0.25">
      <c r="A26" s="24"/>
      <c r="B26" s="7"/>
      <c r="C26" s="24"/>
      <c r="D26" s="102"/>
      <c r="E26" s="102"/>
      <c r="F26" s="32"/>
      <c r="G26" s="102"/>
      <c r="H26" s="102"/>
      <c r="I26" s="102"/>
    </row>
    <row r="27" spans="1:9" x14ac:dyDescent="0.25">
      <c r="A27" s="24"/>
      <c r="B27" s="7"/>
      <c r="C27" s="24"/>
      <c r="D27" s="102"/>
      <c r="E27" s="102"/>
      <c r="F27" s="32"/>
      <c r="G27" s="102"/>
      <c r="H27" s="102"/>
      <c r="I27" s="102"/>
    </row>
    <row r="28" spans="1:9" x14ac:dyDescent="0.25">
      <c r="A28" s="24"/>
      <c r="B28" s="7"/>
      <c r="C28" s="24"/>
      <c r="D28" s="102"/>
      <c r="E28" s="102"/>
      <c r="F28" s="32"/>
      <c r="G28" s="102"/>
      <c r="H28" s="102"/>
      <c r="I28" s="102"/>
    </row>
    <row r="29" spans="1:9" x14ac:dyDescent="0.25">
      <c r="A29" s="24"/>
      <c r="B29" s="7"/>
      <c r="C29" s="24"/>
      <c r="D29" s="102"/>
      <c r="E29" s="102"/>
      <c r="F29" s="32"/>
      <c r="G29" s="102"/>
      <c r="H29" s="102"/>
      <c r="I29" s="102"/>
    </row>
    <row r="30" spans="1:9" x14ac:dyDescent="0.25">
      <c r="A30" s="24"/>
      <c r="B30" s="7"/>
      <c r="C30" s="24"/>
      <c r="D30" s="102"/>
      <c r="E30" s="102"/>
      <c r="F30" s="32"/>
      <c r="G30" s="102"/>
      <c r="H30" s="102"/>
      <c r="I30" s="102"/>
    </row>
    <row r="31" spans="1:9" x14ac:dyDescent="0.25">
      <c r="A31" s="24"/>
      <c r="B31" s="7"/>
      <c r="C31" s="24"/>
      <c r="D31" s="102"/>
      <c r="E31" s="102"/>
      <c r="F31" s="32"/>
      <c r="G31" s="102"/>
      <c r="H31" s="102"/>
      <c r="I31" s="102"/>
    </row>
  </sheetData>
  <autoFilter ref="A5:I5"/>
  <mergeCells count="8">
    <mergeCell ref="G1:I1"/>
    <mergeCell ref="G2:I2"/>
    <mergeCell ref="A1:B1"/>
    <mergeCell ref="A2:B2"/>
    <mergeCell ref="C1:D1"/>
    <mergeCell ref="C2:D2"/>
    <mergeCell ref="E1:F1"/>
    <mergeCell ref="E2:F2"/>
  </mergeCells>
  <conditionalFormatting sqref="F6">
    <cfRule type="containsText" dxfId="17" priority="8" operator="containsText" text="In-Progress">
      <formula>NOT(ISERROR(SEARCH("In-Progress",F6)))</formula>
    </cfRule>
  </conditionalFormatting>
  <conditionalFormatting sqref="F6">
    <cfRule type="containsText" dxfId="16" priority="7" operator="containsText" text="Closed">
      <formula>NOT(ISERROR(SEARCH("Closed",F6)))</formula>
    </cfRule>
  </conditionalFormatting>
  <conditionalFormatting sqref="F6">
    <cfRule type="containsText" dxfId="15" priority="6" operator="containsText" text="On-Hold">
      <formula>NOT(ISERROR(SEARCH("On-Hold",F6)))</formula>
    </cfRule>
  </conditionalFormatting>
  <conditionalFormatting sqref="F6">
    <cfRule type="cellIs" dxfId="14" priority="5" operator="equal">
      <formula>"Closed"</formula>
    </cfRule>
  </conditionalFormatting>
  <conditionalFormatting sqref="F7:F31">
    <cfRule type="containsText" dxfId="13" priority="4" operator="containsText" text="In-Progress">
      <formula>NOT(ISERROR(SEARCH("In-Progress",F7)))</formula>
    </cfRule>
  </conditionalFormatting>
  <conditionalFormatting sqref="F7:F31">
    <cfRule type="containsText" dxfId="12" priority="3" operator="containsText" text="Closed">
      <formula>NOT(ISERROR(SEARCH("Closed",F7)))</formula>
    </cfRule>
  </conditionalFormatting>
  <conditionalFormatting sqref="F7:F31">
    <cfRule type="containsText" dxfId="11" priority="2" operator="containsText" text="On-Hold">
      <formula>NOT(ISERROR(SEARCH("On-Hold",F7)))</formula>
    </cfRule>
  </conditionalFormatting>
  <conditionalFormatting sqref="F7:F31">
    <cfRule type="cellIs" dxfId="10" priority="1" operator="equal">
      <formula>"Closed"</formula>
    </cfRule>
  </conditionalFormatting>
  <dataValidations count="2">
    <dataValidation type="list" allowBlank="1" showInputMessage="1" showErrorMessage="1" sqref="C6:C31">
      <formula1>"Low,Medium,High"</formula1>
    </dataValidation>
    <dataValidation type="list" allowBlank="1" showInputMessage="1" showErrorMessage="1" sqref="F6:F31">
      <formula1>"In-Progress, Closed, On-Hold"</formula1>
    </dataValidation>
  </dataValidations>
  <pageMargins left="0.25" right="0.25" top="1.25" bottom="0.75" header="0.3" footer="0.3"/>
  <pageSetup scale="97" orientation="landscape" r:id="rId1"/>
  <headerFooter>
    <oddHeader>&amp;L&amp;G&amp;R&amp;"-,Bold"&amp;18Changes</oddHeader>
    <oddFooter>&amp;C&amp;P&amp;R&amp;D</oddFooter>
  </headerFooter>
  <legacyDrawingHF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I27"/>
  <sheetViews>
    <sheetView zoomScaleNormal="100" workbookViewId="0">
      <selection activeCell="A2" sqref="A2"/>
    </sheetView>
  </sheetViews>
  <sheetFormatPr defaultRowHeight="15" x14ac:dyDescent="0.25"/>
  <cols>
    <col min="1" max="1" width="3.5703125" bestFit="1" customWidth="1"/>
    <col min="2" max="2" width="36.140625" customWidth="1"/>
    <col min="3" max="3" width="21.5703125" customWidth="1"/>
    <col min="4" max="5" width="11.85546875" customWidth="1"/>
    <col min="6" max="6" width="28.42578125" customWidth="1"/>
    <col min="7" max="7" width="24.42578125" customWidth="1"/>
  </cols>
  <sheetData>
    <row r="1" spans="1:9" x14ac:dyDescent="0.25">
      <c r="A1" s="279" t="s">
        <v>48</v>
      </c>
      <c r="B1" s="280"/>
      <c r="C1" s="317">
        <f>'Charter Lite'!B1</f>
        <v>0</v>
      </c>
      <c r="D1" s="317"/>
      <c r="E1" s="319" t="s">
        <v>25</v>
      </c>
      <c r="F1" s="319"/>
      <c r="G1" s="73">
        <f>'Charter Lite'!D1</f>
        <v>0</v>
      </c>
      <c r="H1" s="21"/>
      <c r="I1" s="21"/>
    </row>
    <row r="2" spans="1:9" ht="15.75" thickBot="1" x14ac:dyDescent="0.3">
      <c r="A2" s="281" t="s">
        <v>39</v>
      </c>
      <c r="B2" s="282"/>
      <c r="C2" s="318">
        <f>'Charter Lite'!B2</f>
        <v>0</v>
      </c>
      <c r="D2" s="318"/>
      <c r="E2" s="320" t="s">
        <v>41</v>
      </c>
      <c r="F2" s="320"/>
      <c r="G2" s="74">
        <f>'Charter Lite'!D2</f>
        <v>0</v>
      </c>
      <c r="H2" s="21"/>
      <c r="I2" s="21"/>
    </row>
    <row r="3" spans="1:9" x14ac:dyDescent="0.25">
      <c r="A3" s="2"/>
      <c r="B3" s="3"/>
      <c r="C3" s="3"/>
      <c r="D3" s="3"/>
      <c r="G3" s="3"/>
    </row>
    <row r="4" spans="1:9" x14ac:dyDescent="0.25">
      <c r="A4" s="2"/>
      <c r="B4" s="3"/>
      <c r="C4" s="3"/>
      <c r="D4" s="3"/>
      <c r="G4" s="3"/>
    </row>
    <row r="5" spans="1:9" x14ac:dyDescent="0.25">
      <c r="A5" s="2"/>
      <c r="B5" s="3"/>
      <c r="C5" s="3"/>
      <c r="D5" s="3"/>
      <c r="E5" s="3"/>
      <c r="F5" s="3"/>
      <c r="G5" s="3"/>
    </row>
    <row r="6" spans="1:9" ht="26.25" x14ac:dyDescent="0.25">
      <c r="A6" s="4" t="s">
        <v>0</v>
      </c>
      <c r="B6" s="4" t="s">
        <v>5</v>
      </c>
      <c r="C6" s="4" t="s">
        <v>53</v>
      </c>
      <c r="D6" s="5" t="s">
        <v>1</v>
      </c>
      <c r="E6" s="5" t="s">
        <v>2</v>
      </c>
      <c r="F6" s="4" t="s">
        <v>3</v>
      </c>
      <c r="G6" s="4" t="s">
        <v>4</v>
      </c>
    </row>
    <row r="7" spans="1:9" x14ac:dyDescent="0.25">
      <c r="A7" s="17">
        <v>1</v>
      </c>
      <c r="B7" s="18"/>
      <c r="C7" s="102"/>
      <c r="D7" s="77"/>
      <c r="E7" s="78"/>
      <c r="F7" s="102"/>
      <c r="G7" s="32"/>
    </row>
    <row r="8" spans="1:9" x14ac:dyDescent="0.25">
      <c r="A8" s="6">
        <v>2</v>
      </c>
      <c r="B8" s="7"/>
      <c r="C8" s="102"/>
      <c r="D8" s="77"/>
      <c r="E8" s="78"/>
      <c r="F8" s="102"/>
      <c r="G8" s="32"/>
    </row>
    <row r="9" spans="1:9" x14ac:dyDescent="0.25">
      <c r="A9" s="6">
        <v>3</v>
      </c>
      <c r="B9" s="7"/>
      <c r="C9" s="102"/>
      <c r="D9" s="77"/>
      <c r="E9" s="77"/>
      <c r="F9" s="102"/>
      <c r="G9" s="32"/>
    </row>
    <row r="10" spans="1:9" x14ac:dyDescent="0.25">
      <c r="A10" s="6"/>
      <c r="B10" s="7"/>
      <c r="C10" s="102"/>
      <c r="D10" s="77"/>
      <c r="E10" s="77"/>
      <c r="F10" s="102"/>
      <c r="G10" s="32"/>
    </row>
    <row r="11" spans="1:9" x14ac:dyDescent="0.25">
      <c r="A11" s="6"/>
      <c r="B11" s="7"/>
      <c r="C11" s="102"/>
      <c r="D11" s="77"/>
      <c r="E11" s="78"/>
      <c r="F11" s="102"/>
      <c r="G11" s="32"/>
    </row>
    <row r="12" spans="1:9" x14ac:dyDescent="0.25">
      <c r="A12" s="6"/>
      <c r="B12" s="7"/>
      <c r="C12" s="102"/>
      <c r="D12" s="77"/>
      <c r="E12" s="78"/>
      <c r="F12" s="102"/>
      <c r="G12" s="32"/>
    </row>
    <row r="13" spans="1:9" x14ac:dyDescent="0.25">
      <c r="A13" s="6"/>
      <c r="B13" s="7"/>
      <c r="C13" s="102"/>
      <c r="D13" s="77"/>
      <c r="E13" s="77"/>
      <c r="F13" s="102"/>
      <c r="G13" s="32"/>
    </row>
    <row r="14" spans="1:9" x14ac:dyDescent="0.25">
      <c r="A14" s="6"/>
      <c r="B14" s="7"/>
      <c r="C14" s="102"/>
      <c r="D14" s="77"/>
      <c r="E14" s="77"/>
      <c r="F14" s="102"/>
      <c r="G14" s="32"/>
    </row>
    <row r="15" spans="1:9" x14ac:dyDescent="0.25">
      <c r="A15" s="6"/>
      <c r="B15" s="7"/>
      <c r="C15" s="102"/>
      <c r="D15" s="77"/>
      <c r="E15" s="77"/>
      <c r="F15" s="102"/>
      <c r="G15" s="32"/>
    </row>
    <row r="16" spans="1:9" x14ac:dyDescent="0.25">
      <c r="A16" s="6"/>
      <c r="B16" s="7"/>
      <c r="C16" s="102"/>
      <c r="D16" s="77"/>
      <c r="E16" s="78"/>
      <c r="F16" s="102"/>
      <c r="G16" s="32"/>
    </row>
    <row r="17" spans="1:7" x14ac:dyDescent="0.25">
      <c r="A17" s="6"/>
      <c r="B17" s="7"/>
      <c r="C17" s="102"/>
      <c r="D17" s="77"/>
      <c r="E17" s="77"/>
      <c r="F17" s="102"/>
      <c r="G17" s="32"/>
    </row>
    <row r="18" spans="1:7" x14ac:dyDescent="0.25">
      <c r="A18" s="6"/>
      <c r="B18" s="7"/>
      <c r="C18" s="102"/>
      <c r="D18" s="77"/>
      <c r="E18" s="77"/>
      <c r="F18" s="102"/>
      <c r="G18" s="32"/>
    </row>
    <row r="19" spans="1:7" x14ac:dyDescent="0.25">
      <c r="A19" s="6"/>
      <c r="B19" s="7"/>
      <c r="C19" s="102"/>
      <c r="D19" s="77"/>
      <c r="E19" s="77"/>
      <c r="F19" s="102"/>
      <c r="G19" s="32"/>
    </row>
    <row r="20" spans="1:7" x14ac:dyDescent="0.25">
      <c r="A20" s="6"/>
      <c r="B20" s="7"/>
      <c r="C20" s="102"/>
      <c r="D20" s="77"/>
      <c r="E20" s="78"/>
      <c r="F20" s="102"/>
      <c r="G20" s="32"/>
    </row>
    <row r="21" spans="1:7" x14ac:dyDescent="0.25">
      <c r="A21" s="6"/>
      <c r="B21" s="7"/>
      <c r="C21" s="102"/>
      <c r="D21" s="77"/>
      <c r="E21" s="78"/>
      <c r="F21" s="102"/>
      <c r="G21" s="32"/>
    </row>
    <row r="22" spans="1:7" x14ac:dyDescent="0.25">
      <c r="A22" s="6"/>
      <c r="B22" s="7"/>
      <c r="C22" s="102"/>
      <c r="D22" s="77"/>
      <c r="E22" s="78"/>
      <c r="F22" s="102"/>
      <c r="G22" s="32"/>
    </row>
    <row r="23" spans="1:7" x14ac:dyDescent="0.25">
      <c r="A23" s="6"/>
      <c r="B23" s="7"/>
      <c r="C23" s="102"/>
      <c r="D23" s="77"/>
      <c r="E23" s="77"/>
      <c r="F23" s="102"/>
      <c r="G23" s="32"/>
    </row>
    <row r="24" spans="1:7" x14ac:dyDescent="0.25">
      <c r="A24" s="6"/>
      <c r="B24" s="7"/>
      <c r="C24" s="102"/>
      <c r="D24" s="77"/>
      <c r="E24" s="77"/>
      <c r="F24" s="102"/>
      <c r="G24" s="32"/>
    </row>
    <row r="25" spans="1:7" x14ac:dyDescent="0.25">
      <c r="A25" s="6"/>
      <c r="B25" s="7"/>
      <c r="C25" s="102"/>
      <c r="D25" s="77"/>
      <c r="E25" s="77"/>
      <c r="F25" s="102"/>
      <c r="G25" s="32"/>
    </row>
    <row r="26" spans="1:7" x14ac:dyDescent="0.25">
      <c r="A26" s="6"/>
      <c r="B26" s="7"/>
      <c r="C26" s="102"/>
      <c r="D26" s="77"/>
      <c r="E26" s="77"/>
      <c r="F26" s="102"/>
      <c r="G26" s="32"/>
    </row>
    <row r="27" spans="1:7" x14ac:dyDescent="0.25">
      <c r="A27" s="6"/>
      <c r="B27" s="7"/>
      <c r="C27" s="102"/>
      <c r="D27" s="77"/>
      <c r="E27" s="77"/>
      <c r="F27" s="102"/>
      <c r="G27" s="32"/>
    </row>
  </sheetData>
  <autoFilter ref="A6:G6"/>
  <mergeCells count="6">
    <mergeCell ref="A1:B1"/>
    <mergeCell ref="C1:D1"/>
    <mergeCell ref="E1:F1"/>
    <mergeCell ref="A2:B2"/>
    <mergeCell ref="C2:D2"/>
    <mergeCell ref="E2:F2"/>
  </mergeCells>
  <conditionalFormatting sqref="F10 G7:G27">
    <cfRule type="containsText" dxfId="9" priority="4" operator="containsText" text="In-Progress">
      <formula>NOT(ISERROR(SEARCH("In-Progress",F7)))</formula>
    </cfRule>
  </conditionalFormatting>
  <conditionalFormatting sqref="F10 G7:G27">
    <cfRule type="containsText" dxfId="8" priority="3" operator="containsText" text="Closed">
      <formula>NOT(ISERROR(SEARCH("Closed",F7)))</formula>
    </cfRule>
  </conditionalFormatting>
  <conditionalFormatting sqref="F10 G7:G27">
    <cfRule type="containsText" dxfId="7" priority="2" operator="containsText" text="On-Hold">
      <formula>NOT(ISERROR(SEARCH("On-Hold",F7)))</formula>
    </cfRule>
  </conditionalFormatting>
  <conditionalFormatting sqref="F10 G7:G27">
    <cfRule type="cellIs" dxfId="6" priority="1" operator="equal">
      <formula>"Closed"</formula>
    </cfRule>
  </conditionalFormatting>
  <dataValidations count="1">
    <dataValidation type="list" allowBlank="1" showInputMessage="1" showErrorMessage="1" sqref="G7:G27">
      <formula1>#REF!</formula1>
    </dataValidation>
  </dataValidations>
  <pageMargins left="0.7" right="0.7" top="1.25" bottom="0.75" header="0.3" footer="0.3"/>
  <pageSetup scale="88" orientation="landscape" r:id="rId1"/>
  <headerFooter>
    <oddHeader>&amp;L&amp;G&amp;R&amp;"-,Bold"&amp;18Parking Lot</oddHeader>
  </headerFooter>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
  <sheetViews>
    <sheetView workbookViewId="0">
      <selection activeCell="A2" sqref="A2:B2"/>
    </sheetView>
  </sheetViews>
  <sheetFormatPr defaultRowHeight="15" x14ac:dyDescent="0.25"/>
  <cols>
    <col min="1" max="1" width="20.85546875" customWidth="1"/>
  </cols>
  <sheetData>
    <row r="1" spans="1:13" x14ac:dyDescent="0.25">
      <c r="A1" s="323" t="s">
        <v>48</v>
      </c>
      <c r="B1" s="323"/>
      <c r="C1" s="324">
        <f>'Charter Lite'!B1</f>
        <v>0</v>
      </c>
      <c r="D1" s="324"/>
      <c r="E1" s="324"/>
      <c r="F1" s="324"/>
      <c r="G1" s="324"/>
      <c r="H1" s="323" t="s">
        <v>25</v>
      </c>
      <c r="I1" s="323"/>
      <c r="J1" s="325">
        <f>'Charter Lite'!D1</f>
        <v>0</v>
      </c>
      <c r="K1" s="325"/>
      <c r="L1" s="325"/>
      <c r="M1" s="325"/>
    </row>
    <row r="2" spans="1:13" x14ac:dyDescent="0.25">
      <c r="A2" s="323" t="s">
        <v>39</v>
      </c>
      <c r="B2" s="323"/>
      <c r="C2" s="324">
        <f>'Charter Lite'!B2</f>
        <v>0</v>
      </c>
      <c r="D2" s="324"/>
      <c r="E2" s="324"/>
      <c r="F2" s="324"/>
      <c r="G2" s="324"/>
      <c r="H2" s="323" t="s">
        <v>41</v>
      </c>
      <c r="I2" s="323"/>
      <c r="J2" s="326">
        <f>'Charter Lite'!D2</f>
        <v>0</v>
      </c>
      <c r="K2" s="326"/>
      <c r="L2" s="326"/>
      <c r="M2" s="326"/>
    </row>
    <row r="4" spans="1:13" x14ac:dyDescent="0.25">
      <c r="A4" s="321" t="s">
        <v>118</v>
      </c>
      <c r="B4" s="322" t="s">
        <v>119</v>
      </c>
      <c r="C4" s="322"/>
      <c r="D4" s="322"/>
      <c r="E4" s="322"/>
      <c r="F4" s="322"/>
      <c r="G4" s="322"/>
      <c r="H4" s="322"/>
      <c r="I4" s="322"/>
      <c r="J4" s="322"/>
      <c r="K4" s="322"/>
      <c r="L4" s="322"/>
      <c r="M4" s="322"/>
    </row>
    <row r="5" spans="1:13" x14ac:dyDescent="0.25">
      <c r="A5" s="321"/>
      <c r="B5" s="148">
        <v>1</v>
      </c>
      <c r="C5" s="148">
        <v>2</v>
      </c>
      <c r="D5" s="148">
        <v>3</v>
      </c>
      <c r="E5" s="148">
        <v>4</v>
      </c>
      <c r="F5" s="148">
        <v>5</v>
      </c>
      <c r="G5" s="148">
        <v>6</v>
      </c>
      <c r="H5" s="148">
        <v>7</v>
      </c>
      <c r="I5" s="148">
        <v>8</v>
      </c>
      <c r="J5" s="148">
        <v>9</v>
      </c>
      <c r="K5" s="148">
        <v>10</v>
      </c>
      <c r="L5" s="148">
        <v>11</v>
      </c>
      <c r="M5" s="148">
        <v>12</v>
      </c>
    </row>
    <row r="6" spans="1:13" ht="15.75" x14ac:dyDescent="0.25">
      <c r="A6" s="149" t="s">
        <v>120</v>
      </c>
      <c r="B6" s="150"/>
      <c r="C6" s="151"/>
      <c r="D6" s="151"/>
      <c r="E6" s="151"/>
      <c r="F6" s="152"/>
      <c r="G6" s="151"/>
      <c r="H6" s="152"/>
      <c r="I6" s="152"/>
      <c r="J6" s="153"/>
      <c r="K6" s="153"/>
      <c r="L6" s="153"/>
      <c r="M6" s="153"/>
    </row>
    <row r="7" spans="1:13" x14ac:dyDescent="0.25">
      <c r="A7" s="154" t="s">
        <v>121</v>
      </c>
      <c r="B7" s="155"/>
      <c r="C7" s="156"/>
      <c r="D7" s="156"/>
      <c r="E7" s="156"/>
      <c r="F7" s="157"/>
      <c r="G7" s="156"/>
      <c r="H7" s="157"/>
      <c r="I7" s="157"/>
      <c r="J7" s="158"/>
      <c r="K7" s="158"/>
      <c r="L7" s="158"/>
      <c r="M7" s="158"/>
    </row>
    <row r="8" spans="1:13" x14ac:dyDescent="0.25">
      <c r="A8" s="108" t="s">
        <v>122</v>
      </c>
      <c r="B8" s="158"/>
      <c r="C8" s="158"/>
      <c r="D8" s="158"/>
      <c r="E8" s="158"/>
      <c r="F8" s="158"/>
      <c r="G8" s="158"/>
      <c r="H8" s="158"/>
      <c r="I8" s="158"/>
      <c r="J8" s="158"/>
      <c r="K8" s="158"/>
      <c r="L8" s="158"/>
      <c r="M8" s="158"/>
    </row>
    <row r="9" spans="1:13" x14ac:dyDescent="0.25">
      <c r="A9" s="108" t="s">
        <v>123</v>
      </c>
      <c r="B9" s="158"/>
      <c r="C9" s="158"/>
      <c r="D9" s="158"/>
      <c r="E9" s="158"/>
      <c r="F9" s="158"/>
      <c r="G9" s="158"/>
      <c r="H9" s="158"/>
      <c r="I9" s="158"/>
      <c r="J9" s="158"/>
      <c r="K9" s="158"/>
      <c r="L9" s="158"/>
      <c r="M9" s="158"/>
    </row>
    <row r="10" spans="1:13" x14ac:dyDescent="0.25">
      <c r="A10" s="108" t="s">
        <v>124</v>
      </c>
      <c r="B10" s="158"/>
      <c r="C10" s="158"/>
      <c r="D10" s="158"/>
      <c r="E10" s="158"/>
      <c r="F10" s="158"/>
      <c r="G10" s="158"/>
      <c r="H10" s="158"/>
      <c r="I10" s="158"/>
      <c r="J10" s="158"/>
      <c r="K10" s="158"/>
      <c r="L10" s="158"/>
      <c r="M10" s="158"/>
    </row>
    <row r="11" spans="1:13" x14ac:dyDescent="0.25">
      <c r="A11" s="108"/>
      <c r="B11" s="158"/>
      <c r="C11" s="158"/>
      <c r="D11" s="158"/>
      <c r="E11" s="158"/>
      <c r="F11" s="158"/>
      <c r="G11" s="158"/>
      <c r="H11" s="158"/>
      <c r="I11" s="158"/>
      <c r="J11" s="158"/>
      <c r="K11" s="158"/>
      <c r="L11" s="158"/>
      <c r="M11" s="158"/>
    </row>
    <row r="12" spans="1:13" x14ac:dyDescent="0.25">
      <c r="A12" s="154" t="s">
        <v>125</v>
      </c>
      <c r="B12" s="158"/>
      <c r="C12" s="158"/>
      <c r="D12" s="158"/>
      <c r="E12" s="158"/>
      <c r="F12" s="158"/>
      <c r="G12" s="158"/>
      <c r="H12" s="158"/>
      <c r="I12" s="158"/>
      <c r="J12" s="158"/>
      <c r="K12" s="158"/>
      <c r="L12" s="158"/>
      <c r="M12" s="158"/>
    </row>
    <row r="13" spans="1:13" x14ac:dyDescent="0.25">
      <c r="A13" s="159" t="s">
        <v>126</v>
      </c>
      <c r="B13" s="158"/>
      <c r="C13" s="158"/>
      <c r="D13" s="158"/>
      <c r="E13" s="158"/>
      <c r="F13" s="158"/>
      <c r="G13" s="158"/>
      <c r="H13" s="158"/>
      <c r="I13" s="158"/>
      <c r="J13" s="158"/>
      <c r="K13" s="158"/>
      <c r="L13" s="158"/>
      <c r="M13" s="158"/>
    </row>
    <row r="14" spans="1:13" x14ac:dyDescent="0.25">
      <c r="A14" s="159" t="s">
        <v>127</v>
      </c>
      <c r="B14" s="158"/>
      <c r="C14" s="158"/>
      <c r="D14" s="158"/>
      <c r="E14" s="158"/>
      <c r="F14" s="158"/>
      <c r="G14" s="158"/>
      <c r="H14" s="158"/>
      <c r="I14" s="158"/>
      <c r="J14" s="158"/>
      <c r="K14" s="158"/>
      <c r="L14" s="158"/>
      <c r="M14" s="158"/>
    </row>
    <row r="15" spans="1:13" x14ac:dyDescent="0.25">
      <c r="A15" s="159" t="s">
        <v>128</v>
      </c>
      <c r="B15" s="158"/>
      <c r="C15" s="158"/>
      <c r="D15" s="158"/>
      <c r="E15" s="158"/>
      <c r="F15" s="158"/>
      <c r="G15" s="158"/>
      <c r="H15" s="158"/>
      <c r="I15" s="158"/>
      <c r="J15" s="158"/>
      <c r="K15" s="158"/>
      <c r="L15" s="158"/>
      <c r="M15" s="158"/>
    </row>
    <row r="16" spans="1:13" x14ac:dyDescent="0.25">
      <c r="A16" s="108"/>
      <c r="B16" s="158"/>
      <c r="C16" s="158"/>
      <c r="D16" s="158"/>
      <c r="E16" s="158"/>
      <c r="F16" s="158"/>
      <c r="G16" s="158"/>
      <c r="H16" s="158"/>
      <c r="I16" s="158"/>
      <c r="J16" s="158"/>
      <c r="K16" s="158"/>
      <c r="L16" s="158"/>
      <c r="M16" s="158"/>
    </row>
    <row r="17" spans="1:13" x14ac:dyDescent="0.25">
      <c r="A17" s="154" t="s">
        <v>129</v>
      </c>
      <c r="B17" s="158"/>
      <c r="C17" s="158"/>
      <c r="D17" s="158"/>
      <c r="E17" s="158"/>
      <c r="F17" s="158"/>
      <c r="G17" s="158"/>
      <c r="H17" s="158"/>
      <c r="I17" s="158"/>
      <c r="J17" s="158"/>
      <c r="K17" s="158"/>
      <c r="L17" s="158"/>
      <c r="M17" s="158"/>
    </row>
    <row r="18" spans="1:13" x14ac:dyDescent="0.25">
      <c r="A18" s="159" t="s">
        <v>130</v>
      </c>
      <c r="B18" s="158"/>
      <c r="C18" s="158"/>
      <c r="D18" s="158"/>
      <c r="E18" s="158"/>
      <c r="F18" s="158"/>
      <c r="G18" s="158"/>
      <c r="H18" s="158"/>
      <c r="I18" s="158"/>
      <c r="J18" s="158"/>
      <c r="K18" s="158"/>
      <c r="L18" s="158"/>
      <c r="M18" s="158"/>
    </row>
    <row r="19" spans="1:13" x14ac:dyDescent="0.25">
      <c r="A19" s="159" t="s">
        <v>131</v>
      </c>
      <c r="B19" s="158"/>
      <c r="C19" s="158"/>
      <c r="D19" s="158"/>
      <c r="E19" s="158"/>
      <c r="F19" s="158"/>
      <c r="G19" s="158"/>
      <c r="H19" s="158"/>
      <c r="I19" s="158"/>
      <c r="J19" s="158"/>
      <c r="K19" s="158"/>
      <c r="L19" s="158"/>
      <c r="M19" s="158"/>
    </row>
    <row r="20" spans="1:13" x14ac:dyDescent="0.25">
      <c r="A20" s="159" t="s">
        <v>132</v>
      </c>
      <c r="B20" s="158"/>
      <c r="C20" s="158"/>
      <c r="D20" s="158"/>
      <c r="E20" s="158"/>
      <c r="F20" s="158"/>
      <c r="G20" s="158"/>
      <c r="H20" s="158"/>
      <c r="I20" s="158"/>
      <c r="J20" s="158"/>
      <c r="K20" s="158"/>
      <c r="L20" s="158"/>
      <c r="M20" s="158"/>
    </row>
    <row r="21" spans="1:13" x14ac:dyDescent="0.25">
      <c r="A21" s="108"/>
      <c r="B21" s="158"/>
      <c r="C21" s="158"/>
      <c r="D21" s="158"/>
      <c r="E21" s="158"/>
      <c r="F21" s="158"/>
      <c r="G21" s="158"/>
      <c r="H21" s="158"/>
      <c r="I21" s="158"/>
      <c r="J21" s="158"/>
      <c r="K21" s="158"/>
      <c r="L21" s="158"/>
      <c r="M21" s="158"/>
    </row>
    <row r="22" spans="1:13" x14ac:dyDescent="0.25">
      <c r="A22" s="109" t="s">
        <v>133</v>
      </c>
      <c r="B22" s="158">
        <f>B8+B13+B18</f>
        <v>0</v>
      </c>
      <c r="C22" s="158">
        <f t="shared" ref="C22:M22" si="0">C8+C13+C18</f>
        <v>0</v>
      </c>
      <c r="D22" s="158">
        <f t="shared" si="0"/>
        <v>0</v>
      </c>
      <c r="E22" s="158">
        <f t="shared" si="0"/>
        <v>0</v>
      </c>
      <c r="F22" s="158">
        <f t="shared" si="0"/>
        <v>0</v>
      </c>
      <c r="G22" s="158">
        <f t="shared" si="0"/>
        <v>0</v>
      </c>
      <c r="H22" s="158">
        <f t="shared" si="0"/>
        <v>0</v>
      </c>
      <c r="I22" s="158">
        <f t="shared" si="0"/>
        <v>0</v>
      </c>
      <c r="J22" s="158">
        <f t="shared" si="0"/>
        <v>0</v>
      </c>
      <c r="K22" s="158">
        <f t="shared" si="0"/>
        <v>0</v>
      </c>
      <c r="L22" s="158">
        <f t="shared" si="0"/>
        <v>0</v>
      </c>
      <c r="M22" s="158">
        <f t="shared" si="0"/>
        <v>0</v>
      </c>
    </row>
    <row r="23" spans="1:13" x14ac:dyDescent="0.25">
      <c r="A23" s="109" t="s">
        <v>134</v>
      </c>
      <c r="B23" s="158">
        <f t="shared" ref="B23:M24" si="1">B9+B14+B19</f>
        <v>0</v>
      </c>
      <c r="C23" s="158">
        <f t="shared" si="1"/>
        <v>0</v>
      </c>
      <c r="D23" s="158">
        <f t="shared" si="1"/>
        <v>0</v>
      </c>
      <c r="E23" s="158">
        <f t="shared" si="1"/>
        <v>0</v>
      </c>
      <c r="F23" s="158">
        <f t="shared" si="1"/>
        <v>0</v>
      </c>
      <c r="G23" s="158">
        <f t="shared" si="1"/>
        <v>0</v>
      </c>
      <c r="H23" s="158">
        <f t="shared" si="1"/>
        <v>0</v>
      </c>
      <c r="I23" s="158">
        <f t="shared" si="1"/>
        <v>0</v>
      </c>
      <c r="J23" s="158">
        <f t="shared" si="1"/>
        <v>0</v>
      </c>
      <c r="K23" s="158">
        <f t="shared" si="1"/>
        <v>0</v>
      </c>
      <c r="L23" s="158">
        <f t="shared" si="1"/>
        <v>0</v>
      </c>
      <c r="M23" s="158">
        <f t="shared" si="1"/>
        <v>0</v>
      </c>
    </row>
    <row r="24" spans="1:13" x14ac:dyDescent="0.25">
      <c r="A24" s="109" t="s">
        <v>135</v>
      </c>
      <c r="B24" s="158">
        <f t="shared" si="1"/>
        <v>0</v>
      </c>
      <c r="C24" s="158">
        <f t="shared" si="1"/>
        <v>0</v>
      </c>
      <c r="D24" s="158">
        <f t="shared" si="1"/>
        <v>0</v>
      </c>
      <c r="E24" s="158">
        <f t="shared" si="1"/>
        <v>0</v>
      </c>
      <c r="F24" s="158">
        <f t="shared" si="1"/>
        <v>0</v>
      </c>
      <c r="G24" s="158">
        <f t="shared" si="1"/>
        <v>0</v>
      </c>
      <c r="H24" s="158">
        <f t="shared" si="1"/>
        <v>0</v>
      </c>
      <c r="I24" s="158">
        <f t="shared" si="1"/>
        <v>0</v>
      </c>
      <c r="J24" s="158">
        <f t="shared" si="1"/>
        <v>0</v>
      </c>
      <c r="K24" s="158">
        <f t="shared" si="1"/>
        <v>0</v>
      </c>
      <c r="L24" s="158">
        <f t="shared" si="1"/>
        <v>0</v>
      </c>
      <c r="M24" s="158">
        <f t="shared" si="1"/>
        <v>0</v>
      </c>
    </row>
    <row r="25" spans="1:13" x14ac:dyDescent="0.25">
      <c r="A25" s="159"/>
      <c r="B25" s="158"/>
      <c r="C25" s="158"/>
      <c r="D25" s="158"/>
      <c r="E25" s="158"/>
      <c r="F25" s="158"/>
      <c r="G25" s="158"/>
      <c r="H25" s="158"/>
      <c r="I25" s="158"/>
      <c r="J25" s="158"/>
      <c r="K25" s="158"/>
      <c r="L25" s="158"/>
      <c r="M25" s="158"/>
    </row>
    <row r="26" spans="1:13" ht="15.75" x14ac:dyDescent="0.25">
      <c r="A26" s="160" t="s">
        <v>136</v>
      </c>
      <c r="B26" s="151"/>
      <c r="C26" s="151"/>
      <c r="D26" s="151"/>
      <c r="E26" s="151"/>
      <c r="F26" s="152"/>
      <c r="G26" s="151"/>
      <c r="H26" s="152"/>
      <c r="I26" s="152"/>
      <c r="J26" s="153"/>
      <c r="K26" s="153"/>
      <c r="L26" s="153"/>
      <c r="M26" s="153"/>
    </row>
    <row r="27" spans="1:13" x14ac:dyDescent="0.25">
      <c r="A27" s="154" t="s">
        <v>121</v>
      </c>
      <c r="B27" s="158"/>
      <c r="C27" s="158"/>
      <c r="D27" s="158"/>
      <c r="E27" s="158"/>
      <c r="F27" s="158"/>
      <c r="G27" s="158"/>
      <c r="H27" s="158"/>
      <c r="I27" s="158"/>
      <c r="J27" s="158"/>
      <c r="K27" s="158"/>
      <c r="L27" s="158"/>
      <c r="M27" s="158"/>
    </row>
    <row r="28" spans="1:13" x14ac:dyDescent="0.25">
      <c r="A28" s="108" t="s">
        <v>122</v>
      </c>
      <c r="B28" s="158"/>
      <c r="C28" s="158"/>
      <c r="D28" s="158"/>
      <c r="E28" s="158"/>
      <c r="F28" s="158"/>
      <c r="G28" s="158"/>
      <c r="H28" s="158"/>
      <c r="I28" s="158"/>
      <c r="J28" s="158"/>
      <c r="K28" s="158"/>
      <c r="L28" s="158"/>
      <c r="M28" s="158"/>
    </row>
    <row r="29" spans="1:13" x14ac:dyDescent="0.25">
      <c r="A29" s="108" t="s">
        <v>123</v>
      </c>
      <c r="B29" s="158"/>
      <c r="C29" s="158"/>
      <c r="D29" s="158"/>
      <c r="E29" s="158"/>
      <c r="F29" s="158"/>
      <c r="G29" s="158"/>
      <c r="H29" s="158"/>
      <c r="I29" s="158"/>
      <c r="J29" s="158"/>
      <c r="K29" s="158"/>
      <c r="L29" s="158"/>
      <c r="M29" s="158"/>
    </row>
    <row r="30" spans="1:13" x14ac:dyDescent="0.25">
      <c r="A30" s="108" t="s">
        <v>124</v>
      </c>
      <c r="B30" s="158"/>
      <c r="C30" s="158"/>
      <c r="D30" s="158"/>
      <c r="E30" s="158"/>
      <c r="F30" s="158"/>
      <c r="G30" s="158"/>
      <c r="H30" s="158"/>
      <c r="I30" s="158"/>
      <c r="J30" s="158"/>
      <c r="K30" s="158"/>
      <c r="L30" s="158"/>
      <c r="M30" s="158"/>
    </row>
    <row r="31" spans="1:13" x14ac:dyDescent="0.25">
      <c r="A31" s="108"/>
      <c r="B31" s="158"/>
      <c r="C31" s="158"/>
      <c r="D31" s="158"/>
      <c r="E31" s="158"/>
      <c r="F31" s="158"/>
      <c r="G31" s="158"/>
      <c r="H31" s="158"/>
      <c r="I31" s="158"/>
      <c r="J31" s="158"/>
      <c r="K31" s="158"/>
      <c r="L31" s="158"/>
      <c r="M31" s="158"/>
    </row>
    <row r="32" spans="1:13" x14ac:dyDescent="0.25">
      <c r="A32" s="154" t="s">
        <v>125</v>
      </c>
      <c r="B32" s="158"/>
      <c r="C32" s="158"/>
      <c r="D32" s="158"/>
      <c r="E32" s="158"/>
      <c r="F32" s="158"/>
      <c r="G32" s="158"/>
      <c r="H32" s="158"/>
      <c r="I32" s="158"/>
      <c r="J32" s="158"/>
      <c r="K32" s="158"/>
      <c r="L32" s="158"/>
      <c r="M32" s="158"/>
    </row>
    <row r="33" spans="1:13" x14ac:dyDescent="0.25">
      <c r="A33" s="159" t="s">
        <v>126</v>
      </c>
      <c r="B33" s="158"/>
      <c r="C33" s="158"/>
      <c r="D33" s="158"/>
      <c r="E33" s="158"/>
      <c r="F33" s="158"/>
      <c r="G33" s="158"/>
      <c r="H33" s="158"/>
      <c r="I33" s="158"/>
      <c r="J33" s="158"/>
      <c r="K33" s="158"/>
      <c r="L33" s="158"/>
      <c r="M33" s="158"/>
    </row>
    <row r="34" spans="1:13" x14ac:dyDescent="0.25">
      <c r="A34" s="159" t="s">
        <v>127</v>
      </c>
      <c r="B34" s="158"/>
      <c r="C34" s="158"/>
      <c r="D34" s="158"/>
      <c r="E34" s="158"/>
      <c r="F34" s="158"/>
      <c r="G34" s="158"/>
      <c r="H34" s="158"/>
      <c r="I34" s="158"/>
      <c r="J34" s="158"/>
      <c r="K34" s="158"/>
      <c r="L34" s="158"/>
      <c r="M34" s="158"/>
    </row>
    <row r="35" spans="1:13" x14ac:dyDescent="0.25">
      <c r="A35" s="159" t="s">
        <v>128</v>
      </c>
      <c r="B35" s="158"/>
      <c r="C35" s="158"/>
      <c r="D35" s="158"/>
      <c r="E35" s="158"/>
      <c r="F35" s="158"/>
      <c r="G35" s="158"/>
      <c r="H35" s="158"/>
      <c r="I35" s="158"/>
      <c r="J35" s="158"/>
      <c r="K35" s="158"/>
      <c r="L35" s="158"/>
      <c r="M35" s="158"/>
    </row>
    <row r="36" spans="1:13" x14ac:dyDescent="0.25">
      <c r="A36" s="108"/>
      <c r="B36" s="158"/>
      <c r="C36" s="158"/>
      <c r="D36" s="158"/>
      <c r="E36" s="158"/>
      <c r="F36" s="158"/>
      <c r="G36" s="158"/>
      <c r="H36" s="158"/>
      <c r="I36" s="158"/>
      <c r="J36" s="158"/>
      <c r="K36" s="158"/>
      <c r="L36" s="158"/>
      <c r="M36" s="158"/>
    </row>
    <row r="37" spans="1:13" x14ac:dyDescent="0.25">
      <c r="A37" s="154" t="s">
        <v>129</v>
      </c>
      <c r="B37" s="158"/>
      <c r="C37" s="158"/>
      <c r="D37" s="158"/>
      <c r="E37" s="158"/>
      <c r="F37" s="158"/>
      <c r="G37" s="158"/>
      <c r="H37" s="158"/>
      <c r="I37" s="158"/>
      <c r="J37" s="158"/>
      <c r="K37" s="158"/>
      <c r="L37" s="158"/>
      <c r="M37" s="158"/>
    </row>
    <row r="38" spans="1:13" x14ac:dyDescent="0.25">
      <c r="A38" s="159" t="s">
        <v>130</v>
      </c>
      <c r="B38" s="158"/>
      <c r="C38" s="158"/>
      <c r="D38" s="158"/>
      <c r="E38" s="158"/>
      <c r="F38" s="158"/>
      <c r="G38" s="158"/>
      <c r="H38" s="158"/>
      <c r="I38" s="158"/>
      <c r="J38" s="158"/>
      <c r="K38" s="158"/>
      <c r="L38" s="158"/>
      <c r="M38" s="158"/>
    </row>
    <row r="39" spans="1:13" x14ac:dyDescent="0.25">
      <c r="A39" s="159" t="s">
        <v>131</v>
      </c>
      <c r="B39" s="158"/>
      <c r="C39" s="158"/>
      <c r="D39" s="158"/>
      <c r="E39" s="158"/>
      <c r="F39" s="158"/>
      <c r="G39" s="158"/>
      <c r="H39" s="158"/>
      <c r="I39" s="158"/>
      <c r="J39" s="158"/>
      <c r="K39" s="158"/>
      <c r="L39" s="158"/>
      <c r="M39" s="158"/>
    </row>
    <row r="40" spans="1:13" x14ac:dyDescent="0.25">
      <c r="A40" s="159" t="s">
        <v>132</v>
      </c>
      <c r="B40" s="158"/>
      <c r="C40" s="158"/>
      <c r="D40" s="158"/>
      <c r="E40" s="158"/>
      <c r="F40" s="158"/>
      <c r="G40" s="158"/>
      <c r="H40" s="158"/>
      <c r="I40" s="158"/>
      <c r="J40" s="158"/>
      <c r="K40" s="158"/>
      <c r="L40" s="158"/>
      <c r="M40" s="158"/>
    </row>
    <row r="41" spans="1:13" x14ac:dyDescent="0.25">
      <c r="A41" s="108"/>
      <c r="B41" s="158"/>
      <c r="C41" s="158"/>
      <c r="D41" s="158"/>
      <c r="E41" s="158"/>
      <c r="F41" s="158"/>
      <c r="G41" s="158"/>
      <c r="H41" s="158"/>
      <c r="I41" s="158"/>
      <c r="J41" s="158"/>
      <c r="K41" s="158"/>
      <c r="L41" s="158"/>
      <c r="M41" s="158"/>
    </row>
    <row r="42" spans="1:13" x14ac:dyDescent="0.25">
      <c r="A42" s="109" t="s">
        <v>133</v>
      </c>
      <c r="B42" s="158">
        <f>B28+B33+B38</f>
        <v>0</v>
      </c>
      <c r="C42" s="158">
        <f t="shared" ref="C42:M42" si="2">C28+C33+C38</f>
        <v>0</v>
      </c>
      <c r="D42" s="158">
        <f t="shared" si="2"/>
        <v>0</v>
      </c>
      <c r="E42" s="158">
        <f t="shared" si="2"/>
        <v>0</v>
      </c>
      <c r="F42" s="158">
        <f t="shared" si="2"/>
        <v>0</v>
      </c>
      <c r="G42" s="158">
        <f t="shared" si="2"/>
        <v>0</v>
      </c>
      <c r="H42" s="158">
        <f t="shared" si="2"/>
        <v>0</v>
      </c>
      <c r="I42" s="158">
        <f t="shared" si="2"/>
        <v>0</v>
      </c>
      <c r="J42" s="158">
        <f t="shared" si="2"/>
        <v>0</v>
      </c>
      <c r="K42" s="158">
        <f t="shared" si="2"/>
        <v>0</v>
      </c>
      <c r="L42" s="158">
        <f t="shared" si="2"/>
        <v>0</v>
      </c>
      <c r="M42" s="158">
        <f t="shared" si="2"/>
        <v>0</v>
      </c>
    </row>
    <row r="43" spans="1:13" x14ac:dyDescent="0.25">
      <c r="A43" s="109" t="s">
        <v>134</v>
      </c>
      <c r="B43" s="158">
        <f t="shared" ref="B43:M44" si="3">B29+B34+B39</f>
        <v>0</v>
      </c>
      <c r="C43" s="158">
        <f t="shared" si="3"/>
        <v>0</v>
      </c>
      <c r="D43" s="158">
        <f t="shared" si="3"/>
        <v>0</v>
      </c>
      <c r="E43" s="158">
        <f t="shared" si="3"/>
        <v>0</v>
      </c>
      <c r="F43" s="158">
        <f t="shared" si="3"/>
        <v>0</v>
      </c>
      <c r="G43" s="158">
        <f t="shared" si="3"/>
        <v>0</v>
      </c>
      <c r="H43" s="158">
        <f t="shared" si="3"/>
        <v>0</v>
      </c>
      <c r="I43" s="158">
        <f t="shared" si="3"/>
        <v>0</v>
      </c>
      <c r="J43" s="158">
        <f t="shared" si="3"/>
        <v>0</v>
      </c>
      <c r="K43" s="158">
        <f t="shared" si="3"/>
        <v>0</v>
      </c>
      <c r="L43" s="158">
        <f t="shared" si="3"/>
        <v>0</v>
      </c>
      <c r="M43" s="158">
        <f t="shared" si="3"/>
        <v>0</v>
      </c>
    </row>
    <row r="44" spans="1:13" x14ac:dyDescent="0.25">
      <c r="A44" s="109" t="s">
        <v>135</v>
      </c>
      <c r="B44" s="158">
        <f t="shared" si="3"/>
        <v>0</v>
      </c>
      <c r="C44" s="158">
        <f t="shared" si="3"/>
        <v>0</v>
      </c>
      <c r="D44" s="158">
        <f t="shared" si="3"/>
        <v>0</v>
      </c>
      <c r="E44" s="158">
        <f t="shared" si="3"/>
        <v>0</v>
      </c>
      <c r="F44" s="158">
        <f t="shared" si="3"/>
        <v>0</v>
      </c>
      <c r="G44" s="158">
        <f t="shared" si="3"/>
        <v>0</v>
      </c>
      <c r="H44" s="158">
        <f t="shared" si="3"/>
        <v>0</v>
      </c>
      <c r="I44" s="158">
        <f t="shared" si="3"/>
        <v>0</v>
      </c>
      <c r="J44" s="158">
        <f t="shared" si="3"/>
        <v>0</v>
      </c>
      <c r="K44" s="158">
        <f t="shared" si="3"/>
        <v>0</v>
      </c>
      <c r="L44" s="158">
        <f t="shared" si="3"/>
        <v>0</v>
      </c>
      <c r="M44" s="158">
        <f t="shared" si="3"/>
        <v>0</v>
      </c>
    </row>
  </sheetData>
  <mergeCells count="10">
    <mergeCell ref="A4:A5"/>
    <mergeCell ref="B4:M4"/>
    <mergeCell ref="A1:B1"/>
    <mergeCell ref="C1:G1"/>
    <mergeCell ref="H1:I1"/>
    <mergeCell ref="J1:M1"/>
    <mergeCell ref="A2:B2"/>
    <mergeCell ref="C2:G2"/>
    <mergeCell ref="H2:I2"/>
    <mergeCell ref="J2:M2"/>
  </mergeCells>
  <pageMargins left="0.7" right="0.7" top="0.75" bottom="0.75" header="0.3" footer="0.3"/>
  <pageSetup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24"/>
  <sheetViews>
    <sheetView workbookViewId="0">
      <pane ySplit="4" topLeftCell="A5" activePane="bottomLeft" state="frozen"/>
      <selection activeCell="A2" sqref="A2"/>
      <selection pane="bottomLeft" activeCell="A2" sqref="A2"/>
    </sheetView>
  </sheetViews>
  <sheetFormatPr defaultRowHeight="15" x14ac:dyDescent="0.25"/>
  <cols>
    <col min="1" max="1" width="6.7109375" customWidth="1"/>
    <col min="2" max="2" width="36.5703125" customWidth="1"/>
    <col min="3" max="4" width="12.5703125" customWidth="1"/>
    <col min="5" max="6" width="14.42578125" customWidth="1"/>
    <col min="7" max="7" width="6.85546875" customWidth="1"/>
    <col min="8" max="8" width="36.85546875" customWidth="1"/>
  </cols>
  <sheetData>
    <row r="1" spans="1:8" ht="15" customHeight="1" x14ac:dyDescent="0.25">
      <c r="A1" s="279" t="s">
        <v>48</v>
      </c>
      <c r="B1" s="280"/>
      <c r="C1" s="113">
        <f>'Charter Lite'!B1</f>
        <v>0</v>
      </c>
      <c r="D1" s="114"/>
      <c r="E1" s="120"/>
      <c r="F1" s="327" t="s">
        <v>25</v>
      </c>
      <c r="G1" s="328"/>
      <c r="H1" s="119">
        <f>'Charter Lite'!D1</f>
        <v>0</v>
      </c>
    </row>
    <row r="2" spans="1:8" ht="15.75" customHeight="1" thickBot="1" x14ac:dyDescent="0.3">
      <c r="A2" s="281" t="s">
        <v>39</v>
      </c>
      <c r="B2" s="282"/>
      <c r="C2" s="331">
        <f>'Charter Lite'!B2</f>
        <v>0</v>
      </c>
      <c r="D2" s="332"/>
      <c r="E2" s="333"/>
      <c r="F2" s="329" t="s">
        <v>41</v>
      </c>
      <c r="G2" s="330"/>
      <c r="H2" s="121">
        <f>'Charter Lite'!D2</f>
        <v>0</v>
      </c>
    </row>
    <row r="4" spans="1:8" ht="33" customHeight="1" x14ac:dyDescent="0.25">
      <c r="A4" s="104" t="s">
        <v>0</v>
      </c>
      <c r="B4" s="104" t="s">
        <v>5</v>
      </c>
      <c r="C4" s="105" t="s">
        <v>72</v>
      </c>
      <c r="D4" s="105" t="s">
        <v>73</v>
      </c>
      <c r="E4" s="104" t="s">
        <v>79</v>
      </c>
      <c r="F4" s="104" t="s">
        <v>80</v>
      </c>
      <c r="G4" s="104" t="s">
        <v>4</v>
      </c>
      <c r="H4" s="104" t="s">
        <v>74</v>
      </c>
    </row>
    <row r="5" spans="1:8" ht="15" customHeight="1" x14ac:dyDescent="0.25">
      <c r="A5" s="96">
        <v>1</v>
      </c>
      <c r="B5" s="108">
        <f>Schedule!B5</f>
        <v>0</v>
      </c>
      <c r="C5" s="89"/>
      <c r="D5" s="89"/>
      <c r="E5" s="142">
        <f>IF(Schedule!E5="",Schedule!C5,Schedule!E5)</f>
        <v>0</v>
      </c>
      <c r="F5" s="142">
        <f>IF(Schedule!F5="",Schedule!D5,Schedule!F5)</f>
        <v>0</v>
      </c>
      <c r="G5" s="106"/>
      <c r="H5" s="106"/>
    </row>
    <row r="6" spans="1:8" ht="15" customHeight="1" x14ac:dyDescent="0.25">
      <c r="A6" s="96">
        <f>A5+1</f>
        <v>2</v>
      </c>
      <c r="B6" s="108">
        <f>Schedule!B6</f>
        <v>0</v>
      </c>
      <c r="C6" s="89"/>
      <c r="D6" s="89"/>
      <c r="E6" s="142">
        <f>IF(Schedule!E6="",Schedule!C6,Schedule!E6)</f>
        <v>0</v>
      </c>
      <c r="F6" s="142">
        <f>IF(Schedule!F6="",Schedule!D6,Schedule!F6)</f>
        <v>0</v>
      </c>
      <c r="G6" s="106"/>
      <c r="H6" s="106"/>
    </row>
    <row r="7" spans="1:8" ht="15" customHeight="1" x14ac:dyDescent="0.25">
      <c r="A7" s="96">
        <f t="shared" ref="A7:A20" si="0">A6+1</f>
        <v>3</v>
      </c>
      <c r="B7" s="108">
        <f>Schedule!B7</f>
        <v>0</v>
      </c>
      <c r="C7" s="90"/>
      <c r="D7" s="89"/>
      <c r="E7" s="142">
        <f>IF(Schedule!E7="",Schedule!C7,Schedule!E7)</f>
        <v>0</v>
      </c>
      <c r="F7" s="142">
        <f>IF(Schedule!F7="",Schedule!D7,Schedule!F7)</f>
        <v>0</v>
      </c>
      <c r="G7" s="106"/>
      <c r="H7" s="106"/>
    </row>
    <row r="8" spans="1:8" ht="15" customHeight="1" x14ac:dyDescent="0.25">
      <c r="A8" s="96">
        <f t="shared" si="0"/>
        <v>4</v>
      </c>
      <c r="B8" s="108">
        <f>Schedule!B8</f>
        <v>0</v>
      </c>
      <c r="C8" s="90"/>
      <c r="D8" s="89"/>
      <c r="E8" s="142">
        <f>IF(Schedule!E8="",Schedule!C8,Schedule!E8)</f>
        <v>0</v>
      </c>
      <c r="F8" s="142">
        <f>IF(Schedule!F8="",Schedule!D8,Schedule!F8)</f>
        <v>0</v>
      </c>
      <c r="G8" s="106"/>
      <c r="H8" s="106"/>
    </row>
    <row r="9" spans="1:8" ht="15" customHeight="1" x14ac:dyDescent="0.25">
      <c r="A9" s="96">
        <f t="shared" si="0"/>
        <v>5</v>
      </c>
      <c r="B9" s="108">
        <f>Schedule!B9</f>
        <v>0</v>
      </c>
      <c r="C9" s="90"/>
      <c r="D9" s="89"/>
      <c r="E9" s="142">
        <f>IF(Schedule!E9="",Schedule!C9,Schedule!E9)</f>
        <v>0</v>
      </c>
      <c r="F9" s="142">
        <f>IF(Schedule!F9="",Schedule!D9,Schedule!F9)</f>
        <v>0</v>
      </c>
      <c r="G9" s="106"/>
      <c r="H9" s="106"/>
    </row>
    <row r="10" spans="1:8" x14ac:dyDescent="0.25">
      <c r="A10" s="96">
        <f t="shared" si="0"/>
        <v>6</v>
      </c>
      <c r="B10" s="108">
        <f>Schedule!B10</f>
        <v>0</v>
      </c>
      <c r="C10" s="87"/>
      <c r="D10" s="87"/>
      <c r="E10" s="142">
        <f>IF(Schedule!E10="",Schedule!C10,Schedule!E10)</f>
        <v>0</v>
      </c>
      <c r="F10" s="142">
        <f>IF(Schedule!F10="",Schedule!D10,Schedule!F10)</f>
        <v>0</v>
      </c>
      <c r="G10" s="106"/>
      <c r="H10" s="106"/>
    </row>
    <row r="11" spans="1:8" ht="15" customHeight="1" x14ac:dyDescent="0.25">
      <c r="A11" s="96">
        <f t="shared" si="0"/>
        <v>7</v>
      </c>
      <c r="B11" s="108">
        <f>Schedule!B11</f>
        <v>0</v>
      </c>
      <c r="C11" s="89"/>
      <c r="D11" s="89"/>
      <c r="E11" s="142">
        <f>IF(Schedule!E11="",Schedule!C11,Schedule!E11)</f>
        <v>0</v>
      </c>
      <c r="F11" s="142">
        <f>IF(Schedule!F11="",Schedule!D11,Schedule!F11)</f>
        <v>0</v>
      </c>
      <c r="G11" s="106"/>
      <c r="H11" s="106"/>
    </row>
    <row r="12" spans="1:8" x14ac:dyDescent="0.25">
      <c r="A12" s="96">
        <f t="shared" si="0"/>
        <v>8</v>
      </c>
      <c r="B12" s="108"/>
      <c r="C12" s="89"/>
      <c r="D12" s="89"/>
      <c r="E12" s="117"/>
      <c r="F12" s="117"/>
      <c r="G12" s="106"/>
      <c r="H12" s="106"/>
    </row>
    <row r="13" spans="1:8" x14ac:dyDescent="0.25">
      <c r="A13" s="96">
        <f t="shared" si="0"/>
        <v>9</v>
      </c>
      <c r="B13" s="108"/>
      <c r="C13" s="87"/>
      <c r="D13" s="87"/>
      <c r="E13" s="117"/>
      <c r="F13" s="117"/>
      <c r="G13" s="106"/>
      <c r="H13" s="106"/>
    </row>
    <row r="14" spans="1:8" x14ac:dyDescent="0.25">
      <c r="A14" s="96">
        <f t="shared" si="0"/>
        <v>10</v>
      </c>
      <c r="B14" s="108"/>
      <c r="C14" s="87"/>
      <c r="D14" s="87"/>
      <c r="E14" s="117"/>
      <c r="F14" s="117"/>
      <c r="G14" s="106"/>
      <c r="H14" s="106"/>
    </row>
    <row r="15" spans="1:8" x14ac:dyDescent="0.25">
      <c r="A15" s="96">
        <f t="shared" si="0"/>
        <v>11</v>
      </c>
      <c r="B15" s="110"/>
      <c r="C15" s="89"/>
      <c r="D15" s="89"/>
      <c r="E15" s="117"/>
      <c r="F15" s="117"/>
      <c r="G15" s="106"/>
      <c r="H15" s="106"/>
    </row>
    <row r="16" spans="1:8" x14ac:dyDescent="0.25">
      <c r="A16" s="96">
        <f t="shared" si="0"/>
        <v>12</v>
      </c>
      <c r="B16" s="110"/>
      <c r="C16" s="89"/>
      <c r="D16" s="89"/>
      <c r="E16" s="117"/>
      <c r="F16" s="117"/>
      <c r="G16" s="106"/>
      <c r="H16" s="106"/>
    </row>
    <row r="17" spans="1:8" x14ac:dyDescent="0.25">
      <c r="A17" s="96">
        <f t="shared" si="0"/>
        <v>13</v>
      </c>
      <c r="B17" s="109"/>
      <c r="C17" s="87"/>
      <c r="D17" s="87"/>
      <c r="E17" s="117"/>
      <c r="F17" s="117"/>
      <c r="G17" s="106"/>
      <c r="H17" s="106"/>
    </row>
    <row r="18" spans="1:8" x14ac:dyDescent="0.25">
      <c r="A18" s="96">
        <f t="shared" si="0"/>
        <v>14</v>
      </c>
      <c r="B18" s="111"/>
      <c r="C18" s="88"/>
      <c r="D18" s="87"/>
      <c r="E18" s="117"/>
      <c r="F18" s="117"/>
      <c r="G18" s="106"/>
      <c r="H18" s="106"/>
    </row>
    <row r="19" spans="1:8" x14ac:dyDescent="0.25">
      <c r="A19" s="96">
        <f t="shared" si="0"/>
        <v>15</v>
      </c>
      <c r="B19" s="110"/>
      <c r="C19" s="89"/>
      <c r="D19" s="89"/>
      <c r="E19" s="117"/>
      <c r="F19" s="117"/>
      <c r="G19" s="106"/>
      <c r="H19" s="106"/>
    </row>
    <row r="20" spans="1:8" s="79" customFormat="1" x14ac:dyDescent="0.25">
      <c r="A20" s="96">
        <f t="shared" si="0"/>
        <v>16</v>
      </c>
      <c r="B20" s="110"/>
      <c r="C20" s="89"/>
      <c r="D20" s="89"/>
      <c r="E20" s="118"/>
      <c r="F20" s="118"/>
      <c r="G20" s="106"/>
      <c r="H20" s="107"/>
    </row>
    <row r="21" spans="1:8" s="79" customFormat="1" x14ac:dyDescent="0.25">
      <c r="A21" s="107"/>
      <c r="B21" s="112"/>
      <c r="C21" s="89"/>
      <c r="D21" s="89"/>
      <c r="E21" s="118"/>
      <c r="F21" s="118"/>
      <c r="G21" s="106"/>
      <c r="H21" s="107"/>
    </row>
    <row r="22" spans="1:8" s="79" customFormat="1" x14ac:dyDescent="0.25">
      <c r="E22" s="80"/>
      <c r="F22" s="80"/>
    </row>
    <row r="23" spans="1:8" x14ac:dyDescent="0.25">
      <c r="E23" s="15"/>
      <c r="F23" s="15"/>
    </row>
    <row r="24" spans="1:8" x14ac:dyDescent="0.25">
      <c r="E24" s="15"/>
      <c r="F24" s="15"/>
    </row>
  </sheetData>
  <mergeCells count="5">
    <mergeCell ref="F1:G1"/>
    <mergeCell ref="F2:G2"/>
    <mergeCell ref="A1:B1"/>
    <mergeCell ref="A2:B2"/>
    <mergeCell ref="C2:E2"/>
  </mergeCells>
  <conditionalFormatting sqref="G5">
    <cfRule type="cellIs" dxfId="5" priority="7" operator="equal">
      <formula>"Red"</formula>
    </cfRule>
    <cfRule type="cellIs" dxfId="4" priority="8" operator="equal">
      <formula>"Yellow"</formula>
    </cfRule>
    <cfRule type="cellIs" dxfId="3" priority="9" operator="equal">
      <formula>"Green"</formula>
    </cfRule>
  </conditionalFormatting>
  <conditionalFormatting sqref="G6:G21">
    <cfRule type="cellIs" dxfId="2" priority="1" operator="equal">
      <formula>"Red"</formula>
    </cfRule>
    <cfRule type="cellIs" dxfId="1" priority="2" operator="equal">
      <formula>"Yellow"</formula>
    </cfRule>
    <cfRule type="cellIs" dxfId="0" priority="3" operator="equal">
      <formula>"Green"</formula>
    </cfRule>
  </conditionalFormatting>
  <dataValidations count="1">
    <dataValidation type="list" allowBlank="1" showInputMessage="1" showErrorMessage="1" sqref="G5:G21">
      <formula1>"Green,Yellow,Red"</formula1>
    </dataValidation>
  </dataValidations>
  <pageMargins left="0.25" right="0.25" top="1.25" bottom="0.75" header="0.3" footer="0.3"/>
  <pageSetup scale="73" fitToHeight="5" orientation="portrait" horizontalDpi="300" verticalDpi="300" r:id="rId1"/>
  <headerFooter>
    <oddHeader>&amp;L&amp;G&amp;R&amp;"-,Bold"&amp;18Reporting</oddHeader>
    <oddFooter>&amp;C&amp;P&amp;R&amp;D</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3C7B56A43EB04E9C936EB39FF43E0F" ma:contentTypeVersion="0" ma:contentTypeDescription="Create a new document." ma:contentTypeScope="" ma:versionID="7550cc251b88f01741de72a5858834c7">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16D3D8D-2C79-4182-96A4-9E5D39EC413C}">
  <ds:schemaRefs>
    <ds:schemaRef ds:uri="http://purl.org/dc/dcmitype/"/>
    <ds:schemaRef ds:uri="http://schemas.openxmlformats.org/package/2006/metadata/core-properties"/>
    <ds:schemaRef ds:uri="http://purl.org/dc/elements/1.1/"/>
    <ds:schemaRef ds:uri="http://purl.org/dc/terms/"/>
    <ds:schemaRef ds:uri="http://www.w3.org/XML/1998/namespace"/>
    <ds:schemaRef ds:uri="http://schemas.microsoft.com/office/2006/documentManagement/type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DE9E63F7-1030-4884-9664-7E4DB170E2F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8493C759-954C-4E58-BD65-442C52B18AC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vt:i4>
      </vt:variant>
    </vt:vector>
  </HeadingPairs>
  <TitlesOfParts>
    <vt:vector size="17" baseType="lpstr">
      <vt:lpstr>Definitions</vt:lpstr>
      <vt:lpstr>Charter Lite</vt:lpstr>
      <vt:lpstr>Directory</vt:lpstr>
      <vt:lpstr>Communications</vt:lpstr>
      <vt:lpstr>Schedule</vt:lpstr>
      <vt:lpstr>Risks</vt:lpstr>
      <vt:lpstr>Action Items</vt:lpstr>
      <vt:lpstr>Issues</vt:lpstr>
      <vt:lpstr>Decisions</vt:lpstr>
      <vt:lpstr>Changes</vt:lpstr>
      <vt:lpstr>Parking Lot</vt:lpstr>
      <vt:lpstr>Quality (Optional)</vt:lpstr>
      <vt:lpstr>Report</vt:lpstr>
      <vt:lpstr>'Action Items'!Print_Area</vt:lpstr>
      <vt:lpstr>Changes!Print_Area</vt:lpstr>
      <vt:lpstr>Issues!Print_Area</vt:lpstr>
      <vt:lpstr>Risks!Print_Area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Project Log</dc:title>
  <dc:creator>mhoke</dc:creator>
  <cp:lastModifiedBy>Allen, Eric</cp:lastModifiedBy>
  <cp:lastPrinted>2014-05-13T16:02:59Z</cp:lastPrinted>
  <dcterms:created xsi:type="dcterms:W3CDTF">2011-05-18T02:56:46Z</dcterms:created>
  <dcterms:modified xsi:type="dcterms:W3CDTF">2014-09-12T15:12:06Z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0x010100893C7B56A43EB04E9C936EB39FF43E0F</vt:lpwstr>
  </property>
</Properties>
</file>