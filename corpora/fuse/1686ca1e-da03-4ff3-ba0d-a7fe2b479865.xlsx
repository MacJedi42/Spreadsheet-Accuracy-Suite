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S2" sheetId="1" r:id="rId1"/>
  </sheets>
  <definedNames>
    <definedName name="trxx">'S2'!#REF!</definedName>
  </definedNames>
  <calcPr calcId="140000" calcMode="manual" calcCompleted="0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3" i="1" l="1"/>
  <c r="G43" i="1"/>
  <c r="F43" i="1"/>
  <c r="E43" i="1"/>
  <c r="D43" i="1"/>
  <c r="C43" i="1"/>
  <c r="B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</calcChain>
</file>

<file path=xl/sharedStrings.xml><?xml version="1.0" encoding="utf-8"?>
<sst xmlns="http://schemas.openxmlformats.org/spreadsheetml/2006/main" count="50" uniqueCount="50">
  <si>
    <t>Table S2. Validation of SNPs using Roche-454 whole-genome sequencing data</t>
  </si>
  <si>
    <t>number of
SNPs *</t>
  </si>
  <si>
    <t>ambiguous **</t>
  </si>
  <si>
    <t>no 454 
coverage</t>
  </si>
  <si>
    <t>confirmed</t>
  </si>
  <si>
    <t>rejected</t>
  </si>
  <si>
    <t>% confirmed / 
(confirmed + rejected)</t>
  </si>
  <si>
    <t>% rejected / 
(confirmed + rejected)</t>
  </si>
  <si>
    <t>DGRP-208</t>
  </si>
  <si>
    <t>DGRP-301</t>
  </si>
  <si>
    <t>DGRP-303</t>
  </si>
  <si>
    <t>DGRP-304</t>
  </si>
  <si>
    <t>DGRP-306</t>
  </si>
  <si>
    <t>DGRP-307</t>
  </si>
  <si>
    <t>DGRP-313</t>
  </si>
  <si>
    <t>DGRP-315</t>
  </si>
  <si>
    <t>DGRP-324</t>
  </si>
  <si>
    <t>DGRP-335</t>
  </si>
  <si>
    <t>DGRP-357</t>
  </si>
  <si>
    <t>DGRP-358</t>
  </si>
  <si>
    <t>DGRP-360</t>
  </si>
  <si>
    <t>DGRP-362</t>
  </si>
  <si>
    <t>DGRP-365</t>
  </si>
  <si>
    <t>DGRP-375</t>
  </si>
  <si>
    <t>DGRP-379</t>
  </si>
  <si>
    <t>DGRP-380</t>
  </si>
  <si>
    <t>DGRP-391</t>
  </si>
  <si>
    <t>DGRP-399</t>
  </si>
  <si>
    <t>DGRP-427</t>
  </si>
  <si>
    <t>DGRP-437</t>
  </si>
  <si>
    <t>DGRP-486</t>
  </si>
  <si>
    <t>DGRP-517</t>
  </si>
  <si>
    <t>DGRP-555</t>
  </si>
  <si>
    <t>DGRP-639</t>
  </si>
  <si>
    <t>DGRP-705</t>
  </si>
  <si>
    <t>DGRP-707</t>
  </si>
  <si>
    <t>DGRP-712</t>
  </si>
  <si>
    <t>DGRP-714</t>
  </si>
  <si>
    <t>DGRP-730</t>
  </si>
  <si>
    <t>DGRP-732</t>
  </si>
  <si>
    <t>DGRP-765</t>
  </si>
  <si>
    <t>DGRP-774</t>
  </si>
  <si>
    <t>DGRP-786</t>
  </si>
  <si>
    <t>DGRP-799</t>
  </si>
  <si>
    <t>DGRP-820</t>
  </si>
  <si>
    <t>DGRP-852</t>
  </si>
  <si>
    <t>DGRP-859</t>
  </si>
  <si>
    <t>Total</t>
  </si>
  <si>
    <t>* including di-nucleotide substitutions represented as pairs of consecutive SNPs</t>
  </si>
  <si>
    <t>** SNPs for which genotyping revealed that the opposing number of (Illumina) reads is half or more the supporting number of reads (i.e. likely segregating)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</si>
</sst>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3" fontId="0" fillId="0" borderId="0" xfId="0" applyNumberFormat="1"/>
    <xf numFmtId="164" fontId="0" fillId="0" borderId="0" xfId="1" applyNumberFormat="1" applyFont="1"/>
    <xf numFmtId="3" fontId="0" fillId="0" borderId="1" xfId="0" applyNumberFormat="1" applyBorder="1"/>
    <xf numFmtId="164" fontId="0" fillId="0" borderId="1" xfId="1" applyNumberFormat="1" applyFont="1" applyBorder="1"/>
    <xf numFmtId="0" fontId="0" fillId="0" borderId="0" xfId="0" applyFill="1" applyBorder="1"/>
  </cellXfs>
  <cellStyles count="4">
    <cellStyle name="Neutral 2" xfId="2"/>
    <cellStyle name="Normal" xfId="0" builtinId="0"/>
    <cellStyle name="Normal 2" xfId="3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/>
  </sheetViews>
  <sheetFormatPr baseColWidth="10" defaultColWidth="11.5" defaultRowHeight="14" x14ac:dyDescent="0"/>
  <cols>
    <col min="2" max="2" width="17.1640625" customWidth="1"/>
    <col min="3" max="3" width="18" customWidth="1"/>
    <col min="7" max="7" width="11.83203125" customWidth="1"/>
  </cols>
  <sheetData>
    <row r="1" spans="1:8">
      <c r="A1" s="1" t="s">
        <v>0</v>
      </c>
    </row>
    <row r="2" spans="1:8">
      <c r="A2" s="1"/>
    </row>
    <row r="3" spans="1:8" ht="42">
      <c r="A3" s="2"/>
      <c r="B3" s="3" t="s">
        <v>1</v>
      </c>
      <c r="C3" s="4" t="s">
        <v>2</v>
      </c>
      <c r="D3" s="3" t="s">
        <v>3</v>
      </c>
      <c r="E3" s="4" t="s">
        <v>4</v>
      </c>
      <c r="F3" s="4" t="s">
        <v>5</v>
      </c>
      <c r="G3" s="5" t="s">
        <v>6</v>
      </c>
      <c r="H3" s="5" t="s">
        <v>7</v>
      </c>
    </row>
    <row r="4" spans="1:8">
      <c r="A4" t="s">
        <v>8</v>
      </c>
      <c r="B4" s="6">
        <v>678615</v>
      </c>
      <c r="C4" s="6">
        <v>10681</v>
      </c>
      <c r="D4" s="6">
        <v>70997</v>
      </c>
      <c r="E4" s="6">
        <v>591235</v>
      </c>
      <c r="F4" s="6">
        <v>5702</v>
      </c>
      <c r="G4" s="7">
        <f ca="1">E4/(F4+E4)</f>
        <v>0.99044790321256682</v>
      </c>
      <c r="H4" s="7">
        <f ca="1">F4/(E4+F4)</f>
        <v>9.5520967874331789E-3</v>
      </c>
    </row>
    <row r="5" spans="1:8">
      <c r="A5" t="s">
        <v>9</v>
      </c>
      <c r="B5" s="6">
        <v>716489</v>
      </c>
      <c r="C5" s="6">
        <v>40971</v>
      </c>
      <c r="D5" s="6">
        <v>71282</v>
      </c>
      <c r="E5" s="6">
        <v>590510</v>
      </c>
      <c r="F5" s="6">
        <v>13726</v>
      </c>
      <c r="G5" s="7">
        <f t="shared" ref="G5:G43" ca="1" si="0">E5/(F5+E5)</f>
        <v>0.9772837103383446</v>
      </c>
      <c r="H5" s="7">
        <f t="shared" ref="H5:H43" ca="1" si="1">F5/(E5+F5)</f>
        <v>2.271628966165538E-2</v>
      </c>
    </row>
    <row r="6" spans="1:8">
      <c r="A6" t="s">
        <v>10</v>
      </c>
      <c r="B6" s="6">
        <v>609435</v>
      </c>
      <c r="C6" s="6">
        <v>9622</v>
      </c>
      <c r="D6" s="6">
        <v>94910</v>
      </c>
      <c r="E6" s="6">
        <v>489456</v>
      </c>
      <c r="F6" s="6">
        <v>15447</v>
      </c>
      <c r="G6" s="7">
        <f t="shared" ca="1" si="0"/>
        <v>0.96940600471773786</v>
      </c>
      <c r="H6" s="7">
        <f t="shared" ca="1" si="1"/>
        <v>3.0593995282262136E-2</v>
      </c>
    </row>
    <row r="7" spans="1:8">
      <c r="A7" t="s">
        <v>11</v>
      </c>
      <c r="B7" s="6">
        <v>667220</v>
      </c>
      <c r="C7" s="6">
        <v>8809</v>
      </c>
      <c r="D7" s="6">
        <v>116330</v>
      </c>
      <c r="E7" s="6">
        <v>534510</v>
      </c>
      <c r="F7" s="6">
        <v>7571</v>
      </c>
      <c r="G7" s="7">
        <f t="shared" ca="1" si="0"/>
        <v>0.98603345256520702</v>
      </c>
      <c r="H7" s="7">
        <f t="shared" ca="1" si="1"/>
        <v>1.3966547434792956E-2</v>
      </c>
    </row>
    <row r="8" spans="1:8">
      <c r="A8" t="s">
        <v>12</v>
      </c>
      <c r="B8" s="6">
        <v>670107</v>
      </c>
      <c r="C8" s="6">
        <v>15881</v>
      </c>
      <c r="D8" s="6">
        <v>83741</v>
      </c>
      <c r="E8" s="6">
        <v>560677</v>
      </c>
      <c r="F8" s="6">
        <v>9808</v>
      </c>
      <c r="G8" s="7">
        <f t="shared" ca="1" si="0"/>
        <v>0.9828076110677757</v>
      </c>
      <c r="H8" s="7">
        <f t="shared" ca="1" si="1"/>
        <v>1.7192388932224335E-2</v>
      </c>
    </row>
    <row r="9" spans="1:8">
      <c r="A9" t="s">
        <v>13</v>
      </c>
      <c r="B9" s="6">
        <v>654469</v>
      </c>
      <c r="C9" s="6">
        <v>8261</v>
      </c>
      <c r="D9" s="6">
        <v>96078</v>
      </c>
      <c r="E9" s="6">
        <v>542747</v>
      </c>
      <c r="F9" s="6">
        <v>7383</v>
      </c>
      <c r="G9" s="7">
        <f t="shared" ca="1" si="0"/>
        <v>0.98657953574609636</v>
      </c>
      <c r="H9" s="7">
        <f t="shared" ca="1" si="1"/>
        <v>1.3420464253903622E-2</v>
      </c>
    </row>
    <row r="10" spans="1:8">
      <c r="A10" t="s">
        <v>14</v>
      </c>
      <c r="B10" s="6">
        <v>687070</v>
      </c>
      <c r="C10" s="6">
        <v>7616</v>
      </c>
      <c r="D10" s="6">
        <v>121942</v>
      </c>
      <c r="E10" s="6">
        <v>551261</v>
      </c>
      <c r="F10" s="6">
        <v>6251</v>
      </c>
      <c r="G10" s="7">
        <f t="shared" ca="1" si="0"/>
        <v>0.98878768528749161</v>
      </c>
      <c r="H10" s="7">
        <f t="shared" ca="1" si="1"/>
        <v>1.121231471250843E-2</v>
      </c>
    </row>
    <row r="11" spans="1:8">
      <c r="A11" t="s">
        <v>15</v>
      </c>
      <c r="B11" s="6">
        <v>672853</v>
      </c>
      <c r="C11" s="6">
        <v>12747</v>
      </c>
      <c r="D11" s="6">
        <v>73260</v>
      </c>
      <c r="E11" s="6">
        <v>580028</v>
      </c>
      <c r="F11" s="6">
        <v>6818</v>
      </c>
      <c r="G11" s="7">
        <f t="shared" ca="1" si="0"/>
        <v>0.98838196051434279</v>
      </c>
      <c r="H11" s="7">
        <f t="shared" ca="1" si="1"/>
        <v>1.1618039485657225E-2</v>
      </c>
    </row>
    <row r="12" spans="1:8">
      <c r="A12" t="s">
        <v>16</v>
      </c>
      <c r="B12" s="6">
        <v>657771</v>
      </c>
      <c r="C12" s="6">
        <v>8619</v>
      </c>
      <c r="D12" s="6">
        <v>95699</v>
      </c>
      <c r="E12" s="6">
        <v>546180</v>
      </c>
      <c r="F12" s="6">
        <v>7273</v>
      </c>
      <c r="G12" s="7">
        <f t="shared" ca="1" si="0"/>
        <v>0.98685886606450779</v>
      </c>
      <c r="H12" s="7">
        <f t="shared" ca="1" si="1"/>
        <v>1.3141133935492265E-2</v>
      </c>
    </row>
    <row r="13" spans="1:8">
      <c r="A13" t="s">
        <v>17</v>
      </c>
      <c r="B13" s="6">
        <v>662498</v>
      </c>
      <c r="C13" s="6">
        <v>7991</v>
      </c>
      <c r="D13" s="6">
        <v>103311</v>
      </c>
      <c r="E13" s="6">
        <v>543300</v>
      </c>
      <c r="F13" s="6">
        <v>7896</v>
      </c>
      <c r="G13" s="7">
        <f t="shared" ca="1" si="0"/>
        <v>0.98567478719003765</v>
      </c>
      <c r="H13" s="7">
        <f t="shared" ca="1" si="1"/>
        <v>1.4325212809962337E-2</v>
      </c>
    </row>
    <row r="14" spans="1:8">
      <c r="A14" t="s">
        <v>18</v>
      </c>
      <c r="B14" s="6">
        <v>666215</v>
      </c>
      <c r="C14" s="6">
        <v>12644</v>
      </c>
      <c r="D14" s="6">
        <v>101658</v>
      </c>
      <c r="E14" s="6">
        <v>544152</v>
      </c>
      <c r="F14" s="6">
        <v>7761</v>
      </c>
      <c r="G14" s="7">
        <f t="shared" ca="1" si="0"/>
        <v>0.98593800109799912</v>
      </c>
      <c r="H14" s="7">
        <f t="shared" ca="1" si="1"/>
        <v>1.4061998902000859E-2</v>
      </c>
    </row>
    <row r="15" spans="1:8">
      <c r="A15" t="s">
        <v>19</v>
      </c>
      <c r="B15" s="6">
        <v>701717</v>
      </c>
      <c r="C15" s="6">
        <v>10652</v>
      </c>
      <c r="D15" s="6">
        <v>99629</v>
      </c>
      <c r="E15" s="6">
        <v>583333</v>
      </c>
      <c r="F15" s="6">
        <v>8103</v>
      </c>
      <c r="G15" s="7">
        <f t="shared" ca="1" si="0"/>
        <v>0.98629944744655385</v>
      </c>
      <c r="H15" s="7">
        <f t="shared" ca="1" si="1"/>
        <v>1.3700552553446189E-2</v>
      </c>
    </row>
    <row r="16" spans="1:8">
      <c r="A16" t="s">
        <v>20</v>
      </c>
      <c r="B16" s="6">
        <v>632435</v>
      </c>
      <c r="C16" s="6">
        <v>5570</v>
      </c>
      <c r="D16" s="6">
        <v>100085</v>
      </c>
      <c r="E16" s="6">
        <v>516810</v>
      </c>
      <c r="F16" s="6">
        <v>9970</v>
      </c>
      <c r="G16" s="7">
        <f t="shared" ca="1" si="0"/>
        <v>0.98107369300277159</v>
      </c>
      <c r="H16" s="7">
        <f t="shared" ca="1" si="1"/>
        <v>1.8926306997228446E-2</v>
      </c>
    </row>
    <row r="17" spans="1:8">
      <c r="A17" t="s">
        <v>21</v>
      </c>
      <c r="B17" s="6">
        <v>663555</v>
      </c>
      <c r="C17" s="6">
        <v>7313</v>
      </c>
      <c r="D17" s="6">
        <v>99002</v>
      </c>
      <c r="E17" s="6">
        <v>552099</v>
      </c>
      <c r="F17" s="6">
        <v>5141</v>
      </c>
      <c r="G17" s="7">
        <f t="shared" ca="1" si="0"/>
        <v>0.99077417270834833</v>
      </c>
      <c r="H17" s="7">
        <f t="shared" ca="1" si="1"/>
        <v>9.2258272916517121E-3</v>
      </c>
    </row>
    <row r="18" spans="1:8">
      <c r="A18" t="s">
        <v>22</v>
      </c>
      <c r="B18" s="6">
        <v>664541</v>
      </c>
      <c r="C18" s="6">
        <v>9007</v>
      </c>
      <c r="D18" s="6">
        <v>104257</v>
      </c>
      <c r="E18" s="6">
        <v>546090</v>
      </c>
      <c r="F18" s="6">
        <v>5187</v>
      </c>
      <c r="G18" s="7">
        <f t="shared" ca="1" si="0"/>
        <v>0.99059093704253942</v>
      </c>
      <c r="H18" s="7">
        <f t="shared" ca="1" si="1"/>
        <v>9.4090629574605875E-3</v>
      </c>
    </row>
    <row r="19" spans="1:8">
      <c r="A19" t="s">
        <v>23</v>
      </c>
      <c r="B19" s="6">
        <v>681269</v>
      </c>
      <c r="C19" s="6">
        <v>16823</v>
      </c>
      <c r="D19" s="6">
        <v>97389</v>
      </c>
      <c r="E19" s="6">
        <v>561293</v>
      </c>
      <c r="F19" s="6">
        <v>5764</v>
      </c>
      <c r="G19" s="7">
        <f t="shared" ca="1" si="0"/>
        <v>0.9898352370220278</v>
      </c>
      <c r="H19" s="7">
        <f t="shared" ca="1" si="1"/>
        <v>1.0164762977972232E-2</v>
      </c>
    </row>
    <row r="20" spans="1:8">
      <c r="A20" t="s">
        <v>24</v>
      </c>
      <c r="B20" s="6">
        <v>664857</v>
      </c>
      <c r="C20" s="6">
        <v>8794</v>
      </c>
      <c r="D20" s="6">
        <v>122570</v>
      </c>
      <c r="E20" s="6">
        <v>528032</v>
      </c>
      <c r="F20" s="6">
        <v>5461</v>
      </c>
      <c r="G20" s="7">
        <f t="shared" ca="1" si="0"/>
        <v>0.98976368949545734</v>
      </c>
      <c r="H20" s="7">
        <f t="shared" ca="1" si="1"/>
        <v>1.0236310504542703E-2</v>
      </c>
    </row>
    <row r="21" spans="1:8">
      <c r="A21" t="s">
        <v>25</v>
      </c>
      <c r="B21" s="6">
        <v>664363</v>
      </c>
      <c r="C21" s="6">
        <v>12290</v>
      </c>
      <c r="D21" s="6">
        <v>105145</v>
      </c>
      <c r="E21" s="6">
        <v>541170</v>
      </c>
      <c r="F21" s="6">
        <v>5758</v>
      </c>
      <c r="G21" s="7">
        <f t="shared" ca="1" si="0"/>
        <v>0.98947210601761104</v>
      </c>
      <c r="H21" s="7">
        <f t="shared" ca="1" si="1"/>
        <v>1.0527893982388906E-2</v>
      </c>
    </row>
    <row r="22" spans="1:8">
      <c r="A22" t="s">
        <v>26</v>
      </c>
      <c r="B22" s="6">
        <v>688471</v>
      </c>
      <c r="C22" s="6">
        <v>14847</v>
      </c>
      <c r="D22" s="6">
        <v>78951</v>
      </c>
      <c r="E22" s="6">
        <v>589365</v>
      </c>
      <c r="F22" s="6">
        <v>5308</v>
      </c>
      <c r="G22" s="7">
        <f t="shared" ca="1" si="0"/>
        <v>0.99107408609437453</v>
      </c>
      <c r="H22" s="7">
        <f t="shared" ca="1" si="1"/>
        <v>8.925913905625445E-3</v>
      </c>
    </row>
    <row r="23" spans="1:8">
      <c r="A23" t="s">
        <v>27</v>
      </c>
      <c r="B23" s="6">
        <v>668461</v>
      </c>
      <c r="C23" s="6">
        <v>8927</v>
      </c>
      <c r="D23" s="6">
        <v>86034</v>
      </c>
      <c r="E23" s="6">
        <v>567864</v>
      </c>
      <c r="F23" s="6">
        <v>5636</v>
      </c>
      <c r="G23" s="7">
        <f t="shared" ca="1" si="0"/>
        <v>0.99017262423714036</v>
      </c>
      <c r="H23" s="7">
        <f t="shared" ca="1" si="1"/>
        <v>9.8273757628596341E-3</v>
      </c>
    </row>
    <row r="24" spans="1:8">
      <c r="A24" t="s">
        <v>28</v>
      </c>
      <c r="B24" s="6">
        <v>671769</v>
      </c>
      <c r="C24" s="6">
        <v>8957</v>
      </c>
      <c r="D24" s="6">
        <v>73076</v>
      </c>
      <c r="E24" s="6">
        <v>583472</v>
      </c>
      <c r="F24" s="6">
        <v>6264</v>
      </c>
      <c r="G24" s="7">
        <f t="shared" ca="1" si="0"/>
        <v>0.98937829808592315</v>
      </c>
      <c r="H24" s="7">
        <f t="shared" ca="1" si="1"/>
        <v>1.0621701914076808E-2</v>
      </c>
    </row>
    <row r="25" spans="1:8">
      <c r="A25" t="s">
        <v>29</v>
      </c>
      <c r="B25" s="6">
        <v>665432</v>
      </c>
      <c r="C25" s="6">
        <v>7181</v>
      </c>
      <c r="D25" s="6">
        <v>104632</v>
      </c>
      <c r="E25" s="6">
        <v>547417</v>
      </c>
      <c r="F25" s="6">
        <v>6202</v>
      </c>
      <c r="G25" s="7">
        <f t="shared" ca="1" si="0"/>
        <v>0.98879734980193956</v>
      </c>
      <c r="H25" s="7">
        <f t="shared" ca="1" si="1"/>
        <v>1.1202650198060399E-2</v>
      </c>
    </row>
    <row r="26" spans="1:8">
      <c r="A26" t="s">
        <v>30</v>
      </c>
      <c r="B26" s="6">
        <v>640034</v>
      </c>
      <c r="C26" s="6">
        <v>6538</v>
      </c>
      <c r="D26" s="6">
        <v>119170</v>
      </c>
      <c r="E26" s="6">
        <v>507868</v>
      </c>
      <c r="F26" s="6">
        <v>6458</v>
      </c>
      <c r="G26" s="7">
        <f t="shared" ca="1" si="0"/>
        <v>0.98744376134980538</v>
      </c>
      <c r="H26" s="7">
        <f t="shared" ca="1" si="1"/>
        <v>1.2556238650194623E-2</v>
      </c>
    </row>
    <row r="27" spans="1:8">
      <c r="A27" t="s">
        <v>31</v>
      </c>
      <c r="B27" s="6">
        <v>685364</v>
      </c>
      <c r="C27" s="6">
        <v>11355</v>
      </c>
      <c r="D27" s="6">
        <v>90784</v>
      </c>
      <c r="E27" s="6">
        <v>576762</v>
      </c>
      <c r="F27" s="6">
        <v>6463</v>
      </c>
      <c r="G27" s="7">
        <f t="shared" ca="1" si="0"/>
        <v>0.98891851343820991</v>
      </c>
      <c r="H27" s="7">
        <f t="shared" ca="1" si="1"/>
        <v>1.1081486561790047E-2</v>
      </c>
    </row>
    <row r="28" spans="1:8">
      <c r="A28" t="s">
        <v>32</v>
      </c>
      <c r="B28" s="6">
        <v>666991</v>
      </c>
      <c r="C28" s="6">
        <v>8977</v>
      </c>
      <c r="D28" s="6">
        <v>80899</v>
      </c>
      <c r="E28" s="6">
        <v>571781</v>
      </c>
      <c r="F28" s="6">
        <v>5334</v>
      </c>
      <c r="G28" s="7">
        <f t="shared" ca="1" si="0"/>
        <v>0.99075747468008979</v>
      </c>
      <c r="H28" s="7">
        <f t="shared" ca="1" si="1"/>
        <v>9.2425253199102438E-3</v>
      </c>
    </row>
    <row r="29" spans="1:8">
      <c r="A29" t="s">
        <v>33</v>
      </c>
      <c r="B29" s="6">
        <v>662679</v>
      </c>
      <c r="C29" s="6">
        <v>8105</v>
      </c>
      <c r="D29" s="6">
        <v>74186</v>
      </c>
      <c r="E29" s="6">
        <v>574956</v>
      </c>
      <c r="F29" s="6">
        <v>5432</v>
      </c>
      <c r="G29" s="7">
        <f t="shared" ca="1" si="0"/>
        <v>0.99064074377830003</v>
      </c>
      <c r="H29" s="7">
        <f t="shared" ca="1" si="1"/>
        <v>9.3592562216999655E-3</v>
      </c>
    </row>
    <row r="30" spans="1:8">
      <c r="A30" t="s">
        <v>34</v>
      </c>
      <c r="B30" s="6">
        <v>668207</v>
      </c>
      <c r="C30" s="6">
        <v>8030</v>
      </c>
      <c r="D30" s="6">
        <v>86139</v>
      </c>
      <c r="E30" s="6">
        <v>568379</v>
      </c>
      <c r="F30" s="6">
        <v>5659</v>
      </c>
      <c r="G30" s="7">
        <f t="shared" ca="1" si="0"/>
        <v>0.99014176761817163</v>
      </c>
      <c r="H30" s="7">
        <f t="shared" ca="1" si="1"/>
        <v>9.8582323818283812E-3</v>
      </c>
    </row>
    <row r="31" spans="1:8">
      <c r="A31" t="s">
        <v>35</v>
      </c>
      <c r="B31" s="6">
        <v>662782</v>
      </c>
      <c r="C31" s="6">
        <v>9513</v>
      </c>
      <c r="D31" s="6">
        <v>95490</v>
      </c>
      <c r="E31" s="6">
        <v>552486</v>
      </c>
      <c r="F31" s="6">
        <v>5293</v>
      </c>
      <c r="G31" s="7">
        <f t="shared" ca="1" si="0"/>
        <v>0.99051057856247726</v>
      </c>
      <c r="H31" s="7">
        <f t="shared" ca="1" si="1"/>
        <v>9.4894214375227468E-3</v>
      </c>
    </row>
    <row r="32" spans="1:8">
      <c r="A32" t="s">
        <v>36</v>
      </c>
      <c r="B32" s="6">
        <v>654379</v>
      </c>
      <c r="C32" s="6">
        <v>8284</v>
      </c>
      <c r="D32" s="6">
        <v>73722</v>
      </c>
      <c r="E32" s="6">
        <v>566972</v>
      </c>
      <c r="F32" s="6">
        <v>5401</v>
      </c>
      <c r="G32" s="7">
        <f t="shared" ca="1" si="0"/>
        <v>0.99056384560417765</v>
      </c>
      <c r="H32" s="7">
        <f t="shared" ca="1" si="1"/>
        <v>9.4361543958223042E-3</v>
      </c>
    </row>
    <row r="33" spans="1:8">
      <c r="A33" t="s">
        <v>37</v>
      </c>
      <c r="B33" s="6">
        <v>668101</v>
      </c>
      <c r="C33" s="6">
        <v>18136</v>
      </c>
      <c r="D33" s="6">
        <v>83831</v>
      </c>
      <c r="E33" s="6">
        <v>558056</v>
      </c>
      <c r="F33" s="6">
        <v>8078</v>
      </c>
      <c r="G33" s="7">
        <f t="shared" ca="1" si="0"/>
        <v>0.98573129329805309</v>
      </c>
      <c r="H33" s="7">
        <f t="shared" ca="1" si="1"/>
        <v>1.4268706701946889E-2</v>
      </c>
    </row>
    <row r="34" spans="1:8">
      <c r="A34" t="s">
        <v>38</v>
      </c>
      <c r="B34" s="6">
        <v>659916</v>
      </c>
      <c r="C34" s="6">
        <v>6881</v>
      </c>
      <c r="D34" s="6">
        <v>97315</v>
      </c>
      <c r="E34" s="6">
        <v>551013</v>
      </c>
      <c r="F34" s="6">
        <v>4707</v>
      </c>
      <c r="G34" s="7">
        <f t="shared" ca="1" si="0"/>
        <v>0.99152990714748435</v>
      </c>
      <c r="H34" s="7">
        <f t="shared" ca="1" si="1"/>
        <v>8.4700928525156555E-3</v>
      </c>
    </row>
    <row r="35" spans="1:8">
      <c r="A35" t="s">
        <v>39</v>
      </c>
      <c r="B35" s="6">
        <v>664917</v>
      </c>
      <c r="C35" s="6">
        <v>32738</v>
      </c>
      <c r="D35" s="6">
        <v>78849</v>
      </c>
      <c r="E35" s="6">
        <v>537880</v>
      </c>
      <c r="F35" s="6">
        <v>15450</v>
      </c>
      <c r="G35" s="7">
        <f t="shared" ca="1" si="0"/>
        <v>0.97207814504906653</v>
      </c>
      <c r="H35" s="7">
        <f t="shared" ca="1" si="1"/>
        <v>2.7921854950933439E-2</v>
      </c>
    </row>
    <row r="36" spans="1:8">
      <c r="A36" t="s">
        <v>40</v>
      </c>
      <c r="B36" s="6">
        <v>660808</v>
      </c>
      <c r="C36" s="6">
        <v>7354</v>
      </c>
      <c r="D36" s="6">
        <v>79706</v>
      </c>
      <c r="E36" s="6">
        <v>568616</v>
      </c>
      <c r="F36" s="6">
        <v>5132</v>
      </c>
      <c r="G36" s="7">
        <f t="shared" ca="1" si="0"/>
        <v>0.99105530651087237</v>
      </c>
      <c r="H36" s="7">
        <f t="shared" ca="1" si="1"/>
        <v>8.9446934891276308E-3</v>
      </c>
    </row>
    <row r="37" spans="1:8">
      <c r="A37" t="s">
        <v>41</v>
      </c>
      <c r="B37" s="6">
        <v>634402</v>
      </c>
      <c r="C37" s="6">
        <v>20153</v>
      </c>
      <c r="D37" s="6">
        <v>74816</v>
      </c>
      <c r="E37" s="6">
        <v>519666</v>
      </c>
      <c r="F37" s="6">
        <v>19767</v>
      </c>
      <c r="G37" s="7">
        <f t="shared" ca="1" si="0"/>
        <v>0.96335596821106606</v>
      </c>
      <c r="H37" s="7">
        <f t="shared" ca="1" si="1"/>
        <v>3.664403178893394E-2</v>
      </c>
    </row>
    <row r="38" spans="1:8">
      <c r="A38" t="s">
        <v>42</v>
      </c>
      <c r="B38" s="6">
        <v>693439</v>
      </c>
      <c r="C38" s="6">
        <v>8062</v>
      </c>
      <c r="D38" s="6">
        <v>112241</v>
      </c>
      <c r="E38" s="6">
        <v>566677</v>
      </c>
      <c r="F38" s="6">
        <v>6459</v>
      </c>
      <c r="G38" s="7">
        <f t="shared" ca="1" si="0"/>
        <v>0.98873042349459817</v>
      </c>
      <c r="H38" s="7">
        <f t="shared" ca="1" si="1"/>
        <v>1.1269576505401859E-2</v>
      </c>
    </row>
    <row r="39" spans="1:8">
      <c r="A39" t="s">
        <v>43</v>
      </c>
      <c r="B39" s="6">
        <v>657310</v>
      </c>
      <c r="C39" s="6">
        <v>7584</v>
      </c>
      <c r="D39" s="6">
        <v>84199</v>
      </c>
      <c r="E39" s="6">
        <v>560680</v>
      </c>
      <c r="F39" s="6">
        <v>4847</v>
      </c>
      <c r="G39" s="7">
        <f t="shared" ca="1" si="0"/>
        <v>0.99142923326384058</v>
      </c>
      <c r="H39" s="7">
        <f t="shared" ca="1" si="1"/>
        <v>8.5707667361593701E-3</v>
      </c>
    </row>
    <row r="40" spans="1:8">
      <c r="A40" t="s">
        <v>44</v>
      </c>
      <c r="B40" s="6">
        <v>663413</v>
      </c>
      <c r="C40" s="6">
        <v>7792</v>
      </c>
      <c r="D40" s="6">
        <v>135944</v>
      </c>
      <c r="E40" s="6">
        <v>514397</v>
      </c>
      <c r="F40" s="6">
        <v>5280</v>
      </c>
      <c r="G40" s="7">
        <f t="shared" ca="1" si="0"/>
        <v>0.98983984282544735</v>
      </c>
      <c r="H40" s="7">
        <f t="shared" ca="1" si="1"/>
        <v>1.0160157174552655E-2</v>
      </c>
    </row>
    <row r="41" spans="1:8">
      <c r="A41" t="s">
        <v>45</v>
      </c>
      <c r="B41" s="6">
        <v>690296</v>
      </c>
      <c r="C41" s="6">
        <v>11344</v>
      </c>
      <c r="D41" s="6">
        <v>60591</v>
      </c>
      <c r="E41" s="6">
        <v>613524</v>
      </c>
      <c r="F41" s="6">
        <v>4837</v>
      </c>
      <c r="G41" s="7">
        <f t="shared" ca="1" si="0"/>
        <v>0.99217770849067133</v>
      </c>
      <c r="H41" s="7">
        <f t="shared" ca="1" si="1"/>
        <v>7.8222915093286924E-3</v>
      </c>
    </row>
    <row r="42" spans="1:8">
      <c r="A42" s="2" t="s">
        <v>46</v>
      </c>
      <c r="B42" s="8">
        <v>651641</v>
      </c>
      <c r="C42" s="8">
        <v>7798</v>
      </c>
      <c r="D42" s="8">
        <v>80187</v>
      </c>
      <c r="E42" s="8">
        <v>558396</v>
      </c>
      <c r="F42" s="8">
        <v>5260</v>
      </c>
      <c r="G42" s="9">
        <f t="shared" ca="1" si="0"/>
        <v>0.99066806704798671</v>
      </c>
      <c r="H42" s="9">
        <f t="shared" ca="1" si="1"/>
        <v>9.3319329520132853E-3</v>
      </c>
    </row>
    <row r="43" spans="1:8">
      <c r="A43" s="10" t="s">
        <v>47</v>
      </c>
      <c r="B43" s="6">
        <f ca="1">SUM(B4:B42)</f>
        <v>25994291</v>
      </c>
      <c r="C43" s="6">
        <f t="shared" ref="C43:F43" ca="1" si="2">SUM(C4:C42)</f>
        <v>442847</v>
      </c>
      <c r="D43" s="6">
        <f t="shared" ca="1" si="2"/>
        <v>3608047</v>
      </c>
      <c r="E43" s="6">
        <f t="shared" ca="1" si="2"/>
        <v>21659110</v>
      </c>
      <c r="F43" s="6">
        <f t="shared" ca="1" si="2"/>
        <v>284287</v>
      </c>
      <c r="G43" s="7">
        <f t="shared" ca="1" si="0"/>
        <v>0.98704453098123324</v>
      </c>
      <c r="H43" s="7">
        <f t="shared" ca="1" si="1"/>
        <v>1.2955469018766784E-2</v>
      </c>
    </row>
    <row r="45" spans="1:8">
      <c r="A45" t="s">
        <v>48</v>
      </c>
    </row>
    <row r="46" spans="1:8">
      <c r="A46" t="s">
        <v>49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Company>EPFL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Massouras</dc:creator>
  <cp:lastModifiedBy>Andreas Massouras</cp:lastModifiedBy>
  <dcterms:created xsi:type="dcterms:W3CDTF">2012-09-14T09:06:04Z</dcterms:created>
  <dcterms:modified xsi:type="dcterms:W3CDTF">2012-09-14T09:06:12Z</dcterms:modified>
</cp:coreProperties>
</file>