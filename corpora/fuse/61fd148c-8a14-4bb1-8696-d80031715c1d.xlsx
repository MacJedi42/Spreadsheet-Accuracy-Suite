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hidePivotFieldList="1"/>
  <bookViews>
    <workbookView xWindow="4500" yWindow="210" windowWidth="13665" windowHeight="8895" activeTab="2"/>
  </bookViews>
  <sheets>
    <sheet name="Sheet1" sheetId="2" r:id="rId1"/>
    <sheet name="Sheet2" sheetId="3" r:id="rId2"/>
    <sheet name="2012 Primary Election" sheetId="1" r:id="rId3"/>
  </sheet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Data.Dump" hidden="1">OFFSET([0]!Data.Top.Left,1,0)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  <definedName name="_xlnm.Print_Area" localSheetId="2">'2012 Primary Election'!$B$3:$I$40</definedName>
    <definedName name="Show.Acct.Update.Warning" hidden="1">#REF!</definedName>
    <definedName name="Show.MDB.Update.Warning" hidden="1">#REF!</definedName>
  </definedNames>
  <calcPr calcId="145621"/>
</workbook>
</file>

<file path=xl/calcChain.xml><?xml version="1.0" encoding="utf-8"?>
<calcChain xmlns="http://schemas.openxmlformats.org/spreadsheetml/2006/main">
  <c r="E35" i="1" l="1"/>
  <c r="E34" i="1"/>
  <c r="I37" i="1"/>
  <c r="E37" i="1" l="1"/>
  <c r="I38" i="1" s="1"/>
</calcChain>
</file>

<file path=xl/sharedStrings.xml><?xml version="1.0" encoding="utf-8"?>
<sst xmlns="http://schemas.openxmlformats.org/spreadsheetml/2006/main" count="136" uniqueCount="60">
  <si>
    <t>SUB-TOTAL</t>
  </si>
  <si>
    <t>TOTAL</t>
  </si>
  <si>
    <t>North Carolina Credit Union League</t>
  </si>
  <si>
    <t>DISTRICT</t>
  </si>
  <si>
    <t>NAME</t>
  </si>
  <si>
    <t>PARTY</t>
  </si>
  <si>
    <t>AMOUNT</t>
  </si>
  <si>
    <t>Berger, Phil</t>
  </si>
  <si>
    <t>R</t>
  </si>
  <si>
    <t>Apodaca, Tom</t>
  </si>
  <si>
    <t>Brock, Andrew</t>
  </si>
  <si>
    <t>Daniel, Warren</t>
  </si>
  <si>
    <t>Hise, Ralph</t>
  </si>
  <si>
    <t>Tillman, Jerry</t>
  </si>
  <si>
    <t>Tucker, Tommy</t>
  </si>
  <si>
    <t>Brown, Harry</t>
  </si>
  <si>
    <t>Meredith, Wes</t>
  </si>
  <si>
    <t>Nesbitt, Martin</t>
  </si>
  <si>
    <t>D</t>
  </si>
  <si>
    <t>Blue, Dan</t>
  </si>
  <si>
    <t>Stein, Josh</t>
  </si>
  <si>
    <t>McKissick, Floyd</t>
  </si>
  <si>
    <t>Jenkins, Clark</t>
  </si>
  <si>
    <t>Jackson, Brent</t>
  </si>
  <si>
    <t>Newton, Buck</t>
  </si>
  <si>
    <t>Robinson, Gladys</t>
  </si>
  <si>
    <t>Soucek, Dan</t>
  </si>
  <si>
    <t>Tillis, Thom</t>
  </si>
  <si>
    <t>Moore, Tim</t>
  </si>
  <si>
    <t>Sager, Efton</t>
  </si>
  <si>
    <t>Shepard, Phillip</t>
  </si>
  <si>
    <t>Fisher, Susan</t>
  </si>
  <si>
    <t>Burr, Justin</t>
  </si>
  <si>
    <t>Carney, Becky</t>
  </si>
  <si>
    <t>Hager, Mike</t>
  </si>
  <si>
    <t>Hall, Larry</t>
  </si>
  <si>
    <t>Hastings, Kelly</t>
  </si>
  <si>
    <t>Johnson, Linda</t>
  </si>
  <si>
    <t>Moore, Rodney</t>
  </si>
  <si>
    <t>Murry, Tom</t>
  </si>
  <si>
    <t>Samuelson, Ruth</t>
  </si>
  <si>
    <t>Brubaker, Harold</t>
  </si>
  <si>
    <t>Dockham, Jerry</t>
  </si>
  <si>
    <t>Howard, Julia</t>
  </si>
  <si>
    <t>Starnes, Edgar</t>
  </si>
  <si>
    <t>Rapp, Ray</t>
  </si>
  <si>
    <t>Bell, John</t>
  </si>
  <si>
    <t>Walend, Trudi</t>
  </si>
  <si>
    <t>Wainwright, William</t>
  </si>
  <si>
    <t>Wray, Michael</t>
  </si>
  <si>
    <t xml:space="preserve">                                  SENATE</t>
  </si>
  <si>
    <t xml:space="preserve">                                   HOUSE</t>
  </si>
  <si>
    <t>2012 Primary Election Contributions</t>
  </si>
  <si>
    <t>Jackson, Darren</t>
  </si>
  <si>
    <t>Queen, Joe Sam</t>
  </si>
  <si>
    <t>Gunn, Rick</t>
  </si>
  <si>
    <t>Parmon,Earline</t>
  </si>
  <si>
    <t>Rabon, Bill</t>
  </si>
  <si>
    <t>Glaizer, Rick</t>
  </si>
  <si>
    <t>Wainwright, William   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</si>
</sst>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0_)"/>
  </numFmts>
  <fonts count="3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22"/>
      <color indexed="9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7"/>
        <bgColor indexed="9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5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2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3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6" borderId="0" applyNumberFormat="0" applyBorder="0" applyAlignment="0" applyProtection="0"/>
    <xf numFmtId="0" fontId="22" fillId="3" borderId="0" applyNumberFormat="0" applyBorder="0" applyAlignment="0" applyProtection="0"/>
    <xf numFmtId="0" fontId="22" fillId="9" borderId="0" applyNumberFormat="0" applyBorder="0" applyAlignment="0" applyProtection="0"/>
    <xf numFmtId="0" fontId="22" fillId="8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37" fontId="6" fillId="16" borderId="1" applyBorder="0" applyProtection="0">
      <alignment vertical="center"/>
    </xf>
    <xf numFmtId="0" fontId="23" fillId="17" borderId="0" applyNumberFormat="0" applyBorder="0" applyAlignment="0" applyProtection="0"/>
    <xf numFmtId="5" fontId="7" fillId="0" borderId="2">
      <protection locked="0"/>
    </xf>
    <xf numFmtId="0" fontId="8" fillId="18" borderId="0" applyBorder="0">
      <alignment horizontal="left" vertical="center" indent="1"/>
    </xf>
    <xf numFmtId="0" fontId="24" fillId="4" borderId="3" applyNumberFormat="0" applyAlignment="0" applyProtection="0"/>
    <xf numFmtId="0" fontId="25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9" fillId="0" borderId="5"/>
    <xf numFmtId="4" fontId="7" fillId="20" borderId="5">
      <protection locked="0"/>
    </xf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27" fillId="6" borderId="0" applyNumberFormat="0" applyBorder="0" applyAlignment="0" applyProtection="0"/>
    <xf numFmtId="4" fontId="7" fillId="21" borderId="5"/>
    <xf numFmtId="43" fontId="10" fillId="0" borderId="6"/>
    <xf numFmtId="37" fontId="11" fillId="22" borderId="2" applyBorder="0">
      <alignment horizontal="left" vertical="center" indent="1"/>
    </xf>
    <xf numFmtId="37" fontId="12" fillId="23" borderId="7" applyFill="0">
      <alignment vertical="center"/>
    </xf>
    <xf numFmtId="0" fontId="12" fillId="24" borderId="8" applyNumberFormat="0">
      <alignment horizontal="left" vertical="top" indent="1"/>
    </xf>
    <xf numFmtId="0" fontId="12" fillId="16" borderId="0" applyBorder="0">
      <alignment horizontal="left" vertical="center" indent="1"/>
    </xf>
    <xf numFmtId="0" fontId="12" fillId="0" borderId="8" applyNumberFormat="0" applyFill="0">
      <alignment horizontal="centerContinuous" vertical="top"/>
    </xf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9" fillId="10" borderId="3" applyNumberFormat="0" applyAlignment="0" applyProtection="0"/>
    <xf numFmtId="43" fontId="10" fillId="0" borderId="10"/>
    <xf numFmtId="0" fontId="30" fillId="0" borderId="11" applyNumberFormat="0" applyFill="0" applyAlignment="0" applyProtection="0"/>
    <xf numFmtId="44" fontId="10" fillId="0" borderId="12"/>
    <xf numFmtId="0" fontId="31" fillId="7" borderId="0" applyNumberFormat="0" applyBorder="0" applyAlignment="0" applyProtection="0"/>
    <xf numFmtId="0" fontId="15" fillId="23" borderId="0">
      <alignment horizontal="left" wrapText="1" indent="1"/>
    </xf>
    <xf numFmtId="37" fontId="6" fillId="16" borderId="13" applyBorder="0">
      <alignment horizontal="left" vertical="center" indent="2"/>
    </xf>
    <xf numFmtId="0" fontId="16" fillId="0" borderId="0"/>
    <xf numFmtId="0" fontId="1" fillId="7" borderId="14" applyNumberFormat="0" applyFont="0" applyAlignment="0" applyProtection="0"/>
    <xf numFmtId="0" fontId="32" fillId="4" borderId="15" applyNumberFormat="0" applyAlignment="0" applyProtection="0"/>
    <xf numFmtId="169" fontId="17" fillId="25" borderId="16"/>
    <xf numFmtId="168" fontId="17" fillId="0" borderId="16" applyFont="0" applyFill="0" applyBorder="0" applyAlignment="0" applyProtection="0">
      <protection locked="0"/>
    </xf>
    <xf numFmtId="2" fontId="18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>
      <alignment horizontal="right"/>
    </xf>
    <xf numFmtId="0" fontId="20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 applyProtection="1"/>
    <xf numFmtId="0" fontId="4" fillId="28" borderId="1" xfId="0" applyFont="1" applyFill="1" applyBorder="1" applyAlignment="1" applyProtection="1">
      <alignment horizontal="center"/>
    </xf>
    <xf numFmtId="0" fontId="4" fillId="28" borderId="13" xfId="0" applyFont="1" applyFill="1" applyBorder="1" applyAlignment="1" applyProtection="1">
      <alignment horizontal="center"/>
    </xf>
    <xf numFmtId="0" fontId="4" fillId="28" borderId="19" xfId="0" applyFont="1" applyFill="1" applyBorder="1" applyAlignment="1" applyProtection="1">
      <alignment horizontal="center"/>
    </xf>
    <xf numFmtId="0" fontId="4" fillId="28" borderId="20" xfId="0" applyFont="1" applyFill="1" applyBorder="1" applyAlignment="1" applyProtection="1">
      <alignment horizontal="center"/>
    </xf>
    <xf numFmtId="0" fontId="2" fillId="16" borderId="22" xfId="0" applyFont="1" applyFill="1" applyBorder="1" applyProtection="1">
      <protection locked="0"/>
    </xf>
    <xf numFmtId="39" fontId="2" fillId="16" borderId="22" xfId="0" applyNumberFormat="1" applyFont="1" applyFill="1" applyBorder="1" applyProtection="1">
      <protection locked="0"/>
    </xf>
    <xf numFmtId="39" fontId="2" fillId="24" borderId="22" xfId="0" applyNumberFormat="1" applyFont="1" applyFill="1" applyBorder="1" applyProtection="1"/>
    <xf numFmtId="171" fontId="2" fillId="16" borderId="21" xfId="0" applyNumberFormat="1" applyFont="1" applyFill="1" applyBorder="1" applyAlignment="1" applyProtection="1">
      <alignment horizontal="left"/>
      <protection locked="0"/>
    </xf>
    <xf numFmtId="171" fontId="2" fillId="16" borderId="24" xfId="0" applyNumberFormat="1" applyFont="1" applyFill="1" applyBorder="1" applyAlignment="1" applyProtection="1">
      <alignment horizontal="left"/>
      <protection locked="0"/>
    </xf>
    <xf numFmtId="0" fontId="2" fillId="16" borderId="25" xfId="0" applyFont="1" applyFill="1" applyBorder="1" applyProtection="1">
      <protection locked="0"/>
    </xf>
    <xf numFmtId="39" fontId="2" fillId="16" borderId="25" xfId="0" applyNumberFormat="1" applyFont="1" applyFill="1" applyBorder="1" applyProtection="1">
      <protection locked="0"/>
    </xf>
    <xf numFmtId="0" fontId="2" fillId="29" borderId="27" xfId="0" applyFont="1" applyFill="1" applyBorder="1" applyProtection="1"/>
    <xf numFmtId="0" fontId="3" fillId="4" borderId="1" xfId="0" applyFont="1" applyFill="1" applyBorder="1" applyAlignment="1" applyProtection="1">
      <alignment horizontal="left"/>
    </xf>
    <xf numFmtId="0" fontId="2" fillId="4" borderId="20" xfId="0" applyFont="1" applyFill="1" applyBorder="1" applyProtection="1"/>
    <xf numFmtId="0" fontId="2" fillId="29" borderId="10" xfId="0" applyFont="1" applyFill="1" applyBorder="1" applyProtection="1"/>
    <xf numFmtId="0" fontId="3" fillId="4" borderId="27" xfId="0" applyFont="1" applyFill="1" applyBorder="1" applyAlignment="1" applyProtection="1">
      <alignment horizontal="left"/>
    </xf>
    <xf numFmtId="0" fontId="2" fillId="4" borderId="22" xfId="0" applyFont="1" applyFill="1" applyBorder="1" applyProtection="1"/>
    <xf numFmtId="0" fontId="2" fillId="29" borderId="30" xfId="0" applyFont="1" applyFill="1" applyBorder="1" applyProtection="1"/>
    <xf numFmtId="0" fontId="2" fillId="29" borderId="18" xfId="0" applyFont="1" applyFill="1" applyBorder="1" applyProtection="1"/>
    <xf numFmtId="0" fontId="2" fillId="29" borderId="31" xfId="0" applyFont="1" applyFill="1" applyBorder="1" applyProtection="1"/>
    <xf numFmtId="0" fontId="2" fillId="4" borderId="32" xfId="0" applyFont="1" applyFill="1" applyBorder="1" applyProtection="1"/>
    <xf numFmtId="171" fontId="1" fillId="16" borderId="21" xfId="0" applyNumberFormat="1" applyFont="1" applyFill="1" applyBorder="1" applyAlignment="1" applyProtection="1">
      <alignment horizontal="left"/>
      <protection locked="0"/>
    </xf>
    <xf numFmtId="171" fontId="36" fillId="16" borderId="21" xfId="0" applyNumberFormat="1" applyFont="1" applyFill="1" applyBorder="1" applyAlignment="1" applyProtection="1">
      <alignment horizontal="left"/>
      <protection locked="0"/>
    </xf>
    <xf numFmtId="7" fontId="2" fillId="24" borderId="22" xfId="0" applyNumberFormat="1" applyFont="1" applyFill="1" applyBorder="1" applyProtection="1"/>
    <xf numFmtId="171" fontId="36" fillId="16" borderId="23" xfId="0" applyNumberFormat="1" applyFont="1" applyFill="1" applyBorder="1" applyAlignment="1" applyProtection="1">
      <alignment horizontal="left"/>
      <protection locked="0"/>
    </xf>
    <xf numFmtId="0" fontId="1" fillId="16" borderId="22" xfId="0" applyFont="1" applyFill="1" applyBorder="1" applyAlignment="1" applyProtection="1">
      <alignment horizontal="center"/>
      <protection locked="0"/>
    </xf>
    <xf numFmtId="1" fontId="2" fillId="16" borderId="22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Border="1" applyProtection="1"/>
    <xf numFmtId="0" fontId="2" fillId="0" borderId="0" xfId="0" applyFont="1" applyBorder="1" applyProtection="1"/>
    <xf numFmtId="0" fontId="2" fillId="0" borderId="33" xfId="0" applyFont="1" applyBorder="1" applyProtection="1"/>
    <xf numFmtId="0" fontId="2" fillId="24" borderId="2" xfId="0" applyFont="1" applyFill="1" applyBorder="1" applyProtection="1"/>
    <xf numFmtId="0" fontId="2" fillId="24" borderId="0" xfId="0" applyFont="1" applyFill="1" applyBorder="1" applyProtection="1"/>
    <xf numFmtId="0" fontId="3" fillId="24" borderId="0" xfId="0" quotePrefix="1" applyFont="1" applyFill="1" applyBorder="1" applyAlignment="1" applyProtection="1">
      <alignment horizontal="right"/>
    </xf>
    <xf numFmtId="0" fontId="2" fillId="16" borderId="33" xfId="0" applyFont="1" applyFill="1" applyBorder="1" applyAlignment="1" applyProtection="1">
      <alignment horizontal="center"/>
      <protection locked="0"/>
    </xf>
    <xf numFmtId="170" fontId="2" fillId="16" borderId="33" xfId="0" applyNumberFormat="1" applyFont="1" applyFill="1" applyBorder="1" applyAlignment="1" applyProtection="1">
      <alignment horizontal="center"/>
      <protection locked="0"/>
    </xf>
    <xf numFmtId="0" fontId="37" fillId="4" borderId="30" xfId="0" applyFont="1" applyFill="1" applyBorder="1" applyAlignment="1" applyProtection="1">
      <alignment horizontal="left"/>
    </xf>
    <xf numFmtId="0" fontId="38" fillId="0" borderId="0" xfId="0" applyFont="1" applyBorder="1"/>
    <xf numFmtId="0" fontId="38" fillId="0" borderId="0" xfId="0" applyFont="1" applyBorder="1" applyProtection="1"/>
    <xf numFmtId="0" fontId="0" fillId="0" borderId="0" xfId="0" applyBorder="1"/>
    <xf numFmtId="39" fontId="2" fillId="24" borderId="10" xfId="0" applyNumberFormat="1" applyFont="1" applyFill="1" applyBorder="1" applyProtection="1"/>
    <xf numFmtId="171" fontId="36" fillId="16" borderId="29" xfId="0" applyNumberFormat="1" applyFont="1" applyFill="1" applyBorder="1" applyAlignment="1" applyProtection="1">
      <alignment horizontal="left"/>
      <protection locked="0"/>
    </xf>
    <xf numFmtId="171" fontId="36" fillId="16" borderId="26" xfId="0" applyNumberFormat="1" applyFont="1" applyFill="1" applyBorder="1" applyAlignment="1" applyProtection="1">
      <alignment horizontal="left"/>
      <protection locked="0"/>
    </xf>
    <xf numFmtId="0" fontId="36" fillId="16" borderId="22" xfId="0" applyFont="1" applyFill="1" applyBorder="1" applyAlignment="1" applyProtection="1">
      <alignment horizontal="center"/>
      <protection locked="0"/>
    </xf>
    <xf numFmtId="1" fontId="36" fillId="16" borderId="22" xfId="0" applyNumberFormat="1" applyFont="1" applyFill="1" applyBorder="1" applyAlignment="1" applyProtection="1">
      <alignment horizontal="center"/>
      <protection locked="0"/>
    </xf>
    <xf numFmtId="7" fontId="36" fillId="24" borderId="22" xfId="0" applyNumberFormat="1" applyFont="1" applyFill="1" applyBorder="1" applyProtection="1"/>
    <xf numFmtId="171" fontId="36" fillId="16" borderId="21" xfId="0" applyNumberFormat="1" applyFont="1" applyFill="1" applyBorder="1" applyAlignment="1" applyProtection="1">
      <alignment horizontal="left" shrinkToFit="1"/>
      <protection locked="0"/>
    </xf>
    <xf numFmtId="7" fontId="36" fillId="28" borderId="28" xfId="0" applyNumberFormat="1" applyFont="1" applyFill="1" applyBorder="1" applyProtection="1"/>
    <xf numFmtId="37" fontId="36" fillId="16" borderId="22" xfId="0" applyNumberFormat="1" applyFont="1" applyFill="1" applyBorder="1" applyAlignment="1" applyProtection="1">
      <alignment horizontal="center"/>
      <protection locked="0"/>
    </xf>
    <xf numFmtId="0" fontId="36" fillId="0" borderId="20" xfId="0" applyFont="1" applyBorder="1" applyAlignment="1">
      <alignment horizontal="center"/>
    </xf>
    <xf numFmtId="0" fontId="36" fillId="16" borderId="25" xfId="0" applyFont="1" applyFill="1" applyBorder="1" applyAlignment="1" applyProtection="1">
      <alignment horizontal="center"/>
      <protection locked="0"/>
    </xf>
    <xf numFmtId="37" fontId="36" fillId="16" borderId="25" xfId="0" applyNumberFormat="1" applyFont="1" applyFill="1" applyBorder="1" applyAlignment="1" applyProtection="1">
      <alignment horizontal="center"/>
      <protection locked="0"/>
    </xf>
    <xf numFmtId="7" fontId="36" fillId="30" borderId="29" xfId="0" applyNumberFormat="1" applyFont="1" applyFill="1" applyBorder="1" applyProtection="1"/>
    <xf numFmtId="0" fontId="5" fillId="0" borderId="0" xfId="52" applyFont="1" applyAlignment="1" applyProtection="1">
      <alignment horizontal="center"/>
    </xf>
    <xf numFmtId="0" fontId="35" fillId="27" borderId="2" xfId="0" applyFont="1" applyFill="1" applyBorder="1" applyAlignment="1" applyProtection="1">
      <alignment horizontal="center" vertical="center"/>
    </xf>
    <xf numFmtId="0" fontId="0" fillId="0" borderId="0" xfId="0" applyBorder="1" applyAlignment="1">
      <alignment vertical="center"/>
    </xf>
    <xf numFmtId="0" fontId="0" fillId="0" borderId="33" xfId="0" applyBorder="1" applyAlignment="1">
      <alignment vertical="center"/>
    </xf>
    <xf numFmtId="0" fontId="14" fillId="24" borderId="2" xfId="0" applyFont="1" applyFill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24" borderId="1" xfId="0" applyFont="1" applyFill="1" applyBorder="1" applyAlignment="1" applyProtection="1"/>
    <xf numFmtId="0" fontId="2" fillId="24" borderId="13" xfId="0" applyFont="1" applyFill="1" applyBorder="1" applyAlignment="1" applyProtection="1"/>
    <xf numFmtId="0" fontId="2" fillId="24" borderId="20" xfId="0" applyFont="1" applyFill="1" applyBorder="1" applyAlignment="1" applyProtection="1"/>
    <xf numFmtId="0" fontId="3" fillId="24" borderId="13" xfId="0" applyFont="1" applyFill="1" applyBorder="1" applyAlignment="1" applyProtection="1"/>
    <xf numFmtId="0" fontId="3" fillId="24" borderId="20" xfId="0" applyFont="1" applyFill="1" applyBorder="1" applyAlignment="1" applyProtection="1"/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/>
    <cellStyle name="Bad" xfId="26" builtinId="27" customBuiltin="1"/>
    <cellStyle name="Blank" xfId="27"/>
    <cellStyle name="Body text" xfId="28"/>
    <cellStyle name="Calculation" xfId="29" builtinId="22" customBuiltin="1"/>
    <cellStyle name="Check Cell" xfId="30" builtinId="23" customBuiltin="1"/>
    <cellStyle name="Comma0" xfId="31"/>
    <cellStyle name="Currency0" xfId="32"/>
    <cellStyle name="DarkBlueOutline" xfId="33"/>
    <cellStyle name="DarkBlueOutlineYellow" xfId="34"/>
    <cellStyle name="Date" xfId="35"/>
    <cellStyle name="Dezimal [0]_Compiling Utility Macros" xfId="36"/>
    <cellStyle name="Dezimal_Compiling Utility Macros" xfId="37"/>
    <cellStyle name="Explanatory Text" xfId="38" builtinId="53" customBuiltin="1"/>
    <cellStyle name="Fixed" xfId="39"/>
    <cellStyle name="Good" xfId="40" builtinId="26" customBuiltin="1"/>
    <cellStyle name="GRAY" xfId="41"/>
    <cellStyle name="Gross Margin" xfId="42"/>
    <cellStyle name="header" xfId="43"/>
    <cellStyle name="Header Total" xfId="44"/>
    <cellStyle name="Header1" xfId="45"/>
    <cellStyle name="Header2" xfId="46"/>
    <cellStyle name="Header3" xfId="47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yperlink" xfId="52" builtinId="8"/>
    <cellStyle name="Input" xfId="53" builtinId="20" customBuiltin="1"/>
    <cellStyle name="Level 2 Total" xfId="54"/>
    <cellStyle name="Linked Cell" xfId="55" builtinId="24" customBuiltin="1"/>
    <cellStyle name="Major Total" xfId="56"/>
    <cellStyle name="Neutral" xfId="57" builtinId="28" customBuiltin="1"/>
    <cellStyle name="NonPrint_TemTitle" xfId="58"/>
    <cellStyle name="Normal" xfId="0" builtinId="0"/>
    <cellStyle name="Normal 2" xfId="59"/>
    <cellStyle name="NormalRed" xfId="60"/>
    <cellStyle name="Note" xfId="61" builtinId="10" customBuiltin="1"/>
    <cellStyle name="Output" xfId="62" builtinId="21" customBuiltin="1"/>
    <cellStyle name="Percent.0" xfId="63"/>
    <cellStyle name="Percent.00" xfId="64"/>
    <cellStyle name="RED POSTED" xfId="65"/>
    <cellStyle name="Standard_Anpassen der Amortisation" xfId="66"/>
    <cellStyle name="Text_simple" xfId="67"/>
    <cellStyle name="Title" xfId="68" builtinId="15" customBuiltin="1"/>
    <cellStyle name="TmsRmn10BlueItalic" xfId="69"/>
    <cellStyle name="TmsRmn10Bold" xfId="70"/>
    <cellStyle name="Total" xfId="71" builtinId="25" customBuiltin="1"/>
    <cellStyle name="Währung [0]_Compiling Utility Macros" xfId="72"/>
    <cellStyle name="Währung_Compiling Utility Macros" xfId="73"/>
    <cellStyle name="Warning Text" xfId="7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323850</xdr:colOff>
      <xdr:row>1</xdr:row>
      <xdr:rowOff>47625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0" y="0"/>
          <a:ext cx="438150" cy="209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id="1" name="Table1" displayName="Table1" ref="A1:A27" totalsRowShown="0">
  <autoFilter ref="A1:A27"/>
  <tableColumns count="1">
    <tableColumn id="1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3" sqref="B12:B13"/>
    </sheetView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sqref="A1:A27"/>
    </sheetView>
  </sheetViews>
  <sheetFormatPr defaultRowHeight="12.75" x14ac:dyDescent="0.2"/>
  <cols>
    <col min="1" max="1" width="17.28515625" customWidth="1"/>
  </cols>
  <sheetData>
    <row r="1" spans="1:1" x14ac:dyDescent="0.2">
      <c r="A1" t="s">
        <v>4</v>
      </c>
    </row>
    <row r="2" spans="1:1" x14ac:dyDescent="0.2">
      <c r="A2" t="s">
        <v>46</v>
      </c>
    </row>
    <row r="3" spans="1:1" x14ac:dyDescent="0.2">
      <c r="A3" t="s">
        <v>41</v>
      </c>
    </row>
    <row r="4" spans="1:1" x14ac:dyDescent="0.2">
      <c r="A4" t="s">
        <v>32</v>
      </c>
    </row>
    <row r="5" spans="1:1" x14ac:dyDescent="0.2">
      <c r="A5" t="s">
        <v>33</v>
      </c>
    </row>
    <row r="6" spans="1:1" x14ac:dyDescent="0.2">
      <c r="A6" t="s">
        <v>42</v>
      </c>
    </row>
    <row r="7" spans="1:1" x14ac:dyDescent="0.2">
      <c r="A7" t="s">
        <v>31</v>
      </c>
    </row>
    <row r="8" spans="1:1" x14ac:dyDescent="0.2">
      <c r="A8" t="s">
        <v>58</v>
      </c>
    </row>
    <row r="9" spans="1:1" x14ac:dyDescent="0.2">
      <c r="A9" t="s">
        <v>34</v>
      </c>
    </row>
    <row r="10" spans="1:1" x14ac:dyDescent="0.2">
      <c r="A10" t="s">
        <v>35</v>
      </c>
    </row>
    <row r="11" spans="1:1" x14ac:dyDescent="0.2">
      <c r="A11" t="s">
        <v>36</v>
      </c>
    </row>
    <row r="12" spans="1:1" x14ac:dyDescent="0.2">
      <c r="A12" t="s">
        <v>43</v>
      </c>
    </row>
    <row r="13" spans="1:1" x14ac:dyDescent="0.2">
      <c r="A13" t="s">
        <v>53</v>
      </c>
    </row>
    <row r="14" spans="1:1" x14ac:dyDescent="0.2">
      <c r="A14" t="s">
        <v>37</v>
      </c>
    </row>
    <row r="15" spans="1:1" x14ac:dyDescent="0.2">
      <c r="A15" t="s">
        <v>38</v>
      </c>
    </row>
    <row r="16" spans="1:1" x14ac:dyDescent="0.2">
      <c r="A16" t="s">
        <v>28</v>
      </c>
    </row>
    <row r="17" spans="1:1" x14ac:dyDescent="0.2">
      <c r="A17" t="s">
        <v>39</v>
      </c>
    </row>
    <row r="18" spans="1:1" x14ac:dyDescent="0.2">
      <c r="A18" t="s">
        <v>54</v>
      </c>
    </row>
    <row r="19" spans="1:1" x14ac:dyDescent="0.2">
      <c r="A19" t="s">
        <v>45</v>
      </c>
    </row>
    <row r="20" spans="1:1" x14ac:dyDescent="0.2">
      <c r="A20" t="s">
        <v>29</v>
      </c>
    </row>
    <row r="21" spans="1:1" x14ac:dyDescent="0.2">
      <c r="A21" t="s">
        <v>40</v>
      </c>
    </row>
    <row r="22" spans="1:1" x14ac:dyDescent="0.2">
      <c r="A22" t="s">
        <v>30</v>
      </c>
    </row>
    <row r="23" spans="1:1" x14ac:dyDescent="0.2">
      <c r="A23" t="s">
        <v>44</v>
      </c>
    </row>
    <row r="24" spans="1:1" x14ac:dyDescent="0.2">
      <c r="A24" t="s">
        <v>27</v>
      </c>
    </row>
    <row r="25" spans="1:1" x14ac:dyDescent="0.2">
      <c r="A25" t="s">
        <v>48</v>
      </c>
    </row>
    <row r="26" spans="1:1" x14ac:dyDescent="0.2">
      <c r="A26" t="s">
        <v>47</v>
      </c>
    </row>
    <row r="27" spans="1:1" x14ac:dyDescent="0.2">
      <c r="A27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autoPageBreaks="0" fitToPage="1"/>
  </sheetPr>
  <dimension ref="B3:O59"/>
  <sheetViews>
    <sheetView tabSelected="1" zoomScaleNormal="100" workbookViewId="0">
      <selection activeCell="B20" sqref="B20"/>
    </sheetView>
  </sheetViews>
  <sheetFormatPr defaultColWidth="9.7109375" defaultRowHeight="12.75" x14ac:dyDescent="0.2"/>
  <cols>
    <col min="1" max="1" width="1.7109375" style="1" customWidth="1"/>
    <col min="2" max="2" width="15.140625" style="1" customWidth="1"/>
    <col min="3" max="3" width="8.42578125" style="1" customWidth="1"/>
    <col min="4" max="4" width="10.140625" style="1" customWidth="1"/>
    <col min="5" max="5" width="14.28515625" style="1" customWidth="1"/>
    <col min="6" max="6" width="16.140625" style="1" customWidth="1"/>
    <col min="7" max="7" width="8.42578125" style="1" customWidth="1"/>
    <col min="8" max="8" width="10.140625" style="1" customWidth="1"/>
    <col min="9" max="9" width="17.7109375" style="1" customWidth="1"/>
    <col min="10" max="10" width="4.7109375" style="1" customWidth="1"/>
    <col min="11" max="11" width="9.7109375" style="1"/>
    <col min="12" max="12" width="17.7109375" style="1" bestFit="1" customWidth="1"/>
    <col min="13" max="16384" width="9.7109375" style="1"/>
  </cols>
  <sheetData>
    <row r="3" spans="2:9" ht="37.5" customHeight="1" x14ac:dyDescent="0.2">
      <c r="B3" s="55" t="s">
        <v>52</v>
      </c>
      <c r="C3" s="56"/>
      <c r="D3" s="56"/>
      <c r="E3" s="56"/>
      <c r="F3" s="56"/>
      <c r="G3" s="56"/>
      <c r="H3" s="56"/>
      <c r="I3" s="57"/>
    </row>
    <row r="4" spans="2:9" x14ac:dyDescent="0.2">
      <c r="B4" s="29"/>
      <c r="C4" s="30"/>
      <c r="D4" s="30"/>
      <c r="E4" s="30"/>
      <c r="F4" s="30"/>
      <c r="G4" s="30"/>
      <c r="H4" s="30"/>
      <c r="I4" s="31"/>
    </row>
    <row r="5" spans="2:9" ht="15.75" x14ac:dyDescent="0.25">
      <c r="B5" s="58" t="s">
        <v>2</v>
      </c>
      <c r="C5" s="59"/>
      <c r="D5" s="59"/>
      <c r="E5" s="59"/>
      <c r="F5" s="59"/>
      <c r="G5" s="59"/>
      <c r="H5" s="59"/>
      <c r="I5" s="60"/>
    </row>
    <row r="6" spans="2:9" x14ac:dyDescent="0.2">
      <c r="B6" s="32"/>
      <c r="C6" s="33"/>
      <c r="D6" s="33"/>
      <c r="E6" s="33"/>
      <c r="F6" s="33"/>
      <c r="G6" s="33"/>
      <c r="H6" s="34"/>
      <c r="I6" s="35"/>
    </row>
    <row r="7" spans="2:9" x14ac:dyDescent="0.2">
      <c r="B7" s="32"/>
      <c r="C7" s="33"/>
      <c r="D7" s="33"/>
      <c r="E7" s="33"/>
      <c r="F7" s="33"/>
      <c r="G7" s="33"/>
      <c r="H7" s="34"/>
      <c r="I7" s="35"/>
    </row>
    <row r="8" spans="2:9" x14ac:dyDescent="0.2">
      <c r="B8" s="32"/>
      <c r="C8" s="33"/>
      <c r="D8" s="33"/>
      <c r="E8" s="33"/>
      <c r="F8" s="33"/>
      <c r="G8" s="33"/>
      <c r="H8" s="34"/>
      <c r="I8" s="36"/>
    </row>
    <row r="9" spans="2:9" ht="13.15" customHeight="1" x14ac:dyDescent="0.2">
      <c r="B9" s="61" t="s">
        <v>50</v>
      </c>
      <c r="C9" s="62"/>
      <c r="D9" s="62"/>
      <c r="E9" s="63"/>
      <c r="F9" s="61" t="s">
        <v>51</v>
      </c>
      <c r="G9" s="64"/>
      <c r="H9" s="64"/>
      <c r="I9" s="65"/>
    </row>
    <row r="10" spans="2:9" x14ac:dyDescent="0.2">
      <c r="B10" s="2" t="s">
        <v>4</v>
      </c>
      <c r="C10" s="3" t="s">
        <v>5</v>
      </c>
      <c r="D10" s="3" t="s">
        <v>3</v>
      </c>
      <c r="E10" s="3" t="s">
        <v>6</v>
      </c>
      <c r="F10" s="4" t="s">
        <v>4</v>
      </c>
      <c r="G10" s="3" t="s">
        <v>5</v>
      </c>
      <c r="H10" s="3" t="s">
        <v>3</v>
      </c>
      <c r="I10" s="5" t="s">
        <v>6</v>
      </c>
    </row>
    <row r="11" spans="2:9" x14ac:dyDescent="0.2">
      <c r="B11" s="24" t="s">
        <v>9</v>
      </c>
      <c r="C11" s="44" t="s">
        <v>8</v>
      </c>
      <c r="D11" s="45">
        <v>48</v>
      </c>
      <c r="E11" s="46">
        <v>750</v>
      </c>
      <c r="F11" s="26" t="s">
        <v>46</v>
      </c>
      <c r="G11" s="44" t="s">
        <v>8</v>
      </c>
      <c r="H11" s="49">
        <v>10</v>
      </c>
      <c r="I11" s="46">
        <v>500</v>
      </c>
    </row>
    <row r="12" spans="2:9" x14ac:dyDescent="0.2">
      <c r="B12" s="24" t="s">
        <v>7</v>
      </c>
      <c r="C12" s="44" t="s">
        <v>8</v>
      </c>
      <c r="D12" s="45">
        <v>26</v>
      </c>
      <c r="E12" s="46">
        <v>1000</v>
      </c>
      <c r="F12" s="26" t="s">
        <v>41</v>
      </c>
      <c r="G12" s="44" t="s">
        <v>8</v>
      </c>
      <c r="H12" s="49">
        <v>78</v>
      </c>
      <c r="I12" s="46">
        <v>250</v>
      </c>
    </row>
    <row r="13" spans="2:9" x14ac:dyDescent="0.2">
      <c r="B13" s="24" t="s">
        <v>19</v>
      </c>
      <c r="C13" s="44" t="s">
        <v>18</v>
      </c>
      <c r="D13" s="45">
        <v>14</v>
      </c>
      <c r="E13" s="46">
        <v>250</v>
      </c>
      <c r="F13" s="26" t="s">
        <v>32</v>
      </c>
      <c r="G13" s="44" t="s">
        <v>8</v>
      </c>
      <c r="H13" s="49">
        <v>67</v>
      </c>
      <c r="I13" s="46">
        <v>250</v>
      </c>
    </row>
    <row r="14" spans="2:9" x14ac:dyDescent="0.2">
      <c r="B14" s="24" t="s">
        <v>10</v>
      </c>
      <c r="C14" s="44" t="s">
        <v>8</v>
      </c>
      <c r="D14" s="45">
        <v>34</v>
      </c>
      <c r="E14" s="46">
        <v>250</v>
      </c>
      <c r="F14" s="26" t="s">
        <v>33</v>
      </c>
      <c r="G14" s="44" t="s">
        <v>18</v>
      </c>
      <c r="H14" s="49">
        <v>102</v>
      </c>
      <c r="I14" s="46">
        <v>250</v>
      </c>
    </row>
    <row r="15" spans="2:9" x14ac:dyDescent="0.2">
      <c r="B15" s="24" t="s">
        <v>15</v>
      </c>
      <c r="C15" s="44" t="s">
        <v>8</v>
      </c>
      <c r="D15" s="45">
        <v>6</v>
      </c>
      <c r="E15" s="46">
        <v>500</v>
      </c>
      <c r="F15" s="26" t="s">
        <v>42</v>
      </c>
      <c r="G15" s="44" t="s">
        <v>8</v>
      </c>
      <c r="H15" s="49">
        <v>80</v>
      </c>
      <c r="I15" s="46">
        <v>250</v>
      </c>
    </row>
    <row r="16" spans="2:9" x14ac:dyDescent="0.2">
      <c r="B16" s="24" t="s">
        <v>11</v>
      </c>
      <c r="C16" s="44" t="s">
        <v>8</v>
      </c>
      <c r="D16" s="45">
        <v>46</v>
      </c>
      <c r="E16" s="46">
        <v>250</v>
      </c>
      <c r="F16" s="26" t="s">
        <v>31</v>
      </c>
      <c r="G16" s="44" t="s">
        <v>18</v>
      </c>
      <c r="H16" s="49">
        <v>114</v>
      </c>
      <c r="I16" s="46">
        <v>500</v>
      </c>
    </row>
    <row r="17" spans="2:15" x14ac:dyDescent="0.2">
      <c r="B17" s="24" t="s">
        <v>55</v>
      </c>
      <c r="C17" s="44" t="s">
        <v>8</v>
      </c>
      <c r="D17" s="45">
        <v>24</v>
      </c>
      <c r="E17" s="46">
        <v>500</v>
      </c>
      <c r="F17" s="26" t="s">
        <v>58</v>
      </c>
      <c r="G17" s="44" t="s">
        <v>18</v>
      </c>
      <c r="H17" s="49">
        <v>44</v>
      </c>
      <c r="I17" s="46">
        <v>250</v>
      </c>
    </row>
    <row r="18" spans="2:15" x14ac:dyDescent="0.2">
      <c r="B18" s="24" t="s">
        <v>12</v>
      </c>
      <c r="C18" s="44" t="s">
        <v>8</v>
      </c>
      <c r="D18" s="45">
        <v>47</v>
      </c>
      <c r="E18" s="46">
        <v>250</v>
      </c>
      <c r="F18" s="26" t="s">
        <v>34</v>
      </c>
      <c r="G18" s="44" t="s">
        <v>8</v>
      </c>
      <c r="H18" s="49">
        <v>112</v>
      </c>
      <c r="I18" s="46">
        <v>250</v>
      </c>
    </row>
    <row r="19" spans="2:15" x14ac:dyDescent="0.2">
      <c r="B19" s="24" t="s">
        <v>23</v>
      </c>
      <c r="C19" s="44" t="s">
        <v>8</v>
      </c>
      <c r="D19" s="45">
        <v>10</v>
      </c>
      <c r="E19" s="46">
        <v>100</v>
      </c>
      <c r="F19" s="26" t="s">
        <v>35</v>
      </c>
      <c r="G19" s="44" t="s">
        <v>18</v>
      </c>
      <c r="H19" s="49">
        <v>29</v>
      </c>
      <c r="I19" s="46">
        <v>250</v>
      </c>
    </row>
    <row r="20" spans="2:15" x14ac:dyDescent="0.2">
      <c r="B20" s="24" t="s">
        <v>22</v>
      </c>
      <c r="C20" s="44" t="s">
        <v>18</v>
      </c>
      <c r="D20" s="45">
        <v>3</v>
      </c>
      <c r="E20" s="46">
        <v>100</v>
      </c>
      <c r="F20" s="26" t="s">
        <v>36</v>
      </c>
      <c r="G20" s="44" t="s">
        <v>8</v>
      </c>
      <c r="H20" s="49">
        <v>110</v>
      </c>
      <c r="I20" s="46">
        <v>250</v>
      </c>
    </row>
    <row r="21" spans="2:15" x14ac:dyDescent="0.2">
      <c r="B21" s="24" t="s">
        <v>21</v>
      </c>
      <c r="C21" s="44" t="s">
        <v>18</v>
      </c>
      <c r="D21" s="45">
        <v>20</v>
      </c>
      <c r="E21" s="46">
        <v>500</v>
      </c>
      <c r="F21" s="26" t="s">
        <v>43</v>
      </c>
      <c r="G21" s="44" t="s">
        <v>8</v>
      </c>
      <c r="H21" s="49">
        <v>79</v>
      </c>
      <c r="I21" s="46">
        <v>250</v>
      </c>
    </row>
    <row r="22" spans="2:15" x14ac:dyDescent="0.2">
      <c r="B22" s="24" t="s">
        <v>16</v>
      </c>
      <c r="C22" s="44" t="s">
        <v>8</v>
      </c>
      <c r="D22" s="45">
        <v>19</v>
      </c>
      <c r="E22" s="46">
        <v>250</v>
      </c>
      <c r="F22" s="26" t="s">
        <v>53</v>
      </c>
      <c r="G22" s="44" t="s">
        <v>18</v>
      </c>
      <c r="H22" s="49">
        <v>39</v>
      </c>
      <c r="I22" s="46">
        <v>100</v>
      </c>
    </row>
    <row r="23" spans="2:15" x14ac:dyDescent="0.2">
      <c r="B23" s="24" t="s">
        <v>17</v>
      </c>
      <c r="C23" s="44" t="s">
        <v>18</v>
      </c>
      <c r="D23" s="45">
        <v>49</v>
      </c>
      <c r="E23" s="46">
        <v>500</v>
      </c>
      <c r="F23" s="26" t="s">
        <v>37</v>
      </c>
      <c r="G23" s="44" t="s">
        <v>8</v>
      </c>
      <c r="H23" s="49">
        <v>83</v>
      </c>
      <c r="I23" s="46">
        <v>250</v>
      </c>
    </row>
    <row r="24" spans="2:15" x14ac:dyDescent="0.2">
      <c r="B24" s="24" t="s">
        <v>24</v>
      </c>
      <c r="C24" s="44" t="s">
        <v>8</v>
      </c>
      <c r="D24" s="45">
        <v>11</v>
      </c>
      <c r="E24" s="46">
        <v>100</v>
      </c>
      <c r="F24" s="26" t="s">
        <v>38</v>
      </c>
      <c r="G24" s="44" t="s">
        <v>18</v>
      </c>
      <c r="H24" s="49">
        <v>99</v>
      </c>
      <c r="I24" s="46">
        <v>250</v>
      </c>
    </row>
    <row r="25" spans="2:15" x14ac:dyDescent="0.2">
      <c r="B25" s="24" t="s">
        <v>56</v>
      </c>
      <c r="C25" s="44" t="s">
        <v>18</v>
      </c>
      <c r="D25" s="45">
        <v>32</v>
      </c>
      <c r="E25" s="46">
        <v>100</v>
      </c>
      <c r="F25" s="26" t="s">
        <v>28</v>
      </c>
      <c r="G25" s="44" t="s">
        <v>8</v>
      </c>
      <c r="H25" s="49">
        <v>111</v>
      </c>
      <c r="I25" s="46">
        <v>750</v>
      </c>
    </row>
    <row r="26" spans="2:15" x14ac:dyDescent="0.2">
      <c r="B26" s="24" t="s">
        <v>57</v>
      </c>
      <c r="C26" s="44" t="s">
        <v>8</v>
      </c>
      <c r="D26" s="45">
        <v>8</v>
      </c>
      <c r="E26" s="46">
        <v>250</v>
      </c>
      <c r="F26" s="26" t="s">
        <v>39</v>
      </c>
      <c r="G26" s="44" t="s">
        <v>8</v>
      </c>
      <c r="H26" s="49">
        <v>41</v>
      </c>
      <c r="I26" s="46">
        <v>250</v>
      </c>
    </row>
    <row r="27" spans="2:15" x14ac:dyDescent="0.2">
      <c r="B27" s="24" t="s">
        <v>25</v>
      </c>
      <c r="C27" s="44" t="s">
        <v>18</v>
      </c>
      <c r="D27" s="45">
        <v>28</v>
      </c>
      <c r="E27" s="46">
        <v>250</v>
      </c>
      <c r="F27" s="26" t="s">
        <v>54</v>
      </c>
      <c r="G27" s="44" t="s">
        <v>18</v>
      </c>
      <c r="H27" s="49">
        <v>119</v>
      </c>
      <c r="I27" s="46">
        <v>250</v>
      </c>
    </row>
    <row r="28" spans="2:15" x14ac:dyDescent="0.2">
      <c r="B28" s="47" t="s">
        <v>26</v>
      </c>
      <c r="C28" s="44" t="s">
        <v>8</v>
      </c>
      <c r="D28" s="45">
        <v>45</v>
      </c>
      <c r="E28" s="46">
        <v>100</v>
      </c>
      <c r="F28" s="26" t="s">
        <v>45</v>
      </c>
      <c r="G28" s="44" t="s">
        <v>18</v>
      </c>
      <c r="H28" s="49">
        <v>118</v>
      </c>
      <c r="I28" s="46">
        <v>250</v>
      </c>
    </row>
    <row r="29" spans="2:15" x14ac:dyDescent="0.2">
      <c r="B29" s="24" t="s">
        <v>20</v>
      </c>
      <c r="C29" s="44" t="s">
        <v>18</v>
      </c>
      <c r="D29" s="45">
        <v>16</v>
      </c>
      <c r="E29" s="46">
        <v>250</v>
      </c>
      <c r="F29" s="26" t="s">
        <v>29</v>
      </c>
      <c r="G29" s="44" t="s">
        <v>8</v>
      </c>
      <c r="H29" s="49">
        <v>4</v>
      </c>
      <c r="I29" s="46">
        <v>500</v>
      </c>
    </row>
    <row r="30" spans="2:15" x14ac:dyDescent="0.2">
      <c r="B30" s="24" t="s">
        <v>13</v>
      </c>
      <c r="C30" s="44" t="s">
        <v>8</v>
      </c>
      <c r="D30" s="45">
        <v>29</v>
      </c>
      <c r="E30" s="46">
        <v>250</v>
      </c>
      <c r="F30" s="26" t="s">
        <v>40</v>
      </c>
      <c r="G30" s="44" t="s">
        <v>8</v>
      </c>
      <c r="H30" s="49">
        <v>104</v>
      </c>
      <c r="I30" s="46">
        <v>250</v>
      </c>
    </row>
    <row r="31" spans="2:15" x14ac:dyDescent="0.2">
      <c r="B31" s="24" t="s">
        <v>14</v>
      </c>
      <c r="C31" s="44" t="s">
        <v>8</v>
      </c>
      <c r="D31" s="45">
        <v>35</v>
      </c>
      <c r="E31" s="46">
        <v>250</v>
      </c>
      <c r="F31" s="26" t="s">
        <v>30</v>
      </c>
      <c r="G31" s="44" t="s">
        <v>8</v>
      </c>
      <c r="H31" s="49">
        <v>15</v>
      </c>
      <c r="I31" s="46">
        <v>500</v>
      </c>
      <c r="K31" s="30"/>
      <c r="L31" s="30"/>
      <c r="M31" s="30"/>
      <c r="N31" s="30"/>
      <c r="O31" s="30"/>
    </row>
    <row r="32" spans="2:15" x14ac:dyDescent="0.2">
      <c r="B32" s="23"/>
      <c r="C32" s="27"/>
      <c r="D32" s="28"/>
      <c r="E32" s="25"/>
      <c r="F32" s="26" t="s">
        <v>44</v>
      </c>
      <c r="G32" s="44" t="s">
        <v>8</v>
      </c>
      <c r="H32" s="49">
        <v>87</v>
      </c>
      <c r="I32" s="46">
        <v>250</v>
      </c>
      <c r="K32" s="39"/>
      <c r="L32" s="38"/>
      <c r="M32" s="38"/>
      <c r="N32" s="38"/>
      <c r="O32" s="39"/>
    </row>
    <row r="33" spans="2:15" x14ac:dyDescent="0.2">
      <c r="B33" s="23"/>
      <c r="C33" s="27"/>
      <c r="D33" s="28"/>
      <c r="E33" s="25"/>
      <c r="F33" s="26" t="s">
        <v>27</v>
      </c>
      <c r="G33" s="44" t="s">
        <v>8</v>
      </c>
      <c r="H33" s="49">
        <v>98</v>
      </c>
      <c r="I33" s="46">
        <v>1000</v>
      </c>
      <c r="K33" s="39"/>
      <c r="L33" s="38"/>
      <c r="M33" s="38"/>
      <c r="N33" s="38"/>
      <c r="O33" s="39"/>
    </row>
    <row r="34" spans="2:15" x14ac:dyDescent="0.2">
      <c r="B34" s="9"/>
      <c r="C34" s="6"/>
      <c r="D34" s="7"/>
      <c r="E34" s="41" t="str">
        <f>IF(AND(C34&gt;0,D34&gt;0),D34*C34,"")</f>
        <v/>
      </c>
      <c r="F34" s="42" t="s">
        <v>59</v>
      </c>
      <c r="G34" s="50" t="s">
        <v>18</v>
      </c>
      <c r="H34" s="49">
        <v>12</v>
      </c>
      <c r="I34" s="46">
        <v>250</v>
      </c>
      <c r="K34" s="39"/>
      <c r="L34" s="38"/>
      <c r="M34" s="38"/>
      <c r="N34" s="38"/>
      <c r="O34" s="39"/>
    </row>
    <row r="35" spans="2:15" x14ac:dyDescent="0.2">
      <c r="B35" s="9"/>
      <c r="C35" s="6"/>
      <c r="D35" s="7"/>
      <c r="E35" s="8" t="str">
        <f>IF(AND(C35&gt;0,D35&gt;0),D35*C35,"")</f>
        <v/>
      </c>
      <c r="F35" s="26" t="s">
        <v>47</v>
      </c>
      <c r="G35" s="44" t="s">
        <v>8</v>
      </c>
      <c r="H35" s="49">
        <v>113</v>
      </c>
      <c r="I35" s="46">
        <v>100</v>
      </c>
      <c r="K35" s="39"/>
      <c r="L35" s="38"/>
      <c r="M35" s="38"/>
      <c r="N35" s="38"/>
      <c r="O35" s="39"/>
    </row>
    <row r="36" spans="2:15" ht="13.5" thickBot="1" x14ac:dyDescent="0.25">
      <c r="B36" s="10"/>
      <c r="C36" s="11"/>
      <c r="D36" s="12"/>
      <c r="E36" s="8"/>
      <c r="F36" s="43" t="s">
        <v>49</v>
      </c>
      <c r="G36" s="51" t="s">
        <v>18</v>
      </c>
      <c r="H36" s="52">
        <v>27</v>
      </c>
      <c r="I36" s="46">
        <v>100</v>
      </c>
      <c r="K36" s="39"/>
      <c r="L36" s="38"/>
      <c r="M36" s="38"/>
      <c r="N36" s="38"/>
      <c r="O36" s="39"/>
    </row>
    <row r="37" spans="2:15" ht="13.5" thickTop="1" x14ac:dyDescent="0.2">
      <c r="B37" s="13"/>
      <c r="C37" s="14" t="s">
        <v>0</v>
      </c>
      <c r="D37" s="15"/>
      <c r="E37" s="48">
        <f>IF(SUM(E11:E36),SUM(E11:E36),"")</f>
        <v>6750</v>
      </c>
      <c r="F37" s="16"/>
      <c r="G37" s="17" t="s">
        <v>0</v>
      </c>
      <c r="H37" s="18"/>
      <c r="I37" s="53">
        <f>IF(SUM(I11:I36),SUM(I11:I36),"")</f>
        <v>8300</v>
      </c>
      <c r="K37" s="39"/>
      <c r="L37" s="38"/>
      <c r="M37" s="38"/>
      <c r="N37" s="38"/>
      <c r="O37" s="39"/>
    </row>
    <row r="38" spans="2:15" x14ac:dyDescent="0.2">
      <c r="B38" s="19"/>
      <c r="C38" s="20"/>
      <c r="D38" s="20"/>
      <c r="E38" s="21"/>
      <c r="F38" s="20"/>
      <c r="G38" s="37" t="s">
        <v>1</v>
      </c>
      <c r="H38" s="22"/>
      <c r="I38" s="53">
        <f>IF(OR(SUM(I37)&gt;0,SUM(E37)&gt;0),SUM(I37,E37),"")</f>
        <v>15050</v>
      </c>
      <c r="K38" s="39"/>
      <c r="L38" s="38"/>
      <c r="M38" s="38"/>
      <c r="N38" s="38"/>
      <c r="O38" s="39"/>
    </row>
    <row r="39" spans="2:15" x14ac:dyDescent="0.2">
      <c r="K39" s="39"/>
      <c r="L39" s="38"/>
      <c r="M39" s="38"/>
      <c r="N39" s="38"/>
      <c r="O39" s="39"/>
    </row>
    <row r="40" spans="2:15" x14ac:dyDescent="0.2">
      <c r="K40" s="39"/>
      <c r="L40" s="38"/>
      <c r="M40" s="38"/>
      <c r="N40" s="38"/>
      <c r="O40" s="39"/>
    </row>
    <row r="41" spans="2:15" x14ac:dyDescent="0.2">
      <c r="B41" s="54"/>
      <c r="C41" s="54"/>
      <c r="D41" s="54"/>
      <c r="E41" s="54"/>
      <c r="F41" s="54"/>
      <c r="G41" s="54"/>
      <c r="H41" s="54"/>
      <c r="I41" s="54"/>
      <c r="K41" s="39"/>
      <c r="L41" s="38"/>
      <c r="M41" s="38"/>
      <c r="N41" s="38"/>
      <c r="O41" s="39"/>
    </row>
    <row r="42" spans="2:15" x14ac:dyDescent="0.2">
      <c r="K42" s="39"/>
      <c r="L42" s="38"/>
      <c r="M42" s="38"/>
      <c r="N42" s="38"/>
      <c r="O42" s="39"/>
    </row>
    <row r="43" spans="2:15" x14ac:dyDescent="0.2">
      <c r="K43" s="39"/>
      <c r="L43" s="38"/>
      <c r="M43" s="38"/>
      <c r="N43" s="38"/>
      <c r="O43" s="39"/>
    </row>
    <row r="44" spans="2:15" x14ac:dyDescent="0.2">
      <c r="K44" s="39"/>
      <c r="L44" s="38"/>
      <c r="M44" s="38"/>
      <c r="N44" s="38"/>
      <c r="O44" s="39"/>
    </row>
    <row r="45" spans="2:15" x14ac:dyDescent="0.2">
      <c r="K45" s="39"/>
      <c r="L45" s="38"/>
      <c r="M45" s="38"/>
      <c r="N45" s="38"/>
      <c r="O45" s="39"/>
    </row>
    <row r="46" spans="2:15" x14ac:dyDescent="0.2">
      <c r="K46" s="39"/>
      <c r="L46" s="38"/>
      <c r="M46" s="38"/>
      <c r="N46" s="38"/>
      <c r="O46" s="39"/>
    </row>
    <row r="47" spans="2:15" x14ac:dyDescent="0.2">
      <c r="K47" s="39"/>
      <c r="L47" s="38"/>
      <c r="M47" s="38"/>
      <c r="N47" s="38"/>
      <c r="O47" s="39"/>
    </row>
    <row r="48" spans="2:15" x14ac:dyDescent="0.2">
      <c r="K48" s="39"/>
      <c r="L48" s="38"/>
      <c r="M48" s="38"/>
      <c r="N48" s="38"/>
      <c r="O48" s="39"/>
    </row>
    <row r="49" spans="11:15" x14ac:dyDescent="0.2">
      <c r="K49" s="39"/>
      <c r="L49" s="38"/>
      <c r="M49" s="38"/>
      <c r="N49" s="38"/>
      <c r="O49" s="39"/>
    </row>
    <row r="50" spans="11:15" x14ac:dyDescent="0.2">
      <c r="K50" s="30"/>
      <c r="L50" s="40"/>
      <c r="M50" s="30"/>
      <c r="N50" s="30"/>
      <c r="O50" s="30"/>
    </row>
    <row r="51" spans="11:15" x14ac:dyDescent="0.2">
      <c r="L51"/>
    </row>
    <row r="52" spans="11:15" x14ac:dyDescent="0.2">
      <c r="L52"/>
    </row>
    <row r="53" spans="11:15" x14ac:dyDescent="0.2">
      <c r="L53"/>
    </row>
    <row r="54" spans="11:15" x14ac:dyDescent="0.2">
      <c r="L54"/>
    </row>
    <row r="55" spans="11:15" x14ac:dyDescent="0.2">
      <c r="L55"/>
    </row>
    <row r="56" spans="11:15" x14ac:dyDescent="0.2">
      <c r="L56"/>
    </row>
    <row r="57" spans="11:15" x14ac:dyDescent="0.2">
      <c r="L57"/>
    </row>
    <row r="58" spans="11:15" x14ac:dyDescent="0.2">
      <c r="L58"/>
    </row>
    <row r="59" spans="11:15" x14ac:dyDescent="0.2">
      <c r="L59"/>
    </row>
  </sheetData>
  <sortState ref="B11:I38">
    <sortCondition ref="F10"/>
  </sortState>
  <mergeCells count="5">
    <mergeCell ref="B41:I41"/>
    <mergeCell ref="B3:I3"/>
    <mergeCell ref="B5:I5"/>
    <mergeCell ref="B9:E9"/>
    <mergeCell ref="F9:I9"/>
  </mergeCells>
  <phoneticPr fontId="0" type="noConversion"/>
  <printOptions horizontalCentered="1"/>
  <pageMargins left="0.25" right="0.25" top="0.75" bottom="0.75" header="0.3" footer="0.3"/>
  <pageSetup orientation="portrait" horizontalDpi="4294967294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6EF5058-24F0-45C4-B95D-AF6F6B96C2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2012 Primary Election</vt:lpstr>
      <vt:lpstr>'2012 Primary Election'!Print_Area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2012-04-20T14:02:44Z</dcterms:created>
  <dcterms:modified xsi:type="dcterms:W3CDTF">2012-05-10T21:09:53Z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TC018773739991</vt:lpwstr>
  </property>
</Properties>
</file>