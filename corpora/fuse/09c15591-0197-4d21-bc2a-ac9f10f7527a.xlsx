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5" windowWidth="19320" windowHeight="8190" activeTab="3"/>
  </bookViews>
  <sheets>
    <sheet name="Caratula" sheetId="8" r:id="rId1"/>
    <sheet name="Primer nivel de atención" sheetId="6" r:id="rId2"/>
    <sheet name="estructura de cálculo" sheetId="7" r:id="rId3"/>
    <sheet name="Segundo nivel de atención" sheetId="3" r:id="rId4"/>
  </sheets>
  <definedNames>
    <definedName name="_xlnm.Print_Titles" localSheetId="1">'Primer nivel de atención'!$1:$5</definedName>
    <definedName name="_xlnm.Print_Titles" localSheetId="3">'Segundo nivel de atención'!$1:$5</definedName>
  </definedNames>
  <calcPr calcId="125725"/>
</workbook>
</file>

<file path=xl/calcChain.xml><?xml version="1.0" encoding="utf-8"?>
<calcChain xmlns="http://schemas.openxmlformats.org/spreadsheetml/2006/main">
  <c r="G7" i="3"/>
  <c r="E122"/>
  <c r="E123" s="1"/>
  <c r="E121"/>
  <c r="E120"/>
  <c r="E119"/>
  <c r="E117"/>
  <c r="E118" s="1"/>
  <c r="E116"/>
  <c r="E115"/>
  <c r="E114"/>
  <c r="E113"/>
  <c r="E112"/>
  <c r="E111"/>
  <c r="E110"/>
  <c r="E108"/>
  <c r="E107"/>
  <c r="E106"/>
  <c r="E105"/>
  <c r="E104"/>
  <c r="E103"/>
  <c r="E102"/>
  <c r="E101"/>
  <c r="E100"/>
  <c r="E99"/>
  <c r="E98"/>
  <c r="E95"/>
  <c r="E96" s="1"/>
  <c r="E94"/>
  <c r="E93"/>
  <c r="E92"/>
  <c r="E91"/>
  <c r="E90"/>
  <c r="E89"/>
  <c r="E88"/>
  <c r="E87"/>
  <c r="E85"/>
  <c r="E86" s="1"/>
  <c r="E84"/>
  <c r="E83"/>
  <c r="E81"/>
  <c r="E80"/>
  <c r="E79"/>
  <c r="E78"/>
  <c r="E77"/>
  <c r="E76"/>
  <c r="E75"/>
  <c r="E74"/>
  <c r="E73"/>
  <c r="E71"/>
  <c r="E70"/>
  <c r="E68"/>
  <c r="E67"/>
  <c r="E69" s="1"/>
  <c r="E66"/>
  <c r="E65"/>
  <c r="E64"/>
  <c r="E63"/>
  <c r="E61"/>
  <c r="E59"/>
  <c r="E58"/>
  <c r="E60" s="1"/>
  <c r="E57"/>
  <c r="E56"/>
  <c r="E55"/>
  <c r="E53"/>
  <c r="E51"/>
  <c r="E50"/>
  <c r="E52" s="1"/>
  <c r="E49"/>
  <c r="E48"/>
  <c r="E47"/>
  <c r="E46"/>
  <c r="E45"/>
  <c r="E43"/>
  <c r="E42"/>
  <c r="E40"/>
  <c r="E39"/>
  <c r="E41" s="1"/>
  <c r="E38"/>
  <c r="E37"/>
  <c r="E36"/>
  <c r="E35"/>
  <c r="E33"/>
  <c r="E31"/>
  <c r="E32"/>
  <c r="E28"/>
  <c r="E30"/>
  <c r="E29"/>
  <c r="E27"/>
  <c r="E26"/>
  <c r="E23"/>
  <c r="E22"/>
  <c r="E21"/>
  <c r="E20"/>
  <c r="E24" s="1"/>
  <c r="E17"/>
  <c r="E15"/>
  <c r="E13"/>
  <c r="E12"/>
  <c r="E11"/>
  <c r="E10"/>
  <c r="E9"/>
  <c r="E8"/>
  <c r="E7"/>
  <c r="E55" i="6"/>
  <c r="E29"/>
  <c r="C14" i="7"/>
  <c r="D14" s="1"/>
  <c r="C13"/>
  <c r="D13" s="1"/>
  <c r="B14"/>
  <c r="B13"/>
  <c r="C17"/>
  <c r="D17" s="1"/>
  <c r="C16"/>
  <c r="D16" s="1"/>
  <c r="C10"/>
  <c r="D10" s="1"/>
  <c r="E10" s="1"/>
  <c r="C8"/>
  <c r="D8" s="1"/>
  <c r="F8" s="1"/>
  <c r="E37" i="6" s="1"/>
  <c r="E38" s="1"/>
  <c r="B8" i="7"/>
  <c r="D4"/>
  <c r="E4" s="1"/>
  <c r="C19"/>
  <c r="D19" s="1"/>
  <c r="E19" s="1"/>
  <c r="C18"/>
  <c r="D18" s="1"/>
  <c r="E18" s="1"/>
  <c r="C15"/>
  <c r="D15" s="1"/>
  <c r="E15" s="1"/>
  <c r="C12"/>
  <c r="D12" s="1"/>
  <c r="E12" s="1"/>
  <c r="C11"/>
  <c r="D11" s="1"/>
  <c r="E11" s="1"/>
  <c r="C9"/>
  <c r="D9" s="1"/>
  <c r="E9" s="1"/>
  <c r="C7"/>
  <c r="D7" s="1"/>
  <c r="E7" s="1"/>
  <c r="C6"/>
  <c r="D6" s="1"/>
  <c r="E6" s="1"/>
  <c r="C5"/>
  <c r="D5" s="1"/>
  <c r="E5" s="1"/>
  <c r="B18"/>
  <c r="E18" i="3" l="1"/>
  <c r="E14"/>
  <c r="F14" i="7"/>
  <c r="E14"/>
  <c r="F13"/>
  <c r="E13"/>
  <c r="E32" i="6"/>
  <c r="E34"/>
  <c r="E33"/>
  <c r="E35"/>
  <c r="F17" i="7"/>
  <c r="E17"/>
  <c r="F16"/>
  <c r="E16"/>
  <c r="E8"/>
  <c r="F5"/>
  <c r="F11"/>
  <c r="F10"/>
  <c r="F18"/>
  <c r="E64" i="6" s="1"/>
  <c r="F6" i="7"/>
  <c r="F9"/>
  <c r="F15"/>
  <c r="F19"/>
  <c r="F7"/>
  <c r="E36" i="6" s="1"/>
  <c r="F12" i="7"/>
  <c r="F4"/>
  <c r="E43" i="6" l="1"/>
  <c r="E44" s="1"/>
  <c r="E41"/>
  <c r="E42"/>
  <c r="E40"/>
  <c r="E30"/>
  <c r="E27"/>
  <c r="E25"/>
  <c r="E28"/>
  <c r="E26"/>
  <c r="E76"/>
  <c r="E77" s="1"/>
  <c r="E73"/>
  <c r="E71"/>
  <c r="E69"/>
  <c r="E74"/>
  <c r="E72"/>
  <c r="E70"/>
  <c r="E88"/>
  <c r="E84"/>
  <c r="E82"/>
  <c r="E80"/>
  <c r="E89"/>
  <c r="E90" s="1"/>
  <c r="E86"/>
  <c r="E87" s="1"/>
  <c r="E83"/>
  <c r="E81"/>
  <c r="E79"/>
  <c r="E56"/>
  <c r="E57"/>
  <c r="E53"/>
  <c r="E54" s="1"/>
  <c r="E66"/>
  <c r="E67" s="1"/>
  <c r="E63"/>
  <c r="E59"/>
  <c r="E60" s="1"/>
  <c r="E65"/>
  <c r="E61"/>
  <c r="E62" s="1"/>
  <c r="E21"/>
  <c r="E19"/>
  <c r="E16"/>
  <c r="E14"/>
  <c r="E11"/>
  <c r="E9"/>
  <c r="E7"/>
  <c r="G7" s="1"/>
  <c r="E22"/>
  <c r="E23" s="1"/>
  <c r="E20"/>
  <c r="E17"/>
  <c r="E15"/>
  <c r="E12"/>
  <c r="E10"/>
  <c r="E8"/>
  <c r="E48"/>
  <c r="E46"/>
  <c r="E50"/>
  <c r="E51" s="1"/>
  <c r="E47"/>
  <c r="E49"/>
</calcChain>
</file>

<file path=xl/sharedStrings.xml><?xml version="1.0" encoding="utf-8"?>
<sst xmlns="http://schemas.openxmlformats.org/spreadsheetml/2006/main" count="595" uniqueCount="496">
  <si>
    <t>100% de adultos mayores hombres con problemas de agudeza visual atendidos</t>
  </si>
  <si>
    <t>100% de adultos mayores mujeres con atención ocular</t>
  </si>
  <si>
    <t>100% de adultos mayores mujeres con problemas de agudeza visual atendidos</t>
  </si>
  <si>
    <t>[2] Se espera que a este nivel acuda el 54% de la población total (población rural). Se excluye al 17% de la población asegurada al IGSS, y alrededor del 10% que es cubierto por seguros y otros prestadores privados ; en el caso de la cobertura del IGSS  solo aplica s los grupos de edad actualmente protegidos por el IGSS</t>
  </si>
  <si>
    <t>Atenciones (puestos de salud y equipos de atención ambulatoria)</t>
  </si>
  <si>
    <t>Número de personas/ atenciones/ prestaciones</t>
  </si>
  <si>
    <t>Gestación            (Mujeres  gestantes)</t>
  </si>
  <si>
    <t>1. Consulta prenatal</t>
  </si>
  <si>
    <t>1.1. Inmunización contra tétanos y difteria</t>
  </si>
  <si>
    <t>1.2. Suplementación con micronutrientes</t>
  </si>
  <si>
    <t>2. Consejería</t>
  </si>
  <si>
    <t>3. Detección y referencia de embarazos de alto riesgo (solo incluye costos para el transporte)</t>
  </si>
  <si>
    <t>4.1. Administración de micronutrientes</t>
  </si>
  <si>
    <t>4.2. Educación sanitaria</t>
  </si>
  <si>
    <t>1. Consulta prenatal integral</t>
  </si>
  <si>
    <t>Población total</t>
  </si>
  <si>
    <t>1.3. Exámenes de laboratorio (orina, sífilis, grupo y Rh, glicemia, HB/HT)</t>
  </si>
  <si>
    <t>1.4. Exámenes de laboratorio (orina, sífilis, grupo y Rh, glicemia, HB/HT, VIH)</t>
  </si>
  <si>
    <t>6. Consulta postnatal temprana</t>
  </si>
  <si>
    <t>1.5% de sintomáticos respiratorios del total de la población de  adultos mujeres</t>
  </si>
  <si>
    <t>realización de examenes de laboratorio según normas del MSPAS al 100% de embarazos esperados en un año</t>
  </si>
  <si>
    <t xml:space="preserve">100% de embarazos de alto riesgo detectados y referidos a establecimientos del segundo nivel </t>
  </si>
  <si>
    <t>10% del total de embarazos esperados considerados como embarazos de alto riesgo</t>
  </si>
  <si>
    <t xml:space="preserve">4. Consulta postnatal </t>
  </si>
  <si>
    <t>100% de niños menores de un año  recibiendo 5 consultas al año según norma del MSPAS</t>
  </si>
  <si>
    <t>9.1. Vacunación (esquema completo)</t>
  </si>
  <si>
    <t>12. Detección y referencia del niño a los establecimientos del segundo nivel (sólo incluye costos para el transporte)</t>
  </si>
  <si>
    <t>Base de cálculo</t>
  </si>
  <si>
    <t>100% de los embarazos esperados reciben consejería (cuidados del embarazo, ETS, VIH, MEE, etc.)</t>
  </si>
  <si>
    <t>Atención postnatal tardía</t>
  </si>
  <si>
    <t xml:space="preserve">100% de las puerperas esperadas recibiendo una consulta en el post parto tardío </t>
  </si>
  <si>
    <t>100% de los partos esperados y atendidos en establecimientos del segundo nivel de atención</t>
  </si>
  <si>
    <t>100% de puerperas esperadas recibiedo micronutrientes durante el post parto tardío según norma del MSPAS</t>
  </si>
  <si>
    <t>100% de puerperas en consulta postnatal recibiéndo educación sanitaria</t>
  </si>
  <si>
    <t>100% de las puerperas de alto riesgo detectadas y referidas  a establecimientos del segundo nivel de atención</t>
  </si>
  <si>
    <t>10% del total de puerperas atentidas en el post parto tardío</t>
  </si>
  <si>
    <t>100% de neonatos esperados atendidos durante el período neonatal tardío</t>
  </si>
  <si>
    <t>100% de los nacimientos esperados y atendidos en establecimientos del segundo nivel de atención</t>
  </si>
  <si>
    <t>100% de las madres recibiendo consejería sobre los cuidados del neonato durante el período tardío</t>
  </si>
  <si>
    <t>100% de neonatos esperados vacunados con una dosis de BCG</t>
  </si>
  <si>
    <t>10% del total de neonatos esperados que requerirán ser atentidos por un problema de salud</t>
  </si>
  <si>
    <t>100% de neonatos que demandan atención por causas específicas de morbilidad en especial relacionadas con enfermedades prevalentes en la infancia</t>
  </si>
  <si>
    <t>100% de los neonatos en alto riesgo detectados y referidos a establecimientos del segundo nivel de atención</t>
  </si>
  <si>
    <t>100% de niños vacunados con esquema completo según norma del MSPAS</t>
  </si>
  <si>
    <t>100% de niños suplementados con micronutrientes según norma del MSPAS</t>
  </si>
  <si>
    <t>100% de madres de niños menores de 1 año visitadas a nivel del hogar para recibir consejería personalizada a nivel de la familia</t>
  </si>
  <si>
    <t xml:space="preserve">100% de niños recibiendo dos consultas de morbilidad al año de enfermedades prevalentes en la infancia </t>
  </si>
  <si>
    <t>8. Detección y referencia del 3% de neonatos (sólo incluye costos par ael transporte)</t>
  </si>
  <si>
    <t>100% de niños de alto riesgo detectados y referidos a establecimientos del segundo nivel</t>
  </si>
  <si>
    <t>100% de niños evaluados nutricionalmente en los establecimientos de salud</t>
  </si>
  <si>
    <t>13. Consulta integral del niño de 1 año menor de 5 años (incluye control de crecimiento, vigilancia y desarrollo y consejería nutricional)</t>
  </si>
  <si>
    <t>20% del total de niños de 1 año a menores de 5 años</t>
  </si>
  <si>
    <t>100% de niños con dos consultas año por morbilidad específica, por enfermedades prevalentes de la infancia y otras</t>
  </si>
  <si>
    <t>15. Dtección y referencia del niño a los establecimientos del segundo nivel (5%) (sólo incluye costos para el transporte)</t>
  </si>
  <si>
    <t>100% de niños en edad escolar de 5 a 14 años</t>
  </si>
  <si>
    <t>100% de consultas integrales a niños en edad escolar (1 consulta al año por niño)</t>
  </si>
  <si>
    <t>100% de consultas odontológicas a escolares (1 consulta al año por niño)</t>
  </si>
  <si>
    <t>16. Consulta integral del escolar (incluye evaluación neurosensorial y cognositiva)</t>
  </si>
  <si>
    <t>18. Consejería nutricional</t>
  </si>
  <si>
    <t>100% de niños con una evaluación nutricional por año realizada</t>
  </si>
  <si>
    <t>19. Consulta morbilidad general en el escolar (10% del total de niños en edad escolar)</t>
  </si>
  <si>
    <t>10% del total de niños en edad escolar</t>
  </si>
  <si>
    <t>100% de niños con una consulta al año por morbilidad específica, por enfermedades prevalentes en este grupo etareo</t>
  </si>
  <si>
    <t>100% de adolescentes con consulta integral (0.3 consulta al año)</t>
  </si>
  <si>
    <t>100% de adolescentes recibiendo consejería durante la consulta integral (0.3 consulta al año)</t>
  </si>
  <si>
    <t>100% de adolescentes reciben evaluación nutricional y micronutrientes (0.3 al año)</t>
  </si>
  <si>
    <t>100% de casos de morbilidad específica atendidos en adolescentes</t>
  </si>
  <si>
    <t>100% de adolescentes de alto riesgo detectados y referidos a establecimientos del segundo nivel</t>
  </si>
  <si>
    <t>100% de consulta de morbilidad general atendidas</t>
  </si>
  <si>
    <t>10% del total de adultos hombres</t>
  </si>
  <si>
    <t>100% de casos complicados detectados y referidos a establecimientos del segundo nivel</t>
  </si>
  <si>
    <t>100% de los sintomáticos respiratorios con baciloscopias de esputo efectuadas  (3 pruebas de esputo según norma del MSPAS)</t>
  </si>
  <si>
    <t xml:space="preserve">1.5% de sintomáticos respiratorios del total de adultos hombres </t>
  </si>
  <si>
    <t>5.6% de casos positivos del total de sintomáticos respiratorios detectados</t>
  </si>
  <si>
    <t>100% de adultos mujeres con consejería</t>
  </si>
  <si>
    <t>10% del total de adultos mujeres</t>
  </si>
  <si>
    <t>Atención integral de adultos mujeres</t>
  </si>
  <si>
    <t>Total de adultos mujeres</t>
  </si>
  <si>
    <t>Total de mujeres en edad fértil de 10 a 54 años</t>
  </si>
  <si>
    <t>100% de consultas ginecológicas (10% esperado del total de mujeres en edad fértil)</t>
  </si>
  <si>
    <t>100% de mujeres adultas</t>
  </si>
  <si>
    <t>1% del total de mujeres con tamizaje de Ca. Cervix</t>
  </si>
  <si>
    <t xml:space="preserve">100% de consultas a los adultos mayores hombres </t>
  </si>
  <si>
    <t xml:space="preserve">100% de consultas de diabetes a los adultos mayores hombres </t>
  </si>
  <si>
    <t xml:space="preserve">100% de consultas de hipertensión arterial a los adultos mayores hombres </t>
  </si>
  <si>
    <t xml:space="preserve">100% de consultas de enfermedad pulmonar crónica obstructiva a los adultos mayores hombres </t>
  </si>
  <si>
    <t xml:space="preserve">100% de consultas de artrosis o artritis degenerativa a los adultos mayores hombres </t>
  </si>
  <si>
    <t xml:space="preserve">100% de adultos mayores hombres referidos </t>
  </si>
  <si>
    <t>1.5% de sintomáticos respiratorios del total de adultos mayores hombres</t>
  </si>
  <si>
    <t xml:space="preserve">100% de los sintomáticos respiratorios con baciloscopias de esputo efectuadas </t>
  </si>
  <si>
    <t>Cobertura[2] (se refiere sólo a la población de responsabilidad del MSPAS)</t>
  </si>
  <si>
    <t xml:space="preserve">100% de niños con casos complicados pediatría general </t>
  </si>
  <si>
    <t>5. Detección y referencia de casos de alto riesgo (sólo incluye costos para el transporte)</t>
  </si>
  <si>
    <t>6. Consulta neonatal (40 días de nacido)</t>
  </si>
  <si>
    <t>6.1. Consejería</t>
  </si>
  <si>
    <t>6.2. Vacunación (aplicación de la vacuna BCG)</t>
  </si>
  <si>
    <t>7. Consulta de morbilidad en el neonato</t>
  </si>
  <si>
    <t>9. Consulta integral del niño menor de 1 año (incluye control de crecimiento y consejería nutricional)</t>
  </si>
  <si>
    <t>9.2. Suplementación con micronutrientes: (vitamina A y hierro)</t>
  </si>
  <si>
    <t>10. Visita domiciliar familiar integral</t>
  </si>
  <si>
    <t>11. Consulta morbilidad niños menores de 1 año (incluye medicamentos)</t>
  </si>
  <si>
    <t>13.1. Evaluación de estado nutricional</t>
  </si>
  <si>
    <t>13.2. Vacunación (refuerzos): OPV, PENTA, DPT y SR.</t>
  </si>
  <si>
    <t>13.3. Suplementación con micronutrientes: (vitamina A y hierro)</t>
  </si>
  <si>
    <t>13.4. Administración de desparasitantes a partir de los 2 años)</t>
  </si>
  <si>
    <t>14. Consulta morbilidad niños de 1 año a menores de 5 años (incluye medicamentos)</t>
  </si>
  <si>
    <t>17. Consulta odontológica (aplicación de fluor)</t>
  </si>
  <si>
    <t>100% de casos sospechosos de Ca. Cervix referidos</t>
  </si>
  <si>
    <t>Atenciones (centros de salud- CAIMI,  Hospitales Tipo I</t>
  </si>
  <si>
    <t>SEGUNDO NIVEL DE ATENCIÓN</t>
  </si>
  <si>
    <t>1.3. Consejería incluido en la tención prenatal, es la misma auxiliar</t>
  </si>
  <si>
    <t>100% de mujeres atentidas por una morbilidad específica</t>
  </si>
  <si>
    <t>1.5. Administración de medicamentos (5%)</t>
  </si>
  <si>
    <t>2. Atención prenatal embarazo de alto riesgo</t>
  </si>
  <si>
    <t>2.1. Referencia de embarazos de alto riesgo al tercer nivel de atención (20%)</t>
  </si>
  <si>
    <t>3. Evaluación bucodental</t>
  </si>
  <si>
    <t>5. Atención de partos de alto riesgo (incluye área rural y urbana)</t>
  </si>
  <si>
    <t>7. Consulta postnatal tardía</t>
  </si>
  <si>
    <t>7.1. Administración de micronutrientes</t>
  </si>
  <si>
    <t>7.2. Educación sanitaria</t>
  </si>
  <si>
    <t>9. Consulta neonatal temprana</t>
  </si>
  <si>
    <t>9.1. Consejería a la madre del neonato</t>
  </si>
  <si>
    <t>9.2. Vacunación (aplicación de la vacuna BCG)</t>
  </si>
  <si>
    <t>9.3. Administración de vitamina K</t>
  </si>
  <si>
    <t>9.4. Prevención profiláctica ocular</t>
  </si>
  <si>
    <t>56. Salud bucal</t>
  </si>
  <si>
    <t>64. Atención ocular (incluye resección de cataratas)</t>
  </si>
  <si>
    <t>66. Evaluación integral del adulto mayor mujer (10% de la población total de adultos hombres)</t>
  </si>
  <si>
    <t>67. Consulta diabetes (incluye examen de glicemia)</t>
  </si>
  <si>
    <t>67.1 Consejería del paciente con diabetes</t>
  </si>
  <si>
    <t>68. Consulta hipertensión arterial</t>
  </si>
  <si>
    <t>69. Consulta enfermedad pulmonar crónica obstructiva</t>
  </si>
  <si>
    <t>70. Consulta artrosis o artritis degenerativa</t>
  </si>
  <si>
    <t>71. Referencia de pacientes complicados a establecimientos del segundo nivel</t>
  </si>
  <si>
    <t>71.1. Pesquisa tuberculosis en sintomáticos respiratorios (busqueda de casos activos)</t>
  </si>
  <si>
    <t>71.2. Tratamiento y consejería de los casos positivos a TB (incluye tamizaje, consejería, medicamentos y seguimiento de casos confirmados 10%)</t>
  </si>
  <si>
    <t>72. Atención ocular (incluye resección de cataratas)</t>
  </si>
  <si>
    <t>73. Examen de agudeza visual (30%)</t>
  </si>
  <si>
    <t>74. Consulta ginecológica (incluye infecciones aparato genitourinario)</t>
  </si>
  <si>
    <t>74.1. Detección temprana del Ca. Cervix y mama (papanicolaou y PAAP)</t>
  </si>
  <si>
    <t>74.2. Referencia de casos confirmados de Ca. Cervix (1%)</t>
  </si>
  <si>
    <t>Etapa  de vida</t>
  </si>
  <si>
    <t>Atención del parto</t>
  </si>
  <si>
    <t xml:space="preserve">Escolares </t>
  </si>
  <si>
    <t>Adolescentes</t>
  </si>
  <si>
    <t>[1] Basado en la metodología de la OPS/OMS, sobre el Conjunto de Prestaciones en Salud y las normas de atención vigentes del MSPAS y el Conjunto de Prestaciones no normatizadas costo-efectivas de las OMS, Esta propuesta es aplicable para ser considerado en el Modelo de Atención en Salud</t>
  </si>
  <si>
    <t>Primer borrador- agosto 2010</t>
  </si>
  <si>
    <t>Costo total por tipo de atención</t>
  </si>
  <si>
    <t>Costo unitario por tipo de atención</t>
  </si>
  <si>
    <t>Atención prenatal</t>
  </si>
  <si>
    <t>%</t>
  </si>
  <si>
    <t>Niños y niñas menores de 1 año</t>
  </si>
  <si>
    <t>Niños y niñas de 1 a menores de 2 años</t>
  </si>
  <si>
    <t>Niños y niñas de 2 a menores de 5 años</t>
  </si>
  <si>
    <t>Niños y niñas menores de 5 años</t>
  </si>
  <si>
    <t>Adolescentes (15 a 18 años)</t>
  </si>
  <si>
    <t>Adultos (14 a 54)</t>
  </si>
  <si>
    <t>Un estudio realizado en 2002 en la zona periurbana de la ciudad de Guatemala (Villa Nueva) halló una prevalencia de diabetes de 8,4% en ambos sexos y en grupos de población mayor de 40 años.</t>
  </si>
  <si>
    <t>Atención integral al niño menor de 1 año</t>
  </si>
  <si>
    <t>100% de cobertura en administración de micronutrientes a puerperas</t>
  </si>
  <si>
    <t>100% de puerperas recibiendo consejería</t>
  </si>
  <si>
    <t>Atención neonatal</t>
  </si>
  <si>
    <t>Niños menores de 1 año</t>
  </si>
  <si>
    <t>Atención de niños de 1 año a menores de 5 años</t>
  </si>
  <si>
    <t>Neonato</t>
  </si>
  <si>
    <t>Niños de 1 año a menores de 5 años</t>
  </si>
  <si>
    <t>100% de embarazos de alto riesgo (área urbana y rural) atendidos</t>
  </si>
  <si>
    <t>100% de mujeres embarazadas con exámenes bucodentales</t>
  </si>
  <si>
    <t>Atención post parto</t>
  </si>
  <si>
    <t>Atención del escolar</t>
  </si>
  <si>
    <t>Atención del adolescente de 15 a 18 años</t>
  </si>
  <si>
    <t>Atención integral adultos hombres</t>
  </si>
  <si>
    <t>100% de casos positivos con tratamiento anti TB</t>
  </si>
  <si>
    <t>Atención integral de mujeres adultas</t>
  </si>
  <si>
    <t>100% de hombres adultos con consejería</t>
  </si>
  <si>
    <t>100% de consultas y administración de métodos</t>
  </si>
  <si>
    <t>100% de mujeres en edad fértil con tamizaje de Ca. Cervix</t>
  </si>
  <si>
    <t>100% de mujeres en edad fértil con consejería</t>
  </si>
  <si>
    <t>100% de casos confirmados de Ca. Cervix referidos</t>
  </si>
  <si>
    <t>Adulto mayor hombre</t>
  </si>
  <si>
    <t>100% de pacientes diabeticos con consejería</t>
  </si>
  <si>
    <t>100% de adultos mayores hombres referidos (20% del total de consultas = 306553*20%= 61,311)</t>
  </si>
  <si>
    <t>Adulto mayor mujer</t>
  </si>
  <si>
    <t>100% de los sintomáticos respiratorios con baciloscopias de esputo efectuadas (306,553 adultos mayores mujeres por 18%= 55,180 x 3 pruebas de esputo)</t>
  </si>
  <si>
    <t>100% de consultas ginecológicas a adultos mayores mujeres (20% esperado del total de adultos mayores mujeres)</t>
  </si>
  <si>
    <t>100% de adultos mayores mujeres con tamizaje de Ca. Cervix</t>
  </si>
  <si>
    <t>Adulto mayor (hombres y mujeres)</t>
  </si>
  <si>
    <t>PRIMER NIVEL DE ATENCIÓN</t>
  </si>
  <si>
    <t>Adultos (hombres y mujeres)</t>
  </si>
  <si>
    <t>100% de adolescentes referidos por establecimientos del primer nivel de atención atendidos</t>
  </si>
  <si>
    <t>100% de atención de casos confirmados de Ca. Cervix referidos por establecimientos del primer nivel</t>
  </si>
  <si>
    <t>100% de embarazos de alto riesgo referidos al tercer nivel de atención</t>
  </si>
  <si>
    <t>100% de cobertura de mujeres con un post parto complicado referidas al tercer nivel de atención</t>
  </si>
  <si>
    <t>100% de neonatos de alto riesgo referidos al tercer nivel de atención</t>
  </si>
  <si>
    <t>100% de cobertura de atención  a puerperas (1 consulta en el postparto temprano) incluye área urbana y rural</t>
  </si>
  <si>
    <t>100% de niños referidos por el primer nivel atendidos en el segundo nivel</t>
  </si>
  <si>
    <t>Niño menor de 1 año</t>
  </si>
  <si>
    <t>Niño de 1 año a menores de 5 años</t>
  </si>
  <si>
    <t>100% de niños hospitalizados</t>
  </si>
  <si>
    <t>100% de adolescentes hospitalizados</t>
  </si>
  <si>
    <t>100% de adolescentes con atención en salud bucal</t>
  </si>
  <si>
    <t>100% de casos de emergencia tendidos</t>
  </si>
  <si>
    <t>100% de casos referidos por el primer nivel de atención atendidos</t>
  </si>
  <si>
    <t>100% de adultos mujeres hospitalizados (10% del total)</t>
  </si>
  <si>
    <t>100% de hombres mayores con atención en salud bucal</t>
  </si>
  <si>
    <t>100% de adultos mayores hombres con atención ocular</t>
  </si>
  <si>
    <t>20% del total de niños menores de 1 año</t>
  </si>
  <si>
    <t>Total de niños de 1 año a menores de 5 años</t>
  </si>
  <si>
    <t>Total de niños de 2 años a menores de 5 años</t>
  </si>
  <si>
    <t>100% de niños menores de un año recibiendo 2 consultas al año por intervalo de edad = 8 consultas al año</t>
  </si>
  <si>
    <t xml:space="preserve">100% de niños de 2 años a menores de 5 años desparasitados cada 6 meses = 6 dosis de desparasitantes </t>
  </si>
  <si>
    <t xml:space="preserve">100% de las emergencias atendidas en los adolescentes </t>
  </si>
  <si>
    <t>3% del total de adolescentes</t>
  </si>
  <si>
    <t xml:space="preserve">Se estima un 1% del total de adolescentes </t>
  </si>
  <si>
    <t>10% del total de adolescentes atendidos  en la consulta de morbilidad general</t>
  </si>
  <si>
    <t>10% del total de adultos hombres atendidos en la consulta de morbilidad general</t>
  </si>
  <si>
    <t>Total de adultos hombres</t>
  </si>
  <si>
    <t>10% del total de adultos mujeres atendidos en la consulta de morbilidad general</t>
  </si>
  <si>
    <t xml:space="preserve">100% de consultas a los adultos mayores mujeres </t>
  </si>
  <si>
    <t xml:space="preserve">100% de consultas de diabetes a los adultos mayores mujeres </t>
  </si>
  <si>
    <t>100% de consultas de hipertensión arterial a los adultos mayores mujeres</t>
  </si>
  <si>
    <t>100% de consultas de enfermedad pulmonar crónica obstructiva a los adultos mayores mujeres</t>
  </si>
  <si>
    <t>100% de consultas de artrosis o artritis degenerativa a los adultos mayores mujeres</t>
  </si>
  <si>
    <t>100% de consultas ginecológicas a adultos mayores mujeres</t>
  </si>
  <si>
    <t>20% esperado del total de adultos mayores mujeres</t>
  </si>
  <si>
    <t>Población objeto de la Ley*</t>
  </si>
  <si>
    <t>** Para el caso de los niños de 5 a 14 años, adolescnetes de 15 a 18 y mujeres en edad fértil únicamente se le quitará el 10% que es cubierto por prestadores privados</t>
  </si>
  <si>
    <t>* No incluye el 17% cubierto por el IGSS  y el 10% cubierto por prestadores privados</t>
  </si>
  <si>
    <r>
      <t>N</t>
    </r>
    <r>
      <rPr>
        <sz val="10"/>
        <color indexed="8"/>
        <rFont val="Times New Roman"/>
        <family val="1"/>
      </rPr>
      <t xml:space="preserve">iños en edad escolar (5 a 14 años) </t>
    </r>
  </si>
  <si>
    <r>
      <t>M</t>
    </r>
    <r>
      <rPr>
        <sz val="10"/>
        <color indexed="8"/>
        <rFont val="Times New Roman"/>
        <family val="1"/>
      </rPr>
      <t>ujeres en edad fértil (10 a 54 años) (REVISAR)</t>
    </r>
  </si>
  <si>
    <r>
      <t>E</t>
    </r>
    <r>
      <rPr>
        <sz val="10"/>
        <color indexed="8"/>
        <rFont val="Times New Roman"/>
        <family val="1"/>
      </rPr>
      <t>mbarazos esperados</t>
    </r>
  </si>
  <si>
    <r>
      <t>C</t>
    </r>
    <r>
      <rPr>
        <sz val="10"/>
        <color indexed="8"/>
        <rFont val="Times New Roman"/>
        <family val="1"/>
      </rPr>
      <t>asos esperados de diabetes mielitus ( a partir de la prevalencia de casos en una población, en este caso guatemala) (REVISAR)</t>
    </r>
  </si>
  <si>
    <r>
      <t>C</t>
    </r>
    <r>
      <rPr>
        <sz val="10"/>
        <color indexed="8"/>
        <rFont val="Times New Roman"/>
        <family val="1"/>
      </rPr>
      <t>asos esperados de hipertensión arterial</t>
    </r>
  </si>
  <si>
    <r>
      <t>C</t>
    </r>
    <r>
      <rPr>
        <sz val="10"/>
        <color indexed="8"/>
        <rFont val="Times New Roman"/>
        <family val="1"/>
      </rPr>
      <t>asos esperados EPOC</t>
    </r>
  </si>
  <si>
    <r>
      <t>C</t>
    </r>
    <r>
      <rPr>
        <sz val="10"/>
        <color indexed="8"/>
        <rFont val="Times New Roman"/>
        <family val="1"/>
      </rPr>
      <t>asos esperados de artritis cronica</t>
    </r>
  </si>
  <si>
    <r>
      <t>C</t>
    </r>
    <r>
      <rPr>
        <sz val="10"/>
        <color indexed="8"/>
        <rFont val="Times New Roman"/>
        <family val="1"/>
      </rPr>
      <t>asos de VIH SIDA</t>
    </r>
  </si>
  <si>
    <r>
      <t xml:space="preserve">  </t>
    </r>
    <r>
      <rPr>
        <b/>
        <sz val="10"/>
        <color indexed="8"/>
        <rFont val="Times New Roman"/>
        <family val="1"/>
      </rPr>
      <t xml:space="preserve">Estructura porcentual de la población: </t>
    </r>
  </si>
  <si>
    <t>Niños y niñas de 1 a menores de 5 años</t>
  </si>
  <si>
    <t>Adultos mayores hombres (54 a….)</t>
  </si>
  <si>
    <t>Adultos mayores mujeres (54 a….)</t>
  </si>
  <si>
    <r>
      <t>A</t>
    </r>
    <r>
      <rPr>
        <sz val="10"/>
        <color indexed="8"/>
        <rFont val="Times New Roman"/>
        <family val="1"/>
      </rPr>
      <t>dultos mayores (54 a … )</t>
    </r>
  </si>
  <si>
    <t>Ministerio de Salud Pública y Asistencia Social/ Comisión de Salud del Congreso/ Organización Panamericana de la Salud</t>
  </si>
  <si>
    <t>Conjunto de atenciones en salud (primero y segundo nivel) (1) Propuesta para la Iniciativa de Ley 42-16</t>
  </si>
  <si>
    <t>Conjunto de Atenciones en Salud (primero y segundo nivel) (1) Propuesta para la Iniciativa de Ley 42-16</t>
  </si>
  <si>
    <t>Población Rural objeto de la Ley (54% del total de la población)</t>
  </si>
  <si>
    <t>Población Urbana objeto de la Ley (46% del total de la población)</t>
  </si>
  <si>
    <t>3% del total de neonatos esperados  atentidos en la consulta de morbilidad</t>
  </si>
  <si>
    <t>2.73% del total de la población son  niños menores de 1 año= 150,792</t>
  </si>
  <si>
    <t>100% de niños menores de un año vacunados con esquema completo (3 dosis de pentavalente, polio)según norma del MSPAS</t>
  </si>
  <si>
    <t>Cobertura (2) (se refiere sólo a la población de responsabilidad del MSPAS)</t>
  </si>
  <si>
    <t>5% del total de los niños en edad escolar atendidos en la consulta de morbilidad general (184,817 niños con consulta de morbilidad general)</t>
  </si>
  <si>
    <t>Adultos hombres (14 a 54)</t>
  </si>
  <si>
    <t>Adultos mujeres (14 a 54)</t>
  </si>
  <si>
    <t>1% de casos de diabetes esperados del total de adultos mayores hombres (248,649)</t>
  </si>
  <si>
    <t xml:space="preserve">1% del total de adultos mayores hombres con diabetes </t>
  </si>
  <si>
    <t>1% de casos de hipertensión arterial esperados del total de adultos mayores hombres (248,649)</t>
  </si>
  <si>
    <t>5% de casos esperados de EPOC del total de adultos mayores hombres (248,649)</t>
  </si>
  <si>
    <t>5% de casos de artrosis/artritis degenerativa del total de adultos mayores hombres (248,649)</t>
  </si>
  <si>
    <t xml:space="preserve">20% del total de consultas </t>
  </si>
  <si>
    <t>10% del total de adultos mayores mujeres (248,649)</t>
  </si>
  <si>
    <t>1% de casos de diabetes esperados del total de adultos mayores mujeres (248,649)</t>
  </si>
  <si>
    <t>1% de casos de hipertensión arterial esperados del total de adultos mayores mujeres (248,649)</t>
  </si>
  <si>
    <t>5% de casos esperados de EPOC del total de adultos mayores mujeres (248,649)</t>
  </si>
  <si>
    <t>5% de casos de artrosis/artritis degenerativa del total de adultos mayores mujeres (248,649)</t>
  </si>
  <si>
    <t xml:space="preserve">100% de aultos mayores </t>
  </si>
  <si>
    <t>1.5% de sintomáticos respiratorios del total de adultos mayores mujeres</t>
  </si>
  <si>
    <t xml:space="preserve">5% de niños de alto riesgo esperados del total de niños de 1 año a menores de 5 años atendidos en la consulta </t>
  </si>
  <si>
    <t xml:space="preserve">5% de niños de alto riesgo esperados del total de niños menores de 1 años atendidos en la consulta </t>
  </si>
  <si>
    <t>Total de niños menores de 1 año= 1570,792</t>
  </si>
  <si>
    <t>10% del total de adultos mayores hombres (248,649)</t>
  </si>
  <si>
    <t>20. Detección y referencia niños escolares a establecimientos de mayor complejidad  (sólo incluye costos para el transporte)</t>
  </si>
  <si>
    <t>21. Consulta integral del adolescente (evaluación de riesgos)</t>
  </si>
  <si>
    <t>22. Consejeria (incluye salud sexual y reproduciva,violencia, nutrición, enfermedades de transmisión sexual</t>
  </si>
  <si>
    <t>23. Evaluación nutricional (incluye suplemento de micronutrientes)</t>
  </si>
  <si>
    <t>24. Atención de emergencias quirúrgicas (curaciones y suturas)</t>
  </si>
  <si>
    <t xml:space="preserve">25. Consulta morbilidad general (enfermedades prevalentes) </t>
  </si>
  <si>
    <t>26. Detección y referencia casos de alto riesgo en adolescentes  (sólo incluye costos para el transporte)</t>
  </si>
  <si>
    <t>27. Consulta de morbilidad general (resolución de problemas infecciosos no complicados, enfermedad péptica, IRS, infecciones urinarias) 10% del total de hombres adultos</t>
  </si>
  <si>
    <t>28. Detección y referencia de casos complicados (10% del total de hombres adultos atendidos por casos de morbilidad general) (sólo incluye costos para el transporte)</t>
  </si>
  <si>
    <t>29. Pesquisa tuberculosis en sintomáticos respiratorios (busqueda de casos activos)</t>
  </si>
  <si>
    <t>29.1. Tratamiento y consejería de los cosos positivos a TB (incluye tamizaje, consejería, medicamentos y seguimiento de casos confirmados 10%)</t>
  </si>
  <si>
    <t>30. Consejería salud reproductiva con enfasis en ETS, VIH y MEE</t>
  </si>
  <si>
    <t>31. Consulta de morbilidad general (resolución de problemas infecciosos no complicados, enfermedad petica, IRS, infecciones urinarias) 10% del total de hombres adultos</t>
  </si>
  <si>
    <t>32. Detección y referencia de casos complicados (10% del total de mujeres adultas atendidas por casos de morbilidad general) (incluye sólo costos para el transporte)</t>
  </si>
  <si>
    <t>33. Pesquisa tuberculosis en sintomáticos respiratorios (busqueda de casos activos)</t>
  </si>
  <si>
    <t>33.1. Tratamiento y consejería de los casos positivos a TB (incluye tamizaje, consejería, medicamentos y seguimiento de casos confirmados 10%)</t>
  </si>
  <si>
    <t>34. Consejería (incluye salud reproductiva con enfasis en ETS, VIH y MEE, violencia intrafamiliar y abuso sexual)</t>
  </si>
  <si>
    <t>35. Consulta planificación familiar (incluye consejería)</t>
  </si>
  <si>
    <t>36. Consulta ginecológica (incluye infecciones aparato genitourinario)</t>
  </si>
  <si>
    <t>36.1.  Detección temprana del Ca. Cervix y mama (papanicolaou y PAAP)</t>
  </si>
  <si>
    <t>36.2. Referencia de casos sospechosos de Ca. Cervix (1%)</t>
  </si>
  <si>
    <t xml:space="preserve">37. Evaluación integral del adulto mayor hombre </t>
  </si>
  <si>
    <t>38. Consulta diabetes (incluye examen de glicemia)</t>
  </si>
  <si>
    <t>38.1. Consejería del paciente con diabetes</t>
  </si>
  <si>
    <t>39. Consulta hipertensión arterial</t>
  </si>
  <si>
    <t>40. Consulta enfermedad pulmonar crónica obstructiva (EPOC)</t>
  </si>
  <si>
    <t>41. Consulta artrosis o artritis degenerativa</t>
  </si>
  <si>
    <t>42. Referencia de pacientes complicados a establecimientos del segundo nivel</t>
  </si>
  <si>
    <t>43. Pesquisa tuberculosis en sintomáticos respiratorios (busqueda de casos activos)</t>
  </si>
  <si>
    <t>43.1 Tratamiento y consejería de los cosos positivos a TB (incluye tamizaje, consejería, medicamentos y seguimiento de casos confirmados 10%)</t>
  </si>
  <si>
    <t>44. Evaluación integral del adulto mayor mujer (10% de la población total de adultos hombres)</t>
  </si>
  <si>
    <t>45. Consulta diabetes (incluye examen de glicemia)</t>
  </si>
  <si>
    <t>45.1. Consejería del paciente con diabetes</t>
  </si>
  <si>
    <t>46. Consulta hipertensión arterial</t>
  </si>
  <si>
    <t>47. Consulta enfermedad pulmonar crónica obstructiva</t>
  </si>
  <si>
    <t>48. Consulta artrosis o artritis degenerativa</t>
  </si>
  <si>
    <t>49. Referencia de pacientes complicados a establecimientos del segundo nivel (incluye sólo el costo para el tranporte)</t>
  </si>
  <si>
    <t>50. Pesquisa tuberculosis en sintomáticos respiratorios (busqueda de casos activos)</t>
  </si>
  <si>
    <t>50.1.Tratamiento y consejería de los cosos positivos a TB (incluye tamizaje, consejería, medicamentos y seguimiento de casos confirmados 10%)</t>
  </si>
  <si>
    <t>51. Consulta ginecológica (incluye infecciones aparato genitourinario)</t>
  </si>
  <si>
    <t>51.1. Detección temprana del Ca. Cervix y mama (papanicolaou y PAAP)</t>
  </si>
  <si>
    <t>51.2. Referencia de casos sospechos de Ca. Cervix (1%)</t>
  </si>
  <si>
    <t>100% de cobertura de atención prenatal (4 consultas por embarazo esperado por año según norma del MSPAS)</t>
  </si>
  <si>
    <t>Embarazos esperados (2.3% del total de la población urbana =108,259)</t>
  </si>
  <si>
    <t xml:space="preserve">Embarazos esperados (2.3% del total de la población rural=127,087  </t>
  </si>
  <si>
    <t>!00% de los embarazos esperados con 3 dosis de TDA según norma del MSPAS</t>
  </si>
  <si>
    <t>100% de los embarazos esperados con 3 dosis de TDA según norma del MSPAS</t>
  </si>
  <si>
    <t>Suministro de ácido fólico y hierro según norma del MSPAS al 100% de los embarazos esperados</t>
  </si>
  <si>
    <t>100% de embarazos esperados reciben consejería (cuidados del embarazo, ETS, VIH, MEE, etc)</t>
  </si>
  <si>
    <t>Realizaciòn de examenes de laboratorio según norma del MSPAS al 100% de los embarazos esperados</t>
  </si>
  <si>
    <t>10% de embarazos de alto riesgo detectados en establecimientos del primer nivel de atención y 10% del total de embarazos esperados en riesgo detectados en el segundo nivel de atención</t>
  </si>
  <si>
    <t>20% del total de embarazos de alto riesgo (urbano y rural)</t>
  </si>
  <si>
    <t>Total de embarazos esperados</t>
  </si>
  <si>
    <t xml:space="preserve">100% de la población objetivo de la Ley partos normales rurales y urbanos atendidos </t>
  </si>
  <si>
    <t xml:space="preserve">4. Atención de los partos normales </t>
  </si>
  <si>
    <t>Total de embarazos esperados población urbana y rural (no incluye los embarazos de alto riesgo)</t>
  </si>
  <si>
    <t>Atención de partos de alto riesgo del área urbana y rural (no incluye el 20% de embarazos de alto riesgo referidos al tercer nivel de atención)</t>
  </si>
  <si>
    <t xml:space="preserve">100% de partos de alto riesgo atendidos </t>
  </si>
  <si>
    <t>100% de partos normales esperados del área urbana y rural</t>
  </si>
  <si>
    <t>100% de partos esperados del área urbana</t>
  </si>
  <si>
    <t>8. Post parto complicado detectado y referido (hemorragia / pre-eclampsia)</t>
  </si>
  <si>
    <t>100% de cobertura de atención a puerperas (1 consulta en el postparto tardío)</t>
  </si>
  <si>
    <t>100% de neonatos esperados atendidos durante el período neonatal</t>
  </si>
  <si>
    <t>10% de neontatos esperados vacunados conun adosis de BCG</t>
  </si>
  <si>
    <t>100% de neonatos esperados con una dosis de vitamina K</t>
  </si>
  <si>
    <t>100% de neonatos esperados con prevención profiláctica ocular</t>
  </si>
  <si>
    <t>10. Consulta de morbilidad del neonato</t>
  </si>
  <si>
    <t>100% de neonatos que demandan atención por causas especìficas de morbilidad en especial relacionadas con enfermedades prevalentes en la infancia</t>
  </si>
  <si>
    <t>100% de los nacimientos esperados y atendidos</t>
  </si>
  <si>
    <t>10% del total de neonatos esperados que requeriràn ser atendidos por un problema de salud</t>
  </si>
  <si>
    <t>11. Atención del neonato de alto riesgo del área rural</t>
  </si>
  <si>
    <t>Total de neonatos referidos por el primer nivel de atención</t>
  </si>
  <si>
    <t>100% de los neonatos identificados con alto riesgo en el primer nivel de atención</t>
  </si>
  <si>
    <t>12. Detección y referencia de casos de alto riesgo (sòlo incluye costos para el transporte)</t>
  </si>
  <si>
    <t>100% de niños menores de un año recibiendo 5 consultas al año segùn norma del MSPAS</t>
  </si>
  <si>
    <t>2.73% del total de población son niños menores de 1 año=128,452</t>
  </si>
  <si>
    <t>100% de niños menores de un año vacunados con esquema completo (3 dosis de pentavalente, polio) según norma del MSPAS</t>
  </si>
  <si>
    <t>100% de  niños recibiendo dos consultas de morbilidad al año de enfermedades prevalentes en la infancia</t>
  </si>
  <si>
    <t>Total de niños de alto riesgo referidos por el primer nivel de atención</t>
  </si>
  <si>
    <t>13. Consulta integral del niño menor de 1 año (incluye control de crecimiento y consejería nutricional)</t>
  </si>
  <si>
    <t>13.1. Vacunación (esquema completo: 3 dosis de pentavalente, polio)</t>
  </si>
  <si>
    <t>13.2. Suplementación con micronutrientes: (vitamina A y hierro)</t>
  </si>
  <si>
    <t>14. Visita domiciliar familia integral</t>
  </si>
  <si>
    <t>15. Consulta morbilidad niños menores de 1 año (incluye medicamentos)</t>
  </si>
  <si>
    <t xml:space="preserve">16. Atención de los niños referidos del primer nivel de atención </t>
  </si>
  <si>
    <t>5% de niños de alto riesgo esperados del total de niños menores de 1 año</t>
  </si>
  <si>
    <t>100% de niños de alto riesgo detectados y referidos a establecimientos del tercer nivel</t>
  </si>
  <si>
    <t>5% del total de niños menores de 1 año</t>
  </si>
  <si>
    <t>100% de niños con bajo peso atendidos</t>
  </si>
  <si>
    <t>17. Detección y referencia del niño al tercer nivel de atención (sólo incluye costos para el transporte)</t>
  </si>
  <si>
    <t xml:space="preserve">18. Niños con bajo peso  </t>
  </si>
  <si>
    <t>19. Atención y hospitalización (egresos) de casos complicados pediatría general: asma bronquial, diarrea, dengue y malaria, otras infecciones</t>
  </si>
  <si>
    <t>100% de niños vacunados con esquema completo segùn norma del MSPAS</t>
  </si>
  <si>
    <t>100% de niños suplementados con micronutrientes segùn norma del MSPAS</t>
  </si>
  <si>
    <t>100% de niños de 2 años a menores de 5 años desparasitados cada 6 meses=6 dosis de desparasitantes</t>
  </si>
  <si>
    <t>20. Consulta integral del niño de 1 año menor de 5 años (incluye control de crecimiento, vigilancia y desarrollo y consejería nutricional)</t>
  </si>
  <si>
    <t>20.1. Evaluación nutricional</t>
  </si>
  <si>
    <t>20.2. Vacunación (refuerzos): OPV, PENTA, DPT y SR.</t>
  </si>
  <si>
    <t>20.3. Suplementación con micronutrientes: (vitamina A y hierro)</t>
  </si>
  <si>
    <t>20.4. Administración de desparasitantes a partir de los 2 años)</t>
  </si>
  <si>
    <t>21. Consulta morbilidad niños de 1 año a menores de 5 años (incluye medicamentos)</t>
  </si>
  <si>
    <t>100% de niños con dos consultas al año por morbilidad específica, por enfermedades prevalentes de la infancia y otras</t>
  </si>
  <si>
    <t>Total de niños referidos por el primer nivel de atención</t>
  </si>
  <si>
    <t>22. Atención de los casos referidos por el primer nivel de atención</t>
  </si>
  <si>
    <t>23. Detecciòn y referencia del niños a los establecimientos del tercer nivel de atención (sólo incluye costos para el transporte)</t>
  </si>
  <si>
    <t>5% de niños de alto riesgo esperados del total de niños de 1 año a menores de 5 años atendidos en la consulta</t>
  </si>
  <si>
    <t>24. Hospitalización de niños (egresos)</t>
  </si>
  <si>
    <t>4% del total de niños de 1 año a menores de 5 años</t>
  </si>
  <si>
    <t>26. Consulta odontológica (aplicación de fluor)</t>
  </si>
  <si>
    <t>100% de consultas odontológicas a escolares</t>
  </si>
  <si>
    <t>25. Consulta integral del escolar (incluye evaluación neurosensorial y cognositiva)</t>
  </si>
  <si>
    <t>27. Consejería nutricional (incluye suplemento de micronutrientes)</t>
  </si>
  <si>
    <t>100% de niños con una evaluación nutricional por año realizadas</t>
  </si>
  <si>
    <t xml:space="preserve">28. Consulta morbilidad general en el escolar </t>
  </si>
  <si>
    <t>100% de niños en edad escolar</t>
  </si>
  <si>
    <t>100% de niños con una consulta al año por morbilidad específica, por enfermedades prevalentes en esta grupo etareo</t>
  </si>
  <si>
    <t>Atención de los niños referidos por el primer nivel de atención</t>
  </si>
  <si>
    <t>100% de niños en edad escolar atentidos, referidos por establecimientos del primer nivel</t>
  </si>
  <si>
    <t>29. Atención de los niños referidos del primer nivel de atención</t>
  </si>
  <si>
    <t>30. Detección y referencia de niños escolares a establecimientos de mayor complejidad (sólo incluye costos para el transporte)</t>
  </si>
  <si>
    <t>5% del total de los niños en edad escolar atendidos en la consulta de morbilidad general</t>
  </si>
  <si>
    <t>4% del total de niños en edad escolar</t>
  </si>
  <si>
    <t>Atención del escolar (niños de 5 a 14 años)</t>
  </si>
  <si>
    <t>31. Hospitalización (egresos)</t>
  </si>
  <si>
    <t>32. Consulta integral del adolescente (evaluación de riesgos)</t>
  </si>
  <si>
    <t>33. Consejeria (incluye salud sexual y reproduciva,violencia, nutrición, enfermedades de transmisión sexual</t>
  </si>
  <si>
    <t>34. Evaluación nutricional (incluye suplemento de micronutrientes)</t>
  </si>
  <si>
    <t>100% de adolescentes reciben consejería  (0.3 consulta al año)</t>
  </si>
  <si>
    <t>Total de adolescentes</t>
  </si>
  <si>
    <t>35. Atención de emergencias quirúrgicas (curaciones y suturas)</t>
  </si>
  <si>
    <t>Se estima un 1% del total de adolescentes</t>
  </si>
  <si>
    <t>100% de las emergencias atendidas en los adolescentes</t>
  </si>
  <si>
    <t>36. Consulta morbilidad general (enfermedades prevalentes)</t>
  </si>
  <si>
    <t>37. Atención de los casos referidos por establecimientos del primer nivel de atención</t>
  </si>
  <si>
    <t>Total de adolescentes referidos por el primer nivel de atenciòn</t>
  </si>
  <si>
    <t>38. Detección y referencia de casos de alto riesgo en adolescentes</t>
  </si>
  <si>
    <t>10% del total de adolescentes atendidos en la consulta de morbilidad general</t>
  </si>
  <si>
    <t>100% de adolescentes de alto riesgo detectados y referidos a establecimientos del tercer nivel</t>
  </si>
  <si>
    <t>4% del total de adolescentes</t>
  </si>
  <si>
    <t xml:space="preserve">39. Hospitalización (egresos) </t>
  </si>
  <si>
    <t>40.Salud bucal</t>
  </si>
  <si>
    <t>5% del total de embarazos esperados</t>
  </si>
  <si>
    <t>41. Consulta de morbilidad general (resolución de problemas infecciosos no complicados, enfermedad petica, IRS, infecciones urinarias) 10% del total de hombres adultos</t>
  </si>
  <si>
    <t>100% de consulta de morbilidad general en adultos hombres atendidos</t>
  </si>
  <si>
    <t>10% del total de hombres atendidos en la consulta de morbilidad general</t>
  </si>
  <si>
    <t>100% de casos complicados detectados y referidos a establecimientos del tercer nivel</t>
  </si>
  <si>
    <t>1.5% de sintomáticos respiratorios del total de adultos hombres</t>
  </si>
  <si>
    <t>100% de los sintomáticos respiratorios con baciloscopias de esputo efectuadas (3 pruebas de esputo según norma del MSPAS)</t>
  </si>
  <si>
    <t>43.1. Tratamiento y consejería de los cosos positivos a TB (incluye tamizaje, consejería, medicamentos y seguimiento de casos confirmados)</t>
  </si>
  <si>
    <t>44. Consejería salud reproductiva con enfasis en ETS, VIH y MEE</t>
  </si>
  <si>
    <t>1% del total de adultos hombres</t>
  </si>
  <si>
    <t>Total de casos referidos por el primer nivel de atención</t>
  </si>
  <si>
    <t xml:space="preserve">42. Detección y referencia de casos complicados </t>
  </si>
  <si>
    <t>45. Consulta de emergencia</t>
  </si>
  <si>
    <t>46. Hospitalización (egresos) 10%</t>
  </si>
  <si>
    <t>47. Atención de los casos referidos por el primer nivel de atención</t>
  </si>
  <si>
    <t>48. Salud bucal</t>
  </si>
  <si>
    <t>49. Consulta de morbilidad general (resolución de problemas infecciosos no complicados, enfermedad petica, IRS, infecciones urinarias) 10% del total de hombres adultos</t>
  </si>
  <si>
    <t xml:space="preserve">50. Detección y referencia de casos complicados </t>
  </si>
  <si>
    <t>51. Pesquisa tuberculosis en sintomáticos respiratorios (busqueda de casos activos)</t>
  </si>
  <si>
    <t>51.1. Tratamiento y consejería de los cosos positivos a TB (incluye tamizaje, consejería, medicamentos y seguimiento de casos confirmados)</t>
  </si>
  <si>
    <t>52. Consejería salud reproductiva con enfasis en ETS, VIH y MEE</t>
  </si>
  <si>
    <t>53. Consulta de emergencia</t>
  </si>
  <si>
    <t>54. Hospitalización (egresos) 10%</t>
  </si>
  <si>
    <t>55. Atención de los casos referidos por el primer nivel de atención</t>
  </si>
  <si>
    <t>57. Consulta planificación familiar (incluye consejería)</t>
  </si>
  <si>
    <t>58. Consulta ginecológica (incluye infecciones aparato genitourinario)</t>
  </si>
  <si>
    <t>58.1. Detección temprana del Ca. Cervix y mama (papanicolaou y PAAP)</t>
  </si>
  <si>
    <t>58.2. Consejería (incluye ETS, VIH-sid, violencia intrafamiliar, abuso sexual)x</t>
  </si>
  <si>
    <t>58.3. Atención de casos confirmados de Ca. Cervix referidos por establecimientos del primer nivel (1%)</t>
  </si>
  <si>
    <t>100% de consulta de morbilidad general en adultos mujeres atendidos</t>
  </si>
  <si>
    <t>100% de adultos mujeres con atención en salud bucal</t>
  </si>
  <si>
    <t>100% de mujeres en edad fértil</t>
  </si>
  <si>
    <t>100% de adultas mujeres</t>
  </si>
  <si>
    <t xml:space="preserve">59. Evaluación integral del adulto mayor hombre </t>
  </si>
  <si>
    <t>1% de casos de diabetes esperados del total de adultos mayores hombres</t>
  </si>
  <si>
    <t>100% de consultas a los adultos mayores hombres</t>
  </si>
  <si>
    <t>100% de consultas de diabetes a los adultos mayores hombres</t>
  </si>
  <si>
    <t>100% de pacientes diabéticos con consejería</t>
  </si>
  <si>
    <t>60. Consulta diabetes (incluye examen de glicemia)</t>
  </si>
  <si>
    <t>60.1. Consejería del paciente con diabetes</t>
  </si>
  <si>
    <t>61. Consulta hipertensión arterial</t>
  </si>
  <si>
    <t>1% del total de adultos mayores hombres con diabetes</t>
  </si>
  <si>
    <t>1% de casos de hipertensión arterial esperados del total de adultos mayores hombres</t>
  </si>
  <si>
    <t>5% de casos esperados de EPOC del total de adultos mayores hombres</t>
  </si>
  <si>
    <t>62. Consulta enfermedad pulmonar crónica obstructiva (EPOC)</t>
  </si>
  <si>
    <t>5% de casos de artrosis/artritis degenerativa del total de adultos mayores hombres</t>
  </si>
  <si>
    <t>63. Consulta artrosis o artritis degenerativa</t>
  </si>
  <si>
    <t>65. Pesquisa tuberculosis en sintomáticos respiratorios (busqueda de casos activos)</t>
  </si>
  <si>
    <t>65.1. Tratamiento y consejería de los casos positivos a TB (incluye tamizaje, consejería, medicamentos y seguimiento de casos confirmados 10%)</t>
  </si>
  <si>
    <t>5.6% de los casos positivos del otal de sintomáticos respiratorios detectados</t>
  </si>
  <si>
    <t>100% de consultas de hipertensión arterial a los adultos mayores hombres</t>
  </si>
  <si>
    <t>100% de consultas de enfermedad pulmonar crónica obstructiva a los adultos mayores hombres</t>
  </si>
  <si>
    <t>100% de consultas de artrosis o artritis degenerativa a los adultos mayores hombres</t>
  </si>
  <si>
    <t>100% de los adultos mayores hombres referidos</t>
  </si>
  <si>
    <t>100% de los sintomáticos respiratorios con basciloscopias de esputo efectuadas</t>
  </si>
  <si>
    <t>100% de los casos positivos con tratamiento anti TB</t>
  </si>
  <si>
    <t>65. Examen de agudeza visual</t>
  </si>
  <si>
    <t>30% del total de adultos mayores hombres con agudeza visual</t>
  </si>
  <si>
    <t>10% del total de adolescentes</t>
  </si>
  <si>
    <t>20% del total de adultos hombres</t>
  </si>
  <si>
    <t>1% del total de adultos mayores hombres</t>
  </si>
  <si>
    <t>10% del total de mujeres atendidas en la consulta de morbilidad general</t>
  </si>
  <si>
    <t>1.5% de sintomáticos respiratorios del total de adultos mujeres</t>
  </si>
  <si>
    <t>64. Referencia de pacientes complicados a establecimientos del tercer nivel</t>
  </si>
  <si>
    <t>1% del total de adultos mujeres</t>
  </si>
  <si>
    <t>10% del total de adultos mayores hombres</t>
  </si>
  <si>
    <t>10% del total de adultos mayores mujeres</t>
  </si>
  <si>
    <t>100% de consultas a los adultos mayores mujeres</t>
  </si>
  <si>
    <t>1% de casos de diabetes esperados del total de adultos mayores mujeres</t>
  </si>
  <si>
    <t>100% de consultas de diabetes a los adultos mayores mujeres</t>
  </si>
  <si>
    <t>1% del total de adultos mayores mujeres con diabetes</t>
  </si>
  <si>
    <t>1% de casos de hipertensión arterial esperados del total de adultos mayores mujeres</t>
  </si>
  <si>
    <t>5% de casos esperados de EPOC del total de adultos mayores mujeres</t>
  </si>
  <si>
    <t>5% de casos de artrosis/artritis degenerativa del total de adultos mayores mujeres</t>
  </si>
  <si>
    <t>100% de los adultos mayores mujeres referidos</t>
  </si>
  <si>
    <t>1% del total de adultos mayores mujeres</t>
  </si>
  <si>
    <t>30% del total de adultos mayores mujeres con agudeza visual</t>
  </si>
  <si>
    <t>100% de mujeres adultas mayores</t>
  </si>
  <si>
    <t>1% del total de mujeres con tramizaje de Ca. Cervix</t>
  </si>
  <si>
    <t xml:space="preserve">20% del total de embarazos esperados </t>
  </si>
  <si>
    <t>3% del total de neonatos eperados atendidos en la consulta de morbilidad (total 11,207)</t>
  </si>
  <si>
    <t>100% de niños menores de un año recibiendo 2 consultas al año por intervalo de edad=8 consultas</t>
  </si>
  <si>
    <t>100% de adultos hombres hospitalizados</t>
  </si>
  <si>
    <t xml:space="preserve">100% de consultas ginecológicas </t>
  </si>
  <si>
    <t>20% del total de consultas (incluye todas la consultas)= 27,536</t>
  </si>
</sst>
</file>

<file path=xl/styles.xml><?xml version="1.0" encoding="utf-8"?>
<styleSheet xmlns="http://schemas.openxmlformats.org/spreadsheetml/2006/main">
  <numFmts count="4">
    <numFmt numFmtId="164" formatCode="_-[$Q-100A]* #,##0.00_ ;_-[$Q-100A]* \-#,##0.00\ ;_-[$Q-100A]* &quot;-&quot;??_ ;_-@_ "/>
    <numFmt numFmtId="165" formatCode="0.000%"/>
    <numFmt numFmtId="166" formatCode="0.0%"/>
    <numFmt numFmtId="167" formatCode="#,##0_ ;\-#,##0\ "/>
  </numFmts>
  <fonts count="1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indexed="8"/>
      <name val="Times New Roman"/>
      <family val="1"/>
    </font>
    <font>
      <sz val="8"/>
      <name val="Calibri"/>
      <family val="2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u/>
      <sz val="10"/>
      <color indexed="12"/>
      <name val="Times New Roman"/>
      <family val="1"/>
    </font>
    <font>
      <b/>
      <u/>
      <sz val="10"/>
      <name val="Times New Roman"/>
      <family val="1"/>
    </font>
    <font>
      <b/>
      <sz val="24"/>
      <color indexed="8"/>
      <name val="Times New Roman"/>
      <family val="1"/>
    </font>
    <font>
      <u/>
      <sz val="11"/>
      <color theme="10"/>
      <name val="Calibri"/>
      <family val="2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6"/>
      <color indexed="8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5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93">
    <xf numFmtId="0" fontId="0" fillId="0" borderId="0" xfId="0"/>
    <xf numFmtId="0" fontId="5" fillId="0" borderId="0" xfId="0" applyFont="1" applyAlignment="1">
      <alignment wrapText="1"/>
    </xf>
    <xf numFmtId="0" fontId="5" fillId="3" borderId="1" xfId="0" applyFont="1" applyFill="1" applyBorder="1" applyAlignment="1">
      <alignment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right" vertical="center" wrapText="1"/>
    </xf>
    <xf numFmtId="164" fontId="5" fillId="3" borderId="3" xfId="0" applyNumberFormat="1" applyFont="1" applyFill="1" applyBorder="1" applyAlignment="1">
      <alignment vertical="center" wrapText="1"/>
    </xf>
    <xf numFmtId="164" fontId="5" fillId="3" borderId="3" xfId="0" applyNumberFormat="1" applyFont="1" applyFill="1" applyBorder="1" applyAlignment="1">
      <alignment horizontal="right" vertical="center" wrapText="1"/>
    </xf>
    <xf numFmtId="0" fontId="5" fillId="3" borderId="4" xfId="0" applyFont="1" applyFill="1" applyBorder="1" applyAlignment="1">
      <alignment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3" fontId="5" fillId="4" borderId="1" xfId="0" applyNumberFormat="1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right" vertical="center" wrapText="1"/>
    </xf>
    <xf numFmtId="0" fontId="5" fillId="4" borderId="3" xfId="0" applyFont="1" applyFill="1" applyBorder="1" applyAlignment="1">
      <alignment vertical="center" wrapText="1"/>
    </xf>
    <xf numFmtId="0" fontId="5" fillId="4" borderId="4" xfId="0" applyFont="1" applyFill="1" applyBorder="1" applyAlignment="1">
      <alignment vertical="center" wrapText="1"/>
    </xf>
    <xf numFmtId="3" fontId="5" fillId="4" borderId="4" xfId="0" applyNumberFormat="1" applyFont="1" applyFill="1" applyBorder="1" applyAlignment="1">
      <alignment horizontal="center" vertical="center" wrapText="1"/>
    </xf>
    <xf numFmtId="164" fontId="5" fillId="4" borderId="4" xfId="0" applyNumberFormat="1" applyFont="1" applyFill="1" applyBorder="1" applyAlignment="1">
      <alignment horizontal="right" vertical="center" wrapText="1"/>
    </xf>
    <xf numFmtId="0" fontId="5" fillId="4" borderId="5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3" fontId="5" fillId="5" borderId="1" xfId="0" applyNumberFormat="1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right" vertical="center" wrapText="1"/>
    </xf>
    <xf numFmtId="0" fontId="5" fillId="5" borderId="3" xfId="0" applyFont="1" applyFill="1" applyBorder="1" applyAlignment="1">
      <alignment vertical="center" wrapText="1"/>
    </xf>
    <xf numFmtId="0" fontId="5" fillId="5" borderId="4" xfId="0" applyFont="1" applyFill="1" applyBorder="1" applyAlignment="1">
      <alignment vertical="center" wrapText="1"/>
    </xf>
    <xf numFmtId="3" fontId="5" fillId="5" borderId="4" xfId="0" applyNumberFormat="1" applyFont="1" applyFill="1" applyBorder="1" applyAlignment="1">
      <alignment horizontal="center" vertical="center" wrapText="1"/>
    </xf>
    <xf numFmtId="164" fontId="5" fillId="5" borderId="4" xfId="0" applyNumberFormat="1" applyFont="1" applyFill="1" applyBorder="1" applyAlignment="1">
      <alignment horizontal="right" vertical="center" wrapText="1"/>
    </xf>
    <xf numFmtId="0" fontId="5" fillId="5" borderId="5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3" fontId="5" fillId="6" borderId="1" xfId="0" applyNumberFormat="1" applyFont="1" applyFill="1" applyBorder="1" applyAlignment="1">
      <alignment horizontal="center" vertical="center" wrapText="1"/>
    </xf>
    <xf numFmtId="3" fontId="5" fillId="6" borderId="4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vertical="center" wrapText="1"/>
    </xf>
    <xf numFmtId="3" fontId="5" fillId="7" borderId="1" xfId="0" applyNumberFormat="1" applyFont="1" applyFill="1" applyBorder="1" applyAlignment="1">
      <alignment horizontal="center" vertical="center" wrapText="1"/>
    </xf>
    <xf numFmtId="164" fontId="5" fillId="7" borderId="1" xfId="0" applyNumberFormat="1" applyFont="1" applyFill="1" applyBorder="1" applyAlignment="1">
      <alignment horizontal="right" vertical="center" wrapText="1"/>
    </xf>
    <xf numFmtId="0" fontId="5" fillId="7" borderId="3" xfId="0" applyFont="1" applyFill="1" applyBorder="1" applyAlignment="1">
      <alignment vertical="center" wrapText="1"/>
    </xf>
    <xf numFmtId="0" fontId="5" fillId="7" borderId="4" xfId="0" applyFont="1" applyFill="1" applyBorder="1" applyAlignment="1">
      <alignment vertical="center" wrapText="1"/>
    </xf>
    <xf numFmtId="164" fontId="5" fillId="7" borderId="4" xfId="0" applyNumberFormat="1" applyFont="1" applyFill="1" applyBorder="1" applyAlignment="1">
      <alignment horizontal="right" vertical="center" wrapText="1"/>
    </xf>
    <xf numFmtId="0" fontId="5" fillId="7" borderId="5" xfId="0" applyFont="1" applyFill="1" applyBorder="1" applyAlignment="1">
      <alignment vertical="center" wrapText="1"/>
    </xf>
    <xf numFmtId="0" fontId="5" fillId="9" borderId="1" xfId="0" applyFont="1" applyFill="1" applyBorder="1" applyAlignment="1">
      <alignment vertical="center" wrapText="1"/>
    </xf>
    <xf numFmtId="3" fontId="5" fillId="9" borderId="1" xfId="0" applyNumberFormat="1" applyFont="1" applyFill="1" applyBorder="1" applyAlignment="1">
      <alignment horizontal="center" vertical="center" wrapText="1"/>
    </xf>
    <xf numFmtId="164" fontId="5" fillId="9" borderId="1" xfId="0" applyNumberFormat="1" applyFont="1" applyFill="1" applyBorder="1" applyAlignment="1">
      <alignment vertical="center" wrapText="1"/>
    </xf>
    <xf numFmtId="0" fontId="5" fillId="9" borderId="3" xfId="0" applyFont="1" applyFill="1" applyBorder="1" applyAlignment="1">
      <alignment vertical="center" wrapText="1"/>
    </xf>
    <xf numFmtId="0" fontId="5" fillId="9" borderId="4" xfId="0" applyFont="1" applyFill="1" applyBorder="1" applyAlignment="1">
      <alignment vertical="center" wrapText="1"/>
    </xf>
    <xf numFmtId="3" fontId="5" fillId="9" borderId="4" xfId="0" applyNumberFormat="1" applyFont="1" applyFill="1" applyBorder="1" applyAlignment="1">
      <alignment horizontal="center" vertical="center" wrapText="1"/>
    </xf>
    <xf numFmtId="164" fontId="5" fillId="9" borderId="4" xfId="0" applyNumberFormat="1" applyFont="1" applyFill="1" applyBorder="1" applyAlignment="1">
      <alignment vertical="center" wrapText="1"/>
    </xf>
    <xf numFmtId="0" fontId="5" fillId="9" borderId="5" xfId="0" applyFont="1" applyFill="1" applyBorder="1" applyAlignment="1">
      <alignment vertical="center" wrapText="1"/>
    </xf>
    <xf numFmtId="0" fontId="5" fillId="10" borderId="1" xfId="0" applyFont="1" applyFill="1" applyBorder="1" applyAlignment="1">
      <alignment vertical="center" wrapText="1"/>
    </xf>
    <xf numFmtId="3" fontId="5" fillId="10" borderId="1" xfId="0" applyNumberFormat="1" applyFont="1" applyFill="1" applyBorder="1" applyAlignment="1">
      <alignment horizontal="center" vertical="center" wrapText="1"/>
    </xf>
    <xf numFmtId="164" fontId="5" fillId="10" borderId="1" xfId="0" applyNumberFormat="1" applyFont="1" applyFill="1" applyBorder="1" applyAlignment="1">
      <alignment horizontal="right" vertical="center" wrapText="1"/>
    </xf>
    <xf numFmtId="0" fontId="5" fillId="10" borderId="3" xfId="0" applyFont="1" applyFill="1" applyBorder="1" applyAlignment="1">
      <alignment vertical="center" wrapText="1"/>
    </xf>
    <xf numFmtId="0" fontId="5" fillId="10" borderId="4" xfId="0" applyFont="1" applyFill="1" applyBorder="1" applyAlignment="1">
      <alignment vertical="center" wrapText="1"/>
    </xf>
    <xf numFmtId="3" fontId="5" fillId="10" borderId="4" xfId="0" applyNumberFormat="1" applyFont="1" applyFill="1" applyBorder="1" applyAlignment="1">
      <alignment horizontal="center" vertical="center" wrapText="1"/>
    </xf>
    <xf numFmtId="164" fontId="5" fillId="10" borderId="4" xfId="0" applyNumberFormat="1" applyFont="1" applyFill="1" applyBorder="1" applyAlignment="1">
      <alignment horizontal="right" vertical="center" wrapText="1"/>
    </xf>
    <xf numFmtId="0" fontId="5" fillId="10" borderId="5" xfId="0" applyFont="1" applyFill="1" applyBorder="1" applyAlignment="1">
      <alignment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3" fontId="5" fillId="0" borderId="0" xfId="0" applyNumberFormat="1" applyFont="1" applyBorder="1" applyAlignment="1">
      <alignment horizontal="center" vertical="center" wrapText="1"/>
    </xf>
    <xf numFmtId="164" fontId="5" fillId="0" borderId="0" xfId="0" applyNumberFormat="1" applyFont="1" applyBorder="1" applyAlignment="1">
      <alignment horizontal="right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5" fillId="3" borderId="1" xfId="0" applyFont="1" applyFill="1" applyBorder="1" applyAlignment="1">
      <alignment vertical="top" wrapText="1"/>
    </xf>
    <xf numFmtId="0" fontId="5" fillId="3" borderId="3" xfId="0" applyFont="1" applyFill="1" applyBorder="1" applyAlignment="1">
      <alignment vertical="top" wrapText="1"/>
    </xf>
    <xf numFmtId="0" fontId="5" fillId="3" borderId="4" xfId="0" applyFont="1" applyFill="1" applyBorder="1" applyAlignment="1">
      <alignment vertical="top" wrapText="1"/>
    </xf>
    <xf numFmtId="0" fontId="5" fillId="3" borderId="5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3" fontId="5" fillId="7" borderId="4" xfId="0" applyNumberFormat="1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vertical="center" wrapText="1"/>
    </xf>
    <xf numFmtId="3" fontId="5" fillId="7" borderId="6" xfId="0" applyNumberFormat="1" applyFont="1" applyFill="1" applyBorder="1" applyAlignment="1">
      <alignment horizontal="center" vertical="center" wrapText="1"/>
    </xf>
    <xf numFmtId="164" fontId="5" fillId="7" borderId="6" xfId="0" applyNumberFormat="1" applyFont="1" applyFill="1" applyBorder="1" applyAlignment="1">
      <alignment horizontal="right" vertical="center" wrapText="1"/>
    </xf>
    <xf numFmtId="0" fontId="5" fillId="7" borderId="7" xfId="0" applyFont="1" applyFill="1" applyBorder="1" applyAlignment="1">
      <alignment vertical="center" wrapText="1"/>
    </xf>
    <xf numFmtId="0" fontId="5" fillId="9" borderId="6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left" vertical="center" wrapText="1"/>
    </xf>
    <xf numFmtId="167" fontId="5" fillId="6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wrapText="1"/>
    </xf>
    <xf numFmtId="0" fontId="4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164" fontId="5" fillId="6" borderId="1" xfId="0" applyNumberFormat="1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left" vertical="center" wrapText="1"/>
    </xf>
    <xf numFmtId="0" fontId="5" fillId="6" borderId="4" xfId="0" applyFont="1" applyFill="1" applyBorder="1" applyAlignment="1">
      <alignment horizontal="left" vertical="center" wrapText="1"/>
    </xf>
    <xf numFmtId="164" fontId="5" fillId="6" borderId="4" xfId="0" applyNumberFormat="1" applyFont="1" applyFill="1" applyBorder="1" applyAlignment="1">
      <alignment horizontal="left" vertical="center" wrapText="1"/>
    </xf>
    <xf numFmtId="0" fontId="5" fillId="6" borderId="5" xfId="0" applyFont="1" applyFill="1" applyBorder="1" applyAlignment="1">
      <alignment horizontal="left" vertical="center" wrapText="1"/>
    </xf>
    <xf numFmtId="0" fontId="4" fillId="6" borderId="4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4" fillId="7" borderId="4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5" fillId="9" borderId="4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5" fillId="10" borderId="4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vertical="top" wrapText="1"/>
    </xf>
    <xf numFmtId="0" fontId="5" fillId="4" borderId="4" xfId="0" applyFont="1" applyFill="1" applyBorder="1" applyAlignment="1">
      <alignment vertical="top" wrapText="1"/>
    </xf>
    <xf numFmtId="0" fontId="5" fillId="4" borderId="5" xfId="0" applyFont="1" applyFill="1" applyBorder="1" applyAlignment="1">
      <alignment vertical="top" wrapText="1"/>
    </xf>
    <xf numFmtId="0" fontId="4" fillId="7" borderId="6" xfId="0" applyFont="1" applyFill="1" applyBorder="1" applyAlignment="1">
      <alignment horizontal="left" vertical="center" wrapText="1"/>
    </xf>
    <xf numFmtId="0" fontId="2" fillId="0" borderId="0" xfId="0" applyFont="1"/>
    <xf numFmtId="0" fontId="8" fillId="0" borderId="0" xfId="0" applyFont="1"/>
    <xf numFmtId="0" fontId="4" fillId="8" borderId="9" xfId="0" applyFont="1" applyFill="1" applyBorder="1" applyAlignment="1">
      <alignment horizontal="center" vertical="center" wrapText="1"/>
    </xf>
    <xf numFmtId="0" fontId="4" fillId="8" borderId="13" xfId="0" applyFont="1" applyFill="1" applyBorder="1" applyAlignment="1">
      <alignment horizontal="center" vertical="center" wrapText="1"/>
    </xf>
    <xf numFmtId="0" fontId="4" fillId="8" borderId="1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5" borderId="4" xfId="0" applyFont="1" applyFill="1" applyBorder="1" applyAlignment="1">
      <alignment horizontal="left" vertical="center" wrapText="1"/>
    </xf>
    <xf numFmtId="0" fontId="5" fillId="7" borderId="6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vertical="center" wrapText="1"/>
    </xf>
    <xf numFmtId="165" fontId="10" fillId="0" borderId="1" xfId="2" applyNumberFormat="1" applyFont="1" applyBorder="1"/>
    <xf numFmtId="165" fontId="10" fillId="0" borderId="1" xfId="2" applyNumberFormat="1" applyFont="1" applyFill="1" applyBorder="1"/>
    <xf numFmtId="10" fontId="10" fillId="0" borderId="1" xfId="2" applyNumberFormat="1" applyFont="1" applyBorder="1"/>
    <xf numFmtId="9" fontId="10" fillId="0" borderId="1" xfId="2" applyFont="1" applyBorder="1"/>
    <xf numFmtId="166" fontId="10" fillId="0" borderId="1" xfId="2" applyNumberFormat="1" applyFont="1" applyBorder="1"/>
    <xf numFmtId="0" fontId="10" fillId="0" borderId="1" xfId="0" applyFont="1" applyBorder="1"/>
    <xf numFmtId="9" fontId="10" fillId="0" borderId="1" xfId="0" applyNumberFormat="1" applyFont="1" applyBorder="1"/>
    <xf numFmtId="0" fontId="10" fillId="2" borderId="1" xfId="0" applyFont="1" applyFill="1" applyBorder="1"/>
    <xf numFmtId="3" fontId="10" fillId="0" borderId="1" xfId="0" applyNumberFormat="1" applyFont="1" applyFill="1" applyBorder="1" applyAlignment="1">
      <alignment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wrapText="1"/>
    </xf>
    <xf numFmtId="0" fontId="12" fillId="0" borderId="0" xfId="0" applyFont="1"/>
    <xf numFmtId="0" fontId="4" fillId="2" borderId="1" xfId="0" applyFont="1" applyFill="1" applyBorder="1" applyAlignment="1">
      <alignment wrapText="1"/>
    </xf>
    <xf numFmtId="1" fontId="12" fillId="0" borderId="0" xfId="0" applyNumberFormat="1" applyFont="1" applyFill="1" applyBorder="1" applyAlignment="1">
      <alignment wrapText="1"/>
    </xf>
    <xf numFmtId="0" fontId="12" fillId="0" borderId="1" xfId="0" applyFont="1" applyBorder="1" applyAlignment="1">
      <alignment wrapText="1"/>
    </xf>
    <xf numFmtId="0" fontId="12" fillId="0" borderId="1" xfId="0" applyFont="1" applyFill="1" applyBorder="1" applyAlignment="1">
      <alignment wrapText="1"/>
    </xf>
    <xf numFmtId="0" fontId="12" fillId="0" borderId="8" xfId="0" applyFont="1" applyBorder="1" applyAlignment="1">
      <alignment horizontal="center" wrapText="1"/>
    </xf>
    <xf numFmtId="9" fontId="12" fillId="0" borderId="0" xfId="0" applyNumberFormat="1" applyFont="1" applyFill="1" applyBorder="1" applyAlignment="1">
      <alignment wrapText="1"/>
    </xf>
    <xf numFmtId="0" fontId="12" fillId="0" borderId="0" xfId="0" applyFont="1" applyAlignment="1">
      <alignment wrapText="1"/>
    </xf>
    <xf numFmtId="0" fontId="5" fillId="0" borderId="6" xfId="0" applyFont="1" applyBorder="1" applyAlignment="1">
      <alignment wrapText="1"/>
    </xf>
    <xf numFmtId="3" fontId="10" fillId="0" borderId="6" xfId="0" applyNumberFormat="1" applyFont="1" applyFill="1" applyBorder="1" applyAlignment="1">
      <alignment wrapText="1"/>
    </xf>
    <xf numFmtId="0" fontId="12" fillId="0" borderId="2" xfId="0" applyFont="1" applyBorder="1" applyAlignment="1">
      <alignment wrapText="1"/>
    </xf>
    <xf numFmtId="10" fontId="10" fillId="0" borderId="2" xfId="2" applyNumberFormat="1" applyFont="1" applyBorder="1"/>
    <xf numFmtId="3" fontId="10" fillId="0" borderId="2" xfId="0" applyNumberFormat="1" applyFont="1" applyFill="1" applyBorder="1" applyAlignment="1">
      <alignment wrapText="1"/>
    </xf>
    <xf numFmtId="0" fontId="12" fillId="0" borderId="9" xfId="0" applyFont="1" applyBorder="1" applyAlignment="1">
      <alignment wrapText="1"/>
    </xf>
    <xf numFmtId="9" fontId="10" fillId="0" borderId="13" xfId="2" applyNumberFormat="1" applyFont="1" applyBorder="1"/>
    <xf numFmtId="3" fontId="10" fillId="0" borderId="13" xfId="0" applyNumberFormat="1" applyFont="1" applyFill="1" applyBorder="1" applyAlignment="1">
      <alignment wrapText="1"/>
    </xf>
    <xf numFmtId="3" fontId="10" fillId="0" borderId="14" xfId="0" applyNumberFormat="1" applyFont="1" applyFill="1" applyBorder="1" applyAlignment="1">
      <alignment wrapText="1"/>
    </xf>
    <xf numFmtId="0" fontId="12" fillId="0" borderId="11" xfId="0" applyFont="1" applyBorder="1" applyAlignment="1">
      <alignment wrapText="1"/>
    </xf>
    <xf numFmtId="3" fontId="10" fillId="0" borderId="3" xfId="0" applyNumberFormat="1" applyFont="1" applyFill="1" applyBorder="1" applyAlignment="1">
      <alignment wrapText="1"/>
    </xf>
    <xf numFmtId="0" fontId="12" fillId="0" borderId="12" xfId="0" applyFont="1" applyBorder="1" applyAlignment="1">
      <alignment wrapText="1"/>
    </xf>
    <xf numFmtId="166" fontId="10" fillId="0" borderId="4" xfId="2" applyNumberFormat="1" applyFont="1" applyBorder="1"/>
    <xf numFmtId="3" fontId="10" fillId="0" borderId="4" xfId="0" applyNumberFormat="1" applyFont="1" applyFill="1" applyBorder="1" applyAlignment="1">
      <alignment wrapText="1"/>
    </xf>
    <xf numFmtId="3" fontId="10" fillId="0" borderId="5" xfId="0" applyNumberFormat="1" applyFont="1" applyFill="1" applyBorder="1" applyAlignment="1">
      <alignment wrapText="1"/>
    </xf>
    <xf numFmtId="10" fontId="10" fillId="0" borderId="6" xfId="2" applyNumberFormat="1" applyFont="1" applyBorder="1"/>
    <xf numFmtId="0" fontId="5" fillId="0" borderId="9" xfId="0" applyFont="1" applyBorder="1" applyAlignment="1">
      <alignment wrapText="1"/>
    </xf>
    <xf numFmtId="9" fontId="10" fillId="0" borderId="13" xfId="2" applyFont="1" applyBorder="1"/>
    <xf numFmtId="0" fontId="5" fillId="0" borderId="11" xfId="0" applyFont="1" applyBorder="1" applyAlignment="1">
      <alignment wrapText="1"/>
    </xf>
    <xf numFmtId="0" fontId="5" fillId="0" borderId="12" xfId="0" applyFont="1" applyBorder="1" applyAlignment="1">
      <alignment wrapText="1"/>
    </xf>
    <xf numFmtId="9" fontId="10" fillId="0" borderId="4" xfId="2" applyFont="1" applyBorder="1"/>
    <xf numFmtId="0" fontId="4" fillId="11" borderId="1" xfId="0" applyFont="1" applyFill="1" applyBorder="1" applyAlignment="1">
      <alignment horizontal="left" vertical="center" wrapText="1"/>
    </xf>
    <xf numFmtId="0" fontId="5" fillId="11" borderId="6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vertical="center" wrapText="1"/>
    </xf>
    <xf numFmtId="3" fontId="5" fillId="11" borderId="1" xfId="0" applyNumberFormat="1" applyFont="1" applyFill="1" applyBorder="1" applyAlignment="1">
      <alignment horizontal="center" vertical="center" wrapText="1"/>
    </xf>
    <xf numFmtId="164" fontId="5" fillId="11" borderId="1" xfId="0" applyNumberFormat="1" applyFont="1" applyFill="1" applyBorder="1" applyAlignment="1">
      <alignment horizontal="right" vertical="center" wrapText="1"/>
    </xf>
    <xf numFmtId="0" fontId="5" fillId="11" borderId="3" xfId="0" applyFont="1" applyFill="1" applyBorder="1" applyAlignment="1">
      <alignment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4" fillId="11" borderId="4" xfId="0" applyFont="1" applyFill="1" applyBorder="1" applyAlignment="1">
      <alignment horizontal="left" vertical="center" wrapText="1"/>
    </xf>
    <xf numFmtId="0" fontId="5" fillId="11" borderId="4" xfId="0" applyFont="1" applyFill="1" applyBorder="1" applyAlignment="1">
      <alignment horizontal="left" vertical="center" wrapText="1"/>
    </xf>
    <xf numFmtId="0" fontId="5" fillId="11" borderId="4" xfId="0" applyFont="1" applyFill="1" applyBorder="1" applyAlignment="1">
      <alignment vertical="center" wrapText="1"/>
    </xf>
    <xf numFmtId="3" fontId="5" fillId="11" borderId="4" xfId="0" applyNumberFormat="1" applyFont="1" applyFill="1" applyBorder="1" applyAlignment="1">
      <alignment horizontal="center" vertical="center" wrapText="1"/>
    </xf>
    <xf numFmtId="164" fontId="5" fillId="11" borderId="4" xfId="0" applyNumberFormat="1" applyFont="1" applyFill="1" applyBorder="1" applyAlignment="1">
      <alignment horizontal="right" vertical="center" wrapText="1"/>
    </xf>
    <xf numFmtId="0" fontId="5" fillId="11" borderId="5" xfId="0" applyFont="1" applyFill="1" applyBorder="1" applyAlignment="1">
      <alignment vertical="center" wrapText="1"/>
    </xf>
    <xf numFmtId="0" fontId="4" fillId="8" borderId="20" xfId="0" applyFont="1" applyFill="1" applyBorder="1" applyAlignment="1">
      <alignment horizontal="center" vertical="center" wrapText="1"/>
    </xf>
    <xf numFmtId="0" fontId="7" fillId="8" borderId="13" xfId="1" applyFont="1" applyFill="1" applyBorder="1" applyAlignment="1" applyProtection="1">
      <alignment horizontal="center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4" fillId="10" borderId="16" xfId="0" applyFont="1" applyFill="1" applyBorder="1" applyAlignment="1">
      <alignment horizontal="center" vertical="center" wrapText="1"/>
    </xf>
    <xf numFmtId="0" fontId="4" fillId="10" borderId="17" xfId="0" applyFont="1" applyFill="1" applyBorder="1" applyAlignment="1">
      <alignment horizontal="center" vertical="center" wrapText="1"/>
    </xf>
    <xf numFmtId="0" fontId="4" fillId="10" borderId="18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5" fillId="4" borderId="19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5" borderId="6" xfId="0" applyFont="1" applyFill="1" applyBorder="1" applyAlignment="1">
      <alignment horizontal="left" vertical="center" wrapText="1"/>
    </xf>
    <xf numFmtId="0" fontId="5" fillId="5" borderId="19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5" fillId="6" borderId="6" xfId="0" applyFont="1" applyFill="1" applyBorder="1" applyAlignment="1">
      <alignment horizontal="left" vertical="center" wrapText="1"/>
    </xf>
    <xf numFmtId="0" fontId="5" fillId="6" borderId="19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5" fillId="7" borderId="6" xfId="0" applyFont="1" applyFill="1" applyBorder="1" applyAlignment="1">
      <alignment horizontal="left" vertical="center" wrapText="1"/>
    </xf>
    <xf numFmtId="0" fontId="5" fillId="7" borderId="19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5" fillId="11" borderId="6" xfId="0" applyFont="1" applyFill="1" applyBorder="1" applyAlignment="1">
      <alignment horizontal="left" vertical="center" wrapText="1"/>
    </xf>
    <xf numFmtId="0" fontId="5" fillId="11" borderId="19" xfId="0" applyFont="1" applyFill="1" applyBorder="1" applyAlignment="1">
      <alignment horizontal="left" vertical="center" wrapText="1"/>
    </xf>
    <xf numFmtId="0" fontId="5" fillId="11" borderId="2" xfId="0" applyFont="1" applyFill="1" applyBorder="1" applyAlignment="1">
      <alignment horizontal="left" vertical="center" wrapText="1"/>
    </xf>
    <xf numFmtId="0" fontId="4" fillId="9" borderId="16" xfId="0" applyFont="1" applyFill="1" applyBorder="1" applyAlignment="1">
      <alignment horizontal="center" vertical="center" wrapText="1"/>
    </xf>
    <xf numFmtId="0" fontId="4" fillId="9" borderId="17" xfId="0" applyFont="1" applyFill="1" applyBorder="1" applyAlignment="1">
      <alignment horizontal="center" vertical="center" wrapText="1"/>
    </xf>
    <xf numFmtId="0" fontId="4" fillId="9" borderId="18" xfId="0" applyFont="1" applyFill="1" applyBorder="1" applyAlignment="1">
      <alignment horizontal="center" vertical="center" wrapText="1"/>
    </xf>
    <xf numFmtId="0" fontId="6" fillId="0" borderId="10" xfId="1" applyFont="1" applyBorder="1" applyAlignment="1" applyProtection="1">
      <alignment horizontal="left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6" xfId="0" applyFont="1" applyFill="1" applyBorder="1" applyAlignment="1">
      <alignment horizontal="left" vertical="center" wrapText="1"/>
    </xf>
    <xf numFmtId="0" fontId="5" fillId="3" borderId="19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4" fillId="10" borderId="13" xfId="0" applyFont="1" applyFill="1" applyBorder="1" applyAlignment="1">
      <alignment horizontal="center" vertical="center" wrapText="1"/>
    </xf>
    <xf numFmtId="0" fontId="4" fillId="10" borderId="14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center" vertical="center" wrapText="1"/>
    </xf>
    <xf numFmtId="0" fontId="4" fillId="6" borderId="14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5" fillId="9" borderId="6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5" fillId="10" borderId="6" xfId="0" applyFont="1" applyFill="1" applyBorder="1" applyAlignment="1">
      <alignment horizontal="left" vertical="center" wrapText="1"/>
    </xf>
    <xf numFmtId="0" fontId="5" fillId="10" borderId="2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6" fillId="0" borderId="15" xfId="1" applyFont="1" applyBorder="1" applyAlignment="1" applyProtection="1">
      <alignment horizontal="center" vertical="center" wrapText="1"/>
    </xf>
    <xf numFmtId="0" fontId="4" fillId="7" borderId="9" xfId="0" applyFont="1" applyFill="1" applyBorder="1" applyAlignment="1">
      <alignment horizontal="center" vertical="center" wrapText="1"/>
    </xf>
    <xf numFmtId="0" fontId="4" fillId="7" borderId="11" xfId="0" applyFont="1" applyFill="1" applyBorder="1" applyAlignment="1">
      <alignment horizontal="center" vertical="center" wrapText="1"/>
    </xf>
    <xf numFmtId="0" fontId="4" fillId="7" borderId="12" xfId="0" applyFont="1" applyFill="1" applyBorder="1" applyAlignment="1">
      <alignment horizontal="center" vertical="center" wrapText="1"/>
    </xf>
    <xf numFmtId="0" fontId="4" fillId="7" borderId="13" xfId="0" applyFont="1" applyFill="1" applyBorder="1" applyAlignment="1">
      <alignment horizontal="center" vertical="center" wrapText="1"/>
    </xf>
    <xf numFmtId="0" fontId="4" fillId="7" borderId="14" xfId="0" applyFont="1" applyFill="1" applyBorder="1" applyAlignment="1">
      <alignment horizontal="center" vertical="center" wrapText="1"/>
    </xf>
    <xf numFmtId="0" fontId="13" fillId="11" borderId="9" xfId="0" applyFont="1" applyFill="1" applyBorder="1" applyAlignment="1">
      <alignment horizontal="center" vertical="center" wrapText="1"/>
    </xf>
    <xf numFmtId="0" fontId="13" fillId="11" borderId="11" xfId="0" applyFont="1" applyFill="1" applyBorder="1" applyAlignment="1">
      <alignment horizontal="center" vertical="center" wrapText="1"/>
    </xf>
    <xf numFmtId="0" fontId="13" fillId="11" borderId="12" xfId="0" applyFont="1" applyFill="1" applyBorder="1" applyAlignment="1">
      <alignment horizontal="center" vertical="center" wrapText="1"/>
    </xf>
    <xf numFmtId="0" fontId="4" fillId="11" borderId="13" xfId="0" applyFont="1" applyFill="1" applyBorder="1" applyAlignment="1">
      <alignment horizontal="center" vertical="center" wrapText="1"/>
    </xf>
    <xf numFmtId="0" fontId="4" fillId="11" borderId="14" xfId="0" applyFont="1" applyFill="1" applyBorder="1" applyAlignment="1">
      <alignment horizontal="center" vertical="center" wrapText="1"/>
    </xf>
    <xf numFmtId="0" fontId="4" fillId="9" borderId="13" xfId="0" applyFont="1" applyFill="1" applyBorder="1" applyAlignment="1">
      <alignment horizontal="center" vertical="center" wrapText="1"/>
    </xf>
    <xf numFmtId="0" fontId="4" fillId="9" borderId="14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4" fillId="3" borderId="16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4" fillId="4" borderId="16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4" fillId="7" borderId="16" xfId="0" applyFont="1" applyFill="1" applyBorder="1" applyAlignment="1">
      <alignment horizontal="center" vertical="center" wrapText="1"/>
    </xf>
    <xf numFmtId="0" fontId="4" fillId="7" borderId="17" xfId="0" applyFont="1" applyFill="1" applyBorder="1" applyAlignment="1">
      <alignment horizontal="center" vertical="center" wrapText="1"/>
    </xf>
    <xf numFmtId="0" fontId="4" fillId="7" borderId="18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10" borderId="9" xfId="0" applyFont="1" applyFill="1" applyBorder="1" applyAlignment="1">
      <alignment horizontal="center" vertical="center" wrapText="1"/>
    </xf>
    <xf numFmtId="0" fontId="4" fillId="10" borderId="11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19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4" fillId="10" borderId="21" xfId="0" applyFont="1" applyFill="1" applyBorder="1" applyAlignment="1">
      <alignment horizontal="center" vertical="center" wrapText="1"/>
    </xf>
    <xf numFmtId="0" fontId="4" fillId="10" borderId="22" xfId="0" applyFont="1" applyFill="1" applyBorder="1" applyAlignment="1">
      <alignment horizontal="center" vertical="center" wrapText="1"/>
    </xf>
    <xf numFmtId="0" fontId="4" fillId="10" borderId="23" xfId="0" applyFont="1" applyFill="1" applyBorder="1" applyAlignment="1">
      <alignment horizontal="center" vertical="center" wrapText="1"/>
    </xf>
    <xf numFmtId="0" fontId="4" fillId="10" borderId="11" xfId="0" applyFont="1" applyFill="1" applyBorder="1" applyAlignment="1">
      <alignment horizontal="left" vertical="center" wrapText="1"/>
    </xf>
    <xf numFmtId="0" fontId="5" fillId="10" borderId="11" xfId="0" applyFont="1" applyFill="1" applyBorder="1" applyAlignment="1">
      <alignment horizontal="left" vertical="center" wrapText="1"/>
    </xf>
    <xf numFmtId="0" fontId="5" fillId="10" borderId="12" xfId="0" applyFont="1" applyFill="1" applyBorder="1" applyAlignment="1">
      <alignment horizontal="left" vertical="center" wrapText="1"/>
    </xf>
    <xf numFmtId="0" fontId="6" fillId="0" borderId="15" xfId="1" applyFont="1" applyBorder="1" applyAlignment="1" applyProtection="1">
      <alignment horizontal="left" vertical="center" wrapText="1"/>
    </xf>
    <xf numFmtId="164" fontId="5" fillId="3" borderId="3" xfId="0" applyNumberFormat="1" applyFont="1" applyFill="1" applyBorder="1" applyAlignment="1">
      <alignment vertical="top" wrapText="1"/>
    </xf>
    <xf numFmtId="0" fontId="4" fillId="5" borderId="17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vertical="top" wrapText="1"/>
    </xf>
    <xf numFmtId="0" fontId="4" fillId="6" borderId="17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vertical="center" wrapText="1"/>
    </xf>
    <xf numFmtId="0" fontId="4" fillId="6" borderId="18" xfId="0" applyFont="1" applyFill="1" applyBorder="1" applyAlignment="1">
      <alignment horizontal="center" vertical="center" wrapText="1"/>
    </xf>
    <xf numFmtId="0" fontId="4" fillId="8" borderId="24" xfId="0" applyFont="1" applyFill="1" applyBorder="1" applyAlignment="1">
      <alignment horizontal="center" vertical="center" wrapText="1"/>
    </xf>
    <xf numFmtId="0" fontId="4" fillId="8" borderId="25" xfId="0" applyFont="1" applyFill="1" applyBorder="1" applyAlignment="1">
      <alignment horizontal="center" vertical="center" wrapText="1"/>
    </xf>
    <xf numFmtId="0" fontId="7" fillId="8" borderId="25" xfId="1" applyFont="1" applyFill="1" applyBorder="1" applyAlignment="1" applyProtection="1">
      <alignment horizontal="center" vertical="center" wrapText="1"/>
    </xf>
    <xf numFmtId="0" fontId="4" fillId="8" borderId="25" xfId="0" applyFont="1" applyFill="1" applyBorder="1" applyAlignment="1">
      <alignment horizontal="center" vertical="top" wrapText="1"/>
    </xf>
    <xf numFmtId="0" fontId="4" fillId="8" borderId="26" xfId="0" applyFont="1" applyFill="1" applyBorder="1" applyAlignment="1">
      <alignment horizontal="center" vertical="top" wrapText="1"/>
    </xf>
    <xf numFmtId="0" fontId="4" fillId="5" borderId="16" xfId="0" applyFont="1" applyFill="1" applyBorder="1" applyAlignment="1">
      <alignment horizontal="center" vertical="center" wrapText="1"/>
    </xf>
    <xf numFmtId="0" fontId="4" fillId="5" borderId="18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vertical="top" wrapText="1"/>
    </xf>
    <xf numFmtId="0" fontId="5" fillId="5" borderId="5" xfId="0" applyFont="1" applyFill="1" applyBorder="1" applyAlignment="1">
      <alignment vertical="top" wrapText="1"/>
    </xf>
    <xf numFmtId="0" fontId="4" fillId="6" borderId="16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vertical="center" wrapText="1"/>
    </xf>
    <xf numFmtId="167" fontId="5" fillId="6" borderId="4" xfId="0" applyNumberFormat="1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vertical="center" wrapText="1"/>
    </xf>
    <xf numFmtId="0" fontId="4" fillId="11" borderId="16" xfId="0" applyFont="1" applyFill="1" applyBorder="1" applyAlignment="1">
      <alignment horizontal="center" vertical="center" wrapText="1"/>
    </xf>
    <xf numFmtId="0" fontId="4" fillId="11" borderId="17" xfId="0" applyFont="1" applyFill="1" applyBorder="1" applyAlignment="1">
      <alignment horizontal="center" vertical="center" wrapText="1"/>
    </xf>
    <xf numFmtId="0" fontId="4" fillId="11" borderId="6" xfId="0" applyFont="1" applyFill="1" applyBorder="1" applyAlignment="1">
      <alignment horizontal="left" vertical="center" wrapText="1"/>
    </xf>
    <xf numFmtId="0" fontId="5" fillId="11" borderId="6" xfId="0" applyFont="1" applyFill="1" applyBorder="1" applyAlignment="1">
      <alignment vertical="center" wrapText="1"/>
    </xf>
    <xf numFmtId="3" fontId="5" fillId="11" borderId="6" xfId="0" applyNumberFormat="1" applyFont="1" applyFill="1" applyBorder="1" applyAlignment="1">
      <alignment horizontal="center" vertical="center" wrapText="1"/>
    </xf>
    <xf numFmtId="164" fontId="5" fillId="11" borderId="6" xfId="0" applyNumberFormat="1" applyFont="1" applyFill="1" applyBorder="1" applyAlignment="1">
      <alignment horizontal="right" vertical="center" wrapText="1"/>
    </xf>
    <xf numFmtId="0" fontId="5" fillId="11" borderId="7" xfId="0" applyFont="1" applyFill="1" applyBorder="1" applyAlignment="1">
      <alignment vertical="center" wrapText="1"/>
    </xf>
    <xf numFmtId="0" fontId="4" fillId="11" borderId="18" xfId="0" applyFont="1" applyFill="1" applyBorder="1" applyAlignment="1">
      <alignment horizontal="center" vertical="center" wrapText="1"/>
    </xf>
  </cellXfs>
  <cellStyles count="3">
    <cellStyle name="Hipervínculo" xfId="1" builtinId="8"/>
    <cellStyle name="Normal" xfId="0" builtinId="0"/>
    <cellStyle name="Porcentu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13</xdr:row>
      <xdr:rowOff>66675</xdr:rowOff>
    </xdr:from>
    <xdr:to>
      <xdr:col>3</xdr:col>
      <xdr:colOff>0</xdr:colOff>
      <xdr:row>17</xdr:row>
      <xdr:rowOff>76200</xdr:rowOff>
    </xdr:to>
    <xdr:pic>
      <xdr:nvPicPr>
        <xdr:cNvPr id="1029" name="Picture 1" descr="Logo a color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2900" y="2667000"/>
          <a:ext cx="1943100" cy="809625"/>
        </a:xfrm>
        <a:prstGeom prst="rect">
          <a:avLst/>
        </a:prstGeom>
        <a:noFill/>
      </xdr:spPr>
    </xdr:pic>
    <xdr:clientData/>
  </xdr:twoCellAnchor>
  <xdr:twoCellAnchor>
    <xdr:from>
      <xdr:col>3</xdr:col>
      <xdr:colOff>685800</xdr:colOff>
      <xdr:row>12</xdr:row>
      <xdr:rowOff>19050</xdr:rowOff>
    </xdr:from>
    <xdr:to>
      <xdr:col>5</xdr:col>
      <xdr:colOff>533400</xdr:colOff>
      <xdr:row>17</xdr:row>
      <xdr:rowOff>171450</xdr:rowOff>
    </xdr:to>
    <xdr:pic>
      <xdr:nvPicPr>
        <xdr:cNvPr id="1026" name="Object 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971800" y="2419350"/>
          <a:ext cx="1371600" cy="11525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638175</xdr:colOff>
      <xdr:row>6</xdr:row>
      <xdr:rowOff>161925</xdr:rowOff>
    </xdr:from>
    <xdr:to>
      <xdr:col>2</xdr:col>
      <xdr:colOff>190500</xdr:colOff>
      <xdr:row>13</xdr:row>
      <xdr:rowOff>47625</xdr:rowOff>
    </xdr:to>
    <xdr:pic>
      <xdr:nvPicPr>
        <xdr:cNvPr id="1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38175" y="1362075"/>
          <a:ext cx="1076325" cy="1285875"/>
        </a:xfrm>
        <a:prstGeom prst="rect">
          <a:avLst/>
        </a:prstGeom>
        <a:noFill/>
      </xdr:spPr>
    </xdr:pic>
    <xdr:clientData/>
  </xdr:twoCellAnchor>
  <xdr:twoCellAnchor>
    <xdr:from>
      <xdr:col>3</xdr:col>
      <xdr:colOff>0</xdr:colOff>
      <xdr:row>6</xdr:row>
      <xdr:rowOff>47625</xdr:rowOff>
    </xdr:from>
    <xdr:to>
      <xdr:col>6</xdr:col>
      <xdr:colOff>571500</xdr:colOff>
      <xdr:row>11</xdr:row>
      <xdr:rowOff>190500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286000" y="1247775"/>
          <a:ext cx="2857500" cy="11430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0</xdr:colOff>
      <xdr:row>19</xdr:row>
      <xdr:rowOff>76200</xdr:rowOff>
    </xdr:from>
    <xdr:to>
      <xdr:col>7</xdr:col>
      <xdr:colOff>600075</xdr:colOff>
      <xdr:row>33</xdr:row>
      <xdr:rowOff>66675</xdr:rowOff>
    </xdr:to>
    <xdr:sp macro="" textlink="">
      <xdr:nvSpPr>
        <xdr:cNvPr id="1025" name="Rectangle 1"/>
        <xdr:cNvSpPr>
          <a:spLocks noChangeArrowheads="1"/>
        </xdr:cNvSpPr>
      </xdr:nvSpPr>
      <xdr:spPr bwMode="auto">
        <a:xfrm>
          <a:off x="0" y="3876675"/>
          <a:ext cx="5934075" cy="2886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s-ES" sz="24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Conjunto de Atenciones en Salud (primero y segundo nivel), vinculadas a la Iniciativa de Ley 42-16</a:t>
          </a:r>
          <a:endParaRPr lang="es-E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r>
            <a:rPr lang="es-ES" sz="24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  <a:endParaRPr lang="es-E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r>
            <a:rPr lang="es-ES" sz="22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Primer borrador</a:t>
          </a:r>
          <a:endParaRPr lang="es-E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r>
            <a:rPr lang="es-ES" sz="24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  <a:endParaRPr lang="es-ES" sz="2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r>
            <a:rPr lang="es-ES" sz="22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(Agosto de 2010)</a:t>
          </a:r>
          <a:endParaRPr lang="es-E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r>
            <a:rPr lang="es-ES" sz="24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  <a:endParaRPr lang="es-E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r>
            <a:rPr lang="es-ES" sz="24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600075</xdr:colOff>
      <xdr:row>4</xdr:row>
      <xdr:rowOff>104775</xdr:rowOff>
    </xdr:to>
    <xdr:sp macro="" textlink="">
      <xdr:nvSpPr>
        <xdr:cNvPr id="1030" name="Rectangle 6"/>
        <xdr:cNvSpPr>
          <a:spLocks noChangeArrowheads="1"/>
        </xdr:cNvSpPr>
      </xdr:nvSpPr>
      <xdr:spPr bwMode="auto">
        <a:xfrm>
          <a:off x="0" y="0"/>
          <a:ext cx="5934075" cy="904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s-ES" sz="24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Ministerio de Salud Pública y Asistencia Social</a:t>
          </a:r>
          <a:endParaRPr lang="es-E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r>
            <a:rPr lang="es-ES" sz="24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  <a:endParaRPr lang="es-E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r>
            <a:rPr lang="es-ES" sz="24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5"/>
  <sheetViews>
    <sheetView workbookViewId="0">
      <selection activeCell="H12" sqref="H12"/>
    </sheetView>
  </sheetViews>
  <sheetFormatPr baseColWidth="10" defaultRowHeight="15"/>
  <sheetData>
    <row r="1" spans="1:1" ht="15.75">
      <c r="A1" s="103"/>
    </row>
    <row r="2" spans="1:1" ht="15.75">
      <c r="A2" s="103"/>
    </row>
    <row r="3" spans="1:1" ht="15.75">
      <c r="A3" s="103"/>
    </row>
    <row r="4" spans="1:1" ht="15.75">
      <c r="A4" s="103"/>
    </row>
    <row r="5" spans="1:1" ht="15.75">
      <c r="A5" s="103"/>
    </row>
    <row r="6" spans="1:1" ht="15.75">
      <c r="A6" s="103"/>
    </row>
    <row r="7" spans="1:1" ht="15.75">
      <c r="A7" s="103"/>
    </row>
    <row r="8" spans="1:1" ht="15.75">
      <c r="A8" s="103"/>
    </row>
    <row r="9" spans="1:1" ht="15.75">
      <c r="A9" s="103"/>
    </row>
    <row r="10" spans="1:1" ht="15.75">
      <c r="A10" s="103"/>
    </row>
    <row r="11" spans="1:1" ht="15.75">
      <c r="A11" s="103"/>
    </row>
    <row r="12" spans="1:1" ht="15.75">
      <c r="A12" s="103"/>
    </row>
    <row r="13" spans="1:1" ht="15.75">
      <c r="A13" s="103"/>
    </row>
    <row r="14" spans="1:1" ht="15.75">
      <c r="A14" s="103"/>
    </row>
    <row r="15" spans="1:1" ht="15.75">
      <c r="A15" s="103"/>
    </row>
    <row r="16" spans="1:1" ht="15.75">
      <c r="A16" s="103"/>
    </row>
    <row r="17" spans="1:1" ht="15.75">
      <c r="A17" s="103"/>
    </row>
    <row r="18" spans="1:1" ht="15.75">
      <c r="A18" s="103"/>
    </row>
    <row r="19" spans="1:1" ht="15.75">
      <c r="A19" s="103"/>
    </row>
    <row r="20" spans="1:1" ht="15.75">
      <c r="A20" s="103"/>
    </row>
    <row r="21" spans="1:1" ht="15.75">
      <c r="A21" s="103"/>
    </row>
    <row r="22" spans="1:1" ht="30">
      <c r="A22" s="104"/>
    </row>
    <row r="24" spans="1:1" ht="15.75">
      <c r="A24" s="103"/>
    </row>
    <row r="25" spans="1:1" ht="15.75">
      <c r="A25" s="103"/>
    </row>
  </sheetData>
  <phoneticPr fontId="3" type="noConversion"/>
  <printOptions horizontalCentered="1" verticalCentered="1"/>
  <pageMargins left="0.39370078740157483" right="0.39370078740157483" top="0.59055118110236227" bottom="0.59055118110236227" header="0" footer="0"/>
  <pageSetup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3"/>
  <sheetViews>
    <sheetView showWhiteSpace="0" zoomScaleNormal="100" workbookViewId="0">
      <selection activeCell="D17" sqref="D17"/>
    </sheetView>
  </sheetViews>
  <sheetFormatPr baseColWidth="10" defaultRowHeight="12.75"/>
  <cols>
    <col min="1" max="1" width="10" style="56" customWidth="1"/>
    <col min="2" max="2" width="31.28515625" style="56" customWidth="1"/>
    <col min="3" max="3" width="24.42578125" style="56" customWidth="1"/>
    <col min="4" max="4" width="51.85546875" style="55" customWidth="1"/>
    <col min="5" max="5" width="13.140625" style="56" customWidth="1"/>
    <col min="6" max="6" width="9.5703125" style="57" customWidth="1"/>
    <col min="7" max="7" width="13.28515625" style="55" customWidth="1"/>
    <col min="8" max="16384" width="11.42578125" style="1"/>
  </cols>
  <sheetData>
    <row r="1" spans="1:7">
      <c r="A1" s="226" t="s">
        <v>241</v>
      </c>
      <c r="B1" s="226"/>
      <c r="C1" s="226"/>
      <c r="D1" s="226"/>
      <c r="E1" s="226"/>
      <c r="F1" s="226"/>
      <c r="G1" s="226"/>
    </row>
    <row r="2" spans="1:7">
      <c r="A2" s="204" t="s">
        <v>243</v>
      </c>
      <c r="B2" s="204"/>
      <c r="C2" s="204"/>
      <c r="D2" s="204"/>
      <c r="E2" s="204"/>
      <c r="F2" s="204"/>
      <c r="G2" s="204"/>
    </row>
    <row r="3" spans="1:7">
      <c r="A3" s="204" t="s">
        <v>146</v>
      </c>
      <c r="B3" s="204"/>
      <c r="C3" s="204"/>
      <c r="D3" s="204"/>
      <c r="E3" s="204"/>
      <c r="F3" s="204"/>
      <c r="G3" s="204"/>
    </row>
    <row r="4" spans="1:7" ht="13.5" thickBot="1">
      <c r="A4" s="204" t="s">
        <v>187</v>
      </c>
      <c r="B4" s="204"/>
      <c r="C4" s="204"/>
      <c r="D4" s="204"/>
      <c r="E4" s="204"/>
      <c r="F4" s="204"/>
      <c r="G4" s="204"/>
    </row>
    <row r="5" spans="1:7" ht="51.75" thickBot="1">
      <c r="A5" s="105" t="s">
        <v>141</v>
      </c>
      <c r="B5" s="168" t="s">
        <v>4</v>
      </c>
      <c r="C5" s="168" t="s">
        <v>27</v>
      </c>
      <c r="D5" s="169" t="s">
        <v>249</v>
      </c>
      <c r="E5" s="106" t="s">
        <v>5</v>
      </c>
      <c r="F5" s="106" t="s">
        <v>148</v>
      </c>
      <c r="G5" s="107" t="s">
        <v>147</v>
      </c>
    </row>
    <row r="6" spans="1:7">
      <c r="A6" s="193" t="s">
        <v>6</v>
      </c>
      <c r="B6" s="198" t="s">
        <v>149</v>
      </c>
      <c r="C6" s="198"/>
      <c r="D6" s="198"/>
      <c r="E6" s="198"/>
      <c r="F6" s="198"/>
      <c r="G6" s="199"/>
    </row>
    <row r="7" spans="1:7" ht="25.5" customHeight="1">
      <c r="A7" s="194"/>
      <c r="B7" s="73" t="s">
        <v>14</v>
      </c>
      <c r="C7" s="205" t="s">
        <v>314</v>
      </c>
      <c r="D7" s="2" t="s">
        <v>312</v>
      </c>
      <c r="E7" s="3">
        <f>'estructura de cálculo'!F19*4</f>
        <v>508348.1959848</v>
      </c>
      <c r="F7" s="4">
        <v>20.32</v>
      </c>
      <c r="G7" s="5">
        <f>E7*F7</f>
        <v>10329635.342411136</v>
      </c>
    </row>
    <row r="8" spans="1:7" ht="25.5">
      <c r="A8" s="194"/>
      <c r="B8" s="70" t="s">
        <v>8</v>
      </c>
      <c r="C8" s="206"/>
      <c r="D8" s="2" t="s">
        <v>316</v>
      </c>
      <c r="E8" s="3">
        <f>'estructura de cálculo'!F19*3</f>
        <v>381261.14698860003</v>
      </c>
      <c r="F8" s="4"/>
      <c r="G8" s="5"/>
    </row>
    <row r="9" spans="1:7" ht="25.5">
      <c r="A9" s="194"/>
      <c r="B9" s="70" t="s">
        <v>9</v>
      </c>
      <c r="C9" s="206"/>
      <c r="D9" s="2" t="s">
        <v>317</v>
      </c>
      <c r="E9" s="3">
        <f>'estructura de cálculo'!F19</f>
        <v>127087.0489962</v>
      </c>
      <c r="F9" s="4"/>
      <c r="G9" s="5"/>
    </row>
    <row r="10" spans="1:7" ht="25.5">
      <c r="A10" s="194"/>
      <c r="B10" s="70" t="s">
        <v>16</v>
      </c>
      <c r="C10" s="206"/>
      <c r="D10" s="2" t="s">
        <v>20</v>
      </c>
      <c r="E10" s="3">
        <f>'estructura de cálculo'!F19</f>
        <v>127087.0489962</v>
      </c>
      <c r="F10" s="4"/>
      <c r="G10" s="5"/>
    </row>
    <row r="11" spans="1:7" ht="25.5">
      <c r="A11" s="194"/>
      <c r="B11" s="73" t="s">
        <v>10</v>
      </c>
      <c r="C11" s="207"/>
      <c r="D11" s="2" t="s">
        <v>28</v>
      </c>
      <c r="E11" s="3">
        <f>'estructura de cálculo'!F19</f>
        <v>127087.0489962</v>
      </c>
      <c r="F11" s="4"/>
      <c r="G11" s="5"/>
    </row>
    <row r="12" spans="1:7" ht="38.25">
      <c r="A12" s="194"/>
      <c r="B12" s="73" t="s">
        <v>11</v>
      </c>
      <c r="C12" s="70" t="s">
        <v>22</v>
      </c>
      <c r="D12" s="2" t="s">
        <v>21</v>
      </c>
      <c r="E12" s="3">
        <f>'estructura de cálculo'!F19*0.1</f>
        <v>12708.704899620001</v>
      </c>
      <c r="F12" s="4"/>
      <c r="G12" s="5"/>
    </row>
    <row r="13" spans="1:7">
      <c r="A13" s="194"/>
      <c r="B13" s="200" t="s">
        <v>29</v>
      </c>
      <c r="C13" s="200"/>
      <c r="D13" s="200"/>
      <c r="E13" s="200"/>
      <c r="F13" s="200"/>
      <c r="G13" s="201"/>
    </row>
    <row r="14" spans="1:7" ht="25.5">
      <c r="A14" s="194"/>
      <c r="B14" s="73" t="s">
        <v>23</v>
      </c>
      <c r="C14" s="205" t="s">
        <v>31</v>
      </c>
      <c r="D14" s="2" t="s">
        <v>30</v>
      </c>
      <c r="E14" s="3">
        <f>'estructura de cálculo'!F19</f>
        <v>127087.0489962</v>
      </c>
      <c r="F14" s="4"/>
      <c r="G14" s="6"/>
    </row>
    <row r="15" spans="1:7" ht="25.5">
      <c r="A15" s="194"/>
      <c r="B15" s="70" t="s">
        <v>12</v>
      </c>
      <c r="C15" s="206"/>
      <c r="D15" s="2" t="s">
        <v>32</v>
      </c>
      <c r="E15" s="3">
        <f>'estructura de cálculo'!F19</f>
        <v>127087.0489962</v>
      </c>
      <c r="F15" s="4"/>
      <c r="G15" s="6"/>
    </row>
    <row r="16" spans="1:7" ht="25.5">
      <c r="A16" s="194"/>
      <c r="B16" s="70" t="s">
        <v>13</v>
      </c>
      <c r="C16" s="207"/>
      <c r="D16" s="2" t="s">
        <v>33</v>
      </c>
      <c r="E16" s="3">
        <f>'estructura de cálculo'!F19</f>
        <v>127087.0489962</v>
      </c>
      <c r="F16" s="4"/>
      <c r="G16" s="6"/>
    </row>
    <row r="17" spans="1:7" ht="39" thickBot="1">
      <c r="A17" s="194"/>
      <c r="B17" s="73" t="s">
        <v>92</v>
      </c>
      <c r="C17" s="70" t="s">
        <v>35</v>
      </c>
      <c r="D17" s="2" t="s">
        <v>34</v>
      </c>
      <c r="E17" s="3">
        <f>'estructura de cálculo'!F19*0.1</f>
        <v>12708.704899620001</v>
      </c>
      <c r="F17" s="4"/>
      <c r="G17" s="6"/>
    </row>
    <row r="18" spans="1:7">
      <c r="A18" s="195" t="s">
        <v>164</v>
      </c>
      <c r="B18" s="202" t="s">
        <v>161</v>
      </c>
      <c r="C18" s="202"/>
      <c r="D18" s="202"/>
      <c r="E18" s="202"/>
      <c r="F18" s="202"/>
      <c r="G18" s="203"/>
    </row>
    <row r="19" spans="1:7" ht="25.5">
      <c r="A19" s="196"/>
      <c r="B19" s="76" t="s">
        <v>93</v>
      </c>
      <c r="C19" s="174" t="s">
        <v>37</v>
      </c>
      <c r="D19" s="9" t="s">
        <v>36</v>
      </c>
      <c r="E19" s="10">
        <f>'estructura de cálculo'!F19</f>
        <v>127087.0489962</v>
      </c>
      <c r="F19" s="11"/>
      <c r="G19" s="12"/>
    </row>
    <row r="20" spans="1:7" ht="25.5">
      <c r="A20" s="196"/>
      <c r="B20" s="74" t="s">
        <v>94</v>
      </c>
      <c r="C20" s="175"/>
      <c r="D20" s="9" t="s">
        <v>38</v>
      </c>
      <c r="E20" s="10">
        <f>'estructura de cálculo'!F19</f>
        <v>127087.0489962</v>
      </c>
      <c r="F20" s="11"/>
      <c r="G20" s="12"/>
    </row>
    <row r="21" spans="1:7" ht="33" customHeight="1">
      <c r="A21" s="196"/>
      <c r="B21" s="74" t="s">
        <v>95</v>
      </c>
      <c r="C21" s="176"/>
      <c r="D21" s="9" t="s">
        <v>39</v>
      </c>
      <c r="E21" s="10">
        <f>'estructura de cálculo'!F19</f>
        <v>127087.0489962</v>
      </c>
      <c r="F21" s="11"/>
      <c r="G21" s="12"/>
    </row>
    <row r="22" spans="1:7" ht="51">
      <c r="A22" s="196"/>
      <c r="B22" s="76" t="s">
        <v>96</v>
      </c>
      <c r="C22" s="74" t="s">
        <v>40</v>
      </c>
      <c r="D22" s="9" t="s">
        <v>41</v>
      </c>
      <c r="E22" s="10">
        <f>'estructura de cálculo'!F19*0.1</f>
        <v>12708.704899620001</v>
      </c>
      <c r="F22" s="11"/>
      <c r="G22" s="12"/>
    </row>
    <row r="23" spans="1:7" ht="52.5" customHeight="1" thickBot="1">
      <c r="A23" s="197"/>
      <c r="B23" s="77" t="s">
        <v>47</v>
      </c>
      <c r="C23" s="75" t="s">
        <v>246</v>
      </c>
      <c r="D23" s="13" t="s">
        <v>42</v>
      </c>
      <c r="E23" s="14">
        <f>E22*0.03</f>
        <v>381.26114698859999</v>
      </c>
      <c r="F23" s="15"/>
      <c r="G23" s="16"/>
    </row>
    <row r="24" spans="1:7">
      <c r="A24" s="217" t="s">
        <v>162</v>
      </c>
      <c r="B24" s="220" t="s">
        <v>158</v>
      </c>
      <c r="C24" s="220"/>
      <c r="D24" s="220"/>
      <c r="E24" s="220"/>
      <c r="F24" s="220"/>
      <c r="G24" s="221"/>
    </row>
    <row r="25" spans="1:7" ht="38.25">
      <c r="A25" s="218"/>
      <c r="B25" s="79" t="s">
        <v>97</v>
      </c>
      <c r="C25" s="78" t="s">
        <v>247</v>
      </c>
      <c r="D25" s="17" t="s">
        <v>24</v>
      </c>
      <c r="E25" s="18">
        <f>'estructura de cálculo'!F5*5</f>
        <v>753957.73197963007</v>
      </c>
      <c r="F25" s="19"/>
      <c r="G25" s="20"/>
    </row>
    <row r="26" spans="1:7" ht="38.25">
      <c r="A26" s="218"/>
      <c r="B26" s="78" t="s">
        <v>25</v>
      </c>
      <c r="C26" s="177" t="s">
        <v>268</v>
      </c>
      <c r="D26" s="17" t="s">
        <v>248</v>
      </c>
      <c r="E26" s="18">
        <f>'estructura de cálculo'!F5*3</f>
        <v>452374.639187778</v>
      </c>
      <c r="F26" s="19"/>
      <c r="G26" s="20"/>
    </row>
    <row r="27" spans="1:7" ht="25.5">
      <c r="A27" s="218"/>
      <c r="B27" s="78" t="s">
        <v>98</v>
      </c>
      <c r="C27" s="178"/>
      <c r="D27" s="17" t="s">
        <v>44</v>
      </c>
      <c r="E27" s="18">
        <f>'estructura de cálculo'!F5</f>
        <v>150791.54639592601</v>
      </c>
      <c r="F27" s="19"/>
      <c r="G27" s="20"/>
    </row>
    <row r="28" spans="1:7" ht="25.5">
      <c r="A28" s="218"/>
      <c r="B28" s="79" t="s">
        <v>99</v>
      </c>
      <c r="C28" s="179"/>
      <c r="D28" s="17" t="s">
        <v>45</v>
      </c>
      <c r="E28" s="18">
        <f>'estructura de cálculo'!F5</f>
        <v>150791.54639592601</v>
      </c>
      <c r="F28" s="19"/>
      <c r="G28" s="20"/>
    </row>
    <row r="29" spans="1:7" ht="38.25">
      <c r="A29" s="218"/>
      <c r="B29" s="79" t="s">
        <v>100</v>
      </c>
      <c r="C29" s="78" t="s">
        <v>206</v>
      </c>
      <c r="D29" s="17" t="s">
        <v>46</v>
      </c>
      <c r="E29" s="18">
        <f>'estructura de cálculo'!F5*0.2*2</f>
        <v>60316.618558370406</v>
      </c>
      <c r="F29" s="19"/>
      <c r="G29" s="20"/>
    </row>
    <row r="30" spans="1:7" ht="51.75" thickBot="1">
      <c r="A30" s="219"/>
      <c r="B30" s="80" t="s">
        <v>26</v>
      </c>
      <c r="C30" s="109" t="s">
        <v>267</v>
      </c>
      <c r="D30" s="21" t="s">
        <v>48</v>
      </c>
      <c r="E30" s="22">
        <f>E29*0.05</f>
        <v>3015.8309279185205</v>
      </c>
      <c r="F30" s="23"/>
      <c r="G30" s="24"/>
    </row>
    <row r="31" spans="1:7">
      <c r="A31" s="210" t="s">
        <v>165</v>
      </c>
      <c r="B31" s="213" t="s">
        <v>163</v>
      </c>
      <c r="C31" s="213"/>
      <c r="D31" s="213"/>
      <c r="E31" s="213"/>
      <c r="F31" s="213"/>
      <c r="G31" s="214"/>
    </row>
    <row r="32" spans="1:7" ht="51">
      <c r="A32" s="211"/>
      <c r="B32" s="81" t="s">
        <v>50</v>
      </c>
      <c r="C32" s="180" t="s">
        <v>207</v>
      </c>
      <c r="D32" s="82" t="s">
        <v>209</v>
      </c>
      <c r="E32" s="26">
        <f>'estructura de cálculo'!F8*8</f>
        <v>5738146.0278945128</v>
      </c>
      <c r="F32" s="83"/>
      <c r="G32" s="84"/>
    </row>
    <row r="33" spans="1:7" ht="25.5">
      <c r="A33" s="211"/>
      <c r="B33" s="82" t="s">
        <v>101</v>
      </c>
      <c r="C33" s="181"/>
      <c r="D33" s="82" t="s">
        <v>49</v>
      </c>
      <c r="E33" s="26">
        <f>'estructura de cálculo'!F8</f>
        <v>717268.25348681409</v>
      </c>
      <c r="F33" s="83"/>
      <c r="G33" s="84"/>
    </row>
    <row r="34" spans="1:7" ht="25.5">
      <c r="A34" s="211"/>
      <c r="B34" s="82" t="s">
        <v>102</v>
      </c>
      <c r="C34" s="181"/>
      <c r="D34" s="82" t="s">
        <v>43</v>
      </c>
      <c r="E34" s="26">
        <f>'estructura de cálculo'!F8</f>
        <v>717268.25348681409</v>
      </c>
      <c r="F34" s="83"/>
      <c r="G34" s="84"/>
    </row>
    <row r="35" spans="1:7" ht="25.5">
      <c r="A35" s="211"/>
      <c r="B35" s="82" t="s">
        <v>103</v>
      </c>
      <c r="C35" s="182"/>
      <c r="D35" s="82" t="s">
        <v>44</v>
      </c>
      <c r="E35" s="26">
        <f>'estructura de cálculo'!F8</f>
        <v>717268.25348681409</v>
      </c>
      <c r="F35" s="83"/>
      <c r="G35" s="84"/>
    </row>
    <row r="36" spans="1:7" ht="25.5">
      <c r="A36" s="211"/>
      <c r="B36" s="82" t="s">
        <v>104</v>
      </c>
      <c r="C36" s="82" t="s">
        <v>208</v>
      </c>
      <c r="D36" s="82" t="s">
        <v>210</v>
      </c>
      <c r="E36" s="26">
        <f>'estructura de cálculo'!F7*6</f>
        <v>3253981.0066896603</v>
      </c>
      <c r="F36" s="83"/>
      <c r="G36" s="84"/>
    </row>
    <row r="37" spans="1:7" ht="43.5" customHeight="1">
      <c r="A37" s="211"/>
      <c r="B37" s="81" t="s">
        <v>105</v>
      </c>
      <c r="C37" s="82" t="s">
        <v>51</v>
      </c>
      <c r="D37" s="82" t="s">
        <v>52</v>
      </c>
      <c r="E37" s="26">
        <f>'estructura de cálculo'!F8*0.2</f>
        <v>143453.65069736281</v>
      </c>
      <c r="F37" s="83"/>
      <c r="G37" s="84"/>
    </row>
    <row r="38" spans="1:7" ht="61.5" customHeight="1" thickBot="1">
      <c r="A38" s="212"/>
      <c r="B38" s="88" t="s">
        <v>53</v>
      </c>
      <c r="C38" s="85" t="s">
        <v>266</v>
      </c>
      <c r="D38" s="85" t="s">
        <v>48</v>
      </c>
      <c r="E38" s="27">
        <f>E37*0.05</f>
        <v>7172.6825348681414</v>
      </c>
      <c r="F38" s="86"/>
      <c r="G38" s="87"/>
    </row>
    <row r="39" spans="1:7">
      <c r="A39" s="228" t="s">
        <v>143</v>
      </c>
      <c r="B39" s="231" t="s">
        <v>169</v>
      </c>
      <c r="C39" s="231"/>
      <c r="D39" s="231"/>
      <c r="E39" s="231"/>
      <c r="F39" s="231"/>
      <c r="G39" s="232"/>
    </row>
    <row r="40" spans="1:7" ht="38.25">
      <c r="A40" s="229"/>
      <c r="B40" s="89" t="s">
        <v>57</v>
      </c>
      <c r="C40" s="183" t="s">
        <v>54</v>
      </c>
      <c r="D40" s="28" t="s">
        <v>55</v>
      </c>
      <c r="E40" s="29">
        <f>'estructura de cálculo'!F10</f>
        <v>1848174.1961526002</v>
      </c>
      <c r="F40" s="30"/>
      <c r="G40" s="31"/>
    </row>
    <row r="41" spans="1:7" ht="25.5">
      <c r="A41" s="229"/>
      <c r="B41" s="89" t="s">
        <v>106</v>
      </c>
      <c r="C41" s="184"/>
      <c r="D41" s="28" t="s">
        <v>56</v>
      </c>
      <c r="E41" s="29">
        <f>'estructura de cálculo'!F10</f>
        <v>1848174.1961526002</v>
      </c>
      <c r="F41" s="30"/>
      <c r="G41" s="31"/>
    </row>
    <row r="42" spans="1:7">
      <c r="A42" s="229"/>
      <c r="B42" s="89" t="s">
        <v>58</v>
      </c>
      <c r="C42" s="185"/>
      <c r="D42" s="28" t="s">
        <v>59</v>
      </c>
      <c r="E42" s="29">
        <f>'estructura de cálculo'!F10</f>
        <v>1848174.1961526002</v>
      </c>
      <c r="F42" s="30"/>
      <c r="G42" s="31"/>
    </row>
    <row r="43" spans="1:7" ht="38.25">
      <c r="A43" s="229"/>
      <c r="B43" s="89" t="s">
        <v>60</v>
      </c>
      <c r="C43" s="90" t="s">
        <v>61</v>
      </c>
      <c r="D43" s="28" t="s">
        <v>62</v>
      </c>
      <c r="E43" s="29">
        <f>'estructura de cálculo'!F10*0.1</f>
        <v>184817.41961526003</v>
      </c>
      <c r="F43" s="30"/>
      <c r="G43" s="31"/>
    </row>
    <row r="44" spans="1:7" ht="77.25" thickBot="1">
      <c r="A44" s="230"/>
      <c r="B44" s="91" t="s">
        <v>270</v>
      </c>
      <c r="C44" s="111" t="s">
        <v>250</v>
      </c>
      <c r="D44" s="32" t="s">
        <v>48</v>
      </c>
      <c r="E44" s="29">
        <f>E43*0.05</f>
        <v>9240.8709807630021</v>
      </c>
      <c r="F44" s="33"/>
      <c r="G44" s="34"/>
    </row>
    <row r="45" spans="1:7">
      <c r="A45" s="233" t="s">
        <v>144</v>
      </c>
      <c r="B45" s="236" t="s">
        <v>170</v>
      </c>
      <c r="C45" s="236"/>
      <c r="D45" s="236"/>
      <c r="E45" s="236"/>
      <c r="F45" s="236"/>
      <c r="G45" s="237"/>
    </row>
    <row r="46" spans="1:7" ht="34.5" customHeight="1">
      <c r="A46" s="234"/>
      <c r="B46" s="155" t="s">
        <v>271</v>
      </c>
      <c r="C46" s="186" t="s">
        <v>398</v>
      </c>
      <c r="D46" s="157" t="s">
        <v>63</v>
      </c>
      <c r="E46" s="158">
        <f>'estructura de cálculo'!F11*0.3/100</f>
        <v>1886.3230184838003</v>
      </c>
      <c r="F46" s="159"/>
      <c r="G46" s="160"/>
    </row>
    <row r="47" spans="1:7" ht="54.75" customHeight="1">
      <c r="A47" s="234"/>
      <c r="B47" s="155" t="s">
        <v>272</v>
      </c>
      <c r="C47" s="187"/>
      <c r="D47" s="157" t="s">
        <v>64</v>
      </c>
      <c r="E47" s="158">
        <f>'estructura de cálculo'!F11*0.3/100</f>
        <v>1886.3230184838003</v>
      </c>
      <c r="F47" s="159"/>
      <c r="G47" s="160"/>
    </row>
    <row r="48" spans="1:7" ht="45" customHeight="1">
      <c r="A48" s="234"/>
      <c r="B48" s="155" t="s">
        <v>273</v>
      </c>
      <c r="C48" s="188"/>
      <c r="D48" s="157" t="s">
        <v>65</v>
      </c>
      <c r="E48" s="158">
        <f>'estructura de cálculo'!F11*0.3/100</f>
        <v>1886.3230184838003</v>
      </c>
      <c r="F48" s="159"/>
      <c r="G48" s="160"/>
    </row>
    <row r="49" spans="1:7" ht="50.25" customHeight="1">
      <c r="A49" s="234"/>
      <c r="B49" s="155" t="s">
        <v>274</v>
      </c>
      <c r="C49" s="161" t="s">
        <v>213</v>
      </c>
      <c r="D49" s="157" t="s">
        <v>211</v>
      </c>
      <c r="E49" s="158">
        <f>'estructura de cálculo'!F11*0.01</f>
        <v>6287.7433949460019</v>
      </c>
      <c r="F49" s="159"/>
      <c r="G49" s="160"/>
    </row>
    <row r="50" spans="1:7" ht="39" customHeight="1">
      <c r="A50" s="234"/>
      <c r="B50" s="155" t="s">
        <v>275</v>
      </c>
      <c r="C50" s="161" t="s">
        <v>212</v>
      </c>
      <c r="D50" s="157" t="s">
        <v>66</v>
      </c>
      <c r="E50" s="158">
        <f>'estructura de cálculo'!F11*0.03</f>
        <v>18863.230184838005</v>
      </c>
      <c r="F50" s="159"/>
      <c r="G50" s="160"/>
    </row>
    <row r="51" spans="1:7" ht="60.75" customHeight="1" thickBot="1">
      <c r="A51" s="235"/>
      <c r="B51" s="162" t="s">
        <v>276</v>
      </c>
      <c r="C51" s="163" t="s">
        <v>214</v>
      </c>
      <c r="D51" s="164" t="s">
        <v>67</v>
      </c>
      <c r="E51" s="165">
        <f>E50*0.1</f>
        <v>1886.3230184838005</v>
      </c>
      <c r="F51" s="166"/>
      <c r="G51" s="167"/>
    </row>
    <row r="52" spans="1:7" ht="12.75" customHeight="1">
      <c r="A52" s="189" t="s">
        <v>188</v>
      </c>
      <c r="B52" s="238" t="s">
        <v>171</v>
      </c>
      <c r="C52" s="238"/>
      <c r="D52" s="238"/>
      <c r="E52" s="238"/>
      <c r="F52" s="238"/>
      <c r="G52" s="239"/>
    </row>
    <row r="53" spans="1:7" ht="63.75">
      <c r="A53" s="190"/>
      <c r="B53" s="93" t="s">
        <v>277</v>
      </c>
      <c r="C53" s="69" t="s">
        <v>69</v>
      </c>
      <c r="D53" s="35" t="s">
        <v>68</v>
      </c>
      <c r="E53" s="36">
        <f>'estructura de cálculo'!F13*0.1</f>
        <v>132612.57286560003</v>
      </c>
      <c r="F53" s="37"/>
      <c r="G53" s="38"/>
    </row>
    <row r="54" spans="1:7" ht="63.75">
      <c r="A54" s="190"/>
      <c r="B54" s="93" t="s">
        <v>278</v>
      </c>
      <c r="C54" s="35" t="s">
        <v>215</v>
      </c>
      <c r="D54" s="35" t="s">
        <v>70</v>
      </c>
      <c r="E54" s="36">
        <f>E53*0.1</f>
        <v>13261.257286560003</v>
      </c>
      <c r="F54" s="37"/>
      <c r="G54" s="38"/>
    </row>
    <row r="55" spans="1:7" ht="38.25">
      <c r="A55" s="190"/>
      <c r="B55" s="93" t="s">
        <v>279</v>
      </c>
      <c r="C55" s="92" t="s">
        <v>72</v>
      </c>
      <c r="D55" s="35" t="s">
        <v>71</v>
      </c>
      <c r="E55" s="36">
        <f>'estructura de cálculo'!F13*1.5/100</f>
        <v>19891.885929840002</v>
      </c>
      <c r="F55" s="37"/>
      <c r="G55" s="38"/>
    </row>
    <row r="56" spans="1:7" ht="63.75">
      <c r="A56" s="190"/>
      <c r="B56" s="92" t="s">
        <v>280</v>
      </c>
      <c r="C56" s="92" t="s">
        <v>73</v>
      </c>
      <c r="D56" s="35" t="s">
        <v>172</v>
      </c>
      <c r="E56" s="36">
        <f>E55*5.6/100</f>
        <v>1113.9456120710402</v>
      </c>
      <c r="F56" s="37"/>
      <c r="G56" s="38"/>
    </row>
    <row r="57" spans="1:7" ht="25.5">
      <c r="A57" s="190"/>
      <c r="B57" s="93" t="s">
        <v>281</v>
      </c>
      <c r="C57" s="92" t="s">
        <v>216</v>
      </c>
      <c r="D57" s="35" t="s">
        <v>174</v>
      </c>
      <c r="E57" s="36">
        <f>'estructura de cálculo'!F13</f>
        <v>1326125.7286560002</v>
      </c>
      <c r="F57" s="37"/>
      <c r="G57" s="38"/>
    </row>
    <row r="58" spans="1:7" ht="15" customHeight="1">
      <c r="A58" s="190"/>
      <c r="B58" s="240" t="s">
        <v>76</v>
      </c>
      <c r="C58" s="240"/>
      <c r="D58" s="240"/>
      <c r="E58" s="240"/>
      <c r="F58" s="240"/>
      <c r="G58" s="241"/>
    </row>
    <row r="59" spans="1:7" ht="63.75">
      <c r="A59" s="190"/>
      <c r="B59" s="93" t="s">
        <v>282</v>
      </c>
      <c r="C59" s="92" t="s">
        <v>75</v>
      </c>
      <c r="D59" s="35" t="s">
        <v>68</v>
      </c>
      <c r="E59" s="36">
        <f>'estructura de cálculo'!F14*0.1</f>
        <v>132612.57286560003</v>
      </c>
      <c r="F59" s="37"/>
      <c r="G59" s="38"/>
    </row>
    <row r="60" spans="1:7" ht="63.75">
      <c r="A60" s="190"/>
      <c r="B60" s="93" t="s">
        <v>283</v>
      </c>
      <c r="C60" s="112" t="s">
        <v>217</v>
      </c>
      <c r="D60" s="35" t="s">
        <v>70</v>
      </c>
      <c r="E60" s="36">
        <f>E59*0.1</f>
        <v>13261.257286560003</v>
      </c>
      <c r="F60" s="37"/>
      <c r="G60" s="38"/>
    </row>
    <row r="61" spans="1:7" ht="38.25">
      <c r="A61" s="190"/>
      <c r="B61" s="93" t="s">
        <v>284</v>
      </c>
      <c r="C61" s="93" t="s">
        <v>19</v>
      </c>
      <c r="D61" s="35" t="s">
        <v>71</v>
      </c>
      <c r="E61" s="36">
        <f>'estructura de cálculo'!F14*1.5/100</f>
        <v>19891.885929840002</v>
      </c>
      <c r="F61" s="37"/>
      <c r="G61" s="38"/>
    </row>
    <row r="62" spans="1:7" ht="63.75">
      <c r="A62" s="190"/>
      <c r="B62" s="92" t="s">
        <v>285</v>
      </c>
      <c r="C62" s="92" t="s">
        <v>73</v>
      </c>
      <c r="D62" s="35" t="s">
        <v>172</v>
      </c>
      <c r="E62" s="36">
        <f>E61*5.6/100</f>
        <v>1113.9456120710402</v>
      </c>
      <c r="F62" s="37"/>
      <c r="G62" s="38"/>
    </row>
    <row r="63" spans="1:7" ht="57" customHeight="1">
      <c r="A63" s="190"/>
      <c r="B63" s="93" t="s">
        <v>286</v>
      </c>
      <c r="C63" s="92" t="s">
        <v>77</v>
      </c>
      <c r="D63" s="35" t="s">
        <v>74</v>
      </c>
      <c r="E63" s="36">
        <f>'estructura de cálculo'!F14</f>
        <v>1326125.7286560002</v>
      </c>
      <c r="F63" s="37"/>
      <c r="G63" s="38"/>
    </row>
    <row r="64" spans="1:7" ht="34.5" customHeight="1">
      <c r="A64" s="190"/>
      <c r="B64" s="93" t="s">
        <v>287</v>
      </c>
      <c r="C64" s="92" t="s">
        <v>78</v>
      </c>
      <c r="D64" s="35" t="s">
        <v>175</v>
      </c>
      <c r="E64" s="36">
        <f>'estructura de cálculo'!F18</f>
        <v>2196963.4288950004</v>
      </c>
      <c r="F64" s="37"/>
      <c r="G64" s="38"/>
    </row>
    <row r="65" spans="1:7" ht="30" customHeight="1">
      <c r="A65" s="190"/>
      <c r="B65" s="93" t="s">
        <v>288</v>
      </c>
      <c r="C65" s="222" t="s">
        <v>80</v>
      </c>
      <c r="D65" s="35" t="s">
        <v>79</v>
      </c>
      <c r="E65" s="36">
        <f>'estructura de cálculo'!F14</f>
        <v>1326125.7286560002</v>
      </c>
      <c r="F65" s="37"/>
      <c r="G65" s="38"/>
    </row>
    <row r="66" spans="1:7" ht="40.5" customHeight="1">
      <c r="A66" s="190"/>
      <c r="B66" s="92" t="s">
        <v>289</v>
      </c>
      <c r="C66" s="223"/>
      <c r="D66" s="35" t="s">
        <v>176</v>
      </c>
      <c r="E66" s="36">
        <f>'estructura de cálculo'!F14</f>
        <v>1326125.7286560002</v>
      </c>
      <c r="F66" s="37"/>
      <c r="G66" s="38"/>
    </row>
    <row r="67" spans="1:7" ht="40.5" customHeight="1" thickBot="1">
      <c r="A67" s="191"/>
      <c r="B67" s="94" t="s">
        <v>290</v>
      </c>
      <c r="C67" s="94" t="s">
        <v>81</v>
      </c>
      <c r="D67" s="39" t="s">
        <v>107</v>
      </c>
      <c r="E67" s="40">
        <f>E66*0.01</f>
        <v>13261.257286560003</v>
      </c>
      <c r="F67" s="41"/>
      <c r="G67" s="42"/>
    </row>
    <row r="68" spans="1:7" ht="12.75" customHeight="1">
      <c r="A68" s="171" t="s">
        <v>186</v>
      </c>
      <c r="B68" s="208" t="s">
        <v>179</v>
      </c>
      <c r="C68" s="208"/>
      <c r="D68" s="208"/>
      <c r="E68" s="208"/>
      <c r="F68" s="208"/>
      <c r="G68" s="209"/>
    </row>
    <row r="69" spans="1:7" ht="40.5" customHeight="1">
      <c r="A69" s="172"/>
      <c r="B69" s="95" t="s">
        <v>291</v>
      </c>
      <c r="C69" s="96" t="s">
        <v>269</v>
      </c>
      <c r="D69" s="43" t="s">
        <v>82</v>
      </c>
      <c r="E69" s="44">
        <f>'estructura de cálculo'!F16*0.1</f>
        <v>24864.8574123</v>
      </c>
      <c r="F69" s="45"/>
      <c r="G69" s="46"/>
    </row>
    <row r="70" spans="1:7" ht="53.25" customHeight="1">
      <c r="A70" s="172"/>
      <c r="B70" s="95" t="s">
        <v>292</v>
      </c>
      <c r="C70" s="96" t="s">
        <v>253</v>
      </c>
      <c r="D70" s="43" t="s">
        <v>83</v>
      </c>
      <c r="E70" s="44">
        <f>'estructura de cálculo'!F16*0.01</f>
        <v>2486.4857412300003</v>
      </c>
      <c r="F70" s="45"/>
      <c r="G70" s="46"/>
    </row>
    <row r="71" spans="1:7" ht="40.5" customHeight="1">
      <c r="A71" s="172"/>
      <c r="B71" s="96" t="s">
        <v>293</v>
      </c>
      <c r="C71" s="96" t="s">
        <v>254</v>
      </c>
      <c r="D71" s="43" t="s">
        <v>180</v>
      </c>
      <c r="E71" s="44">
        <f>'estructura de cálculo'!F16*0.01</f>
        <v>2486.4857412300003</v>
      </c>
      <c r="F71" s="45"/>
      <c r="G71" s="46"/>
    </row>
    <row r="72" spans="1:7" ht="55.5" customHeight="1">
      <c r="A72" s="172"/>
      <c r="B72" s="95" t="s">
        <v>294</v>
      </c>
      <c r="C72" s="96" t="s">
        <v>255</v>
      </c>
      <c r="D72" s="43" t="s">
        <v>84</v>
      </c>
      <c r="E72" s="44">
        <f>'estructura de cálculo'!F16*0.01</f>
        <v>2486.4857412300003</v>
      </c>
      <c r="F72" s="45"/>
      <c r="G72" s="46"/>
    </row>
    <row r="73" spans="1:7" ht="48" customHeight="1">
      <c r="A73" s="172"/>
      <c r="B73" s="95" t="s">
        <v>295</v>
      </c>
      <c r="C73" s="96" t="s">
        <v>256</v>
      </c>
      <c r="D73" s="43" t="s">
        <v>85</v>
      </c>
      <c r="E73" s="44">
        <f>'estructura de cálculo'!F16*0.05</f>
        <v>12432.42870615</v>
      </c>
      <c r="F73" s="45"/>
      <c r="G73" s="46"/>
    </row>
    <row r="74" spans="1:7" ht="51">
      <c r="A74" s="172"/>
      <c r="B74" s="95" t="s">
        <v>296</v>
      </c>
      <c r="C74" s="96" t="s">
        <v>257</v>
      </c>
      <c r="D74" s="43" t="s">
        <v>86</v>
      </c>
      <c r="E74" s="44">
        <f>'estructura de cálculo'!F16*0.05</f>
        <v>12432.42870615</v>
      </c>
      <c r="F74" s="45"/>
      <c r="G74" s="46"/>
    </row>
    <row r="75" spans="1:7" ht="58.5" customHeight="1">
      <c r="A75" s="172"/>
      <c r="B75" s="95" t="s">
        <v>297</v>
      </c>
      <c r="C75" s="96" t="s">
        <v>258</v>
      </c>
      <c r="D75" s="43" t="s">
        <v>87</v>
      </c>
      <c r="E75" s="44"/>
      <c r="F75" s="45"/>
      <c r="G75" s="46"/>
    </row>
    <row r="76" spans="1:7" ht="48" customHeight="1">
      <c r="A76" s="172"/>
      <c r="B76" s="95" t="s">
        <v>298</v>
      </c>
      <c r="C76" s="96" t="s">
        <v>88</v>
      </c>
      <c r="D76" s="43" t="s">
        <v>89</v>
      </c>
      <c r="E76" s="44">
        <f>'estructura de cálculo'!F16*1.5/100</f>
        <v>3729.7286118449997</v>
      </c>
      <c r="F76" s="45"/>
      <c r="G76" s="46"/>
    </row>
    <row r="77" spans="1:7" ht="71.25" customHeight="1">
      <c r="A77" s="172"/>
      <c r="B77" s="96" t="s">
        <v>299</v>
      </c>
      <c r="C77" s="96" t="s">
        <v>73</v>
      </c>
      <c r="D77" s="43" t="s">
        <v>172</v>
      </c>
      <c r="E77" s="44">
        <f>E76*5.6/100</f>
        <v>208.86480226331997</v>
      </c>
      <c r="F77" s="45"/>
      <c r="G77" s="46"/>
    </row>
    <row r="78" spans="1:7" ht="12.75" customHeight="1">
      <c r="A78" s="172"/>
      <c r="B78" s="215" t="s">
        <v>182</v>
      </c>
      <c r="C78" s="215"/>
      <c r="D78" s="215"/>
      <c r="E78" s="215"/>
      <c r="F78" s="215"/>
      <c r="G78" s="216"/>
    </row>
    <row r="79" spans="1:7" ht="38.25">
      <c r="A79" s="172"/>
      <c r="B79" s="95" t="s">
        <v>300</v>
      </c>
      <c r="C79" s="96" t="s">
        <v>259</v>
      </c>
      <c r="D79" s="43" t="s">
        <v>218</v>
      </c>
      <c r="E79" s="44">
        <f>'estructura de cálculo'!F17*0.1</f>
        <v>24864.8574123</v>
      </c>
      <c r="F79" s="45"/>
      <c r="G79" s="46"/>
    </row>
    <row r="80" spans="1:7" ht="25.5">
      <c r="A80" s="172"/>
      <c r="B80" s="95" t="s">
        <v>301</v>
      </c>
      <c r="C80" s="224" t="s">
        <v>260</v>
      </c>
      <c r="D80" s="43" t="s">
        <v>219</v>
      </c>
      <c r="E80" s="44">
        <f>'estructura de cálculo'!F17*0.01</f>
        <v>2486.4857412300003</v>
      </c>
      <c r="F80" s="45"/>
      <c r="G80" s="46"/>
    </row>
    <row r="81" spans="1:7" ht="25.5">
      <c r="A81" s="172"/>
      <c r="B81" s="96" t="s">
        <v>302</v>
      </c>
      <c r="C81" s="225"/>
      <c r="D81" s="43" t="s">
        <v>180</v>
      </c>
      <c r="E81" s="44">
        <f>'estructura de cálculo'!F17*0.01</f>
        <v>2486.4857412300003</v>
      </c>
      <c r="F81" s="45"/>
      <c r="G81" s="46"/>
    </row>
    <row r="82" spans="1:7" ht="51">
      <c r="A82" s="172"/>
      <c r="B82" s="95" t="s">
        <v>303</v>
      </c>
      <c r="C82" s="96" t="s">
        <v>261</v>
      </c>
      <c r="D82" s="43" t="s">
        <v>220</v>
      </c>
      <c r="E82" s="44">
        <f>'estructura de cálculo'!F17*0.01</f>
        <v>2486.4857412300003</v>
      </c>
      <c r="F82" s="45"/>
      <c r="G82" s="46"/>
    </row>
    <row r="83" spans="1:7" ht="38.25">
      <c r="A83" s="172"/>
      <c r="B83" s="95" t="s">
        <v>304</v>
      </c>
      <c r="C83" s="96" t="s">
        <v>262</v>
      </c>
      <c r="D83" s="43" t="s">
        <v>221</v>
      </c>
      <c r="E83" s="44">
        <f>'estructura de cálculo'!F17*0.05</f>
        <v>12432.42870615</v>
      </c>
      <c r="F83" s="45"/>
      <c r="G83" s="46"/>
    </row>
    <row r="84" spans="1:7" ht="51">
      <c r="A84" s="172"/>
      <c r="B84" s="95" t="s">
        <v>305</v>
      </c>
      <c r="C84" s="96" t="s">
        <v>263</v>
      </c>
      <c r="D84" s="43" t="s">
        <v>222</v>
      </c>
      <c r="E84" s="44">
        <f>'estructura de cálculo'!F17*0.05</f>
        <v>12432.42870615</v>
      </c>
      <c r="F84" s="45"/>
      <c r="G84" s="46"/>
    </row>
    <row r="85" spans="1:7" ht="51">
      <c r="A85" s="172"/>
      <c r="B85" s="95" t="s">
        <v>306</v>
      </c>
      <c r="C85" s="96" t="s">
        <v>258</v>
      </c>
      <c r="D85" s="43" t="s">
        <v>181</v>
      </c>
      <c r="E85" s="44"/>
      <c r="F85" s="45"/>
      <c r="G85" s="46"/>
    </row>
    <row r="86" spans="1:7" ht="38.25">
      <c r="A86" s="172"/>
      <c r="B86" s="95" t="s">
        <v>307</v>
      </c>
      <c r="C86" s="96" t="s">
        <v>265</v>
      </c>
      <c r="D86" s="43" t="s">
        <v>183</v>
      </c>
      <c r="E86" s="44">
        <f>'estructura de cálculo'!F17*1.5/100</f>
        <v>3729.7286118449997</v>
      </c>
      <c r="F86" s="45"/>
      <c r="G86" s="46"/>
    </row>
    <row r="87" spans="1:7" ht="63.75">
      <c r="A87" s="172"/>
      <c r="B87" s="96" t="s">
        <v>308</v>
      </c>
      <c r="C87" s="96" t="s">
        <v>73</v>
      </c>
      <c r="D87" s="43" t="s">
        <v>172</v>
      </c>
      <c r="E87" s="44">
        <f>E86*5.6/100</f>
        <v>208.86480226331997</v>
      </c>
      <c r="F87" s="45"/>
      <c r="G87" s="46"/>
    </row>
    <row r="88" spans="1:7" ht="25.5">
      <c r="A88" s="172"/>
      <c r="B88" s="95" t="s">
        <v>309</v>
      </c>
      <c r="C88" s="96" t="s">
        <v>224</v>
      </c>
      <c r="D88" s="43" t="s">
        <v>223</v>
      </c>
      <c r="E88" s="44">
        <f>'estructura de cálculo'!F17*0.2</f>
        <v>49729.7148246</v>
      </c>
      <c r="F88" s="45"/>
      <c r="G88" s="46"/>
    </row>
    <row r="89" spans="1:7" ht="25.5">
      <c r="A89" s="172"/>
      <c r="B89" s="96" t="s">
        <v>310</v>
      </c>
      <c r="C89" s="96" t="s">
        <v>264</v>
      </c>
      <c r="D89" s="43" t="s">
        <v>185</v>
      </c>
      <c r="E89" s="44">
        <f>'estructura de cálculo'!F17</f>
        <v>248648.574123</v>
      </c>
      <c r="F89" s="45"/>
      <c r="G89" s="46"/>
    </row>
    <row r="90" spans="1:7" ht="26.25" thickBot="1">
      <c r="A90" s="173"/>
      <c r="B90" s="97" t="s">
        <v>311</v>
      </c>
      <c r="C90" s="97" t="s">
        <v>81</v>
      </c>
      <c r="D90" s="47" t="s">
        <v>107</v>
      </c>
      <c r="E90" s="48">
        <f>E89*0.01</f>
        <v>2486.4857412300003</v>
      </c>
      <c r="F90" s="49"/>
      <c r="G90" s="50"/>
    </row>
    <row r="91" spans="1:7">
      <c r="A91" s="51"/>
      <c r="B91" s="51"/>
      <c r="C91" s="51"/>
      <c r="D91" s="52"/>
      <c r="E91" s="53"/>
      <c r="F91" s="54"/>
      <c r="G91" s="52"/>
    </row>
    <row r="92" spans="1:7" s="72" customFormat="1">
      <c r="A92" s="192" t="s">
        <v>145</v>
      </c>
      <c r="B92" s="192"/>
      <c r="C92" s="192"/>
      <c r="D92" s="192"/>
      <c r="E92" s="192"/>
      <c r="F92" s="192"/>
      <c r="G92" s="192"/>
    </row>
    <row r="93" spans="1:7">
      <c r="A93" s="227" t="s">
        <v>3</v>
      </c>
      <c r="B93" s="227"/>
      <c r="C93" s="227"/>
      <c r="D93" s="227"/>
      <c r="E93" s="227"/>
      <c r="F93" s="227"/>
      <c r="G93" s="227"/>
    </row>
  </sheetData>
  <mergeCells count="34">
    <mergeCell ref="A1:G1"/>
    <mergeCell ref="A93:G93"/>
    <mergeCell ref="A39:A44"/>
    <mergeCell ref="B39:G39"/>
    <mergeCell ref="A45:A51"/>
    <mergeCell ref="B45:G45"/>
    <mergeCell ref="B52:G52"/>
    <mergeCell ref="B58:G58"/>
    <mergeCell ref="A2:G2"/>
    <mergeCell ref="A3:G3"/>
    <mergeCell ref="A4:G4"/>
    <mergeCell ref="C14:C16"/>
    <mergeCell ref="C7:C11"/>
    <mergeCell ref="A92:G92"/>
    <mergeCell ref="A6:A17"/>
    <mergeCell ref="A18:A23"/>
    <mergeCell ref="B6:G6"/>
    <mergeCell ref="B13:G13"/>
    <mergeCell ref="B18:G18"/>
    <mergeCell ref="B68:G68"/>
    <mergeCell ref="A31:A38"/>
    <mergeCell ref="B31:G31"/>
    <mergeCell ref="B78:G78"/>
    <mergeCell ref="A24:A30"/>
    <mergeCell ref="B24:G24"/>
    <mergeCell ref="C65:C66"/>
    <mergeCell ref="C80:C81"/>
    <mergeCell ref="A68:A90"/>
    <mergeCell ref="C19:C21"/>
    <mergeCell ref="C26:C28"/>
    <mergeCell ref="C32:C35"/>
    <mergeCell ref="C40:C42"/>
    <mergeCell ref="C46:C48"/>
    <mergeCell ref="A52:A67"/>
  </mergeCells>
  <phoneticPr fontId="3" type="noConversion"/>
  <hyperlinks>
    <hyperlink ref="A2" location="_ftn1" display="_ftn1"/>
    <hyperlink ref="A92" location="_ftnref1" display="_ftnref1"/>
    <hyperlink ref="A93" location="_ftnref1" display="_ftnref1"/>
    <hyperlink ref="D5" location="_ftn1" display="_ftn1"/>
  </hyperlinks>
  <printOptions horizontalCentered="1"/>
  <pageMargins left="0.31496062992125984" right="0.31496062992125984" top="0.94488188976377963" bottom="0.94488188976377963" header="0.31496062992125984" footer="0.31496062992125984"/>
  <pageSetup scale="80" orientation="landscape" horizontalDpi="300" verticalDpi="300" r:id="rId1"/>
  <headerFooter>
    <oddHeader>&amp;CPágina &amp;P</oddHeader>
    <oddFooter>&amp;C&amp;G</oddFooter>
  </headerFooter>
  <ignoredErrors>
    <ignoredError sqref="E64" formula="1"/>
  </ignoredErrors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3:G27"/>
  <sheetViews>
    <sheetView workbookViewId="0">
      <selection activeCell="E9" sqref="E9"/>
    </sheetView>
  </sheetViews>
  <sheetFormatPr baseColWidth="10" defaultRowHeight="12.75"/>
  <cols>
    <col min="1" max="1" width="41.42578125" style="133" bestFit="1" customWidth="1"/>
    <col min="2" max="2" width="8.42578125" style="126" bestFit="1" customWidth="1"/>
    <col min="3" max="3" width="12.42578125" style="133" bestFit="1" customWidth="1"/>
    <col min="4" max="4" width="13.7109375" style="133" customWidth="1"/>
    <col min="5" max="5" width="20.85546875" style="133" customWidth="1"/>
    <col min="6" max="6" width="23.85546875" style="133" customWidth="1"/>
    <col min="7" max="7" width="24.42578125" style="133" customWidth="1"/>
    <col min="8" max="16384" width="11.42578125" style="126"/>
  </cols>
  <sheetData>
    <row r="3" spans="1:7" ht="38.25">
      <c r="A3" s="122" t="s">
        <v>236</v>
      </c>
      <c r="B3" s="123" t="s">
        <v>150</v>
      </c>
      <c r="C3" s="124" t="s">
        <v>15</v>
      </c>
      <c r="D3" s="124" t="s">
        <v>225</v>
      </c>
      <c r="E3" s="124" t="s">
        <v>245</v>
      </c>
      <c r="F3" s="124" t="s">
        <v>244</v>
      </c>
      <c r="G3" s="125"/>
    </row>
    <row r="4" spans="1:7" ht="15">
      <c r="A4" s="127" t="s">
        <v>15</v>
      </c>
      <c r="B4" s="120"/>
      <c r="C4" s="121">
        <v>14017057</v>
      </c>
      <c r="D4" s="121">
        <f>C4*73/100</f>
        <v>10232451.609999999</v>
      </c>
      <c r="E4" s="121">
        <f>D4*0.46</f>
        <v>4706927.7406000001</v>
      </c>
      <c r="F4" s="121">
        <f>D4*0.54</f>
        <v>5525523.8694000002</v>
      </c>
      <c r="G4" s="128"/>
    </row>
    <row r="5" spans="1:7" ht="15">
      <c r="A5" s="129" t="s">
        <v>151</v>
      </c>
      <c r="B5" s="113">
        <v>2.729181245626312E-2</v>
      </c>
      <c r="C5" s="121">
        <f>C4*2.729/100</f>
        <v>382525.48553000001</v>
      </c>
      <c r="D5" s="121">
        <f>C5*73/100</f>
        <v>279243.6044369</v>
      </c>
      <c r="E5" s="121">
        <f t="shared" ref="E5:E19" si="0">D5*0.46</f>
        <v>128452.05804097401</v>
      </c>
      <c r="F5" s="121">
        <f t="shared" ref="F5:F19" si="1">D5*0.54</f>
        <v>150791.54639592601</v>
      </c>
      <c r="G5" s="128"/>
    </row>
    <row r="6" spans="1:7" ht="15">
      <c r="A6" s="129" t="s">
        <v>152</v>
      </c>
      <c r="B6" s="113">
        <v>3.1665500349895029E-2</v>
      </c>
      <c r="C6" s="121">
        <f>C4*3.167/100</f>
        <v>443920.19518999994</v>
      </c>
      <c r="D6" s="121">
        <f t="shared" ref="D6:D19" si="2">C6*73/100</f>
        <v>324061.74248869997</v>
      </c>
      <c r="E6" s="121">
        <f t="shared" si="0"/>
        <v>149068.40154480198</v>
      </c>
      <c r="F6" s="121">
        <f t="shared" si="1"/>
        <v>174993.34094389799</v>
      </c>
      <c r="G6" s="128"/>
    </row>
    <row r="7" spans="1:7" ht="15">
      <c r="A7" s="129" t="s">
        <v>153</v>
      </c>
      <c r="B7" s="113">
        <v>9.814555633310007E-2</v>
      </c>
      <c r="C7" s="121">
        <f>C4*9.815/100</f>
        <v>1375774.1445499999</v>
      </c>
      <c r="D7" s="121">
        <f t="shared" si="2"/>
        <v>1004315.1255215</v>
      </c>
      <c r="E7" s="121">
        <f t="shared" si="0"/>
        <v>461984.95773989003</v>
      </c>
      <c r="F7" s="121">
        <f t="shared" si="1"/>
        <v>542330.16778161004</v>
      </c>
      <c r="G7" s="128"/>
    </row>
    <row r="8" spans="1:7" ht="15">
      <c r="A8" s="129" t="s">
        <v>237</v>
      </c>
      <c r="B8" s="113">
        <f>B6+B7</f>
        <v>0.12981105668299509</v>
      </c>
      <c r="C8" s="121">
        <f>C4*12.981/100</f>
        <v>1819554.1691699999</v>
      </c>
      <c r="D8" s="121">
        <f t="shared" si="2"/>
        <v>1328274.5434941</v>
      </c>
      <c r="E8" s="121">
        <f t="shared" si="0"/>
        <v>611006.29000728601</v>
      </c>
      <c r="F8" s="121">
        <f t="shared" si="1"/>
        <v>717268.25348681409</v>
      </c>
      <c r="G8" s="128"/>
    </row>
    <row r="9" spans="1:7" ht="15">
      <c r="A9" s="130" t="s">
        <v>154</v>
      </c>
      <c r="B9" s="114">
        <v>0.15710286913925822</v>
      </c>
      <c r="C9" s="121">
        <f>C4*15.71/100</f>
        <v>2202079.6546999998</v>
      </c>
      <c r="D9" s="121">
        <f t="shared" si="2"/>
        <v>1607518.147931</v>
      </c>
      <c r="E9" s="121">
        <f t="shared" si="0"/>
        <v>739458.34804825997</v>
      </c>
      <c r="F9" s="121">
        <f t="shared" si="1"/>
        <v>868059.79988274002</v>
      </c>
      <c r="G9" s="128"/>
    </row>
    <row r="10" spans="1:7" ht="15">
      <c r="A10" s="129" t="s">
        <v>228</v>
      </c>
      <c r="B10" s="115">
        <v>0.27129999999999999</v>
      </c>
      <c r="C10" s="121">
        <f>C4*27.13/100</f>
        <v>3802827.5640999996</v>
      </c>
      <c r="D10" s="121">
        <f>C10*90/100</f>
        <v>3422544.8076900002</v>
      </c>
      <c r="E10" s="121">
        <f t="shared" si="0"/>
        <v>1574370.6115374002</v>
      </c>
      <c r="F10" s="121">
        <f t="shared" si="1"/>
        <v>1848174.1961526002</v>
      </c>
      <c r="G10" s="128"/>
    </row>
    <row r="11" spans="1:7" ht="15.75" thickBot="1">
      <c r="A11" s="134" t="s">
        <v>155</v>
      </c>
      <c r="B11" s="149">
        <v>9.2299999999999993E-2</v>
      </c>
      <c r="C11" s="135">
        <f>C4*9.23/100</f>
        <v>1293774.3611000001</v>
      </c>
      <c r="D11" s="135">
        <f>C11*90/100</f>
        <v>1164396.9249900002</v>
      </c>
      <c r="E11" s="135">
        <f t="shared" si="0"/>
        <v>535622.58549540013</v>
      </c>
      <c r="F11" s="135">
        <f t="shared" si="1"/>
        <v>628774.33949460019</v>
      </c>
      <c r="G11" s="128"/>
    </row>
    <row r="12" spans="1:7" ht="15">
      <c r="A12" s="150" t="s">
        <v>156</v>
      </c>
      <c r="B12" s="151">
        <v>0.48</v>
      </c>
      <c r="C12" s="141">
        <f>C4*48/100</f>
        <v>6728187.3600000003</v>
      </c>
      <c r="D12" s="141">
        <f t="shared" si="2"/>
        <v>4911576.7728000004</v>
      </c>
      <c r="E12" s="141">
        <f t="shared" si="0"/>
        <v>2259325.3154880004</v>
      </c>
      <c r="F12" s="142">
        <f t="shared" si="1"/>
        <v>2652251.4573120004</v>
      </c>
      <c r="G12" s="128"/>
    </row>
    <row r="13" spans="1:7" ht="15">
      <c r="A13" s="152" t="s">
        <v>251</v>
      </c>
      <c r="B13" s="116">
        <f>B12/2</f>
        <v>0.24</v>
      </c>
      <c r="C13" s="121">
        <f>C4*24/100</f>
        <v>3364093.68</v>
      </c>
      <c r="D13" s="121">
        <f>C13*73/100</f>
        <v>2455788.3864000002</v>
      </c>
      <c r="E13" s="121">
        <f>D13*0.46</f>
        <v>1129662.6577440002</v>
      </c>
      <c r="F13" s="144">
        <f>D13*0.54</f>
        <v>1326125.7286560002</v>
      </c>
      <c r="G13" s="128"/>
    </row>
    <row r="14" spans="1:7" ht="15.75" thickBot="1">
      <c r="A14" s="153" t="s">
        <v>252</v>
      </c>
      <c r="B14" s="154">
        <f>B12/2</f>
        <v>0.24</v>
      </c>
      <c r="C14" s="147">
        <f>C4*24/100</f>
        <v>3364093.68</v>
      </c>
      <c r="D14" s="147">
        <f>C14*73/100</f>
        <v>2455788.3864000002</v>
      </c>
      <c r="E14" s="147">
        <f>D14*0.46</f>
        <v>1129662.6577440002</v>
      </c>
      <c r="F14" s="148">
        <f>D14*0.54</f>
        <v>1326125.7286560002</v>
      </c>
      <c r="G14" s="128"/>
    </row>
    <row r="15" spans="1:7" ht="15">
      <c r="A15" s="139" t="s">
        <v>240</v>
      </c>
      <c r="B15" s="140">
        <v>0.09</v>
      </c>
      <c r="C15" s="141">
        <f>C4*9/100</f>
        <v>1261535.1299999999</v>
      </c>
      <c r="D15" s="141">
        <f t="shared" si="2"/>
        <v>920920.64489999996</v>
      </c>
      <c r="E15" s="141">
        <f t="shared" si="0"/>
        <v>423623.49665400002</v>
      </c>
      <c r="F15" s="142">
        <f t="shared" si="1"/>
        <v>497297.148246</v>
      </c>
      <c r="G15" s="128"/>
    </row>
    <row r="16" spans="1:7" ht="15">
      <c r="A16" s="143" t="s">
        <v>238</v>
      </c>
      <c r="B16" s="117">
        <v>4.4999999999999998E-2</v>
      </c>
      <c r="C16" s="121">
        <f>C4*4.5/100</f>
        <v>630767.56499999994</v>
      </c>
      <c r="D16" s="121">
        <f t="shared" si="2"/>
        <v>460460.32244999998</v>
      </c>
      <c r="E16" s="121">
        <f t="shared" si="0"/>
        <v>211811.74832700001</v>
      </c>
      <c r="F16" s="144">
        <f t="shared" si="1"/>
        <v>248648.574123</v>
      </c>
      <c r="G16" s="128"/>
    </row>
    <row r="17" spans="1:7" ht="15.75" thickBot="1">
      <c r="A17" s="145" t="s">
        <v>239</v>
      </c>
      <c r="B17" s="146">
        <v>4.4999999999999998E-2</v>
      </c>
      <c r="C17" s="147">
        <f>C4*4.5/100</f>
        <v>630767.56499999994</v>
      </c>
      <c r="D17" s="147">
        <f t="shared" si="2"/>
        <v>460460.32244999998</v>
      </c>
      <c r="E17" s="147">
        <f t="shared" si="0"/>
        <v>211811.74832700001</v>
      </c>
      <c r="F17" s="148">
        <f t="shared" si="1"/>
        <v>248648.574123</v>
      </c>
      <c r="G17" s="128"/>
    </row>
    <row r="18" spans="1:7" ht="15">
      <c r="A18" s="136" t="s">
        <v>229</v>
      </c>
      <c r="B18" s="137">
        <f>4520490/14017057</f>
        <v>0.32249922362447409</v>
      </c>
      <c r="C18" s="138">
        <f>C4*32.25/100</f>
        <v>4520500.8825000003</v>
      </c>
      <c r="D18" s="138">
        <f>C18*90/100</f>
        <v>4068450.7942500003</v>
      </c>
      <c r="E18" s="138">
        <f t="shared" si="0"/>
        <v>1871487.3653550001</v>
      </c>
      <c r="F18" s="138">
        <f t="shared" si="1"/>
        <v>2196963.4288950004</v>
      </c>
      <c r="G18" s="128"/>
    </row>
    <row r="19" spans="1:7" ht="15">
      <c r="A19" s="129" t="s">
        <v>230</v>
      </c>
      <c r="B19" s="117">
        <v>2.3E-2</v>
      </c>
      <c r="C19" s="121">
        <f>C4*2.3/100</f>
        <v>322392.31099999999</v>
      </c>
      <c r="D19" s="121">
        <f t="shared" si="2"/>
        <v>235346.38702999998</v>
      </c>
      <c r="E19" s="121">
        <f t="shared" si="0"/>
        <v>108259.3380338</v>
      </c>
      <c r="F19" s="121">
        <f t="shared" si="1"/>
        <v>127087.0489962</v>
      </c>
      <c r="G19" s="128"/>
    </row>
    <row r="20" spans="1:7" ht="45" customHeight="1">
      <c r="A20" s="129" t="s">
        <v>231</v>
      </c>
      <c r="B20" s="118"/>
      <c r="C20" s="121"/>
      <c r="D20" s="121"/>
      <c r="E20" s="121"/>
      <c r="F20" s="121"/>
      <c r="G20" s="131" t="s">
        <v>157</v>
      </c>
    </row>
    <row r="21" spans="1:7" ht="15">
      <c r="A21" s="129" t="s">
        <v>232</v>
      </c>
      <c r="B21" s="119"/>
      <c r="C21" s="121"/>
      <c r="D21" s="121"/>
      <c r="E21" s="121"/>
      <c r="F21" s="121"/>
      <c r="G21" s="132"/>
    </row>
    <row r="22" spans="1:7" ht="15">
      <c r="A22" s="129" t="s">
        <v>233</v>
      </c>
      <c r="B22" s="118"/>
      <c r="C22" s="121"/>
      <c r="D22" s="121"/>
      <c r="E22" s="121"/>
      <c r="F22" s="121"/>
      <c r="G22" s="125"/>
    </row>
    <row r="23" spans="1:7" ht="15">
      <c r="A23" s="129" t="s">
        <v>234</v>
      </c>
      <c r="B23" s="118"/>
      <c r="C23" s="121"/>
      <c r="D23" s="121"/>
      <c r="E23" s="121"/>
      <c r="F23" s="121"/>
      <c r="G23" s="125"/>
    </row>
    <row r="24" spans="1:7" ht="15">
      <c r="A24" s="129" t="s">
        <v>235</v>
      </c>
      <c r="B24" s="118"/>
      <c r="C24" s="121"/>
      <c r="D24" s="121"/>
      <c r="E24" s="121"/>
      <c r="F24" s="121"/>
      <c r="G24" s="125"/>
    </row>
    <row r="26" spans="1:7" ht="18.75" customHeight="1">
      <c r="A26" s="242" t="s">
        <v>227</v>
      </c>
      <c r="B26" s="242"/>
      <c r="C26" s="242"/>
      <c r="D26" s="242"/>
      <c r="E26" s="242"/>
      <c r="F26" s="242"/>
    </row>
    <row r="27" spans="1:7" ht="34.5" customHeight="1">
      <c r="A27" s="242" t="s">
        <v>226</v>
      </c>
      <c r="B27" s="242"/>
      <c r="C27" s="242"/>
      <c r="D27" s="242"/>
      <c r="E27" s="242"/>
      <c r="F27" s="242"/>
    </row>
  </sheetData>
  <mergeCells count="2">
    <mergeCell ref="A26:F26"/>
    <mergeCell ref="A27:F27"/>
  </mergeCells>
  <phoneticPr fontId="3" type="noConversion"/>
  <pageMargins left="0.74803149606299213" right="0.74803149606299213" top="0.98425196850393704" bottom="0.98425196850393704" header="0" footer="0"/>
  <pageSetup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6"/>
  <sheetViews>
    <sheetView tabSelected="1" zoomScaleNormal="100" workbookViewId="0">
      <selection sqref="A1:G1"/>
    </sheetView>
  </sheetViews>
  <sheetFormatPr baseColWidth="10" defaultRowHeight="12.75"/>
  <cols>
    <col min="1" max="1" width="19.28515625" style="108" customWidth="1"/>
    <col min="2" max="2" width="31.5703125" style="108" customWidth="1"/>
    <col min="3" max="3" width="22.42578125" style="108" customWidth="1"/>
    <col min="4" max="4" width="51.140625" style="108" customWidth="1"/>
    <col min="5" max="5" width="10.85546875" style="108" bestFit="1" customWidth="1"/>
    <col min="6" max="6" width="9" style="1" customWidth="1"/>
    <col min="7" max="7" width="15" style="1" customWidth="1"/>
    <col min="8" max="16384" width="11.42578125" style="1"/>
  </cols>
  <sheetData>
    <row r="1" spans="1:7">
      <c r="A1" s="226" t="s">
        <v>241</v>
      </c>
      <c r="B1" s="253"/>
      <c r="C1" s="253"/>
      <c r="D1" s="253"/>
      <c r="E1" s="253"/>
      <c r="F1" s="253"/>
      <c r="G1" s="253"/>
    </row>
    <row r="2" spans="1:7">
      <c r="A2" s="246" t="s">
        <v>242</v>
      </c>
      <c r="B2" s="246"/>
      <c r="C2" s="246"/>
      <c r="D2" s="246"/>
      <c r="E2" s="246"/>
      <c r="F2" s="246"/>
      <c r="G2" s="246"/>
    </row>
    <row r="3" spans="1:7">
      <c r="A3" s="246" t="s">
        <v>146</v>
      </c>
      <c r="B3" s="246"/>
      <c r="C3" s="246"/>
      <c r="D3" s="246"/>
      <c r="E3" s="246"/>
      <c r="F3" s="246"/>
      <c r="G3" s="246"/>
    </row>
    <row r="4" spans="1:7" ht="13.5" thickBot="1">
      <c r="A4" s="246" t="s">
        <v>109</v>
      </c>
      <c r="B4" s="246"/>
      <c r="C4" s="246"/>
      <c r="D4" s="246"/>
      <c r="E4" s="246"/>
      <c r="F4" s="246"/>
      <c r="G4" s="246"/>
    </row>
    <row r="5" spans="1:7" ht="51.75" thickBot="1">
      <c r="A5" s="272" t="s">
        <v>141</v>
      </c>
      <c r="B5" s="273" t="s">
        <v>108</v>
      </c>
      <c r="C5" s="273" t="s">
        <v>27</v>
      </c>
      <c r="D5" s="274" t="s">
        <v>90</v>
      </c>
      <c r="E5" s="273" t="s">
        <v>5</v>
      </c>
      <c r="F5" s="275" t="s">
        <v>148</v>
      </c>
      <c r="G5" s="276" t="s">
        <v>147</v>
      </c>
    </row>
    <row r="6" spans="1:7">
      <c r="A6" s="243" t="s">
        <v>6</v>
      </c>
      <c r="B6" s="198" t="s">
        <v>149</v>
      </c>
      <c r="C6" s="198"/>
      <c r="D6" s="198"/>
      <c r="E6" s="198"/>
      <c r="F6" s="198"/>
      <c r="G6" s="199"/>
    </row>
    <row r="7" spans="1:7" ht="25.5">
      <c r="A7" s="244"/>
      <c r="B7" s="73" t="s">
        <v>7</v>
      </c>
      <c r="C7" s="205" t="s">
        <v>313</v>
      </c>
      <c r="D7" s="2" t="s">
        <v>312</v>
      </c>
      <c r="E7" s="3">
        <f>'estructura de cálculo'!E19*4</f>
        <v>433037.3521352</v>
      </c>
      <c r="F7" s="4">
        <v>20.32</v>
      </c>
      <c r="G7" s="266">
        <f>E7*F7</f>
        <v>8799318.9953872636</v>
      </c>
    </row>
    <row r="8" spans="1:7" ht="25.5">
      <c r="A8" s="244"/>
      <c r="B8" s="70" t="s">
        <v>8</v>
      </c>
      <c r="C8" s="206"/>
      <c r="D8" s="2" t="s">
        <v>315</v>
      </c>
      <c r="E8" s="3">
        <f>'estructura de cálculo'!E19*3</f>
        <v>324778.01410139998</v>
      </c>
      <c r="F8" s="58"/>
      <c r="G8" s="59"/>
    </row>
    <row r="9" spans="1:7" ht="25.5">
      <c r="A9" s="244"/>
      <c r="B9" s="70" t="s">
        <v>9</v>
      </c>
      <c r="C9" s="206"/>
      <c r="D9" s="2" t="s">
        <v>317</v>
      </c>
      <c r="E9" s="3">
        <f>'estructura de cálculo'!E19</f>
        <v>108259.3380338</v>
      </c>
      <c r="F9" s="58"/>
      <c r="G9" s="59"/>
    </row>
    <row r="10" spans="1:7" ht="25.5">
      <c r="A10" s="244"/>
      <c r="B10" s="70" t="s">
        <v>110</v>
      </c>
      <c r="C10" s="206"/>
      <c r="D10" s="2" t="s">
        <v>318</v>
      </c>
      <c r="E10" s="3">
        <f>'estructura de cálculo'!E19</f>
        <v>108259.3380338</v>
      </c>
      <c r="F10" s="58"/>
      <c r="G10" s="59"/>
    </row>
    <row r="11" spans="1:7" ht="38.25">
      <c r="A11" s="244"/>
      <c r="B11" s="70" t="s">
        <v>17</v>
      </c>
      <c r="C11" s="207"/>
      <c r="D11" s="2" t="s">
        <v>319</v>
      </c>
      <c r="E11" s="3">
        <f>'estructura de cálculo'!E19</f>
        <v>108259.3380338</v>
      </c>
      <c r="F11" s="58"/>
      <c r="G11" s="59"/>
    </row>
    <row r="12" spans="1:7" ht="25.5">
      <c r="A12" s="244"/>
      <c r="B12" s="70" t="s">
        <v>112</v>
      </c>
      <c r="C12" s="70" t="s">
        <v>411</v>
      </c>
      <c r="D12" s="2" t="s">
        <v>111</v>
      </c>
      <c r="E12" s="3">
        <f>'estructura de cálculo'!E19*0.05</f>
        <v>5412.9669016900007</v>
      </c>
      <c r="F12" s="58"/>
      <c r="G12" s="59"/>
    </row>
    <row r="13" spans="1:7" ht="102">
      <c r="A13" s="244"/>
      <c r="B13" s="73" t="s">
        <v>113</v>
      </c>
      <c r="C13" s="70" t="s">
        <v>320</v>
      </c>
      <c r="D13" s="2" t="s">
        <v>166</v>
      </c>
      <c r="E13" s="3">
        <f>'estructura de cálculo'!E19*0.1+'Primer nivel de atención'!E12</f>
        <v>23534.638703000004</v>
      </c>
      <c r="F13" s="58"/>
      <c r="G13" s="59"/>
    </row>
    <row r="14" spans="1:7" ht="38.25">
      <c r="A14" s="244"/>
      <c r="B14" s="70" t="s">
        <v>114</v>
      </c>
      <c r="C14" s="70" t="s">
        <v>321</v>
      </c>
      <c r="D14" s="2" t="s">
        <v>191</v>
      </c>
      <c r="E14" s="3">
        <f>E13*0.2</f>
        <v>4706.927740600001</v>
      </c>
      <c r="F14" s="58"/>
      <c r="G14" s="59"/>
    </row>
    <row r="15" spans="1:7" ht="25.5">
      <c r="A15" s="244"/>
      <c r="B15" s="73" t="s">
        <v>115</v>
      </c>
      <c r="C15" s="70" t="s">
        <v>322</v>
      </c>
      <c r="D15" s="70" t="s">
        <v>167</v>
      </c>
      <c r="E15" s="3">
        <f>'estructura de cálculo'!E19</f>
        <v>108259.3380338</v>
      </c>
      <c r="F15" s="58"/>
      <c r="G15" s="59"/>
    </row>
    <row r="16" spans="1:7">
      <c r="A16" s="244"/>
      <c r="B16" s="200" t="s">
        <v>142</v>
      </c>
      <c r="C16" s="200"/>
      <c r="D16" s="200"/>
      <c r="E16" s="200"/>
      <c r="F16" s="200"/>
      <c r="G16" s="201"/>
    </row>
    <row r="17" spans="1:7" ht="63.75">
      <c r="A17" s="244"/>
      <c r="B17" s="73" t="s">
        <v>324</v>
      </c>
      <c r="C17" s="70" t="s">
        <v>325</v>
      </c>
      <c r="D17" s="70" t="s">
        <v>323</v>
      </c>
      <c r="E17" s="3">
        <f>'estructura de cálculo'!D19</f>
        <v>235346.38702999998</v>
      </c>
      <c r="F17" s="58"/>
      <c r="G17" s="59"/>
    </row>
    <row r="18" spans="1:7" ht="76.5">
      <c r="A18" s="244"/>
      <c r="B18" s="73" t="s">
        <v>116</v>
      </c>
      <c r="C18" s="70" t="s">
        <v>326</v>
      </c>
      <c r="D18" s="70" t="s">
        <v>327</v>
      </c>
      <c r="E18" s="3">
        <f>E13-E14</f>
        <v>18827.710962400004</v>
      </c>
      <c r="F18" s="58"/>
      <c r="G18" s="59"/>
    </row>
    <row r="19" spans="1:7">
      <c r="A19" s="244"/>
      <c r="B19" s="200" t="s">
        <v>168</v>
      </c>
      <c r="C19" s="200"/>
      <c r="D19" s="200"/>
      <c r="E19" s="200"/>
      <c r="F19" s="200"/>
      <c r="G19" s="201"/>
    </row>
    <row r="20" spans="1:7" ht="38.25">
      <c r="A20" s="244"/>
      <c r="B20" s="73" t="s">
        <v>18</v>
      </c>
      <c r="C20" s="70" t="s">
        <v>328</v>
      </c>
      <c r="D20" s="2" t="s">
        <v>194</v>
      </c>
      <c r="E20" s="3">
        <f>'estructura de cálculo'!D19</f>
        <v>235346.38702999998</v>
      </c>
      <c r="F20" s="58"/>
      <c r="G20" s="59"/>
    </row>
    <row r="21" spans="1:7" ht="25.5">
      <c r="A21" s="244"/>
      <c r="B21" s="73" t="s">
        <v>117</v>
      </c>
      <c r="C21" s="205" t="s">
        <v>329</v>
      </c>
      <c r="D21" s="2" t="s">
        <v>331</v>
      </c>
      <c r="E21" s="3">
        <f>'estructura de cálculo'!E19</f>
        <v>108259.3380338</v>
      </c>
      <c r="F21" s="58"/>
      <c r="G21" s="59"/>
    </row>
    <row r="22" spans="1:7" ht="25.5">
      <c r="A22" s="244"/>
      <c r="B22" s="70" t="s">
        <v>118</v>
      </c>
      <c r="C22" s="206"/>
      <c r="D22" s="2" t="s">
        <v>159</v>
      </c>
      <c r="E22" s="3">
        <f>'estructura de cálculo'!E19</f>
        <v>108259.3380338</v>
      </c>
      <c r="F22" s="58"/>
      <c r="G22" s="59"/>
    </row>
    <row r="23" spans="1:7">
      <c r="A23" s="244"/>
      <c r="B23" s="70" t="s">
        <v>119</v>
      </c>
      <c r="C23" s="207"/>
      <c r="D23" s="2" t="s">
        <v>160</v>
      </c>
      <c r="E23" s="3">
        <f>'estructura de cálculo'!E19</f>
        <v>108259.3380338</v>
      </c>
      <c r="F23" s="58"/>
      <c r="G23" s="59"/>
    </row>
    <row r="24" spans="1:7" ht="26.25" thickBot="1">
      <c r="A24" s="245"/>
      <c r="B24" s="98" t="s">
        <v>330</v>
      </c>
      <c r="C24" s="170" t="s">
        <v>490</v>
      </c>
      <c r="D24" s="7" t="s">
        <v>192</v>
      </c>
      <c r="E24" s="8">
        <f>E20*0.2</f>
        <v>47069.277406000001</v>
      </c>
      <c r="F24" s="60"/>
      <c r="G24" s="61"/>
    </row>
    <row r="25" spans="1:7">
      <c r="A25" s="247" t="s">
        <v>164</v>
      </c>
      <c r="B25" s="202" t="s">
        <v>161</v>
      </c>
      <c r="C25" s="202"/>
      <c r="D25" s="202"/>
      <c r="E25" s="202"/>
      <c r="F25" s="202"/>
      <c r="G25" s="203"/>
    </row>
    <row r="26" spans="1:7" ht="25.5">
      <c r="A26" s="248"/>
      <c r="B26" s="76" t="s">
        <v>120</v>
      </c>
      <c r="C26" s="174" t="s">
        <v>338</v>
      </c>
      <c r="D26" s="9" t="s">
        <v>332</v>
      </c>
      <c r="E26" s="10">
        <f>'estructura de cálculo'!D19</f>
        <v>235346.38702999998</v>
      </c>
      <c r="F26" s="62"/>
      <c r="G26" s="99"/>
    </row>
    <row r="27" spans="1:7" ht="25.5">
      <c r="A27" s="248"/>
      <c r="B27" s="74" t="s">
        <v>121</v>
      </c>
      <c r="C27" s="175"/>
      <c r="D27" s="9" t="s">
        <v>38</v>
      </c>
      <c r="E27" s="10">
        <f>'estructura de cálculo'!D19</f>
        <v>235346.38702999998</v>
      </c>
      <c r="F27" s="62"/>
      <c r="G27" s="99"/>
    </row>
    <row r="28" spans="1:7" ht="25.5">
      <c r="A28" s="248"/>
      <c r="B28" s="74" t="s">
        <v>122</v>
      </c>
      <c r="C28" s="175"/>
      <c r="D28" s="9" t="s">
        <v>333</v>
      </c>
      <c r="E28" s="10">
        <f>'estructura de cálculo'!E19</f>
        <v>108259.3380338</v>
      </c>
      <c r="F28" s="62"/>
      <c r="G28" s="99"/>
    </row>
    <row r="29" spans="1:7">
      <c r="A29" s="248"/>
      <c r="B29" s="74" t="s">
        <v>123</v>
      </c>
      <c r="C29" s="175"/>
      <c r="D29" s="9" t="s">
        <v>334</v>
      </c>
      <c r="E29" s="10">
        <f>'estructura de cálculo'!D19</f>
        <v>235346.38702999998</v>
      </c>
      <c r="F29" s="62"/>
      <c r="G29" s="99"/>
    </row>
    <row r="30" spans="1:7">
      <c r="A30" s="248"/>
      <c r="B30" s="74" t="s">
        <v>124</v>
      </c>
      <c r="C30" s="176"/>
      <c r="D30" s="9" t="s">
        <v>335</v>
      </c>
      <c r="E30" s="10">
        <f>'estructura de cálculo'!D19</f>
        <v>235346.38702999998</v>
      </c>
      <c r="F30" s="62"/>
      <c r="G30" s="99"/>
    </row>
    <row r="31" spans="1:7" ht="51">
      <c r="A31" s="248"/>
      <c r="B31" s="76" t="s">
        <v>336</v>
      </c>
      <c r="C31" s="74" t="s">
        <v>339</v>
      </c>
      <c r="D31" s="9" t="s">
        <v>337</v>
      </c>
      <c r="E31" s="10">
        <f>'estructura de cálculo'!E19*0.1</f>
        <v>10825.933803380001</v>
      </c>
      <c r="F31" s="62"/>
      <c r="G31" s="99"/>
    </row>
    <row r="32" spans="1:7" ht="38.25">
      <c r="A32" s="248"/>
      <c r="B32" s="76" t="s">
        <v>340</v>
      </c>
      <c r="C32" s="74" t="s">
        <v>341</v>
      </c>
      <c r="D32" s="9" t="s">
        <v>342</v>
      </c>
      <c r="E32" s="10">
        <f>'Primer nivel de atención'!E23</f>
        <v>381.26114698859999</v>
      </c>
      <c r="F32" s="62"/>
      <c r="G32" s="99"/>
    </row>
    <row r="33" spans="1:7" ht="51.75" thickBot="1">
      <c r="A33" s="249"/>
      <c r="B33" s="77" t="s">
        <v>343</v>
      </c>
      <c r="C33" s="75" t="s">
        <v>491</v>
      </c>
      <c r="D33" s="13" t="s">
        <v>193</v>
      </c>
      <c r="E33" s="14">
        <f>11207*0.03</f>
        <v>336.21</v>
      </c>
      <c r="F33" s="100"/>
      <c r="G33" s="101"/>
    </row>
    <row r="34" spans="1:7">
      <c r="A34" s="277" t="s">
        <v>196</v>
      </c>
      <c r="B34" s="220" t="s">
        <v>158</v>
      </c>
      <c r="C34" s="220"/>
      <c r="D34" s="220"/>
      <c r="E34" s="220"/>
      <c r="F34" s="220"/>
      <c r="G34" s="221"/>
    </row>
    <row r="35" spans="1:7" ht="38.25">
      <c r="A35" s="267"/>
      <c r="B35" s="79" t="s">
        <v>349</v>
      </c>
      <c r="C35" s="256" t="s">
        <v>345</v>
      </c>
      <c r="D35" s="17" t="s">
        <v>344</v>
      </c>
      <c r="E35" s="18">
        <f>'estructura de cálculo'!E5*5</f>
        <v>642260.29020487005</v>
      </c>
      <c r="F35" s="63"/>
      <c r="G35" s="268"/>
    </row>
    <row r="36" spans="1:7" ht="38.25">
      <c r="A36" s="267"/>
      <c r="B36" s="78" t="s">
        <v>350</v>
      </c>
      <c r="C36" s="257"/>
      <c r="D36" s="17" t="s">
        <v>346</v>
      </c>
      <c r="E36" s="18">
        <f>'estructura de cálculo'!E5*3</f>
        <v>385356.17412292201</v>
      </c>
      <c r="F36" s="63"/>
      <c r="G36" s="268"/>
    </row>
    <row r="37" spans="1:7" ht="25.5">
      <c r="A37" s="267"/>
      <c r="B37" s="78" t="s">
        <v>351</v>
      </c>
      <c r="C37" s="257"/>
      <c r="D37" s="17" t="s">
        <v>44</v>
      </c>
      <c r="E37" s="18">
        <f>'estructura de cálculo'!E5</f>
        <v>128452.05804097401</v>
      </c>
      <c r="F37" s="63"/>
      <c r="G37" s="268"/>
    </row>
    <row r="38" spans="1:7" ht="25.5">
      <c r="A38" s="267"/>
      <c r="B38" s="79" t="s">
        <v>352</v>
      </c>
      <c r="C38" s="258"/>
      <c r="D38" s="17" t="s">
        <v>45</v>
      </c>
      <c r="E38" s="18">
        <f>'estructura de cálculo'!E5</f>
        <v>128452.05804097401</v>
      </c>
      <c r="F38" s="63"/>
      <c r="G38" s="268"/>
    </row>
    <row r="39" spans="1:7" ht="38.25">
      <c r="A39" s="267"/>
      <c r="B39" s="79" t="s">
        <v>353</v>
      </c>
      <c r="C39" s="78" t="s">
        <v>206</v>
      </c>
      <c r="D39" s="17" t="s">
        <v>347</v>
      </c>
      <c r="E39" s="18">
        <f>'estructura de cálculo'!E5*0.2</f>
        <v>25690.411608194801</v>
      </c>
      <c r="F39" s="63"/>
      <c r="G39" s="268"/>
    </row>
    <row r="40" spans="1:7" ht="38.25">
      <c r="A40" s="267"/>
      <c r="B40" s="79" t="s">
        <v>354</v>
      </c>
      <c r="C40" s="78" t="s">
        <v>348</v>
      </c>
      <c r="D40" s="17" t="s">
        <v>195</v>
      </c>
      <c r="E40" s="18">
        <f>'Primer nivel de atención'!E30</f>
        <v>3015.8309279185205</v>
      </c>
      <c r="F40" s="63"/>
      <c r="G40" s="268"/>
    </row>
    <row r="41" spans="1:7" ht="38.25">
      <c r="A41" s="267"/>
      <c r="B41" s="79" t="s">
        <v>359</v>
      </c>
      <c r="C41" s="78" t="s">
        <v>355</v>
      </c>
      <c r="D41" s="17" t="s">
        <v>356</v>
      </c>
      <c r="E41" s="18">
        <f>E39*0.05</f>
        <v>1284.5205804097402</v>
      </c>
      <c r="F41" s="63"/>
      <c r="G41" s="268"/>
    </row>
    <row r="42" spans="1:7" ht="25.5">
      <c r="A42" s="267"/>
      <c r="B42" s="79" t="s">
        <v>360</v>
      </c>
      <c r="C42" s="78" t="s">
        <v>357</v>
      </c>
      <c r="D42" s="78" t="s">
        <v>358</v>
      </c>
      <c r="E42" s="18">
        <f>'estructura de cálculo'!E5*0.05</f>
        <v>6422.6029020487003</v>
      </c>
      <c r="F42" s="63"/>
      <c r="G42" s="268"/>
    </row>
    <row r="43" spans="1:7" ht="64.5" thickBot="1">
      <c r="A43" s="278"/>
      <c r="B43" s="80" t="s">
        <v>361</v>
      </c>
      <c r="C43" s="109" t="s">
        <v>357</v>
      </c>
      <c r="D43" s="109" t="s">
        <v>91</v>
      </c>
      <c r="E43" s="22">
        <f>'estructura de cálculo'!E5*0.05</f>
        <v>6422.6029020487003</v>
      </c>
      <c r="F43" s="279"/>
      <c r="G43" s="280"/>
    </row>
    <row r="44" spans="1:7">
      <c r="A44" s="281" t="s">
        <v>197</v>
      </c>
      <c r="B44" s="213" t="s">
        <v>163</v>
      </c>
      <c r="C44" s="213"/>
      <c r="D44" s="213"/>
      <c r="E44" s="213"/>
      <c r="F44" s="213"/>
      <c r="G44" s="214"/>
    </row>
    <row r="45" spans="1:7" ht="51">
      <c r="A45" s="269"/>
      <c r="B45" s="81" t="s">
        <v>365</v>
      </c>
      <c r="C45" s="180" t="s">
        <v>207</v>
      </c>
      <c r="D45" s="25" t="s">
        <v>492</v>
      </c>
      <c r="E45" s="71">
        <f>'estructura de cálculo'!E8*8</f>
        <v>4888050.3200582881</v>
      </c>
      <c r="F45" s="25"/>
      <c r="G45" s="270"/>
    </row>
    <row r="46" spans="1:7" ht="25.5">
      <c r="A46" s="269"/>
      <c r="B46" s="82" t="s">
        <v>366</v>
      </c>
      <c r="C46" s="181"/>
      <c r="D46" s="25" t="s">
        <v>49</v>
      </c>
      <c r="E46" s="71">
        <f>'estructura de cálculo'!E8</f>
        <v>611006.29000728601</v>
      </c>
      <c r="F46" s="25"/>
      <c r="G46" s="270"/>
    </row>
    <row r="47" spans="1:7" ht="25.5">
      <c r="A47" s="269"/>
      <c r="B47" s="82" t="s">
        <v>367</v>
      </c>
      <c r="C47" s="181"/>
      <c r="D47" s="25" t="s">
        <v>362</v>
      </c>
      <c r="E47" s="71">
        <f>'estructura de cálculo'!E8</f>
        <v>611006.29000728601</v>
      </c>
      <c r="F47" s="25"/>
      <c r="G47" s="270"/>
    </row>
    <row r="48" spans="1:7" ht="25.5">
      <c r="A48" s="269"/>
      <c r="B48" s="82" t="s">
        <v>368</v>
      </c>
      <c r="C48" s="182"/>
      <c r="D48" s="25" t="s">
        <v>363</v>
      </c>
      <c r="E48" s="71">
        <f>'estructura de cálculo'!E8</f>
        <v>611006.29000728601</v>
      </c>
      <c r="F48" s="25"/>
      <c r="G48" s="270"/>
    </row>
    <row r="49" spans="1:7" ht="25.5">
      <c r="A49" s="269"/>
      <c r="B49" s="82" t="s">
        <v>369</v>
      </c>
      <c r="C49" s="82" t="s">
        <v>208</v>
      </c>
      <c r="D49" s="25" t="s">
        <v>364</v>
      </c>
      <c r="E49" s="71">
        <f>'estructura de cálculo'!E7</f>
        <v>461984.95773989003</v>
      </c>
      <c r="F49" s="25"/>
      <c r="G49" s="270"/>
    </row>
    <row r="50" spans="1:7" ht="38.25">
      <c r="A50" s="269"/>
      <c r="B50" s="81" t="s">
        <v>370</v>
      </c>
      <c r="C50" s="82" t="s">
        <v>51</v>
      </c>
      <c r="D50" s="25" t="s">
        <v>371</v>
      </c>
      <c r="E50" s="71">
        <f>'estructura de cálculo'!E8*0.2</f>
        <v>122201.2580014572</v>
      </c>
      <c r="F50" s="25"/>
      <c r="G50" s="270"/>
    </row>
    <row r="51" spans="1:7" ht="25.5">
      <c r="A51" s="269"/>
      <c r="B51" s="81" t="s">
        <v>373</v>
      </c>
      <c r="C51" s="82" t="s">
        <v>372</v>
      </c>
      <c r="D51" s="25" t="s">
        <v>195</v>
      </c>
      <c r="E51" s="71">
        <f>'Primer nivel de atención'!E38</f>
        <v>7172.6825348681414</v>
      </c>
      <c r="F51" s="25"/>
      <c r="G51" s="270"/>
    </row>
    <row r="52" spans="1:7" ht="63.75">
      <c r="A52" s="269"/>
      <c r="B52" s="81" t="s">
        <v>374</v>
      </c>
      <c r="C52" s="82" t="s">
        <v>375</v>
      </c>
      <c r="D52" s="25" t="s">
        <v>356</v>
      </c>
      <c r="E52" s="71">
        <f>E50*0.05</f>
        <v>6110.0629000728604</v>
      </c>
      <c r="F52" s="25"/>
      <c r="G52" s="270"/>
    </row>
    <row r="53" spans="1:7" ht="26.25" thickBot="1">
      <c r="A53" s="271"/>
      <c r="B53" s="88" t="s">
        <v>376</v>
      </c>
      <c r="C53" s="85" t="s">
        <v>377</v>
      </c>
      <c r="D53" s="282" t="s">
        <v>198</v>
      </c>
      <c r="E53" s="283">
        <f>'estructura de cálculo'!E8*0.04</f>
        <v>24440.251600291442</v>
      </c>
      <c r="F53" s="282"/>
      <c r="G53" s="284"/>
    </row>
    <row r="54" spans="1:7">
      <c r="A54" s="250" t="s">
        <v>143</v>
      </c>
      <c r="B54" s="231" t="s">
        <v>392</v>
      </c>
      <c r="C54" s="231"/>
      <c r="D54" s="231"/>
      <c r="E54" s="231"/>
      <c r="F54" s="231"/>
      <c r="G54" s="232"/>
    </row>
    <row r="55" spans="1:7" ht="38.25">
      <c r="A55" s="251"/>
      <c r="B55" s="89" t="s">
        <v>380</v>
      </c>
      <c r="C55" s="183" t="s">
        <v>384</v>
      </c>
      <c r="D55" s="28" t="s">
        <v>55</v>
      </c>
      <c r="E55" s="29">
        <f>'estructura de cálculo'!E10</f>
        <v>1574370.6115374002</v>
      </c>
      <c r="F55" s="30"/>
      <c r="G55" s="31"/>
    </row>
    <row r="56" spans="1:7" ht="25.5">
      <c r="A56" s="251"/>
      <c r="B56" s="89" t="s">
        <v>378</v>
      </c>
      <c r="C56" s="184"/>
      <c r="D56" s="28" t="s">
        <v>379</v>
      </c>
      <c r="E56" s="29">
        <f>'estructura de cálculo'!E10</f>
        <v>1574370.6115374002</v>
      </c>
      <c r="F56" s="30"/>
      <c r="G56" s="31"/>
    </row>
    <row r="57" spans="1:7" ht="25.5">
      <c r="A57" s="251"/>
      <c r="B57" s="89" t="s">
        <v>381</v>
      </c>
      <c r="C57" s="185"/>
      <c r="D57" s="28" t="s">
        <v>382</v>
      </c>
      <c r="E57" s="29">
        <f>'estructura de cálculo'!E10</f>
        <v>1574370.6115374002</v>
      </c>
      <c r="F57" s="30"/>
      <c r="G57" s="31"/>
    </row>
    <row r="58" spans="1:7" ht="25.5">
      <c r="A58" s="251"/>
      <c r="B58" s="89" t="s">
        <v>383</v>
      </c>
      <c r="C58" s="90" t="s">
        <v>61</v>
      </c>
      <c r="D58" s="28" t="s">
        <v>385</v>
      </c>
      <c r="E58" s="29">
        <f>'estructura de cálculo'!E10*0.1</f>
        <v>157437.06115374004</v>
      </c>
      <c r="F58" s="30"/>
      <c r="G58" s="31"/>
    </row>
    <row r="59" spans="1:7" ht="38.25">
      <c r="A59" s="251"/>
      <c r="B59" s="102" t="s">
        <v>388</v>
      </c>
      <c r="C59" s="110" t="s">
        <v>386</v>
      </c>
      <c r="D59" s="65" t="s">
        <v>387</v>
      </c>
      <c r="E59" s="66">
        <f>'Primer nivel de atención'!E44</f>
        <v>9240.8709807630021</v>
      </c>
      <c r="F59" s="67"/>
      <c r="G59" s="68"/>
    </row>
    <row r="60" spans="1:7" ht="51">
      <c r="A60" s="251"/>
      <c r="B60" s="89" t="s">
        <v>389</v>
      </c>
      <c r="C60" s="90" t="s">
        <v>390</v>
      </c>
      <c r="D60" s="28" t="s">
        <v>356</v>
      </c>
      <c r="E60" s="29">
        <f>E58*0.05</f>
        <v>7871.8530576870025</v>
      </c>
      <c r="F60" s="30"/>
      <c r="G60" s="31"/>
    </row>
    <row r="61" spans="1:7" ht="26.25" thickBot="1">
      <c r="A61" s="252"/>
      <c r="B61" s="91" t="s">
        <v>393</v>
      </c>
      <c r="C61" s="111" t="s">
        <v>391</v>
      </c>
      <c r="D61" s="32" t="s">
        <v>198</v>
      </c>
      <c r="E61" s="64">
        <f>'estructura de cálculo'!E10*0.04</f>
        <v>62974.824461496006</v>
      </c>
      <c r="F61" s="33"/>
      <c r="G61" s="34"/>
    </row>
    <row r="62" spans="1:7">
      <c r="A62" s="285" t="s">
        <v>144</v>
      </c>
      <c r="B62" s="236" t="s">
        <v>170</v>
      </c>
      <c r="C62" s="236"/>
      <c r="D62" s="236"/>
      <c r="E62" s="236"/>
      <c r="F62" s="236"/>
      <c r="G62" s="237"/>
    </row>
    <row r="63" spans="1:7" ht="25.5">
      <c r="A63" s="286"/>
      <c r="B63" s="155" t="s">
        <v>394</v>
      </c>
      <c r="C63" s="186" t="s">
        <v>398</v>
      </c>
      <c r="D63" s="157" t="s">
        <v>63</v>
      </c>
      <c r="E63" s="158">
        <f>'estructura de cálculo'!E11*0.3/100</f>
        <v>1606.8677564862003</v>
      </c>
      <c r="F63" s="159"/>
      <c r="G63" s="160"/>
    </row>
    <row r="64" spans="1:7" ht="38.25">
      <c r="A64" s="286"/>
      <c r="B64" s="155" t="s">
        <v>395</v>
      </c>
      <c r="C64" s="187"/>
      <c r="D64" s="157" t="s">
        <v>397</v>
      </c>
      <c r="E64" s="158">
        <f>'estructura de cálculo'!E11*0.3/100</f>
        <v>1606.8677564862003</v>
      </c>
      <c r="F64" s="159"/>
      <c r="G64" s="160"/>
    </row>
    <row r="65" spans="1:7" ht="25.5">
      <c r="A65" s="286"/>
      <c r="B65" s="155" t="s">
        <v>396</v>
      </c>
      <c r="C65" s="188"/>
      <c r="D65" s="157" t="s">
        <v>65</v>
      </c>
      <c r="E65" s="158">
        <f>'estructura de cálculo'!E11*0.3/100</f>
        <v>1606.8677564862003</v>
      </c>
      <c r="F65" s="159"/>
      <c r="G65" s="160"/>
    </row>
    <row r="66" spans="1:7" ht="25.5">
      <c r="A66" s="286"/>
      <c r="B66" s="155" t="s">
        <v>399</v>
      </c>
      <c r="C66" s="161" t="s">
        <v>400</v>
      </c>
      <c r="D66" s="157" t="s">
        <v>401</v>
      </c>
      <c r="E66" s="158">
        <f>'estructura de cálculo'!E11*0.01</f>
        <v>5356.2258549540011</v>
      </c>
      <c r="F66" s="159"/>
      <c r="G66" s="160"/>
    </row>
    <row r="67" spans="1:7" ht="25.5">
      <c r="A67" s="286"/>
      <c r="B67" s="155" t="s">
        <v>402</v>
      </c>
      <c r="C67" s="161" t="s">
        <v>212</v>
      </c>
      <c r="D67" s="157" t="s">
        <v>66</v>
      </c>
      <c r="E67" s="158">
        <f>'estructura de cálculo'!E11*0.03</f>
        <v>16068.677564862002</v>
      </c>
      <c r="F67" s="159"/>
      <c r="G67" s="160"/>
    </row>
    <row r="68" spans="1:7" ht="38.25">
      <c r="A68" s="286"/>
      <c r="B68" s="287" t="s">
        <v>403</v>
      </c>
      <c r="C68" s="156" t="s">
        <v>404</v>
      </c>
      <c r="D68" s="288" t="s">
        <v>189</v>
      </c>
      <c r="E68" s="289">
        <f>'Primer nivel de atención'!E51</f>
        <v>1886.3230184838005</v>
      </c>
      <c r="F68" s="290"/>
      <c r="G68" s="291"/>
    </row>
    <row r="69" spans="1:7" ht="51">
      <c r="A69" s="286"/>
      <c r="B69" s="155" t="s">
        <v>405</v>
      </c>
      <c r="C69" s="161" t="s">
        <v>406</v>
      </c>
      <c r="D69" s="157" t="s">
        <v>407</v>
      </c>
      <c r="E69" s="158">
        <f>E67*0.1</f>
        <v>1606.8677564862003</v>
      </c>
      <c r="F69" s="159"/>
      <c r="G69" s="160"/>
    </row>
    <row r="70" spans="1:7" ht="25.5">
      <c r="A70" s="286"/>
      <c r="B70" s="155" t="s">
        <v>409</v>
      </c>
      <c r="C70" s="161" t="s">
        <v>408</v>
      </c>
      <c r="D70" s="157" t="s">
        <v>199</v>
      </c>
      <c r="E70" s="158">
        <f>'estructura de cálculo'!E11*0.04</f>
        <v>21424.903419816004</v>
      </c>
      <c r="F70" s="159"/>
      <c r="G70" s="160"/>
    </row>
    <row r="71" spans="1:7" ht="26.25" thickBot="1">
      <c r="A71" s="292"/>
      <c r="B71" s="162" t="s">
        <v>410</v>
      </c>
      <c r="C71" s="163" t="s">
        <v>469</v>
      </c>
      <c r="D71" s="164" t="s">
        <v>200</v>
      </c>
      <c r="E71" s="165">
        <f>'estructura de cálculo'!E11*0.1</f>
        <v>53562.258549540013</v>
      </c>
      <c r="F71" s="166"/>
      <c r="G71" s="167"/>
    </row>
    <row r="72" spans="1:7">
      <c r="A72" s="189" t="s">
        <v>188</v>
      </c>
      <c r="B72" s="238" t="s">
        <v>171</v>
      </c>
      <c r="C72" s="238"/>
      <c r="D72" s="238"/>
      <c r="E72" s="238"/>
      <c r="F72" s="238"/>
      <c r="G72" s="239"/>
    </row>
    <row r="73" spans="1:7" ht="63.75">
      <c r="A73" s="190"/>
      <c r="B73" s="93" t="s">
        <v>412</v>
      </c>
      <c r="C73" s="92" t="s">
        <v>69</v>
      </c>
      <c r="D73" s="35" t="s">
        <v>413</v>
      </c>
      <c r="E73" s="36">
        <f>'estructura de cálculo'!E13*0.1</f>
        <v>112966.26577440003</v>
      </c>
      <c r="F73" s="37"/>
      <c r="G73" s="38"/>
    </row>
    <row r="74" spans="1:7" ht="38.25">
      <c r="A74" s="190"/>
      <c r="B74" s="93" t="s">
        <v>422</v>
      </c>
      <c r="C74" s="92" t="s">
        <v>414</v>
      </c>
      <c r="D74" s="35" t="s">
        <v>415</v>
      </c>
      <c r="E74" s="36">
        <f>'estructura de cálculo'!E13*0.1</f>
        <v>112966.26577440003</v>
      </c>
      <c r="F74" s="37"/>
      <c r="G74" s="38"/>
    </row>
    <row r="75" spans="1:7" ht="38.25">
      <c r="A75" s="190"/>
      <c r="B75" s="93" t="s">
        <v>298</v>
      </c>
      <c r="C75" s="92" t="s">
        <v>416</v>
      </c>
      <c r="D75" s="35" t="s">
        <v>417</v>
      </c>
      <c r="E75" s="36">
        <f>'estructura de cálculo'!E13*1.5/100</f>
        <v>16944.939866160003</v>
      </c>
      <c r="F75" s="37"/>
      <c r="G75" s="38"/>
    </row>
    <row r="76" spans="1:7" ht="51">
      <c r="A76" s="190"/>
      <c r="B76" s="92" t="s">
        <v>418</v>
      </c>
      <c r="C76" s="92" t="s">
        <v>73</v>
      </c>
      <c r="D76" s="35" t="s">
        <v>174</v>
      </c>
      <c r="E76" s="36">
        <f>E75*5.6/100</f>
        <v>948.91663250496015</v>
      </c>
      <c r="F76" s="37"/>
      <c r="G76" s="38"/>
    </row>
    <row r="77" spans="1:7" ht="25.5">
      <c r="A77" s="190"/>
      <c r="B77" s="93" t="s">
        <v>419</v>
      </c>
      <c r="C77" s="92" t="s">
        <v>216</v>
      </c>
      <c r="D77" s="35" t="s">
        <v>174</v>
      </c>
      <c r="E77" s="36">
        <f>'estructura de cálculo'!E13</f>
        <v>1129662.6577440002</v>
      </c>
      <c r="F77" s="37"/>
      <c r="G77" s="38"/>
    </row>
    <row r="78" spans="1:7" ht="25.5">
      <c r="A78" s="190"/>
      <c r="B78" s="93" t="s">
        <v>423</v>
      </c>
      <c r="C78" s="92" t="s">
        <v>420</v>
      </c>
      <c r="D78" s="35" t="s">
        <v>201</v>
      </c>
      <c r="E78" s="36">
        <f>'estructura de cálculo'!E13*0.01</f>
        <v>11296.626577440002</v>
      </c>
      <c r="F78" s="37"/>
      <c r="G78" s="38"/>
    </row>
    <row r="79" spans="1:7" ht="25.5">
      <c r="A79" s="190"/>
      <c r="B79" s="93" t="s">
        <v>424</v>
      </c>
      <c r="C79" s="92" t="s">
        <v>69</v>
      </c>
      <c r="D79" s="35" t="s">
        <v>493</v>
      </c>
      <c r="E79" s="36">
        <f>'estructura de cálculo'!E13*0.1</f>
        <v>112966.26577440003</v>
      </c>
      <c r="F79" s="37"/>
      <c r="G79" s="38"/>
    </row>
    <row r="80" spans="1:7" ht="38.25">
      <c r="A80" s="190"/>
      <c r="B80" s="93" t="s">
        <v>425</v>
      </c>
      <c r="C80" s="92" t="s">
        <v>421</v>
      </c>
      <c r="D80" s="35" t="s">
        <v>202</v>
      </c>
      <c r="E80" s="36">
        <f>'Primer nivel de atención'!E54</f>
        <v>13261.257286560003</v>
      </c>
      <c r="F80" s="37"/>
      <c r="G80" s="38"/>
    </row>
    <row r="81" spans="1:7" ht="25.5">
      <c r="A81" s="190"/>
      <c r="B81" s="93" t="s">
        <v>426</v>
      </c>
      <c r="C81" s="92" t="s">
        <v>470</v>
      </c>
      <c r="D81" s="35" t="s">
        <v>204</v>
      </c>
      <c r="E81" s="36">
        <f>'estructura de cálculo'!E13*0.2</f>
        <v>225932.53154880006</v>
      </c>
      <c r="F81" s="37"/>
      <c r="G81" s="38"/>
    </row>
    <row r="82" spans="1:7">
      <c r="A82" s="190"/>
      <c r="B82" s="240" t="s">
        <v>173</v>
      </c>
      <c r="C82" s="240"/>
      <c r="D82" s="240"/>
      <c r="E82" s="240"/>
      <c r="F82" s="240"/>
      <c r="G82" s="241"/>
    </row>
    <row r="83" spans="1:7" ht="63.75">
      <c r="A83" s="190"/>
      <c r="B83" s="93" t="s">
        <v>427</v>
      </c>
      <c r="C83" s="92" t="s">
        <v>75</v>
      </c>
      <c r="D83" s="35" t="s">
        <v>440</v>
      </c>
      <c r="E83" s="36">
        <f>'estructura de cálculo'!E14*0.1</f>
        <v>112966.26577440003</v>
      </c>
      <c r="F83" s="37"/>
      <c r="G83" s="38"/>
    </row>
    <row r="84" spans="1:7" ht="38.25">
      <c r="A84" s="190"/>
      <c r="B84" s="93" t="s">
        <v>428</v>
      </c>
      <c r="C84" s="92" t="s">
        <v>472</v>
      </c>
      <c r="D84" s="35" t="s">
        <v>415</v>
      </c>
      <c r="E84" s="36">
        <f>'estructura de cálculo'!E14*0.1</f>
        <v>112966.26577440003</v>
      </c>
      <c r="F84" s="37"/>
      <c r="G84" s="38"/>
    </row>
    <row r="85" spans="1:7" ht="38.25">
      <c r="A85" s="190"/>
      <c r="B85" s="93" t="s">
        <v>429</v>
      </c>
      <c r="C85" s="92" t="s">
        <v>473</v>
      </c>
      <c r="D85" s="35" t="s">
        <v>417</v>
      </c>
      <c r="E85" s="36">
        <f>'estructura de cálculo'!E14*1.5/100</f>
        <v>16944.939866160003</v>
      </c>
      <c r="F85" s="37"/>
      <c r="G85" s="38"/>
    </row>
    <row r="86" spans="1:7" ht="51">
      <c r="A86" s="190"/>
      <c r="B86" s="92" t="s">
        <v>430</v>
      </c>
      <c r="C86" s="92" t="s">
        <v>73</v>
      </c>
      <c r="D86" s="35" t="s">
        <v>74</v>
      </c>
      <c r="E86" s="36">
        <f>E85*5.6/100</f>
        <v>948.91663250496015</v>
      </c>
      <c r="F86" s="37"/>
      <c r="G86" s="38"/>
    </row>
    <row r="87" spans="1:7" ht="25.5">
      <c r="A87" s="190"/>
      <c r="B87" s="93" t="s">
        <v>431</v>
      </c>
      <c r="C87" s="92" t="s">
        <v>77</v>
      </c>
      <c r="D87" s="35" t="s">
        <v>74</v>
      </c>
      <c r="E87" s="36">
        <f>'estructura de cálculo'!E14</f>
        <v>1129662.6577440002</v>
      </c>
      <c r="F87" s="37"/>
      <c r="G87" s="38"/>
    </row>
    <row r="88" spans="1:7" ht="25.5">
      <c r="A88" s="190"/>
      <c r="B88" s="93" t="s">
        <v>432</v>
      </c>
      <c r="C88" s="92" t="s">
        <v>475</v>
      </c>
      <c r="D88" s="35" t="s">
        <v>201</v>
      </c>
      <c r="E88" s="36">
        <f>'estructura de cálculo'!E14*0.01</f>
        <v>11296.626577440002</v>
      </c>
      <c r="F88" s="37"/>
      <c r="G88" s="38"/>
    </row>
    <row r="89" spans="1:7" ht="25.5">
      <c r="A89" s="190"/>
      <c r="B89" s="93" t="s">
        <v>433</v>
      </c>
      <c r="C89" s="92" t="s">
        <v>75</v>
      </c>
      <c r="D89" s="35" t="s">
        <v>203</v>
      </c>
      <c r="E89" s="36">
        <f>'estructura de cálculo'!E14*0.1</f>
        <v>112966.26577440003</v>
      </c>
      <c r="F89" s="37"/>
      <c r="G89" s="38"/>
    </row>
    <row r="90" spans="1:7" ht="38.25">
      <c r="A90" s="190"/>
      <c r="B90" s="93" t="s">
        <v>434</v>
      </c>
      <c r="C90" s="92" t="s">
        <v>421</v>
      </c>
      <c r="D90" s="35" t="s">
        <v>202</v>
      </c>
      <c r="E90" s="36">
        <f>'Primer nivel de atención'!E60</f>
        <v>13261.257286560003</v>
      </c>
      <c r="F90" s="37"/>
      <c r="G90" s="38"/>
    </row>
    <row r="91" spans="1:7">
      <c r="A91" s="190"/>
      <c r="B91" s="93" t="s">
        <v>125</v>
      </c>
      <c r="C91" s="92" t="s">
        <v>77</v>
      </c>
      <c r="D91" s="35" t="s">
        <v>441</v>
      </c>
      <c r="E91" s="36">
        <f>'estructura de cálculo'!E14</f>
        <v>1129662.6577440002</v>
      </c>
      <c r="F91" s="37"/>
      <c r="G91" s="38"/>
    </row>
    <row r="92" spans="1:7" ht="25.5">
      <c r="A92" s="190"/>
      <c r="B92" s="93" t="s">
        <v>435</v>
      </c>
      <c r="C92" s="92" t="s">
        <v>442</v>
      </c>
      <c r="D92" s="35" t="s">
        <v>175</v>
      </c>
      <c r="E92" s="36">
        <f>'estructura de cálculo'!E18</f>
        <v>1871487.3653550001</v>
      </c>
      <c r="F92" s="37"/>
      <c r="G92" s="38"/>
    </row>
    <row r="93" spans="1:7" ht="25.5">
      <c r="A93" s="190"/>
      <c r="B93" s="93" t="s">
        <v>436</v>
      </c>
      <c r="C93" s="92" t="s">
        <v>224</v>
      </c>
      <c r="D93" s="35" t="s">
        <v>494</v>
      </c>
      <c r="E93" s="36">
        <f>'estructura de cálculo'!E14*0.2</f>
        <v>225932.53154880006</v>
      </c>
      <c r="F93" s="37"/>
      <c r="G93" s="38"/>
    </row>
    <row r="94" spans="1:7" ht="25.5">
      <c r="A94" s="190"/>
      <c r="B94" s="92" t="s">
        <v>437</v>
      </c>
      <c r="C94" s="222" t="s">
        <v>443</v>
      </c>
      <c r="D94" s="35" t="s">
        <v>176</v>
      </c>
      <c r="E94" s="36">
        <f>'estructura de cálculo'!E14</f>
        <v>1129662.6577440002</v>
      </c>
      <c r="F94" s="37"/>
      <c r="G94" s="38"/>
    </row>
    <row r="95" spans="1:7" ht="25.5">
      <c r="A95" s="190"/>
      <c r="B95" s="92" t="s">
        <v>438</v>
      </c>
      <c r="C95" s="223"/>
      <c r="D95" s="35" t="s">
        <v>177</v>
      </c>
      <c r="E95" s="36">
        <f>'estructura de cálculo'!E14</f>
        <v>1129662.6577440002</v>
      </c>
      <c r="F95" s="37"/>
      <c r="G95" s="38"/>
    </row>
    <row r="96" spans="1:7" ht="39" thickBot="1">
      <c r="A96" s="191"/>
      <c r="B96" s="94" t="s">
        <v>439</v>
      </c>
      <c r="C96" s="39" t="s">
        <v>81</v>
      </c>
      <c r="D96" s="39" t="s">
        <v>190</v>
      </c>
      <c r="E96" s="40">
        <f>E95*0.01</f>
        <v>11296.626577440002</v>
      </c>
      <c r="F96" s="41"/>
      <c r="G96" s="42"/>
    </row>
    <row r="97" spans="1:7">
      <c r="A97" s="259" t="s">
        <v>186</v>
      </c>
      <c r="B97" s="254" t="s">
        <v>179</v>
      </c>
      <c r="C97" s="208"/>
      <c r="D97" s="208"/>
      <c r="E97" s="208"/>
      <c r="F97" s="208"/>
      <c r="G97" s="209"/>
    </row>
    <row r="98" spans="1:7" ht="25.5">
      <c r="A98" s="260"/>
      <c r="B98" s="262" t="s">
        <v>444</v>
      </c>
      <c r="C98" s="96" t="s">
        <v>476</v>
      </c>
      <c r="D98" s="43" t="s">
        <v>446</v>
      </c>
      <c r="E98" s="44">
        <f>'estructura de cálculo'!E16*0.1</f>
        <v>21181.174832700002</v>
      </c>
      <c r="F98" s="45"/>
      <c r="G98" s="46"/>
    </row>
    <row r="99" spans="1:7" ht="38.25">
      <c r="A99" s="260"/>
      <c r="B99" s="262" t="s">
        <v>449</v>
      </c>
      <c r="C99" s="96" t="s">
        <v>445</v>
      </c>
      <c r="D99" s="43" t="s">
        <v>447</v>
      </c>
      <c r="E99" s="44">
        <f>'estructura de cálculo'!E16*0.01</f>
        <v>2118.1174832700003</v>
      </c>
      <c r="F99" s="45"/>
      <c r="G99" s="46"/>
    </row>
    <row r="100" spans="1:7" ht="38.25">
      <c r="A100" s="260"/>
      <c r="B100" s="263" t="s">
        <v>450</v>
      </c>
      <c r="C100" s="96" t="s">
        <v>452</v>
      </c>
      <c r="D100" s="43" t="s">
        <v>448</v>
      </c>
      <c r="E100" s="44">
        <f>'estructura de cálculo'!E16*0.01</f>
        <v>2118.1174832700003</v>
      </c>
      <c r="F100" s="45"/>
      <c r="G100" s="46"/>
    </row>
    <row r="101" spans="1:7" ht="51">
      <c r="A101" s="260"/>
      <c r="B101" s="262" t="s">
        <v>451</v>
      </c>
      <c r="C101" s="96" t="s">
        <v>453</v>
      </c>
      <c r="D101" s="43" t="s">
        <v>461</v>
      </c>
      <c r="E101" s="44">
        <f>'estructura de cálculo'!E16*0.01</f>
        <v>2118.1174832700003</v>
      </c>
      <c r="F101" s="45"/>
      <c r="G101" s="46"/>
    </row>
    <row r="102" spans="1:7" ht="38.25">
      <c r="A102" s="260"/>
      <c r="B102" s="262" t="s">
        <v>455</v>
      </c>
      <c r="C102" s="96" t="s">
        <v>454</v>
      </c>
      <c r="D102" s="43" t="s">
        <v>462</v>
      </c>
      <c r="E102" s="44">
        <f>'estructura de cálculo'!E16*0.05</f>
        <v>10590.587416350001</v>
      </c>
      <c r="F102" s="45"/>
      <c r="G102" s="46"/>
    </row>
    <row r="103" spans="1:7" ht="51">
      <c r="A103" s="260"/>
      <c r="B103" s="262" t="s">
        <v>457</v>
      </c>
      <c r="C103" s="96" t="s">
        <v>456</v>
      </c>
      <c r="D103" s="43" t="s">
        <v>463</v>
      </c>
      <c r="E103" s="44">
        <f>'estructura de cálculo'!E16*0.05</f>
        <v>10590.587416350001</v>
      </c>
      <c r="F103" s="45"/>
      <c r="G103" s="46"/>
    </row>
    <row r="104" spans="1:7" ht="38.25">
      <c r="A104" s="260"/>
      <c r="B104" s="262" t="s">
        <v>474</v>
      </c>
      <c r="C104" s="96" t="s">
        <v>495</v>
      </c>
      <c r="D104" s="43" t="s">
        <v>464</v>
      </c>
      <c r="E104" s="44">
        <f>27536*0.2</f>
        <v>5507.2000000000007</v>
      </c>
      <c r="F104" s="45"/>
      <c r="G104" s="46"/>
    </row>
    <row r="105" spans="1:7" ht="38.25">
      <c r="A105" s="260"/>
      <c r="B105" s="262" t="s">
        <v>458</v>
      </c>
      <c r="C105" s="96" t="s">
        <v>88</v>
      </c>
      <c r="D105" s="43" t="s">
        <v>465</v>
      </c>
      <c r="E105" s="44">
        <f>'estructura de cálculo'!E16*1.5/100</f>
        <v>3177.1762249049998</v>
      </c>
      <c r="F105" s="45"/>
      <c r="G105" s="46"/>
    </row>
    <row r="106" spans="1:7" ht="63.75">
      <c r="A106" s="260"/>
      <c r="B106" s="263" t="s">
        <v>459</v>
      </c>
      <c r="C106" s="96" t="s">
        <v>460</v>
      </c>
      <c r="D106" s="43" t="s">
        <v>466</v>
      </c>
      <c r="E106" s="44">
        <f>E105*5.6/100</f>
        <v>177.92186859467998</v>
      </c>
      <c r="F106" s="45"/>
      <c r="G106" s="46"/>
    </row>
    <row r="107" spans="1:7" ht="25.5">
      <c r="A107" s="260"/>
      <c r="B107" s="262" t="s">
        <v>126</v>
      </c>
      <c r="C107" s="96" t="s">
        <v>471</v>
      </c>
      <c r="D107" s="43" t="s">
        <v>205</v>
      </c>
      <c r="E107" s="44">
        <f>'estructura de cálculo'!E16*0.01</f>
        <v>2118.1174832700003</v>
      </c>
      <c r="F107" s="45"/>
      <c r="G107" s="46"/>
    </row>
    <row r="108" spans="1:7" ht="38.25">
      <c r="A108" s="260"/>
      <c r="B108" s="262" t="s">
        <v>467</v>
      </c>
      <c r="C108" s="96" t="s">
        <v>468</v>
      </c>
      <c r="D108" s="43" t="s">
        <v>0</v>
      </c>
      <c r="E108" s="44">
        <f>'estructura de cálculo'!E16*0.3</f>
        <v>63543.5244981</v>
      </c>
      <c r="F108" s="45"/>
      <c r="G108" s="46"/>
    </row>
    <row r="109" spans="1:7">
      <c r="A109" s="260"/>
      <c r="B109" s="255" t="s">
        <v>182</v>
      </c>
      <c r="C109" s="215"/>
      <c r="D109" s="215"/>
      <c r="E109" s="215"/>
      <c r="F109" s="215"/>
      <c r="G109" s="216"/>
    </row>
    <row r="110" spans="1:7" ht="38.25">
      <c r="A110" s="260"/>
      <c r="B110" s="262" t="s">
        <v>127</v>
      </c>
      <c r="C110" s="96" t="s">
        <v>477</v>
      </c>
      <c r="D110" s="43" t="s">
        <v>478</v>
      </c>
      <c r="E110" s="44">
        <f>'estructura de cálculo'!E17*0.1</f>
        <v>21181.174832700002</v>
      </c>
      <c r="F110" s="45"/>
      <c r="G110" s="46"/>
    </row>
    <row r="111" spans="1:7" ht="38.25">
      <c r="A111" s="260"/>
      <c r="B111" s="262" t="s">
        <v>128</v>
      </c>
      <c r="C111" s="96" t="s">
        <v>479</v>
      </c>
      <c r="D111" s="43" t="s">
        <v>480</v>
      </c>
      <c r="E111" s="44">
        <f>'estructura de cálculo'!E17*0.01</f>
        <v>2118.1174832700003</v>
      </c>
      <c r="F111" s="45"/>
      <c r="G111" s="46"/>
    </row>
    <row r="112" spans="1:7" ht="38.25">
      <c r="A112" s="260"/>
      <c r="B112" s="263" t="s">
        <v>129</v>
      </c>
      <c r="C112" s="96" t="s">
        <v>481</v>
      </c>
      <c r="D112" s="43" t="s">
        <v>448</v>
      </c>
      <c r="E112" s="44">
        <f>'estructura de cálculo'!E17*0.01</f>
        <v>2118.1174832700003</v>
      </c>
      <c r="F112" s="45"/>
      <c r="G112" s="46"/>
    </row>
    <row r="113" spans="1:7" ht="51">
      <c r="A113" s="260"/>
      <c r="B113" s="262" t="s">
        <v>130</v>
      </c>
      <c r="C113" s="96" t="s">
        <v>482</v>
      </c>
      <c r="D113" s="43" t="s">
        <v>220</v>
      </c>
      <c r="E113" s="44">
        <f>'estructura de cálculo'!E17*0.01</f>
        <v>2118.1174832700003</v>
      </c>
      <c r="F113" s="45"/>
      <c r="G113" s="46"/>
    </row>
    <row r="114" spans="1:7" ht="38.25">
      <c r="A114" s="260"/>
      <c r="B114" s="262" t="s">
        <v>131</v>
      </c>
      <c r="C114" s="96" t="s">
        <v>483</v>
      </c>
      <c r="D114" s="43" t="s">
        <v>221</v>
      </c>
      <c r="E114" s="44">
        <f>'estructura de cálculo'!E17*0.05</f>
        <v>10590.587416350001</v>
      </c>
      <c r="F114" s="45"/>
      <c r="G114" s="46"/>
    </row>
    <row r="115" spans="1:7" ht="51">
      <c r="A115" s="260"/>
      <c r="B115" s="262" t="s">
        <v>132</v>
      </c>
      <c r="C115" s="96" t="s">
        <v>484</v>
      </c>
      <c r="D115" s="43" t="s">
        <v>222</v>
      </c>
      <c r="E115" s="44">
        <f>'estructura de cálculo'!E17*0.05</f>
        <v>10590.587416350001</v>
      </c>
      <c r="F115" s="45"/>
      <c r="G115" s="46"/>
    </row>
    <row r="116" spans="1:7" ht="38.25">
      <c r="A116" s="260"/>
      <c r="B116" s="262" t="s">
        <v>133</v>
      </c>
      <c r="C116" s="96" t="s">
        <v>495</v>
      </c>
      <c r="D116" s="43" t="s">
        <v>485</v>
      </c>
      <c r="E116" s="44">
        <f>27536*0.2</f>
        <v>5507.2000000000007</v>
      </c>
      <c r="F116" s="45"/>
      <c r="G116" s="46"/>
    </row>
    <row r="117" spans="1:7" ht="38.25">
      <c r="A117" s="260"/>
      <c r="B117" s="263" t="s">
        <v>134</v>
      </c>
      <c r="C117" s="96" t="s">
        <v>265</v>
      </c>
      <c r="D117" s="43" t="s">
        <v>465</v>
      </c>
      <c r="E117" s="44">
        <f>'estructura de cálculo'!E17*1.5/100</f>
        <v>3177.1762249049998</v>
      </c>
      <c r="F117" s="45"/>
      <c r="G117" s="46"/>
    </row>
    <row r="118" spans="1:7" ht="63.75">
      <c r="A118" s="260"/>
      <c r="B118" s="263" t="s">
        <v>135</v>
      </c>
      <c r="C118" s="96" t="s">
        <v>460</v>
      </c>
      <c r="D118" s="43" t="s">
        <v>466</v>
      </c>
      <c r="E118" s="44">
        <f>E117*5.6/100</f>
        <v>177.92186859467998</v>
      </c>
      <c r="F118" s="45"/>
      <c r="G118" s="46"/>
    </row>
    <row r="119" spans="1:7" ht="25.5">
      <c r="A119" s="260"/>
      <c r="B119" s="262" t="s">
        <v>136</v>
      </c>
      <c r="C119" s="96" t="s">
        <v>486</v>
      </c>
      <c r="D119" s="43" t="s">
        <v>1</v>
      </c>
      <c r="E119" s="44">
        <f>'estructura de cálculo'!E17*0.01</f>
        <v>2118.1174832700003</v>
      </c>
      <c r="F119" s="45"/>
      <c r="G119" s="46"/>
    </row>
    <row r="120" spans="1:7" ht="38.25">
      <c r="A120" s="260"/>
      <c r="B120" s="262" t="s">
        <v>137</v>
      </c>
      <c r="C120" s="96" t="s">
        <v>487</v>
      </c>
      <c r="D120" s="43" t="s">
        <v>2</v>
      </c>
      <c r="E120" s="44">
        <f>'estructura de cálculo'!E17*0.3</f>
        <v>63543.5244981</v>
      </c>
      <c r="F120" s="45"/>
      <c r="G120" s="46"/>
    </row>
    <row r="121" spans="1:7" ht="25.5">
      <c r="A121" s="260"/>
      <c r="B121" s="262" t="s">
        <v>138</v>
      </c>
      <c r="C121" s="96" t="s">
        <v>224</v>
      </c>
      <c r="D121" s="43" t="s">
        <v>184</v>
      </c>
      <c r="E121" s="44">
        <f>'estructura de cálculo'!E17*0.2</f>
        <v>42362.349665400005</v>
      </c>
      <c r="F121" s="45"/>
      <c r="G121" s="46"/>
    </row>
    <row r="122" spans="1:7" ht="25.5">
      <c r="A122" s="260"/>
      <c r="B122" s="263" t="s">
        <v>139</v>
      </c>
      <c r="C122" s="96" t="s">
        <v>488</v>
      </c>
      <c r="D122" s="43" t="s">
        <v>185</v>
      </c>
      <c r="E122" s="44">
        <f>'estructura de cálculo'!E17</f>
        <v>211811.74832700001</v>
      </c>
      <c r="F122" s="45"/>
      <c r="G122" s="46"/>
    </row>
    <row r="123" spans="1:7" ht="26.25" thickBot="1">
      <c r="A123" s="261"/>
      <c r="B123" s="264" t="s">
        <v>140</v>
      </c>
      <c r="C123" s="97" t="s">
        <v>489</v>
      </c>
      <c r="D123" s="47" t="s">
        <v>178</v>
      </c>
      <c r="E123" s="48">
        <f>E122*0.01</f>
        <v>2118.1174832700003</v>
      </c>
      <c r="F123" s="49"/>
      <c r="G123" s="50"/>
    </row>
    <row r="124" spans="1:7">
      <c r="A124" s="51"/>
      <c r="B124" s="51"/>
      <c r="C124" s="51"/>
      <c r="D124" s="52"/>
      <c r="E124" s="53"/>
      <c r="F124" s="54"/>
      <c r="G124" s="52"/>
    </row>
    <row r="125" spans="1:7" s="72" customFormat="1">
      <c r="A125" s="192" t="s">
        <v>145</v>
      </c>
      <c r="B125" s="192"/>
      <c r="C125" s="192"/>
      <c r="D125" s="192"/>
      <c r="E125" s="192"/>
      <c r="F125" s="192"/>
      <c r="G125" s="192"/>
    </row>
    <row r="126" spans="1:7">
      <c r="A126" s="265" t="s">
        <v>3</v>
      </c>
      <c r="B126" s="265"/>
      <c r="C126" s="265"/>
      <c r="D126" s="265"/>
      <c r="E126" s="265"/>
      <c r="F126" s="265"/>
      <c r="G126" s="265"/>
    </row>
  </sheetData>
  <mergeCells count="34">
    <mergeCell ref="A1:G1"/>
    <mergeCell ref="A125:G125"/>
    <mergeCell ref="A126:G126"/>
    <mergeCell ref="B97:G97"/>
    <mergeCell ref="B109:G109"/>
    <mergeCell ref="A97:A123"/>
    <mergeCell ref="B54:G54"/>
    <mergeCell ref="B25:G25"/>
    <mergeCell ref="B34:G34"/>
    <mergeCell ref="B44:G44"/>
    <mergeCell ref="C35:C38"/>
    <mergeCell ref="C45:C48"/>
    <mergeCell ref="C55:C57"/>
    <mergeCell ref="C63:C65"/>
    <mergeCell ref="C94:C95"/>
    <mergeCell ref="B82:G82"/>
    <mergeCell ref="B16:G16"/>
    <mergeCell ref="B19:G19"/>
    <mergeCell ref="A25:A33"/>
    <mergeCell ref="A34:A43"/>
    <mergeCell ref="A44:A53"/>
    <mergeCell ref="A54:A61"/>
    <mergeCell ref="A62:A71"/>
    <mergeCell ref="A72:A96"/>
    <mergeCell ref="A2:G2"/>
    <mergeCell ref="A4:G4"/>
    <mergeCell ref="A3:G3"/>
    <mergeCell ref="B6:G6"/>
    <mergeCell ref="B72:G72"/>
    <mergeCell ref="C7:C11"/>
    <mergeCell ref="C21:C23"/>
    <mergeCell ref="C26:C30"/>
    <mergeCell ref="A6:A24"/>
    <mergeCell ref="B62:G62"/>
  </mergeCells>
  <phoneticPr fontId="3" type="noConversion"/>
  <hyperlinks>
    <hyperlink ref="D5" location="_ftn1" display="_ftn1"/>
    <hyperlink ref="A2" location="_ftn1" display="_ftn1"/>
    <hyperlink ref="A125" location="_ftnref1" display="_ftnref1"/>
    <hyperlink ref="A126" location="_ftnref1" display="_ftnref1"/>
  </hyperlinks>
  <printOptions horizontalCentered="1" verticalCentered="1"/>
  <pageMargins left="0.31496062992125984" right="0.31496062992125984" top="0.74803149606299213" bottom="1.1417322834645669" header="0.31496062992125984" footer="0.31496062992125984"/>
  <pageSetup scale="80" orientation="landscape" r:id="rId1"/>
  <headerFooter>
    <oddHeader>&amp;C&amp;P</oddHeader>
    <oddFooter>&amp;C&amp;G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Caratula</vt:lpstr>
      <vt:lpstr>Primer nivel de atención</vt:lpstr>
      <vt:lpstr>estructura de cálculo</vt:lpstr>
      <vt:lpstr>Segundo nivel de atención</vt:lpstr>
      <vt:lpstr>'Primer nivel de atención'!Títulos_a_imprimir</vt:lpstr>
      <vt:lpstr>'Segundo nivel de atención'!Títulos_a_imprimir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2010-08-27T23:01:25Z</cp:lastPrinted>
  <dcterms:created xsi:type="dcterms:W3CDTF">2010-08-19T20:13:18Z</dcterms:created>
  <dcterms:modified xsi:type="dcterms:W3CDTF">2010-08-27T23:01:46Z</dcterms:modified>
</cp:coreProperties>
</file>