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155" yWindow="90" windowWidth="11880" windowHeight="11970"/>
  </bookViews>
  <sheets>
    <sheet name="OPD" sheetId="1" r:id="rId1"/>
  </sheets>
  <definedNames>
    <definedName name="_xlnm.Print_Area" localSheetId="0">OPD!$A$1:$I$54</definedName>
  </definedNames>
  <calcPr calcId="145621"/>
</workbook>
</file>

<file path=xl/calcChain.xml><?xml version="1.0" encoding="utf-8"?>
<calcChain xmlns="http://schemas.openxmlformats.org/spreadsheetml/2006/main">
  <c r="E30" i="1" l="1"/>
  <c r="E19" i="1" l="1"/>
  <c r="E20" i="1"/>
  <c r="E33" i="1" l="1"/>
  <c r="E22" i="1" s="1"/>
  <c r="G9" i="1" s="1"/>
</calcChain>
</file>

<file path=xl/sharedStrings.xml><?xml version="1.0" encoding="utf-8"?>
<sst xmlns="http://schemas.openxmlformats.org/spreadsheetml/2006/main" count="47" uniqueCount="34">
  <si>
    <t>FISCAL NOTE</t>
  </si>
  <si>
    <t xml:space="preserve">  Impact of the above legislation on the fiscal affairs of King County is estimated to be:</t>
  </si>
  <si>
    <t>Revenue to:</t>
  </si>
  <si>
    <t>Fund/Agency</t>
  </si>
  <si>
    <t xml:space="preserve">Fund </t>
  </si>
  <si>
    <t xml:space="preserve">Revenue </t>
  </si>
  <si>
    <t>Current Year</t>
  </si>
  <si>
    <t>1st Year</t>
  </si>
  <si>
    <t>2nd Year</t>
  </si>
  <si>
    <t>3rd Year</t>
  </si>
  <si>
    <t>Code</t>
  </si>
  <si>
    <t>Source</t>
  </si>
  <si>
    <t xml:space="preserve">TOTAL </t>
  </si>
  <si>
    <t>Expenditures from:</t>
  </si>
  <si>
    <t>Department</t>
  </si>
  <si>
    <t>TOTAL</t>
  </si>
  <si>
    <t>Expenditures by Categories</t>
  </si>
  <si>
    <t>Ordinance/Motion No.   00-</t>
  </si>
  <si>
    <t>Title:   OPD Transition Supplemental Budget</t>
  </si>
  <si>
    <t>Affected Agency and/or Agencies:   Office of Public Defense</t>
  </si>
  <si>
    <t>Note Prepared By:  Krishna Duggirala</t>
  </si>
  <si>
    <t>000000010</t>
  </si>
  <si>
    <t>Footnotes:</t>
  </si>
  <si>
    <r>
      <rPr>
        <b/>
        <vertAlign val="superscript"/>
        <sz val="10.5"/>
        <rFont val="Univers"/>
      </rPr>
      <t xml:space="preserve">1 </t>
    </r>
    <r>
      <rPr>
        <sz val="10.5"/>
        <rFont val="Univers"/>
      </rPr>
      <t>Personnel for onboarding</t>
    </r>
  </si>
  <si>
    <r>
      <rPr>
        <b/>
        <vertAlign val="superscript"/>
        <sz val="10.5"/>
        <rFont val="Univers"/>
      </rPr>
      <t xml:space="preserve">2 </t>
    </r>
    <r>
      <rPr>
        <sz val="10.5"/>
        <rFont val="Univers"/>
      </rPr>
      <t>Supplies for additional staff</t>
    </r>
  </si>
  <si>
    <r>
      <rPr>
        <b/>
        <vertAlign val="superscript"/>
        <sz val="10.5"/>
        <rFont val="Univers"/>
      </rPr>
      <t xml:space="preserve">3 </t>
    </r>
    <r>
      <rPr>
        <sz val="10.5"/>
        <rFont val="Univers"/>
      </rPr>
      <t xml:space="preserve">20% Contingency </t>
    </r>
  </si>
  <si>
    <r>
      <rPr>
        <b/>
        <vertAlign val="superscript"/>
        <sz val="10.5"/>
        <rFont val="Univers"/>
      </rPr>
      <t xml:space="preserve">4 </t>
    </r>
    <r>
      <rPr>
        <sz val="10.5"/>
        <rFont val="Univers"/>
      </rPr>
      <t>Vehicle Purchase</t>
    </r>
  </si>
  <si>
    <t>Note Reviewed By:   Krista Camenzind</t>
  </si>
  <si>
    <t>General Fund - GF Transfers</t>
  </si>
  <si>
    <t xml:space="preserve">General Fund - OPD </t>
  </si>
  <si>
    <t>A95000</t>
  </si>
  <si>
    <t>A69500</t>
  </si>
  <si>
    <r>
      <rPr>
        <b/>
        <vertAlign val="superscript"/>
        <sz val="10.5"/>
        <rFont val="Univers"/>
      </rPr>
      <t xml:space="preserve">5 </t>
    </r>
    <r>
      <rPr>
        <sz val="10.5"/>
        <rFont val="Univers"/>
      </rPr>
      <t>GF</t>
    </r>
    <r>
      <rPr>
        <b/>
        <vertAlign val="superscript"/>
        <sz val="10.5"/>
        <rFont val="Univers"/>
      </rPr>
      <t xml:space="preserve"> </t>
    </r>
    <r>
      <rPr>
        <sz val="10.5"/>
        <rFont val="Univers"/>
      </rPr>
      <t xml:space="preserve">Transfer to KCIT </t>
    </r>
  </si>
  <si>
    <r>
      <rPr>
        <b/>
        <vertAlign val="superscript"/>
        <sz val="10.5"/>
        <rFont val="Univers"/>
      </rPr>
      <t xml:space="preserve">6 </t>
    </r>
    <r>
      <rPr>
        <sz val="10.5"/>
        <rFont val="Univers"/>
      </rPr>
      <t>GF</t>
    </r>
    <r>
      <rPr>
        <b/>
        <vertAlign val="superscript"/>
        <sz val="10.5"/>
        <rFont val="Univers"/>
      </rPr>
      <t xml:space="preserve"> </t>
    </r>
    <r>
      <rPr>
        <sz val="10.5"/>
        <rFont val="Univers"/>
      </rPr>
      <t>Transfer to FMD</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</si>
</sst>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00"/>
    <numFmt numFmtId="165" formatCode="_(* #,##0_);_(* \(#,##0\);_(* &quot;-&quot;??_);_(@_)"/>
  </numFmts>
  <fonts count="11">
    <font>
      <sz val="10"/>
      <name val="Arial"/>
    </font>
    <font>
      <sz val="10"/>
      <name val="Arial"/>
      <family val="2"/>
    </font>
    <font>
      <sz val="10.5"/>
      <name val="Univers"/>
      <family val="2"/>
    </font>
    <font>
      <sz val="8"/>
      <name val="Univers"/>
      <family val="2"/>
    </font>
    <font>
      <b/>
      <sz val="10.5"/>
      <name val="Univers"/>
    </font>
    <font>
      <b/>
      <sz val="12"/>
      <name val="Univers"/>
      <family val="2"/>
    </font>
    <font>
      <i/>
      <u/>
      <sz val="10"/>
      <name val="Univers"/>
      <family val="2"/>
    </font>
    <font>
      <sz val="10"/>
      <name val="Univers"/>
      <family val="2"/>
    </font>
    <font>
      <b/>
      <vertAlign val="superscript"/>
      <sz val="10.5"/>
      <name val="Univers"/>
    </font>
    <font>
      <sz val="10.5"/>
      <name val="Univers"/>
    </font>
    <font>
      <sz val="10"/>
      <name val="Univers"/>
    </font>
  </fonts>
  <fills count="3">
    <fill>
      <patternFill patternType="none"/>
    </fill>
    <fill>
      <patternFill patternType="gray125"/>
    </fill>
    <fill>
      <patternFill patternType="solid">
        <fgColor theme="0"/>
        <bgColor indexed="64"/>
      </patternFill>
    </fill>
  </fills>
  <borders count="32">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7">
    <xf numFmtId="0" fontId="0" fillId="0" borderId="0" xfId="0"/>
    <xf numFmtId="0" fontId="0" fillId="0" borderId="0" xfId="0" applyAlignment="1"/>
    <xf numFmtId="0" fontId="2" fillId="0" borderId="0" xfId="0" applyFont="1" applyAlignment="1"/>
    <xf numFmtId="0" fontId="2" fillId="0" borderId="0" xfId="0" applyFont="1" applyAlignment="1">
      <alignment horizontal="centerContinuous"/>
    </xf>
    <xf numFmtId="0" fontId="0" fillId="0" borderId="0" xfId="0" applyAlignment="1">
      <alignment horizontal="centerContinuous"/>
    </xf>
    <xf numFmtId="0" fontId="2" fillId="0" borderId="1" xfId="0" applyFont="1" applyBorder="1" applyAlignment="1">
      <alignment horizontal="left"/>
    </xf>
    <xf numFmtId="0" fontId="2" fillId="0" borderId="2" xfId="0" applyFont="1" applyBorder="1" applyAlignment="1">
      <alignment horizontal="left"/>
    </xf>
    <xf numFmtId="0" fontId="2" fillId="0" borderId="2" xfId="0" applyFont="1" applyBorder="1" applyAlignment="1">
      <alignment horizontal="centerContinuous"/>
    </xf>
    <xf numFmtId="0" fontId="2" fillId="0" borderId="3" xfId="0" applyFont="1" applyBorder="1" applyAlignment="1">
      <alignment horizontal="centerContinuous"/>
    </xf>
    <xf numFmtId="0" fontId="2" fillId="0" borderId="4" xfId="0" applyFont="1" applyBorder="1" applyAlignment="1">
      <alignment horizontal="left"/>
    </xf>
    <xf numFmtId="0" fontId="2" fillId="0" borderId="0" xfId="0" applyFont="1" applyBorder="1" applyAlignment="1">
      <alignment horizontal="left"/>
    </xf>
    <xf numFmtId="0" fontId="2" fillId="0" borderId="0" xfId="0" applyFont="1" applyBorder="1" applyAlignment="1">
      <alignment horizontal="centerContinuous"/>
    </xf>
    <xf numFmtId="0" fontId="2" fillId="0" borderId="5" xfId="0" applyFont="1" applyBorder="1" applyAlignment="1">
      <alignment horizontal="centerContinuous"/>
    </xf>
    <xf numFmtId="0" fontId="2" fillId="0" borderId="4" xfId="0" applyFont="1" applyBorder="1"/>
    <xf numFmtId="0" fontId="2" fillId="0" borderId="0"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0" xfId="0" applyFont="1"/>
    <xf numFmtId="0" fontId="2" fillId="0" borderId="9" xfId="0" applyFont="1" applyBorder="1"/>
    <xf numFmtId="0" fontId="2" fillId="0" borderId="10" xfId="0" applyFont="1" applyBorder="1" applyAlignment="1">
      <alignment horizontal="center"/>
    </xf>
    <xf numFmtId="0" fontId="2" fillId="0" borderId="10" xfId="0" applyFont="1" applyBorder="1"/>
    <xf numFmtId="3" fontId="2" fillId="0" borderId="10" xfId="0" applyNumberFormat="1" applyFont="1" applyBorder="1"/>
    <xf numFmtId="164" fontId="2" fillId="0" borderId="10" xfId="0" applyNumberFormat="1" applyFont="1" applyBorder="1"/>
    <xf numFmtId="3" fontId="2" fillId="0" borderId="10" xfId="0" applyNumberFormat="1" applyFont="1" applyBorder="1" applyAlignment="1">
      <alignment horizontal="right"/>
    </xf>
    <xf numFmtId="3" fontId="2" fillId="0" borderId="0" xfId="0" applyNumberFormat="1" applyFont="1"/>
    <xf numFmtId="0" fontId="0" fillId="0" borderId="0" xfId="0" applyBorder="1"/>
    <xf numFmtId="3" fontId="0" fillId="0" borderId="0" xfId="0" applyNumberFormat="1" applyBorder="1"/>
    <xf numFmtId="3" fontId="0" fillId="0" borderId="0" xfId="0" applyNumberFormat="1"/>
    <xf numFmtId="0" fontId="3" fillId="0" borderId="0" xfId="0" applyFont="1" applyAlignment="1">
      <alignment horizontal="left"/>
    </xf>
    <xf numFmtId="3" fontId="2" fillId="0" borderId="12" xfId="0" applyNumberFormat="1" applyFont="1" applyBorder="1"/>
    <xf numFmtId="3" fontId="2" fillId="0" borderId="12" xfId="0" applyNumberFormat="1" applyFont="1" applyBorder="1" applyAlignment="1">
      <alignment horizontal="right"/>
    </xf>
    <xf numFmtId="0" fontId="2" fillId="0" borderId="13" xfId="0" applyFont="1" applyBorder="1"/>
    <xf numFmtId="0" fontId="2" fillId="0" borderId="14" xfId="0" applyFont="1" applyBorder="1"/>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xf numFmtId="3" fontId="2" fillId="0" borderId="19" xfId="0" applyNumberFormat="1" applyFont="1" applyBorder="1"/>
    <xf numFmtId="3" fontId="2" fillId="0" borderId="19" xfId="0" applyNumberFormat="1" applyFont="1" applyBorder="1" applyAlignment="1">
      <alignment horizontal="right"/>
    </xf>
    <xf numFmtId="0" fontId="2" fillId="0" borderId="20" xfId="0" applyFont="1" applyBorder="1"/>
    <xf numFmtId="0" fontId="2" fillId="0" borderId="21" xfId="0" applyFont="1" applyBorder="1"/>
    <xf numFmtId="0" fontId="2" fillId="0" borderId="22" xfId="0" applyFont="1" applyBorder="1"/>
    <xf numFmtId="0" fontId="4" fillId="0" borderId="0" xfId="0" applyFont="1" applyBorder="1"/>
    <xf numFmtId="0" fontId="4" fillId="0" borderId="0" xfId="0" applyFont="1"/>
    <xf numFmtId="0" fontId="5" fillId="0" borderId="0" xfId="0" applyFont="1" applyAlignment="1">
      <alignment horizontal="centerContinuous"/>
    </xf>
    <xf numFmtId="3" fontId="2" fillId="0" borderId="28" xfId="0" applyNumberFormat="1" applyFont="1" applyBorder="1"/>
    <xf numFmtId="3" fontId="2" fillId="0" borderId="29" xfId="0" applyNumberFormat="1" applyFont="1" applyBorder="1"/>
    <xf numFmtId="3" fontId="2" fillId="0" borderId="30" xfId="0" applyNumberFormat="1" applyFont="1" applyBorder="1"/>
    <xf numFmtId="3" fontId="2" fillId="0" borderId="0" xfId="0" applyNumberFormat="1" applyFont="1" applyBorder="1"/>
    <xf numFmtId="0" fontId="6" fillId="0" borderId="10" xfId="0" applyFont="1" applyBorder="1" applyAlignment="1">
      <alignment horizontal="center"/>
    </xf>
    <xf numFmtId="0" fontId="6" fillId="0" borderId="12" xfId="0" applyFont="1" applyBorder="1" applyAlignment="1">
      <alignment horizontal="center"/>
    </xf>
    <xf numFmtId="0" fontId="6" fillId="0" borderId="19" xfId="0" applyFont="1" applyBorder="1" applyAlignment="1">
      <alignment horizontal="center"/>
    </xf>
    <xf numFmtId="3" fontId="4" fillId="0" borderId="22" xfId="0" applyNumberFormat="1" applyFont="1" applyBorder="1"/>
    <xf numFmtId="3" fontId="4" fillId="0" borderId="31" xfId="0" applyNumberFormat="1" applyFont="1" applyBorder="1"/>
    <xf numFmtId="0" fontId="2" fillId="0" borderId="0" xfId="0" quotePrefix="1" applyFont="1"/>
    <xf numFmtId="0" fontId="7" fillId="0" borderId="0" xfId="0" applyFont="1"/>
    <xf numFmtId="0" fontId="7" fillId="0" borderId="0" xfId="0" quotePrefix="1" applyFont="1"/>
    <xf numFmtId="0" fontId="9" fillId="0" borderId="0" xfId="0" applyFont="1"/>
    <xf numFmtId="0" fontId="10" fillId="0" borderId="10" xfId="0" applyFont="1" applyBorder="1" applyAlignment="1">
      <alignment horizontal="right"/>
    </xf>
    <xf numFmtId="0" fontId="10" fillId="0" borderId="19" xfId="0" applyFont="1" applyBorder="1" applyAlignment="1">
      <alignment horizontal="right"/>
    </xf>
    <xf numFmtId="0" fontId="2" fillId="2" borderId="13" xfId="0" applyFont="1" applyFill="1" applyBorder="1"/>
    <xf numFmtId="0" fontId="2" fillId="2" borderId="14" xfId="0" applyFont="1" applyFill="1" applyBorder="1"/>
    <xf numFmtId="0" fontId="2" fillId="2" borderId="15" xfId="0" applyFont="1" applyFill="1" applyBorder="1" applyAlignment="1">
      <alignment horizontal="center"/>
    </xf>
    <xf numFmtId="0" fontId="2" fillId="2" borderId="18" xfId="0" applyFont="1" applyFill="1" applyBorder="1"/>
    <xf numFmtId="0" fontId="2" fillId="2" borderId="11" xfId="0" applyFont="1" applyFill="1" applyBorder="1"/>
    <xf numFmtId="0" fontId="2" fillId="2" borderId="10" xfId="0" applyFont="1" applyFill="1" applyBorder="1" applyAlignment="1">
      <alignment horizontal="center"/>
    </xf>
    <xf numFmtId="0" fontId="6" fillId="2" borderId="10" xfId="0" applyFont="1" applyFill="1" applyBorder="1" applyAlignment="1">
      <alignment horizontal="center"/>
    </xf>
    <xf numFmtId="164" fontId="2" fillId="2" borderId="10" xfId="0" quotePrefix="1" applyNumberFormat="1" applyFont="1" applyFill="1" applyBorder="1"/>
    <xf numFmtId="165" fontId="2" fillId="2" borderId="10" xfId="1" applyNumberFormat="1" applyFont="1" applyFill="1" applyBorder="1"/>
    <xf numFmtId="165" fontId="2" fillId="2" borderId="10" xfId="1" applyNumberFormat="1" applyFont="1" applyFill="1" applyBorder="1" applyAlignment="1">
      <alignment horizontal="right"/>
    </xf>
    <xf numFmtId="0" fontId="2" fillId="2" borderId="10" xfId="0" applyFont="1" applyFill="1" applyBorder="1"/>
    <xf numFmtId="0" fontId="2" fillId="2" borderId="20" xfId="0" applyFont="1" applyFill="1" applyBorder="1"/>
    <xf numFmtId="0" fontId="2" fillId="2" borderId="21" xfId="0" applyFont="1" applyFill="1" applyBorder="1"/>
    <xf numFmtId="0" fontId="2" fillId="2" borderId="22" xfId="0" applyFont="1" applyFill="1" applyBorder="1"/>
    <xf numFmtId="165" fontId="4" fillId="2" borderId="22" xfId="1" applyNumberFormat="1" applyFont="1" applyFill="1" applyBorder="1"/>
    <xf numFmtId="0" fontId="2" fillId="2" borderId="0" xfId="0" applyFont="1" applyFill="1"/>
    <xf numFmtId="165" fontId="2" fillId="2" borderId="0" xfId="0" applyNumberFormat="1" applyFont="1" applyFill="1"/>
    <xf numFmtId="0" fontId="4" fillId="2" borderId="0" xfId="0" applyFont="1" applyFill="1" applyBorder="1"/>
    <xf numFmtId="0" fontId="2" fillId="2" borderId="0" xfId="0" applyFont="1" applyFill="1" applyBorder="1"/>
    <xf numFmtId="0" fontId="2" fillId="2" borderId="14" xfId="0" applyFont="1" applyFill="1" applyBorder="1" applyAlignment="1">
      <alignment horizontal="center"/>
    </xf>
    <xf numFmtId="0" fontId="2" fillId="2" borderId="23" xfId="0" applyFont="1" applyFill="1" applyBorder="1" applyAlignment="1">
      <alignment horizontal="center"/>
    </xf>
    <xf numFmtId="165" fontId="2" fillId="2" borderId="15" xfId="0" applyNumberFormat="1" applyFont="1" applyFill="1" applyBorder="1" applyAlignment="1">
      <alignment horizontal="center"/>
    </xf>
    <xf numFmtId="0" fontId="9" fillId="2" borderId="18" xfId="0" applyFont="1" applyFill="1" applyBorder="1"/>
    <xf numFmtId="0" fontId="2" fillId="2" borderId="9" xfId="0" applyFont="1" applyFill="1" applyBorder="1"/>
    <xf numFmtId="0" fontId="2" fillId="2" borderId="9" xfId="0" applyFont="1" applyFill="1" applyBorder="1" applyAlignment="1">
      <alignment horizontal="center"/>
    </xf>
    <xf numFmtId="0" fontId="2" fillId="2" borderId="11" xfId="0" applyFont="1" applyFill="1" applyBorder="1" applyAlignment="1">
      <alignment horizontal="center"/>
    </xf>
    <xf numFmtId="165" fontId="10" fillId="2" borderId="10" xfId="1" applyNumberFormat="1" applyFont="1" applyFill="1" applyBorder="1" applyAlignment="1">
      <alignment horizontal="center"/>
    </xf>
    <xf numFmtId="165" fontId="7" fillId="2" borderId="10" xfId="1" applyNumberFormat="1" applyFont="1" applyFill="1" applyBorder="1"/>
    <xf numFmtId="0" fontId="2" fillId="2" borderId="25" xfId="0" applyFont="1" applyFill="1" applyBorder="1"/>
    <xf numFmtId="0" fontId="2" fillId="2" borderId="26" xfId="0" applyFont="1" applyFill="1" applyBorder="1"/>
    <xf numFmtId="0" fontId="2" fillId="2" borderId="27" xfId="0" applyFont="1" applyFill="1" applyBorder="1"/>
    <xf numFmtId="165" fontId="2" fillId="2" borderId="28" xfId="0" applyNumberFormat="1" applyFont="1" applyFill="1" applyBorder="1"/>
    <xf numFmtId="0" fontId="2" fillId="2" borderId="24" xfId="0" applyFont="1" applyFill="1" applyBorder="1"/>
    <xf numFmtId="3" fontId="2" fillId="2" borderId="0" xfId="0" applyNumberFormat="1" applyFont="1" applyFill="1"/>
    <xf numFmtId="165" fontId="2" fillId="0" borderId="0" xfId="0" applyNumberFormat="1" applyFont="1"/>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0</xdr:col>
      <xdr:colOff>57150</xdr:colOff>
      <xdr:row>34</xdr:row>
      <xdr:rowOff>133350</xdr:rowOff>
    </xdr:from>
    <xdr:to>
      <xdr:col>7</xdr:col>
      <xdr:colOff>990599</xdr:colOff>
      <xdr:row>59</xdr:row>
      <xdr:rowOff>0</xdr:rowOff>
    </xdr:to>
    <xdr:sp macro="" textlink="">
      <xdr:nvSpPr>
        <xdr:cNvPr id="3" name="Text Box 1"/>
        <xdr:cNvSpPr txBox="1"/>
      </xdr:nvSpPr>
      <xdr:spPr>
        <a:xfrm>
          <a:off x="57150" y="7829550"/>
          <a:ext cx="7629524" cy="3952875"/>
        </a:xfrm>
        <a:prstGeom prst="rect">
          <a:avLst/>
        </a:prstGeom>
        <a:solidFill>
          <a:schemeClr val="lt1"/>
        </a:solidFill>
        <a:ln w="6350">
          <a:solidFill>
            <a:prstClr val="black"/>
          </a:solid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nSpc>
              <a:spcPct val="115000"/>
            </a:lnSpc>
            <a:spcBef>
              <a:spcPts val="0"/>
            </a:spcBef>
            <a:spcAft>
              <a:spcPts val="1000"/>
            </a:spcAft>
          </a:pPr>
          <a:r>
            <a:rPr lang="en-US" sz="1100" baseline="30000">
              <a:effectLst/>
              <a:ea typeface="Calibri"/>
              <a:cs typeface="Times New Roman"/>
            </a:rPr>
            <a:t>1</a:t>
          </a:r>
          <a:r>
            <a:rPr lang="en-US" sz="1100">
              <a:effectLst/>
              <a:ea typeface="Calibri"/>
              <a:cs typeface="Times New Roman"/>
            </a:rPr>
            <a:t> In preparation for individuals</a:t>
          </a:r>
          <a:r>
            <a:rPr lang="en-US" sz="1100" baseline="0">
              <a:effectLst/>
              <a:ea typeface="Calibri"/>
              <a:cs typeface="Times New Roman"/>
            </a:rPr>
            <a:t> at the non-profit public defense organziations becoming County employees on July 1, 2013, dedicated resources from HRD, including staff and consultants, will be needed.  Additionally, OPD will hire some management positions before July 1 to prepare for the transition.</a:t>
          </a:r>
          <a:endParaRPr lang="en-US" sz="1100">
            <a:effectLst/>
            <a:ea typeface="Calibri"/>
            <a:cs typeface="Times New Roman"/>
          </a:endParaRPr>
        </a:p>
        <a:p>
          <a:pPr marL="0" marR="0">
            <a:lnSpc>
              <a:spcPct val="115000"/>
            </a:lnSpc>
            <a:spcBef>
              <a:spcPts val="0"/>
            </a:spcBef>
            <a:spcAft>
              <a:spcPts val="1000"/>
            </a:spcAft>
          </a:pPr>
          <a:r>
            <a:rPr lang="en-US" sz="1100" baseline="30000">
              <a:effectLst/>
              <a:ea typeface="Calibri"/>
              <a:cs typeface="Times New Roman"/>
            </a:rPr>
            <a:t>2</a:t>
          </a:r>
          <a:r>
            <a:rPr lang="en-US" sz="1100">
              <a:effectLst/>
              <a:ea typeface="Calibri"/>
              <a:cs typeface="Times New Roman"/>
            </a:rPr>
            <a:t>Supplies budget is estimated costs of startup supplies, such as business</a:t>
          </a:r>
          <a:r>
            <a:rPr lang="en-US" sz="1100" baseline="0">
              <a:effectLst/>
              <a:ea typeface="Calibri"/>
              <a:cs typeface="Times New Roman"/>
            </a:rPr>
            <a:t> cards,</a:t>
          </a:r>
          <a:r>
            <a:rPr lang="en-US" sz="1100">
              <a:effectLst/>
              <a:ea typeface="Calibri"/>
              <a:cs typeface="Times New Roman"/>
            </a:rPr>
            <a:t> nameplate and office supplies.</a:t>
          </a:r>
        </a:p>
        <a:p>
          <a:pPr marL="0" marR="0">
            <a:lnSpc>
              <a:spcPct val="115000"/>
            </a:lnSpc>
            <a:spcBef>
              <a:spcPts val="0"/>
            </a:spcBef>
            <a:spcAft>
              <a:spcPts val="1000"/>
            </a:spcAft>
          </a:pPr>
          <a:r>
            <a:rPr lang="en-US" sz="1100" baseline="30000">
              <a:effectLst/>
              <a:ea typeface="Calibri"/>
              <a:cs typeface="Times New Roman"/>
            </a:rPr>
            <a:t>3</a:t>
          </a:r>
          <a:r>
            <a:rPr lang="en-US" sz="1100">
              <a:effectLst/>
              <a:ea typeface="Calibri"/>
              <a:cs typeface="Times New Roman"/>
            </a:rPr>
            <a:t>Contingency is calculated on the above 2 items.  </a:t>
          </a:r>
        </a:p>
        <a:p>
          <a:pPr marL="0" marR="0">
            <a:lnSpc>
              <a:spcPct val="115000"/>
            </a:lnSpc>
            <a:spcBef>
              <a:spcPts val="0"/>
            </a:spcBef>
            <a:spcAft>
              <a:spcPts val="1000"/>
            </a:spcAft>
          </a:pPr>
          <a:r>
            <a:rPr lang="en-US" sz="1100" baseline="30000">
              <a:effectLst/>
              <a:ea typeface="Calibri"/>
              <a:cs typeface="Times New Roman"/>
            </a:rPr>
            <a:t>4</a:t>
          </a:r>
          <a:r>
            <a:rPr lang="en-US" sz="1100">
              <a:effectLst/>
              <a:ea typeface="Calibri"/>
              <a:cs typeface="Times New Roman"/>
            </a:rPr>
            <a:t> OPD estimates that it will need 30 cars for social workers</a:t>
          </a:r>
          <a:r>
            <a:rPr lang="en-US" sz="1100" baseline="0">
              <a:effectLst/>
              <a:ea typeface="Calibri"/>
              <a:cs typeface="Times New Roman"/>
            </a:rPr>
            <a:t> and investigators who spend significant time in the field.  OPD offices located in Kent and First Hill will not be able to access central motor pool and will need vehicles at their locations.   Vehicles will be needed in downtown Seattle because heavy use makes the motor pool inadequate to meet the need.  </a:t>
          </a:r>
          <a:r>
            <a:rPr lang="en-US" sz="1100">
              <a:effectLst/>
              <a:ea typeface="Calibri"/>
              <a:cs typeface="Times New Roman"/>
            </a:rPr>
            <a:t>The vehicles will be paid for in the OPD budget and then transferred to King County Fleet Administration. </a:t>
          </a:r>
        </a:p>
        <a:p>
          <a:pPr marL="0" marR="0">
            <a:lnSpc>
              <a:spcPct val="115000"/>
            </a:lnSpc>
            <a:spcBef>
              <a:spcPts val="0"/>
            </a:spcBef>
            <a:spcAft>
              <a:spcPts val="1000"/>
            </a:spcAft>
          </a:pPr>
          <a:r>
            <a:rPr lang="en-US" sz="1100" baseline="30000">
              <a:effectLst/>
              <a:ea typeface="Calibri"/>
              <a:cs typeface="Times New Roman"/>
            </a:rPr>
            <a:t>5</a:t>
          </a:r>
          <a:r>
            <a:rPr lang="en-US" sz="1100">
              <a:effectLst/>
              <a:ea typeface="Calibri"/>
              <a:cs typeface="Times New Roman"/>
            </a:rPr>
            <a:t> Transfer to King County Information &amp; Technology (KC IT) is for a single case management system and includes its system data migration, testing and training of personnel after deployment. This amount also  includes costs associated with required  computers &amp; printers purchase, installation/set-up for to meet immediate</a:t>
          </a:r>
          <a:r>
            <a:rPr lang="en-US" sz="1100" baseline="0">
              <a:effectLst/>
              <a:ea typeface="Calibri"/>
              <a:cs typeface="Times New Roman"/>
            </a:rPr>
            <a:t> needs</a:t>
          </a:r>
          <a:r>
            <a:rPr lang="en-US" sz="1100">
              <a:effectLst/>
              <a:ea typeface="Calibri"/>
              <a:cs typeface="Times New Roman"/>
            </a:rPr>
            <a:t>. </a:t>
          </a:r>
        </a:p>
        <a:p>
          <a:pPr marL="0" marR="0">
            <a:lnSpc>
              <a:spcPct val="115000"/>
            </a:lnSpc>
            <a:spcBef>
              <a:spcPts val="0"/>
            </a:spcBef>
            <a:spcAft>
              <a:spcPts val="1000"/>
            </a:spcAft>
          </a:pPr>
          <a:r>
            <a:rPr lang="en-US" sz="1100" baseline="30000">
              <a:effectLst/>
              <a:ea typeface="Calibri"/>
              <a:cs typeface="Times New Roman"/>
            </a:rPr>
            <a:t>6</a:t>
          </a:r>
          <a:r>
            <a:rPr lang="en-US" sz="1100">
              <a:effectLst/>
              <a:ea typeface="Calibri"/>
              <a:cs typeface="Times New Roman"/>
            </a:rPr>
            <a:t> Transfer to Facilities Management Division of $100,000 for long-term relocation planning for the downtown Seattle offices</a:t>
          </a:r>
          <a:r>
            <a:rPr lang="en-US" sz="1100" baseline="0">
              <a:effectLst/>
              <a:ea typeface="Calibri"/>
              <a:cs typeface="Times New Roman"/>
            </a:rPr>
            <a:t> and $150,000 for potential tenant improvements at existing lease locations.  Tenant improvement funds will not be spent without PSB approval.</a:t>
          </a:r>
          <a:endParaRPr lang="en-US" sz="1100">
            <a:effectLst/>
            <a:ea typeface="Calibri"/>
            <a:cs typeface="Times New Roman"/>
          </a:endParaRPr>
        </a:p>
        <a:p>
          <a:pPr marL="0" marR="0">
            <a:lnSpc>
              <a:spcPct val="115000"/>
            </a:lnSpc>
            <a:spcBef>
              <a:spcPts val="0"/>
            </a:spcBef>
            <a:spcAft>
              <a:spcPts val="1000"/>
            </a:spcAft>
          </a:pPr>
          <a:r>
            <a:rPr lang="en-US" sz="1100">
              <a:effectLst/>
              <a:ea typeface="Calibri"/>
              <a:cs typeface="Times New Roman"/>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0"/>
  <sheetViews>
    <sheetView tabSelected="1" view="pageLayout" zoomScaleNormal="100" workbookViewId="0">
      <selection activeCell="F18" sqref="F18"/>
    </sheetView>
  </sheetViews>
  <sheetFormatPr defaultRowHeight="12.75"/>
  <cols>
    <col min="1" max="1" width="16" customWidth="1"/>
    <col min="2" max="2" width="12.28515625" customWidth="1"/>
    <col min="3" max="3" width="12.7109375" customWidth="1"/>
    <col min="4" max="4" width="11.5703125" customWidth="1"/>
    <col min="5" max="5" width="14.85546875" customWidth="1"/>
    <col min="6" max="6" width="13.5703125" customWidth="1"/>
    <col min="7" max="7" width="14.5703125" customWidth="1"/>
    <col min="8" max="8" width="14.140625" customWidth="1"/>
  </cols>
  <sheetData>
    <row r="1" spans="1:10" ht="15.75">
      <c r="A1" s="1"/>
      <c r="B1" s="2"/>
      <c r="C1" s="2"/>
      <c r="D1" s="46" t="s">
        <v>0</v>
      </c>
      <c r="E1" s="3"/>
      <c r="F1" s="2"/>
      <c r="G1" s="2"/>
      <c r="H1" s="2"/>
      <c r="I1" s="1"/>
      <c r="J1" s="1"/>
    </row>
    <row r="2" spans="1:10" ht="14.25" thickBot="1">
      <c r="A2" s="30"/>
      <c r="B2" s="3"/>
      <c r="C2" s="3"/>
      <c r="D2" s="3"/>
      <c r="E2" s="3"/>
      <c r="F2" s="3"/>
      <c r="G2" s="3"/>
      <c r="H2" s="3"/>
      <c r="I2" s="4"/>
    </row>
    <row r="3" spans="1:10" ht="18" customHeight="1" thickTop="1">
      <c r="A3" s="5" t="s">
        <v>17</v>
      </c>
      <c r="B3" s="6"/>
      <c r="C3" s="7"/>
      <c r="D3" s="7"/>
      <c r="E3" s="7"/>
      <c r="F3" s="7"/>
      <c r="G3" s="7"/>
      <c r="H3" s="8"/>
      <c r="I3" s="4"/>
    </row>
    <row r="4" spans="1:10" ht="18" customHeight="1">
      <c r="A4" s="9" t="s">
        <v>18</v>
      </c>
      <c r="B4" s="10"/>
      <c r="C4" s="11"/>
      <c r="D4" s="11"/>
      <c r="E4" s="11"/>
      <c r="F4" s="11"/>
      <c r="G4" s="11"/>
      <c r="H4" s="12"/>
      <c r="I4" s="4"/>
    </row>
    <row r="5" spans="1:10" ht="18" customHeight="1">
      <c r="A5" s="13" t="s">
        <v>19</v>
      </c>
      <c r="B5" s="14"/>
      <c r="C5" s="14"/>
      <c r="D5" s="14"/>
      <c r="E5" s="14"/>
      <c r="F5" s="14"/>
      <c r="G5" s="14"/>
      <c r="H5" s="15"/>
    </row>
    <row r="6" spans="1:10" ht="18" customHeight="1">
      <c r="A6" s="13" t="s">
        <v>20</v>
      </c>
      <c r="B6" s="14"/>
      <c r="C6" s="14"/>
      <c r="D6" s="14"/>
      <c r="E6" s="14"/>
      <c r="F6" s="14"/>
      <c r="G6" s="14"/>
      <c r="H6" s="15"/>
    </row>
    <row r="7" spans="1:10" ht="18" customHeight="1" thickBot="1">
      <c r="A7" s="16" t="s">
        <v>27</v>
      </c>
      <c r="B7" s="17"/>
      <c r="C7" s="17"/>
      <c r="D7" s="17"/>
      <c r="E7" s="17"/>
      <c r="F7" s="17"/>
      <c r="G7" s="17"/>
      <c r="H7" s="18"/>
    </row>
    <row r="8" spans="1:10" ht="18" customHeight="1" thickTop="1">
      <c r="A8" s="19"/>
      <c r="C8" s="19"/>
      <c r="D8" s="14"/>
      <c r="E8" s="14"/>
      <c r="F8" s="14"/>
      <c r="G8" s="14"/>
      <c r="H8" s="14"/>
    </row>
    <row r="9" spans="1:10" ht="18" customHeight="1">
      <c r="A9" s="14" t="s">
        <v>1</v>
      </c>
      <c r="C9" s="19"/>
      <c r="D9" s="19"/>
      <c r="E9" s="19"/>
      <c r="F9" s="19"/>
      <c r="G9" s="96">
        <f>E22</f>
        <v>3157000</v>
      </c>
      <c r="H9" s="19"/>
    </row>
    <row r="10" spans="1:10" ht="18" customHeight="1" thickBot="1">
      <c r="A10" s="45" t="s">
        <v>2</v>
      </c>
      <c r="B10" s="14"/>
      <c r="C10" s="19"/>
      <c r="D10" s="19"/>
      <c r="E10" s="19"/>
      <c r="F10" s="19"/>
      <c r="G10" s="19"/>
      <c r="H10" s="19"/>
    </row>
    <row r="11" spans="1:10" ht="18" customHeight="1">
      <c r="A11" s="33" t="s">
        <v>3</v>
      </c>
      <c r="B11" s="34"/>
      <c r="C11" s="35" t="s">
        <v>4</v>
      </c>
      <c r="D11" s="35" t="s">
        <v>5</v>
      </c>
      <c r="E11" s="35" t="s">
        <v>6</v>
      </c>
      <c r="F11" s="35" t="s">
        <v>7</v>
      </c>
      <c r="G11" s="36" t="s">
        <v>8</v>
      </c>
      <c r="H11" s="37" t="s">
        <v>9</v>
      </c>
    </row>
    <row r="12" spans="1:10" ht="18" customHeight="1">
      <c r="A12" s="38"/>
      <c r="B12" s="20"/>
      <c r="C12" s="21" t="s">
        <v>10</v>
      </c>
      <c r="D12" s="21" t="s">
        <v>11</v>
      </c>
      <c r="E12" s="51"/>
      <c r="F12" s="51"/>
      <c r="G12" s="52"/>
      <c r="H12" s="53"/>
    </row>
    <row r="13" spans="1:10" ht="18" customHeight="1">
      <c r="A13" s="38"/>
      <c r="B13" s="20"/>
      <c r="C13" s="24"/>
      <c r="D13" s="22"/>
      <c r="E13" s="25"/>
      <c r="F13" s="25"/>
      <c r="G13" s="32"/>
      <c r="H13" s="40"/>
    </row>
    <row r="14" spans="1:10" ht="18" customHeight="1" thickBot="1">
      <c r="A14" s="41"/>
      <c r="B14" s="42" t="s">
        <v>12</v>
      </c>
      <c r="C14" s="43"/>
      <c r="D14" s="43"/>
      <c r="E14" s="54"/>
      <c r="F14" s="54"/>
      <c r="G14" s="54"/>
      <c r="H14" s="55"/>
    </row>
    <row r="15" spans="1:10" ht="18" customHeight="1">
      <c r="A15" s="19"/>
      <c r="B15" s="19"/>
      <c r="C15" s="19"/>
      <c r="D15" s="19"/>
      <c r="E15" s="26"/>
      <c r="F15" s="26"/>
      <c r="G15" s="26"/>
      <c r="H15" s="26"/>
    </row>
    <row r="16" spans="1:10" ht="18" customHeight="1" thickBot="1">
      <c r="A16" s="44" t="s">
        <v>13</v>
      </c>
      <c r="B16" s="14"/>
      <c r="C16" s="14"/>
      <c r="D16" s="19"/>
      <c r="E16" s="19"/>
      <c r="F16" s="19"/>
      <c r="G16" s="19"/>
      <c r="H16" s="19"/>
    </row>
    <row r="17" spans="1:10" ht="18" customHeight="1">
      <c r="A17" s="62" t="s">
        <v>3</v>
      </c>
      <c r="B17" s="63"/>
      <c r="C17" s="64" t="s">
        <v>4</v>
      </c>
      <c r="D17" s="64" t="s">
        <v>14</v>
      </c>
      <c r="E17" s="64" t="s">
        <v>6</v>
      </c>
      <c r="F17" s="35" t="s">
        <v>7</v>
      </c>
      <c r="G17" s="36" t="s">
        <v>8</v>
      </c>
      <c r="H17" s="37" t="s">
        <v>9</v>
      </c>
    </row>
    <row r="18" spans="1:10" ht="18" customHeight="1">
      <c r="A18" s="65"/>
      <c r="B18" s="66"/>
      <c r="C18" s="67" t="s">
        <v>10</v>
      </c>
      <c r="D18" s="67"/>
      <c r="E18" s="68"/>
      <c r="F18" s="51"/>
      <c r="G18" s="52"/>
      <c r="H18" s="53"/>
    </row>
    <row r="19" spans="1:10" ht="18" customHeight="1">
      <c r="A19" s="65" t="s">
        <v>29</v>
      </c>
      <c r="B19" s="66"/>
      <c r="C19" s="69" t="s">
        <v>21</v>
      </c>
      <c r="D19" s="67" t="s">
        <v>30</v>
      </c>
      <c r="E19" s="70">
        <f>SUM(E26:E29)</f>
        <v>1378000</v>
      </c>
      <c r="F19" s="23">
        <v>0</v>
      </c>
      <c r="G19" s="31">
        <v>0</v>
      </c>
      <c r="H19" s="39">
        <v>0</v>
      </c>
    </row>
    <row r="20" spans="1:10" ht="18" customHeight="1">
      <c r="A20" s="65" t="s">
        <v>28</v>
      </c>
      <c r="B20" s="66"/>
      <c r="C20" s="69" t="s">
        <v>21</v>
      </c>
      <c r="D20" s="67" t="s">
        <v>31</v>
      </c>
      <c r="E20" s="71">
        <f>250000+749000+780000</f>
        <v>1779000</v>
      </c>
      <c r="F20" s="23"/>
      <c r="G20" s="31"/>
      <c r="H20" s="39"/>
    </row>
    <row r="21" spans="1:10" ht="18" customHeight="1">
      <c r="A21" s="65"/>
      <c r="B21" s="66"/>
      <c r="C21" s="72"/>
      <c r="D21" s="72"/>
      <c r="E21" s="70"/>
      <c r="F21" s="23"/>
      <c r="G21" s="31"/>
      <c r="H21" s="39"/>
    </row>
    <row r="22" spans="1:10" ht="18" customHeight="1" thickBot="1">
      <c r="A22" s="73"/>
      <c r="B22" s="74" t="s">
        <v>15</v>
      </c>
      <c r="C22" s="75"/>
      <c r="D22" s="75"/>
      <c r="E22" s="76">
        <f>SUM(E19:E21)</f>
        <v>3157000</v>
      </c>
      <c r="F22" s="54"/>
      <c r="G22" s="54"/>
      <c r="H22" s="55"/>
      <c r="I22" s="50"/>
    </row>
    <row r="23" spans="1:10" ht="18" customHeight="1">
      <c r="A23" s="77"/>
      <c r="B23" s="77"/>
      <c r="C23" s="77"/>
      <c r="D23" s="77"/>
      <c r="E23" s="78"/>
      <c r="F23" s="26"/>
      <c r="G23" s="26"/>
      <c r="H23" s="26"/>
    </row>
    <row r="24" spans="1:10" ht="18" customHeight="1" thickBot="1">
      <c r="A24" s="79" t="s">
        <v>16</v>
      </c>
      <c r="B24" s="80"/>
      <c r="C24" s="80"/>
      <c r="D24" s="80"/>
      <c r="E24" s="78"/>
      <c r="F24" s="19"/>
      <c r="G24" s="19"/>
      <c r="H24" s="19"/>
    </row>
    <row r="25" spans="1:10" ht="18" customHeight="1">
      <c r="A25" s="62"/>
      <c r="B25" s="63"/>
      <c r="C25" s="81"/>
      <c r="D25" s="82"/>
      <c r="E25" s="83" t="s">
        <v>6</v>
      </c>
      <c r="F25" s="35" t="s">
        <v>7</v>
      </c>
      <c r="G25" s="36" t="s">
        <v>8</v>
      </c>
      <c r="H25" s="37" t="s">
        <v>9</v>
      </c>
      <c r="I25" s="27"/>
      <c r="J25" s="27"/>
    </row>
    <row r="26" spans="1:10" ht="18" customHeight="1">
      <c r="A26" s="84" t="s">
        <v>23</v>
      </c>
      <c r="B26" s="85"/>
      <c r="C26" s="86"/>
      <c r="D26" s="87"/>
      <c r="E26" s="88">
        <v>416000</v>
      </c>
      <c r="F26" s="60">
        <v>0</v>
      </c>
      <c r="G26" s="60">
        <v>0</v>
      </c>
      <c r="H26" s="61">
        <v>0</v>
      </c>
      <c r="I26" s="27"/>
      <c r="J26" s="27"/>
    </row>
    <row r="27" spans="1:10" ht="18" customHeight="1">
      <c r="A27" s="84" t="s">
        <v>24</v>
      </c>
      <c r="B27" s="85"/>
      <c r="C27" s="85"/>
      <c r="D27" s="66"/>
      <c r="E27" s="89">
        <v>103000</v>
      </c>
      <c r="F27" s="60">
        <v>0</v>
      </c>
      <c r="G27" s="60">
        <v>0</v>
      </c>
      <c r="H27" s="61">
        <v>0</v>
      </c>
      <c r="I27" s="28"/>
      <c r="J27" s="28"/>
    </row>
    <row r="28" spans="1:10" ht="18" customHeight="1">
      <c r="A28" s="84" t="s">
        <v>25</v>
      </c>
      <c r="B28" s="85"/>
      <c r="C28" s="85"/>
      <c r="D28" s="66"/>
      <c r="E28" s="89">
        <v>104000</v>
      </c>
      <c r="F28" s="60">
        <v>0</v>
      </c>
      <c r="G28" s="60">
        <v>0</v>
      </c>
      <c r="H28" s="61">
        <v>0</v>
      </c>
      <c r="I28" s="28"/>
      <c r="J28" s="28"/>
    </row>
    <row r="29" spans="1:10" ht="18" customHeight="1">
      <c r="A29" s="84" t="s">
        <v>26</v>
      </c>
      <c r="B29" s="85"/>
      <c r="C29" s="85"/>
      <c r="D29" s="66"/>
      <c r="E29" s="89">
        <v>755000</v>
      </c>
      <c r="F29" s="60">
        <v>0</v>
      </c>
      <c r="G29" s="60">
        <v>0</v>
      </c>
      <c r="H29" s="61">
        <v>0</v>
      </c>
      <c r="I29" s="28"/>
      <c r="J29" s="28"/>
    </row>
    <row r="30" spans="1:10" ht="18" customHeight="1">
      <c r="A30" s="84" t="s">
        <v>32</v>
      </c>
      <c r="B30" s="85"/>
      <c r="C30" s="85"/>
      <c r="D30" s="66"/>
      <c r="E30" s="89">
        <f>749000+780000</f>
        <v>1529000</v>
      </c>
      <c r="F30" s="60">
        <v>0</v>
      </c>
      <c r="G30" s="60">
        <v>0</v>
      </c>
      <c r="H30" s="61">
        <v>0</v>
      </c>
      <c r="I30" s="28"/>
      <c r="J30" s="28"/>
    </row>
    <row r="31" spans="1:10" ht="18" customHeight="1">
      <c r="A31" s="84" t="s">
        <v>33</v>
      </c>
      <c r="B31" s="85"/>
      <c r="C31" s="85"/>
      <c r="D31" s="66"/>
      <c r="E31" s="89">
        <v>250000</v>
      </c>
      <c r="F31" s="60">
        <v>0</v>
      </c>
      <c r="G31" s="60">
        <v>0</v>
      </c>
      <c r="H31" s="61">
        <v>0</v>
      </c>
    </row>
    <row r="32" spans="1:10" ht="18" customHeight="1">
      <c r="A32" s="90"/>
      <c r="B32" s="91"/>
      <c r="C32" s="91"/>
      <c r="D32" s="92"/>
      <c r="E32" s="93"/>
      <c r="F32" s="47"/>
      <c r="G32" s="48"/>
      <c r="H32" s="49"/>
    </row>
    <row r="33" spans="1:10" ht="18" customHeight="1" thickBot="1">
      <c r="A33" s="73" t="s">
        <v>15</v>
      </c>
      <c r="B33" s="74"/>
      <c r="C33" s="74"/>
      <c r="D33" s="94"/>
      <c r="E33" s="76">
        <f>SUM(E26:E32)</f>
        <v>3157000</v>
      </c>
      <c r="F33" s="54"/>
      <c r="G33" s="54"/>
      <c r="H33" s="55"/>
      <c r="I33" s="29"/>
      <c r="J33" s="29"/>
    </row>
    <row r="34" spans="1:10" ht="18" customHeight="1">
      <c r="A34" s="77" t="s">
        <v>22</v>
      </c>
      <c r="B34" s="77"/>
      <c r="C34" s="77"/>
      <c r="D34" s="77"/>
      <c r="E34" s="95"/>
      <c r="F34" s="26"/>
      <c r="G34" s="26"/>
      <c r="H34" s="26"/>
      <c r="I34" s="29"/>
      <c r="J34" s="29"/>
    </row>
    <row r="35" spans="1:10" ht="13.5">
      <c r="A35" s="59"/>
      <c r="C35" s="19"/>
      <c r="D35" s="19"/>
      <c r="E35" s="26"/>
      <c r="F35" s="26"/>
      <c r="G35" s="26"/>
      <c r="H35" s="26"/>
      <c r="I35" s="29"/>
      <c r="J35" s="29"/>
    </row>
    <row r="36" spans="1:10" ht="13.5">
      <c r="A36" s="19"/>
      <c r="C36" s="19"/>
      <c r="D36" s="19"/>
      <c r="E36" s="26"/>
      <c r="F36" s="26"/>
      <c r="G36" s="26"/>
      <c r="H36" s="26"/>
      <c r="I36" s="29"/>
      <c r="J36" s="29"/>
    </row>
    <row r="37" spans="1:10" ht="13.5">
      <c r="A37" s="19"/>
      <c r="C37" s="19"/>
      <c r="D37" s="19"/>
      <c r="E37" s="19"/>
      <c r="F37" s="19"/>
      <c r="G37" s="19"/>
      <c r="H37" s="19"/>
    </row>
    <row r="38" spans="1:10" ht="13.5">
      <c r="A38" s="56"/>
      <c r="B38" s="19"/>
      <c r="C38" s="19"/>
      <c r="D38" s="19"/>
      <c r="E38" s="26"/>
      <c r="F38" s="26"/>
      <c r="G38" s="26"/>
      <c r="H38" s="26"/>
    </row>
    <row r="39" spans="1:10">
      <c r="A39" s="57"/>
    </row>
    <row r="40" spans="1:10">
      <c r="A40" s="58"/>
    </row>
  </sheetData>
  <phoneticPr fontId="0" type="noConversion"/>
  <pageMargins left="0.77" right="0.75" top="0.83" bottom="0.59" header="0.5" footer="0.2"/>
  <pageSetup scale="76" orientation="portrait" r:id="rId1"/>
  <headerFooter alignWithMargins="0">
    <oddHeader>&amp;COffice of Public Defense</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posed_x002f_Passed_x0020__x0023__x003a_ xmlns="308dc21f-8940-46b7-9ee9-f86b439897b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Reviewer Log" ma:contentTypeID="0x010100D03C1FEDB24A304B88B22491CFC0976900BDDACB3425B3CA438DCE84BCE075FBD5" ma:contentTypeVersion="7" ma:contentTypeDescription="" ma:contentTypeScope="" ma:versionID="d570a5751853370e14ae4439277fe144">
  <xsd:schema xmlns:xsd="http://www.w3.org/2001/XMLSchema" xmlns:xs="http://www.w3.org/2001/XMLSchema" xmlns:p="http://schemas.microsoft.com/office/2006/metadata/properties" xmlns:ns2="308dc21f-8940-46b7-9ee9-f86b439897b1" targetNamespace="http://schemas.microsoft.com/office/2006/metadata/properties" ma:root="true" ma:fieldsID="92f4d387d847075deb42c9ad4b335e09" ns2:_="">
    <xsd:import namespace="308dc21f-8940-46b7-9ee9-f86b439897b1"/>
    <xsd:element name="properties">
      <xsd:complexType>
        <xsd:sequence>
          <xsd:element name="documentManagement">
            <xsd:complexType>
              <xsd:all>
                <xsd:element ref="ns2:Proposed_x002f_Passed_x0020__x0023__x003a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8dc21f-8940-46b7-9ee9-f86b439897b1" elementFormDefault="qualified">
    <xsd:import namespace="http://schemas.microsoft.com/office/2006/documentManagement/types"/>
    <xsd:import namespace="http://schemas.microsoft.com/office/infopath/2007/PartnerControls"/>
    <xsd:element name="Proposed_x002f_Passed_x0020__x0023__x003a_" ma:index="8" nillable="true" ma:displayName="Proposed/Passed #:" ma:internalName="Proposed_x002f_Passed_x0020__x0023__x003a_">
      <xsd:simpleType>
        <xsd:restriction base="dms:Text">
          <xsd:maxLength value="1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Inf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CBACD8-DD2B-4727-8253-1D433F9CEC10}">
  <ds:schemaRefs>
    <ds:schemaRef ds:uri="http://schemas.microsoft.com/office/2006/metadata/longProperties"/>
  </ds:schemaRefs>
</ds:datastoreItem>
</file>

<file path=customXml/itemProps2.xml><?xml version="1.0" encoding="utf-8"?>
<ds:datastoreItem xmlns:ds="http://schemas.openxmlformats.org/officeDocument/2006/customXml" ds:itemID="{4A06DE6A-8150-4E04-AB28-4C0C060C4F35}">
  <ds:schemaRefs>
    <ds:schemaRef ds:uri="http://schemas.microsoft.com/sharepoint/v3/contenttype/forms"/>
  </ds:schemaRefs>
</ds:datastoreItem>
</file>

<file path=customXml/itemProps3.xml><?xml version="1.0" encoding="utf-8"?>
<ds:datastoreItem xmlns:ds="http://schemas.openxmlformats.org/officeDocument/2006/customXml" ds:itemID="{97C8E902-9ACD-4F4D-BD6D-B1E0DAE9669F}">
  <ds:schemaRefs>
    <ds:schemaRef ds:uri="http://schemas.microsoft.com/office/2006/documentManagement/types"/>
    <ds:schemaRef ds:uri="http://schemas.openxmlformats.org/package/2006/metadata/core-properties"/>
    <ds:schemaRef ds:uri="308dc21f-8940-46b7-9ee9-f86b439897b1"/>
    <ds:schemaRef ds:uri="http://schemas.microsoft.com/office/2006/metadata/properties"/>
    <ds:schemaRef ds:uri="http://purl.org/dc/terms/"/>
    <ds:schemaRef ds:uri="http://schemas.microsoft.com/office/infopath/2007/PartnerControls"/>
    <ds:schemaRef ds:uri="http://purl.org/dc/dcmitype/"/>
    <ds:schemaRef ds:uri="http://www.w3.org/XML/1998/namespace"/>
    <ds:schemaRef ds:uri="http://purl.org/dc/elements/1.1/"/>
  </ds:schemaRefs>
</ds:datastoreItem>
</file>

<file path=customXml/itemProps4.xml><?xml version="1.0" encoding="utf-8"?>
<ds:datastoreItem xmlns:ds="http://schemas.openxmlformats.org/officeDocument/2006/customXml" ds:itemID="{1BA4136C-7B20-4738-92DF-06F11D805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8dc21f-8940-46b7-9ee9-f86b439897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OPD</vt:lpstr>
      <vt:lpstr>OPD!Print_Area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fiscal note for onboarding</dc:title>
  <dc:creator>Jos Mapranath</dc:creator>
  <cp:lastModifiedBy>gilmank</cp:lastModifiedBy>
  <cp:lastPrinted>2013-02-14T01:11:06Z</cp:lastPrinted>
  <dcterms:created xsi:type="dcterms:W3CDTF">1999-06-02T23:29:55Z</dcterms:created>
  <dcterms:modified xsi:type="dcterms:W3CDTF">2013-02-21T23:56:03Z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0x010100D03C1FEDB24A304B88B22491CFC0976900BDDACB3425B3CA438DCE84BCE075FBD5</vt:lpwstr>
  </property>
</Properties>
</file>