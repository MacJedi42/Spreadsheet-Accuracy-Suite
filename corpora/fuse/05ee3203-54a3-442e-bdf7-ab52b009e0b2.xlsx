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15450" windowHeight="9690"/>
  </bookViews>
  <sheets>
    <sheet name="Sheet1" sheetId="1" r:id="rId1"/>
  </sheets>
  <calcPr calcId="125725"/>
</workbook>
</file>

<file path=xl/calcChain.xml><?xml version="1.0" encoding="utf-8"?>
<calcChain xmlns="http://schemas.openxmlformats.org/spreadsheetml/2006/main">
  <c r="D39" i="1"/>
  <c r="J32"/>
  <c r="H31"/>
  <c r="L31" s="1"/>
  <c r="H30"/>
  <c r="L30" s="1"/>
  <c r="H29"/>
  <c r="L29" s="1"/>
  <c r="J84"/>
  <c r="J83"/>
  <c r="J82"/>
  <c r="D77"/>
  <c r="L82"/>
  <c r="J81"/>
  <c r="H77"/>
  <c r="L83" s="1"/>
  <c r="E95"/>
  <c r="E96" s="1"/>
  <c r="H21"/>
  <c r="L21" s="1"/>
  <c r="H22"/>
  <c r="L22" s="1"/>
  <c r="H23"/>
  <c r="L23" s="1"/>
  <c r="H24"/>
  <c r="H25"/>
  <c r="L25"/>
  <c r="H26"/>
  <c r="H27"/>
  <c r="L27" s="1"/>
  <c r="H28"/>
  <c r="G109"/>
  <c r="G105"/>
  <c r="L24"/>
  <c r="L26"/>
  <c r="L28"/>
  <c r="G104"/>
  <c r="G108"/>
  <c r="L81"/>
  <c r="H32" l="1"/>
  <c r="L84"/>
  <c r="G110"/>
  <c r="G106"/>
  <c r="G103"/>
  <c r="G107"/>
  <c r="L32" l="1"/>
  <c r="K38"/>
  <c r="K39" s="1"/>
  <c r="F43" s="1"/>
</calcChain>
</file>

<file path=xl/comments1.xml><?xml version="1.0" encoding="utf-8"?>
<comments xmlns="http://schemas.openxmlformats.org/spreadsheetml/2006/main">
  <authors>
    <author>bf2</author>
    <author>BF2</author>
  </authors>
  <commentList>
    <comment ref="I9" authorId="0">
      <text>
        <r>
          <rPr>
            <b/>
            <sz val="8"/>
            <color indexed="81"/>
            <rFont val="Tahoma"/>
            <family val="2"/>
          </rPr>
          <t>NYSERDA:  Please enter 10 digit numbers without spaces, dashes, or parenthesis</t>
        </r>
        <r>
          <rPr>
            <sz val="8"/>
            <color indexed="81"/>
            <rFont val="Tahoma"/>
            <family val="2"/>
          </rPr>
          <t xml:space="preserve">
</t>
        </r>
      </text>
    </comment>
    <comment ref="I10" authorId="0">
      <text>
        <r>
          <rPr>
            <b/>
            <sz val="8"/>
            <color indexed="81"/>
            <rFont val="Tahoma"/>
            <family val="2"/>
          </rPr>
          <t>NYSERDA:  Please enter 10 digit numbers without spaces, dashes, or parenthesis</t>
        </r>
        <r>
          <rPr>
            <sz val="8"/>
            <color indexed="81"/>
            <rFont val="Tahoma"/>
            <family val="2"/>
          </rPr>
          <t xml:space="preserve">
</t>
        </r>
      </text>
    </comment>
    <comment ref="F58" authorId="1">
      <text>
        <r>
          <rPr>
            <b/>
            <sz val="8"/>
            <color indexed="81"/>
            <rFont val="Tahoma"/>
            <family val="2"/>
          </rPr>
          <t xml:space="preserve">NYSERDA:  Peak Demand is usually indicated on your electric bills.  It is a charge associated with your facility's maximum electrical draw (measured in 15 minute windows) on the utility grid during the billing period.  High demand is usually indicative of an excess of equipment operating simultaneously, but not necessarily for extended periods of time.  Therefore, it is possible to see high demand while maintaining relatively low electric usage.  </t>
        </r>
      </text>
    </comment>
  </commentList>
</comments>
</file>

<file path=xl/sharedStrings.xml><?xml version="1.0" encoding="utf-8"?>
<sst xmlns="http://schemas.openxmlformats.org/spreadsheetml/2006/main" count="178" uniqueCount="110">
  <si>
    <t>Executive Order No. 111</t>
  </si>
  <si>
    <t>“Green and Clean” State Buildings and Vehicles</t>
  </si>
  <si>
    <t xml:space="preserve">Reporting Period: </t>
  </si>
  <si>
    <t>Contact:</t>
  </si>
  <si>
    <t>Title:</t>
  </si>
  <si>
    <t>Address:</t>
  </si>
  <si>
    <t>Affected State Entity:</t>
  </si>
  <si>
    <t>Zip:</t>
  </si>
  <si>
    <t>Phone:</t>
  </si>
  <si>
    <t>Fax</t>
  </si>
  <si>
    <t>E-mail:</t>
  </si>
  <si>
    <t>Facility Energy Use and Cost Information</t>
  </si>
  <si>
    <t>Fuel Type</t>
  </si>
  <si>
    <t>Units Consumed</t>
  </si>
  <si>
    <t>Btus per Unit</t>
  </si>
  <si>
    <t>MMBtus</t>
  </si>
  <si>
    <t>Total Cost</t>
  </si>
  <si>
    <t>Cost/MMBtu</t>
  </si>
  <si>
    <t>Number 2 Fuel Oil (Gal)</t>
  </si>
  <si>
    <t>Natural Gas (Therms)</t>
  </si>
  <si>
    <t>Natural Gas (Cubic Ft)</t>
  </si>
  <si>
    <t>Number 6 Fuel Oil (Gal)</t>
  </si>
  <si>
    <t>Electricity (kWh)</t>
  </si>
  <si>
    <t>Propane</t>
  </si>
  <si>
    <t>Other</t>
  </si>
  <si>
    <t>Total Energy Consumption:</t>
  </si>
  <si>
    <t>Number of Buildings:</t>
  </si>
  <si>
    <t>Affected State Entity Size:</t>
  </si>
  <si>
    <t>Energy Use Index Change from Base Year:</t>
  </si>
  <si>
    <t>(Square Feet)</t>
  </si>
  <si>
    <t>(Btus/Square Feet)</t>
  </si>
  <si>
    <t>(%)</t>
  </si>
  <si>
    <t>Peak Electrical Demand Information</t>
  </si>
  <si>
    <t>Consolidated Edison Service Territory:</t>
  </si>
  <si>
    <t>LIPA Service Territory:</t>
  </si>
  <si>
    <t>Upstate Service Territories:</t>
  </si>
  <si>
    <t>Current</t>
  </si>
  <si>
    <t>Target SFY 10/11 (kW)</t>
  </si>
  <si>
    <t>(kW)</t>
  </si>
  <si>
    <t>Procurement of Alternative-Fuel and Clean Fuel Vehicles</t>
  </si>
  <si>
    <t>(number)</t>
  </si>
  <si>
    <t>Renewable Power</t>
  </si>
  <si>
    <t>Total Electrical Energy Consumption</t>
  </si>
  <si>
    <t>(kWh)</t>
  </si>
  <si>
    <t xml:space="preserve">On-site Generation </t>
  </si>
  <si>
    <t>Utility:</t>
  </si>
  <si>
    <t>OGS IFB:</t>
  </si>
  <si>
    <t>(mm/dd/yy)</t>
  </si>
  <si>
    <t>Method of Compliance</t>
  </si>
  <si>
    <t xml:space="preserve">Start and End Dates of Contract  </t>
  </si>
  <si>
    <t>General</t>
  </si>
  <si>
    <t>Sources of Generation for Renewable Energy</t>
  </si>
  <si>
    <t>Wind:</t>
  </si>
  <si>
    <t>Solar Thermal:</t>
  </si>
  <si>
    <t>Tidal:</t>
  </si>
  <si>
    <t>Methane:</t>
  </si>
  <si>
    <t>Fuel Cells:</t>
  </si>
  <si>
    <t>Photovoltaic:</t>
  </si>
  <si>
    <t>Sustainably Managed Biomass:</t>
  </si>
  <si>
    <t>Geothermal*:</t>
  </si>
  <si>
    <t>Procurement</t>
  </si>
  <si>
    <t>Describe strategies undertaken to meet EO111 procurement requirements. Attach additional sheets as necessary.</t>
  </si>
  <si>
    <t>Steam*</t>
  </si>
  <si>
    <t xml:space="preserve">EO 111 requires affected State entities to establish peak electrical demand reduction targets by 2005 and 2010. The information requested below is used to track statewide progress toward that goal. </t>
  </si>
  <si>
    <t>Total:</t>
  </si>
  <si>
    <t>Hybrid:</t>
  </si>
  <si>
    <t xml:space="preserve">Describe strategies undertaken to meet EO111 requirements for new construction/substantial renovations. List buildings being renovated. Attach additional sheets as needed. </t>
  </si>
  <si>
    <t>Flex-fuel (E85)</t>
  </si>
  <si>
    <t>CNG (Bi-fuel and dedicated)</t>
  </si>
  <si>
    <t>Electric</t>
  </si>
  <si>
    <t>(MM/DD/YY)</t>
  </si>
  <si>
    <t xml:space="preserve">through </t>
  </si>
  <si>
    <t>NYPA IFB:</t>
  </si>
  <si>
    <t>Other:</t>
  </si>
  <si>
    <t>Hydrogen</t>
  </si>
  <si>
    <t>Total number of non-exempted light-duty vehicles owned by your State Entity that are alternative-fueled:</t>
  </si>
  <si>
    <t>Green Buildings</t>
  </si>
  <si>
    <t>Total number of new non-exempted light-duty vehicles acquired that are alternative-fueled:</t>
  </si>
  <si>
    <t>EO111 requires Affected State Entities to select ENERGY STAR energy-efficient products when acquiring new products, or replacing existing ones. For products that do not have an ENERGY STAR rating, NYSERDA may designate energy-efficiency requirements. Please indicate below what steps you are taking to achieve these goals.</t>
  </si>
  <si>
    <t>EO111 requires that Affected State Entities shall follow "Green Building" requirements as set forth in the Guidelines. New buildings shall achieve at least a 20% improvement in energy efficiency performance relative to required levels. Renovations shall achieve a 10% improvement. Please indicate below what steps your Affected State Entity is taking to achieve these goals.</t>
  </si>
  <si>
    <t xml:space="preserve">EO111 mandates a 35% reduction in buildings' energy consumption by 2010 relative to 1990 levels. The information requested below is used to track statewide progress toward that goal. </t>
  </si>
  <si>
    <t>EO111 strongly encourages all Affected State Entities to rate their facilities using the ENERGY STAR Portfolio Manager and earn the ENERGY STAR Building Label or the U.S. Green Building Council's LEED for Existing Building rating system.  Please identify use of these building management systems and any facilities that have earned certification.</t>
  </si>
  <si>
    <t>Gasoline</t>
  </si>
  <si>
    <t>Exempted</t>
  </si>
  <si>
    <t>New light-duty vehicles acquired during the reporting period:</t>
  </si>
  <si>
    <t>Total fleet light-duty vehicles that are exempted from the requirements of EO111:</t>
  </si>
  <si>
    <t>New light-duty vehicles that are exempted from the requirements of EO111:</t>
  </si>
  <si>
    <t>Summary Vehicle Numbers</t>
  </si>
  <si>
    <t>Total number of light-duty vehicles owned (including new purchases):</t>
  </si>
  <si>
    <t xml:space="preserve">SFY 07/08 Target (10% of Total): </t>
  </si>
  <si>
    <t>Actual SFY 07/08 Renew. Energy Purchases:</t>
  </si>
  <si>
    <t>N/A</t>
  </si>
  <si>
    <r>
      <rPr>
        <b/>
        <sz val="8"/>
        <rFont val="Arial"/>
        <family val="2"/>
      </rPr>
      <t>*</t>
    </r>
    <r>
      <rPr>
        <sz val="8"/>
        <rFont val="Arial"/>
        <family val="2"/>
      </rPr>
      <t>Geothermal does not include ground source heat pumps or any other type of ground or water coupled heating/cooling system.</t>
    </r>
  </si>
  <si>
    <t>Note: Energy generated from hydro power is not eligible under the requirements of EO111.</t>
  </si>
  <si>
    <t>Base Year Information</t>
  </si>
  <si>
    <t>Reporting Year Information</t>
  </si>
  <si>
    <t>SFY:</t>
  </si>
  <si>
    <t>Identify Base Year Here</t>
  </si>
  <si>
    <t>(MMBtus)</t>
  </si>
  <si>
    <t>EO 111 mandates that by 2010, 20% of all overall annual building electricity be generated from renewable resources, including wind, solar thermal, photovoltaics, sustainably managed biomass, tidal, geothermal, methane waste and fuel cells. If you have not yet met these mandated goals, please indicate below what steps you are taking to achieve them.</t>
  </si>
  <si>
    <t>Base Year Energy Use Index:</t>
  </si>
  <si>
    <t>Reporting Year Energy Use Index:</t>
  </si>
  <si>
    <t>2008/09 Annual Energy Report</t>
  </si>
  <si>
    <t>EO 111 mandates that by 2010, 100% of all new light-duty vehicles shall be alternative-fueled. Entities that operate medium- or heavy-duty vehicles shall implement strategies for reducing fuel and emissions consumption. Please indicate below what steps your Affected State Entity are taking to achieve these goals. Note: Information regarding compliance with Executive Order No. 142 for calendar year 2009 will be collected through a separate report.</t>
  </si>
  <si>
    <t>Fill in "Units Consumed" and "Total Cost" for each fuel type, and the spreadsheet will calculate MMBtus and Cost/MMBtu.  Add additional lines as necessary.</t>
  </si>
  <si>
    <t>Describe strategies undertaken to reduce fuel consumption and emissions for medium- and heavy-duty vehicles. Attach additional sheets as necessary:</t>
  </si>
  <si>
    <t>Reporting Year Total Energy Use:</t>
  </si>
  <si>
    <t>Base Year Total Energy Use:</t>
  </si>
  <si>
    <r>
      <rPr>
        <b/>
        <sz val="12"/>
        <rFont val="Arial"/>
        <family val="2"/>
      </rPr>
      <t xml:space="preserve">* </t>
    </r>
    <r>
      <rPr>
        <sz val="12"/>
        <rFont val="Arial"/>
        <family val="2"/>
      </rPr>
      <t>Use Steam Tables for Btus per Unit</t>
    </r>
  </si>
  <si>
    <t>Other (Units)</t>
  </si>
</sst>
</file>

<file path=xl/styles.xml><?xml version="1.0" encoding="utf-8"?>
<styleSheet xmlns="http://schemas.openxmlformats.org/spreadsheetml/2006/main">
  <numFmts count="5">
    <numFmt numFmtId="164" formatCode="&quot;$&quot;#,##0.00"/>
    <numFmt numFmtId="165" formatCode="0.0%"/>
    <numFmt numFmtId="166" formatCode="m/d/yy;@"/>
    <numFmt numFmtId="167" formatCode="[&lt;=9999999]###\-####;\(###\)\ ###\-####"/>
    <numFmt numFmtId="168" formatCode="00000"/>
  </numFmts>
  <fonts count="13">
    <font>
      <sz val="10"/>
      <name val="Arial"/>
    </font>
    <font>
      <b/>
      <sz val="13"/>
      <name val="Times New Roman"/>
      <family val="1"/>
    </font>
    <font>
      <b/>
      <sz val="10"/>
      <name val="Arial"/>
      <family val="2"/>
    </font>
    <font>
      <sz val="10"/>
      <name val="Arial"/>
      <family val="2"/>
    </font>
    <font>
      <b/>
      <sz val="10"/>
      <color indexed="9"/>
      <name val="Arial"/>
      <family val="2"/>
    </font>
    <font>
      <sz val="10"/>
      <color indexed="9"/>
      <name val="Arial"/>
      <family val="2"/>
    </font>
    <font>
      <sz val="8"/>
      <name val="Arial"/>
      <family val="2"/>
    </font>
    <font>
      <b/>
      <sz val="8"/>
      <name val="Arial"/>
      <family val="2"/>
    </font>
    <font>
      <b/>
      <sz val="9"/>
      <name val="Arial"/>
      <family val="2"/>
    </font>
    <font>
      <sz val="8"/>
      <color indexed="81"/>
      <name val="Tahoma"/>
      <family val="2"/>
    </font>
    <font>
      <b/>
      <sz val="8"/>
      <color indexed="81"/>
      <name val="Tahoma"/>
      <family val="2"/>
    </font>
    <font>
      <sz val="12"/>
      <name val="Arial"/>
      <family val="2"/>
    </font>
    <font>
      <b/>
      <sz val="12"/>
      <name val="Arial"/>
      <family val="2"/>
    </font>
  </fonts>
  <fills count="8">
    <fill>
      <patternFill patternType="none"/>
    </fill>
    <fill>
      <patternFill patternType="gray125"/>
    </fill>
    <fill>
      <patternFill patternType="solid">
        <fgColor indexed="8"/>
        <bgColor indexed="64"/>
      </patternFill>
    </fill>
    <fill>
      <patternFill patternType="solid">
        <fgColor indexed="55"/>
        <bgColor indexed="64"/>
      </patternFill>
    </fill>
    <fill>
      <patternFill patternType="solid">
        <fgColor indexed="22"/>
        <bgColor indexed="64"/>
      </patternFill>
    </fill>
    <fill>
      <patternFill patternType="solid">
        <fgColor theme="0" tint="-0.24994659260841701"/>
        <bgColor indexed="64"/>
      </patternFill>
    </fill>
    <fill>
      <patternFill patternType="solid">
        <fgColor theme="6" tint="0.59996337778862885"/>
        <bgColor indexed="64"/>
      </patternFill>
    </fill>
    <fill>
      <patternFill patternType="solid">
        <fgColor theme="6" tint="0.59999389629810485"/>
        <bgColor indexed="64"/>
      </patternFill>
    </fill>
  </fills>
  <borders count="21">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s>
  <cellStyleXfs count="1">
    <xf numFmtId="0" fontId="0" fillId="0" borderId="0"/>
  </cellStyleXfs>
  <cellXfs count="185">
    <xf numFmtId="0" fontId="0" fillId="0" borderId="0" xfId="0"/>
    <xf numFmtId="0" fontId="0" fillId="0" borderId="1" xfId="0" applyBorder="1"/>
    <xf numFmtId="0" fontId="2" fillId="0" borderId="0" xfId="0" applyFont="1" applyBorder="1"/>
    <xf numFmtId="0" fontId="2" fillId="0" borderId="2" xfId="0" applyFont="1" applyBorder="1"/>
    <xf numFmtId="0" fontId="2" fillId="0" borderId="3" xfId="0" applyFont="1" applyBorder="1"/>
    <xf numFmtId="0" fontId="2" fillId="0" borderId="0" xfId="0" applyFont="1" applyFill="1" applyBorder="1"/>
    <xf numFmtId="0" fontId="3" fillId="0" borderId="0" xfId="0" applyFont="1"/>
    <xf numFmtId="0" fontId="3" fillId="0" borderId="1" xfId="0" applyFont="1" applyBorder="1"/>
    <xf numFmtId="0" fontId="3" fillId="0" borderId="0" xfId="0" applyFont="1" applyBorder="1"/>
    <xf numFmtId="0" fontId="3" fillId="0" borderId="4" xfId="0" applyFont="1" applyBorder="1"/>
    <xf numFmtId="0" fontId="3" fillId="0" borderId="6" xfId="0" applyFont="1" applyBorder="1"/>
    <xf numFmtId="0" fontId="2" fillId="0" borderId="0" xfId="0" applyFont="1"/>
    <xf numFmtId="0" fontId="3" fillId="0" borderId="2" xfId="0" applyFont="1" applyBorder="1"/>
    <xf numFmtId="0" fontId="3" fillId="0" borderId="3" xfId="0" applyFont="1" applyBorder="1"/>
    <xf numFmtId="0" fontId="4" fillId="2" borderId="10" xfId="0" applyFont="1" applyFill="1" applyBorder="1"/>
    <xf numFmtId="0" fontId="5" fillId="2" borderId="11" xfId="0" applyFont="1" applyFill="1" applyBorder="1"/>
    <xf numFmtId="0" fontId="5" fillId="2" borderId="0" xfId="0" applyFont="1" applyFill="1"/>
    <xf numFmtId="0" fontId="5" fillId="2" borderId="12" xfId="0" applyFont="1" applyFill="1" applyBorder="1"/>
    <xf numFmtId="0" fontId="3" fillId="0" borderId="10" xfId="0" applyFont="1" applyBorder="1"/>
    <xf numFmtId="0" fontId="3" fillId="0" borderId="11" xfId="0" applyFont="1" applyBorder="1"/>
    <xf numFmtId="0" fontId="0" fillId="0" borderId="11" xfId="0" applyBorder="1"/>
    <xf numFmtId="0" fontId="3" fillId="0" borderId="12" xfId="0" applyFont="1" applyBorder="1"/>
    <xf numFmtId="0" fontId="0" fillId="0" borderId="0" xfId="0" applyBorder="1"/>
    <xf numFmtId="0" fontId="0" fillId="0" borderId="2" xfId="0" applyBorder="1"/>
    <xf numFmtId="0" fontId="2" fillId="0" borderId="1" xfId="0" applyFont="1" applyBorder="1"/>
    <xf numFmtId="0" fontId="2" fillId="0" borderId="1" xfId="0" applyFont="1" applyFill="1" applyBorder="1"/>
    <xf numFmtId="0" fontId="0" fillId="0" borderId="4" xfId="0" applyBorder="1"/>
    <xf numFmtId="0" fontId="6" fillId="0" borderId="2" xfId="0" applyFont="1" applyBorder="1"/>
    <xf numFmtId="0" fontId="6" fillId="0" borderId="0" xfId="0" applyFont="1" applyBorder="1"/>
    <xf numFmtId="0" fontId="6" fillId="0" borderId="2" xfId="0" applyFont="1" applyBorder="1" applyAlignment="1">
      <alignment wrapText="1"/>
    </xf>
    <xf numFmtId="0" fontId="0" fillId="0" borderId="3" xfId="0" applyBorder="1"/>
    <xf numFmtId="0" fontId="6" fillId="0" borderId="2" xfId="0" applyFont="1" applyFill="1" applyBorder="1"/>
    <xf numFmtId="0" fontId="6" fillId="0" borderId="0" xfId="0" applyFont="1" applyFill="1" applyBorder="1"/>
    <xf numFmtId="0" fontId="6" fillId="0" borderId="0" xfId="0" applyFont="1"/>
    <xf numFmtId="0" fontId="6" fillId="0" borderId="13" xfId="0" applyFont="1" applyBorder="1"/>
    <xf numFmtId="0" fontId="2" fillId="0" borderId="4" xfId="0" applyFont="1" applyBorder="1"/>
    <xf numFmtId="0" fontId="6" fillId="0" borderId="4" xfId="0" applyFont="1" applyBorder="1"/>
    <xf numFmtId="0" fontId="6" fillId="0" borderId="3" xfId="0" applyFont="1" applyBorder="1"/>
    <xf numFmtId="0" fontId="6" fillId="0" borderId="10" xfId="0" applyFont="1" applyBorder="1"/>
    <xf numFmtId="0" fontId="2" fillId="0" borderId="11" xfId="0" applyFont="1" applyFill="1" applyBorder="1"/>
    <xf numFmtId="0" fontId="6" fillId="0" borderId="0" xfId="0" applyFont="1" applyBorder="1" applyAlignment="1">
      <alignment vertical="top" wrapText="1"/>
    </xf>
    <xf numFmtId="0" fontId="7" fillId="0" borderId="0" xfId="0" applyFont="1" applyFill="1" applyBorder="1"/>
    <xf numFmtId="0" fontId="6" fillId="0" borderId="0" xfId="0" applyFont="1" applyBorder="1" applyAlignment="1">
      <alignment vertical="center"/>
    </xf>
    <xf numFmtId="0" fontId="6" fillId="0" borderId="0" xfId="0" applyFont="1" applyBorder="1" applyAlignment="1">
      <alignment vertical="center" wrapText="1"/>
    </xf>
    <xf numFmtId="0" fontId="6" fillId="0" borderId="2" xfId="0" applyFont="1" applyBorder="1" applyAlignment="1"/>
    <xf numFmtId="0" fontId="4" fillId="2" borderId="14" xfId="0" applyFont="1" applyFill="1" applyBorder="1"/>
    <xf numFmtId="0" fontId="5" fillId="2" borderId="5" xfId="0" applyFont="1" applyFill="1" applyBorder="1"/>
    <xf numFmtId="0" fontId="5" fillId="2" borderId="15" xfId="0" applyFont="1" applyFill="1" applyBorder="1"/>
    <xf numFmtId="0" fontId="2" fillId="3" borderId="16" xfId="0" applyFont="1" applyFill="1" applyBorder="1"/>
    <xf numFmtId="0" fontId="2" fillId="0" borderId="10" xfId="0" applyFont="1" applyFill="1" applyBorder="1"/>
    <xf numFmtId="0" fontId="3" fillId="0" borderId="11" xfId="0" applyFont="1" applyFill="1" applyBorder="1"/>
    <xf numFmtId="0" fontId="3" fillId="0" borderId="0" xfId="0" applyFont="1" applyFill="1"/>
    <xf numFmtId="0" fontId="3" fillId="0" borderId="12" xfId="0" applyFont="1" applyFill="1" applyBorder="1"/>
    <xf numFmtId="165" fontId="3" fillId="4" borderId="16" xfId="0" applyNumberFormat="1" applyFont="1" applyFill="1" applyBorder="1"/>
    <xf numFmtId="3" fontId="3" fillId="3" borderId="16" xfId="0" applyNumberFormat="1" applyFont="1" applyFill="1" applyBorder="1"/>
    <xf numFmtId="165" fontId="2" fillId="3" borderId="16" xfId="0" applyNumberFormat="1" applyFont="1" applyFill="1" applyBorder="1"/>
    <xf numFmtId="0" fontId="2" fillId="0" borderId="11" xfId="0" applyFont="1" applyBorder="1" applyAlignment="1">
      <alignment horizontal="right"/>
    </xf>
    <xf numFmtId="1" fontId="2" fillId="0" borderId="0" xfId="0" applyNumberFormat="1" applyFont="1" applyFill="1" applyBorder="1"/>
    <xf numFmtId="1" fontId="2" fillId="3" borderId="16" xfId="0" applyNumberFormat="1" applyFont="1" applyFill="1" applyBorder="1"/>
    <xf numFmtId="10" fontId="2" fillId="3" borderId="16" xfId="0" applyNumberFormat="1" applyFont="1" applyFill="1" applyBorder="1"/>
    <xf numFmtId="3" fontId="2" fillId="3" borderId="16" xfId="0" applyNumberFormat="1" applyFont="1" applyFill="1" applyBorder="1"/>
    <xf numFmtId="0" fontId="0" fillId="0" borderId="0" xfId="0" applyAlignment="1">
      <alignment wrapText="1"/>
    </xf>
    <xf numFmtId="0" fontId="0" fillId="0" borderId="0" xfId="0" applyBorder="1" applyAlignment="1">
      <alignment wrapText="1"/>
    </xf>
    <xf numFmtId="0" fontId="8" fillId="0" borderId="0" xfId="0" applyFont="1" applyBorder="1"/>
    <xf numFmtId="3" fontId="3" fillId="0" borderId="0" xfId="0" applyNumberFormat="1" applyFont="1" applyFill="1" applyBorder="1"/>
    <xf numFmtId="0" fontId="8" fillId="0" borderId="2" xfId="0" applyFont="1" applyBorder="1"/>
    <xf numFmtId="167" fontId="3" fillId="0" borderId="0" xfId="0" applyNumberFormat="1" applyFont="1"/>
    <xf numFmtId="168" fontId="11" fillId="0" borderId="5" xfId="0" applyNumberFormat="1" applyFont="1" applyBorder="1" applyAlignment="1" applyProtection="1">
      <alignment wrapText="1"/>
      <protection locked="0"/>
    </xf>
    <xf numFmtId="0" fontId="12" fillId="0" borderId="7" xfId="0" applyFont="1" applyBorder="1"/>
    <xf numFmtId="0" fontId="12" fillId="0" borderId="8" xfId="0" applyFont="1" applyBorder="1"/>
    <xf numFmtId="0" fontId="11" fillId="0" borderId="9" xfId="0" applyFont="1" applyBorder="1"/>
    <xf numFmtId="0" fontId="11" fillId="0" borderId="14" xfId="0" applyFont="1" applyBorder="1" applyAlignment="1"/>
    <xf numFmtId="0" fontId="11" fillId="0" borderId="5" xfId="0" applyFont="1" applyBorder="1" applyAlignment="1"/>
    <xf numFmtId="0" fontId="11" fillId="0" borderId="15" xfId="0" applyFont="1" applyBorder="1" applyAlignment="1"/>
    <xf numFmtId="0" fontId="11" fillId="0" borderId="10" xfId="0" applyFont="1" applyFill="1" applyBorder="1"/>
    <xf numFmtId="0" fontId="11" fillId="0" borderId="11" xfId="0" applyFont="1" applyBorder="1"/>
    <xf numFmtId="0" fontId="11" fillId="0" borderId="12" xfId="0" applyFont="1" applyBorder="1"/>
    <xf numFmtId="3" fontId="11" fillId="6" borderId="16" xfId="0" applyNumberFormat="1" applyFont="1" applyFill="1" applyBorder="1" applyAlignment="1" applyProtection="1">
      <protection locked="0"/>
    </xf>
    <xf numFmtId="3" fontId="11" fillId="6" borderId="16" xfId="0" applyNumberFormat="1" applyFont="1" applyFill="1" applyBorder="1" applyProtection="1">
      <protection locked="0"/>
    </xf>
    <xf numFmtId="0" fontId="2" fillId="7" borderId="16" xfId="0" applyFont="1" applyFill="1" applyBorder="1"/>
    <xf numFmtId="3" fontId="2" fillId="7" borderId="16" xfId="0" applyNumberFormat="1" applyFont="1" applyFill="1" applyBorder="1"/>
    <xf numFmtId="165" fontId="2" fillId="7" borderId="16" xfId="0" applyNumberFormat="1" applyFont="1" applyFill="1" applyBorder="1"/>
    <xf numFmtId="165" fontId="2" fillId="7" borderId="17" xfId="0" applyNumberFormat="1" applyFont="1" applyFill="1" applyBorder="1"/>
    <xf numFmtId="166" fontId="2" fillId="7" borderId="16" xfId="0" applyNumberFormat="1" applyFont="1" applyFill="1" applyBorder="1"/>
    <xf numFmtId="166" fontId="2" fillId="7" borderId="17" xfId="0" applyNumberFormat="1" applyFont="1" applyFill="1" applyBorder="1"/>
    <xf numFmtId="3" fontId="11" fillId="5" borderId="16" xfId="0" applyNumberFormat="1" applyFont="1" applyFill="1" applyBorder="1"/>
    <xf numFmtId="0" fontId="6" fillId="0" borderId="2" xfId="0" applyFont="1" applyBorder="1" applyAlignment="1">
      <alignment vertical="top" wrapText="1"/>
    </xf>
    <xf numFmtId="0" fontId="6" fillId="0" borderId="4" xfId="0" applyFont="1" applyBorder="1" applyAlignment="1">
      <alignment vertical="top" wrapText="1"/>
    </xf>
    <xf numFmtId="0" fontId="3" fillId="7" borderId="14" xfId="0" applyFont="1" applyFill="1" applyBorder="1" applyAlignment="1">
      <alignment vertical="top" wrapText="1"/>
    </xf>
    <xf numFmtId="0" fontId="3" fillId="7" borderId="5" xfId="0" applyFont="1" applyFill="1" applyBorder="1" applyAlignment="1">
      <alignment vertical="top" wrapText="1"/>
    </xf>
    <xf numFmtId="0" fontId="3" fillId="7" borderId="15" xfId="0" applyFont="1" applyFill="1" applyBorder="1" applyAlignment="1">
      <alignment vertical="top" wrapText="1"/>
    </xf>
    <xf numFmtId="0" fontId="2" fillId="0" borderId="2" xfId="0" applyFont="1" applyBorder="1" applyAlignment="1">
      <alignment wrapText="1"/>
    </xf>
    <xf numFmtId="0" fontId="2" fillId="0" borderId="0" xfId="0" applyFont="1" applyBorder="1" applyAlignment="1">
      <alignment wrapText="1"/>
    </xf>
    <xf numFmtId="0" fontId="2" fillId="0" borderId="4" xfId="0" applyFont="1" applyBorder="1" applyAlignment="1">
      <alignment wrapText="1"/>
    </xf>
    <xf numFmtId="0" fontId="2" fillId="0" borderId="0" xfId="0" applyFont="1" applyAlignment="1">
      <alignment wrapText="1"/>
    </xf>
    <xf numFmtId="0" fontId="2" fillId="0" borderId="0" xfId="0" applyFont="1" applyBorder="1"/>
    <xf numFmtId="164" fontId="11" fillId="4" borderId="18" xfId="0" applyNumberFormat="1" applyFont="1" applyFill="1" applyBorder="1"/>
    <xf numFmtId="164" fontId="11" fillId="4" borderId="19" xfId="0" applyNumberFormat="1" applyFont="1" applyFill="1" applyBorder="1"/>
    <xf numFmtId="164" fontId="11" fillId="6" borderId="14" xfId="0" applyNumberFormat="1" applyFont="1" applyFill="1" applyBorder="1" applyAlignment="1" applyProtection="1">
      <alignment wrapText="1"/>
      <protection locked="0"/>
    </xf>
    <xf numFmtId="164" fontId="11" fillId="6" borderId="5" xfId="0" applyNumberFormat="1" applyFont="1" applyFill="1" applyBorder="1" applyAlignment="1" applyProtection="1">
      <alignment wrapText="1"/>
      <protection locked="0"/>
    </xf>
    <xf numFmtId="0" fontId="2" fillId="0" borderId="1" xfId="0" applyFont="1" applyBorder="1"/>
    <xf numFmtId="0" fontId="2" fillId="7" borderId="14" xfId="0" applyFont="1" applyFill="1" applyBorder="1"/>
    <xf numFmtId="0" fontId="2" fillId="7" borderId="15" xfId="0" applyFont="1" applyFill="1" applyBorder="1"/>
    <xf numFmtId="0" fontId="3" fillId="7" borderId="14" xfId="0" applyFont="1" applyFill="1" applyBorder="1"/>
    <xf numFmtId="0" fontId="3" fillId="7" borderId="15" xfId="0" applyFont="1" applyFill="1" applyBorder="1"/>
    <xf numFmtId="0" fontId="6" fillId="0" borderId="0" xfId="0" applyFont="1" applyFill="1" applyBorder="1" applyAlignment="1">
      <alignment wrapText="1"/>
    </xf>
    <xf numFmtId="0" fontId="0" fillId="0" borderId="0" xfId="0" applyAlignment="1">
      <alignment wrapText="1"/>
    </xf>
    <xf numFmtId="0" fontId="11" fillId="0" borderId="14" xfId="0" applyFont="1" applyBorder="1"/>
    <xf numFmtId="0" fontId="11" fillId="0" borderId="5" xfId="0" applyFont="1" applyBorder="1"/>
    <xf numFmtId="0" fontId="11" fillId="0" borderId="14" xfId="0" applyFont="1" applyBorder="1" applyProtection="1">
      <protection locked="0"/>
    </xf>
    <xf numFmtId="0" fontId="11" fillId="0" borderId="5" xfId="0" applyFont="1" applyBorder="1" applyProtection="1">
      <protection locked="0"/>
    </xf>
    <xf numFmtId="164" fontId="11" fillId="3" borderId="14" xfId="0" applyNumberFormat="1" applyFont="1" applyFill="1" applyBorder="1" applyAlignment="1">
      <alignment horizontal="center" vertical="center"/>
    </xf>
    <xf numFmtId="164" fontId="11" fillId="3" borderId="15" xfId="0" applyNumberFormat="1" applyFont="1" applyFill="1" applyBorder="1" applyAlignment="1">
      <alignment horizontal="center" vertical="center"/>
    </xf>
    <xf numFmtId="164" fontId="11" fillId="3" borderId="14" xfId="0" applyNumberFormat="1" applyFont="1" applyFill="1" applyBorder="1" applyAlignment="1"/>
    <xf numFmtId="164" fontId="11" fillId="3" borderId="15" xfId="0" applyNumberFormat="1" applyFont="1" applyFill="1" applyBorder="1" applyAlignment="1"/>
    <xf numFmtId="3" fontId="11" fillId="3" borderId="14" xfId="0" applyNumberFormat="1" applyFont="1" applyFill="1" applyBorder="1" applyAlignment="1"/>
    <xf numFmtId="3" fontId="11" fillId="3" borderId="15" xfId="0" applyNumberFormat="1" applyFont="1" applyFill="1" applyBorder="1" applyAlignment="1"/>
    <xf numFmtId="3" fontId="11" fillId="0" borderId="14" xfId="0" applyNumberFormat="1" applyFont="1" applyFill="1" applyBorder="1" applyAlignment="1" applyProtection="1">
      <alignment horizontal="center"/>
      <protection locked="0"/>
    </xf>
    <xf numFmtId="3" fontId="11" fillId="0" borderId="5" xfId="0" applyNumberFormat="1" applyFont="1" applyFill="1" applyBorder="1" applyAlignment="1" applyProtection="1">
      <alignment horizontal="center"/>
      <protection locked="0"/>
    </xf>
    <xf numFmtId="3" fontId="11" fillId="4" borderId="14" xfId="0" applyNumberFormat="1" applyFont="1" applyFill="1" applyBorder="1" applyAlignment="1">
      <alignment horizontal="center"/>
    </xf>
    <xf numFmtId="3" fontId="11" fillId="4" borderId="5" xfId="0" applyNumberFormat="1" applyFont="1" applyFill="1" applyBorder="1" applyAlignment="1">
      <alignment horizontal="center"/>
    </xf>
    <xf numFmtId="3" fontId="11" fillId="0" borderId="14" xfId="0" applyNumberFormat="1" applyFont="1" applyBorder="1" applyAlignment="1" applyProtection="1">
      <alignment horizontal="center"/>
      <protection locked="0"/>
    </xf>
    <xf numFmtId="3" fontId="11" fillId="0" borderId="5" xfId="0" applyNumberFormat="1" applyFont="1" applyBorder="1" applyAlignment="1" applyProtection="1">
      <alignment horizontal="center"/>
      <protection locked="0"/>
    </xf>
    <xf numFmtId="3" fontId="11" fillId="5" borderId="14" xfId="0" applyNumberFormat="1" applyFont="1" applyFill="1" applyBorder="1"/>
    <xf numFmtId="3" fontId="11" fillId="5" borderId="15" xfId="0" applyNumberFormat="1" applyFont="1" applyFill="1" applyBorder="1"/>
    <xf numFmtId="3" fontId="11" fillId="4" borderId="14" xfId="0" applyNumberFormat="1" applyFont="1" applyFill="1" applyBorder="1"/>
    <xf numFmtId="3" fontId="11" fillId="4" borderId="15" xfId="0" applyNumberFormat="1" applyFont="1" applyFill="1" applyBorder="1"/>
    <xf numFmtId="0" fontId="3" fillId="7" borderId="16" xfId="0" applyFont="1" applyFill="1" applyBorder="1"/>
    <xf numFmtId="0" fontId="2" fillId="0" borderId="2" xfId="0" applyFont="1" applyBorder="1" applyAlignment="1">
      <alignment horizontal="left" vertical="center" wrapText="1"/>
    </xf>
    <xf numFmtId="0" fontId="2" fillId="0" borderId="0" xfId="0" applyFont="1" applyBorder="1" applyAlignment="1">
      <alignment horizontal="left" vertical="center" wrapText="1"/>
    </xf>
    <xf numFmtId="0" fontId="2" fillId="0" borderId="4" xfId="0" applyFont="1" applyBorder="1" applyAlignment="1">
      <alignment horizontal="left" vertical="center" wrapText="1"/>
    </xf>
    <xf numFmtId="0" fontId="3" fillId="3" borderId="0" xfId="0" applyFont="1" applyFill="1" applyBorder="1" applyAlignment="1"/>
    <xf numFmtId="0" fontId="0" fillId="0" borderId="0" xfId="0" applyAlignment="1"/>
    <xf numFmtId="0" fontId="6" fillId="0" borderId="11" xfId="0" applyFont="1" applyFill="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1" xfId="0" applyBorder="1" applyAlignment="1">
      <alignment vertical="top" wrapText="1"/>
    </xf>
    <xf numFmtId="0" fontId="0" fillId="0" borderId="6" xfId="0" applyBorder="1" applyAlignment="1">
      <alignment vertical="top" wrapText="1"/>
    </xf>
    <xf numFmtId="0" fontId="11" fillId="6" borderId="10" xfId="0" applyFont="1" applyFill="1" applyBorder="1" applyAlignment="1" applyProtection="1">
      <alignment horizontal="left" vertical="top" wrapText="1"/>
      <protection locked="0"/>
    </xf>
    <xf numFmtId="0" fontId="11" fillId="6" borderId="11" xfId="0" applyFont="1" applyFill="1" applyBorder="1" applyAlignment="1" applyProtection="1">
      <alignment horizontal="left" vertical="top" wrapText="1"/>
      <protection locked="0"/>
    </xf>
    <xf numFmtId="0" fontId="11" fillId="6" borderId="12" xfId="0" applyFont="1" applyFill="1" applyBorder="1" applyAlignment="1" applyProtection="1">
      <alignment horizontal="left" vertical="top" wrapText="1"/>
      <protection locked="0"/>
    </xf>
    <xf numFmtId="0" fontId="11" fillId="6" borderId="2" xfId="0" applyFont="1" applyFill="1" applyBorder="1" applyAlignment="1" applyProtection="1">
      <alignment horizontal="left" vertical="top" wrapText="1"/>
      <protection locked="0"/>
    </xf>
    <xf numFmtId="0" fontId="11" fillId="6" borderId="0" xfId="0" applyFont="1" applyFill="1" applyBorder="1" applyAlignment="1" applyProtection="1">
      <alignment horizontal="left" vertical="top" wrapText="1"/>
      <protection locked="0"/>
    </xf>
    <xf numFmtId="0" fontId="11" fillId="6" borderId="4" xfId="0" applyFont="1" applyFill="1" applyBorder="1" applyAlignment="1" applyProtection="1">
      <alignment horizontal="left" vertical="top" wrapText="1"/>
      <protection locked="0"/>
    </xf>
    <xf numFmtId="0" fontId="11" fillId="6" borderId="3" xfId="0" applyFont="1" applyFill="1" applyBorder="1" applyAlignment="1" applyProtection="1">
      <alignment horizontal="left" vertical="top" wrapText="1"/>
      <protection locked="0"/>
    </xf>
    <xf numFmtId="0" fontId="11" fillId="6" borderId="1" xfId="0" applyFont="1" applyFill="1" applyBorder="1" applyAlignment="1" applyProtection="1">
      <alignment horizontal="left" vertical="top" wrapText="1"/>
      <protection locked="0"/>
    </xf>
    <xf numFmtId="0" fontId="11" fillId="6" borderId="6" xfId="0" applyFont="1" applyFill="1" applyBorder="1" applyAlignment="1" applyProtection="1">
      <alignment horizontal="left" vertical="top" wrapText="1"/>
      <protection locked="0"/>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0" borderId="4" xfId="0" applyBorder="1" applyAlignment="1">
      <alignment horizontal="left" vertical="center" wrapText="1"/>
    </xf>
    <xf numFmtId="166" fontId="3" fillId="0" borderId="14" xfId="0" applyNumberFormat="1" applyFont="1" applyBorder="1"/>
    <xf numFmtId="166" fontId="3" fillId="0" borderId="15" xfId="0" applyNumberFormat="1" applyFont="1" applyBorder="1"/>
    <xf numFmtId="167" fontId="11" fillId="0" borderId="1" xfId="0" applyNumberFormat="1" applyFont="1" applyBorder="1" applyAlignment="1" applyProtection="1">
      <alignment horizontal="left"/>
      <protection locked="0"/>
    </xf>
    <xf numFmtId="167" fontId="11" fillId="0" borderId="1" xfId="0" applyNumberFormat="1" applyFont="1" applyBorder="1" applyAlignment="1" applyProtection="1">
      <protection locked="0"/>
    </xf>
    <xf numFmtId="164" fontId="11" fillId="6" borderId="18" xfId="0" applyNumberFormat="1" applyFont="1" applyFill="1" applyBorder="1" applyAlignment="1" applyProtection="1">
      <alignment wrapText="1"/>
      <protection locked="0"/>
    </xf>
    <xf numFmtId="164" fontId="11" fillId="6" borderId="20" xfId="0" applyNumberFormat="1" applyFont="1" applyFill="1" applyBorder="1" applyAlignment="1" applyProtection="1">
      <alignment wrapText="1"/>
      <protection locked="0"/>
    </xf>
    <xf numFmtId="0" fontId="11" fillId="0" borderId="5" xfId="0" applyFont="1" applyFill="1" applyBorder="1" applyAlignment="1" applyProtection="1">
      <alignment wrapText="1"/>
      <protection locked="0"/>
    </xf>
    <xf numFmtId="0" fontId="11" fillId="0" borderId="1" xfId="0" applyFont="1" applyBorder="1" applyAlignment="1" applyProtection="1">
      <alignment wrapText="1"/>
      <protection locked="0"/>
    </xf>
    <xf numFmtId="0" fontId="2" fillId="0" borderId="0" xfId="0" applyFont="1" applyBorder="1" applyAlignment="1">
      <alignment horizontal="right"/>
    </xf>
    <xf numFmtId="0" fontId="2" fillId="0" borderId="2" xfId="0" applyFont="1" applyBorder="1" applyAlignment="1">
      <alignment horizontal="right"/>
    </xf>
    <xf numFmtId="0" fontId="6" fillId="0" borderId="0" xfId="0" applyFont="1" applyFill="1" applyBorder="1" applyAlignment="1">
      <alignment horizontal="right"/>
    </xf>
    <xf numFmtId="0" fontId="6" fillId="0" borderId="4" xfId="0" applyFont="1" applyFill="1" applyBorder="1" applyAlignment="1">
      <alignment horizontal="right"/>
    </xf>
    <xf numFmtId="0" fontId="6" fillId="0" borderId="0" xfId="0" applyFont="1" applyBorder="1" applyAlignment="1">
      <alignment horizontal="right"/>
    </xf>
    <xf numFmtId="0" fontId="6" fillId="0" borderId="4" xfId="0" applyFont="1" applyBorder="1" applyAlignment="1">
      <alignment horizontal="right"/>
    </xf>
    <xf numFmtId="0" fontId="6" fillId="0" borderId="2" xfId="0" applyFont="1" applyBorder="1" applyAlignment="1">
      <alignment horizontal="right"/>
    </xf>
    <xf numFmtId="0" fontId="6" fillId="0" borderId="2" xfId="0" applyFont="1" applyFill="1" applyBorder="1" applyAlignment="1">
      <alignment horizontal="right"/>
    </xf>
    <xf numFmtId="4" fontId="11" fillId="6" borderId="14" xfId="0" applyNumberFormat="1" applyFont="1" applyFill="1" applyBorder="1" applyAlignment="1" applyProtection="1">
      <alignment horizontal="center"/>
      <protection locked="0"/>
    </xf>
    <xf numFmtId="4" fontId="11" fillId="6" borderId="5" xfId="0" applyNumberFormat="1" applyFont="1" applyFill="1" applyBorder="1" applyAlignment="1" applyProtection="1">
      <alignment horizontal="center"/>
      <protection locked="0"/>
    </xf>
    <xf numFmtId="0" fontId="3" fillId="0" borderId="2" xfId="0" applyFont="1" applyBorder="1" applyAlignment="1">
      <alignment horizontal="center" shrinkToFit="1"/>
    </xf>
    <xf numFmtId="0" fontId="0" fillId="0" borderId="0" xfId="0" applyAlignment="1">
      <alignment horizontal="center" shrinkToFit="1"/>
    </xf>
    <xf numFmtId="0" fontId="0" fillId="0" borderId="4" xfId="0" applyBorder="1" applyAlignment="1">
      <alignment horizontal="center" shrinkToFit="1"/>
    </xf>
    <xf numFmtId="3" fontId="11" fillId="4" borderId="18" xfId="0" applyNumberFormat="1" applyFont="1" applyFill="1" applyBorder="1" applyAlignment="1">
      <alignment horizontal="center"/>
    </xf>
    <xf numFmtId="3" fontId="11" fillId="4" borderId="20" xfId="0" applyNumberFormat="1" applyFont="1" applyFill="1" applyBorder="1" applyAlignment="1">
      <alignment horizontal="center"/>
    </xf>
    <xf numFmtId="3" fontId="11" fillId="4" borderId="18" xfId="0" applyNumberFormat="1" applyFont="1" applyFill="1" applyBorder="1"/>
    <xf numFmtId="3" fontId="11" fillId="4" borderId="20" xfId="0" applyNumberFormat="1" applyFont="1" applyFill="1" applyBorder="1"/>
    <xf numFmtId="167" fontId="11" fillId="0" borderId="5" xfId="0" applyNumberFormat="1" applyFont="1" applyBorder="1" applyAlignment="1" applyProtection="1">
      <alignment horizontal="left"/>
      <protection locked="0"/>
    </xf>
    <xf numFmtId="49" fontId="11" fillId="0" borderId="5" xfId="0" applyNumberFormat="1" applyFont="1" applyBorder="1" applyAlignment="1" applyProtection="1">
      <protection locked="0"/>
    </xf>
    <xf numFmtId="0" fontId="11" fillId="0" borderId="5" xfId="0" applyFont="1" applyBorder="1" applyAlignment="1" applyProtection="1">
      <alignment wrapText="1"/>
      <protection locked="0"/>
    </xf>
    <xf numFmtId="0" fontId="11" fillId="0" borderId="18" xfId="0" applyFont="1" applyBorder="1" applyAlignment="1"/>
    <xf numFmtId="0" fontId="11" fillId="0" borderId="20" xfId="0" applyFont="1" applyBorder="1" applyAlignment="1"/>
    <xf numFmtId="4" fontId="11" fillId="6" borderId="18" xfId="0" applyNumberFormat="1" applyFont="1" applyFill="1" applyBorder="1" applyAlignment="1" applyProtection="1">
      <alignment horizontal="center"/>
      <protection locked="0"/>
    </xf>
    <xf numFmtId="4" fontId="11" fillId="6" borderId="20" xfId="0" applyNumberFormat="1" applyFont="1"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P125"/>
  <sheetViews>
    <sheetView showGridLines="0" tabSelected="1" view="pageBreakPreview" zoomScaleSheetLayoutView="100" workbookViewId="0">
      <selection activeCell="H36" sqref="H36:J36"/>
    </sheetView>
  </sheetViews>
  <sheetFormatPr defaultRowHeight="15" customHeight="1"/>
  <cols>
    <col min="1" max="1" width="1.85546875" customWidth="1"/>
    <col min="2" max="2" width="10.7109375" customWidth="1"/>
    <col min="3" max="3" width="15.28515625" customWidth="1"/>
    <col min="4" max="13" width="10.7109375" customWidth="1"/>
  </cols>
  <sheetData>
    <row r="1" spans="2:16" ht="15" customHeight="1">
      <c r="B1" s="149" t="s">
        <v>0</v>
      </c>
      <c r="C1" s="150"/>
      <c r="D1" s="150"/>
      <c r="E1" s="150"/>
      <c r="F1" s="150"/>
      <c r="G1" s="150"/>
      <c r="H1" s="150"/>
      <c r="I1" s="150"/>
      <c r="J1" s="150"/>
      <c r="K1" s="150"/>
      <c r="L1" s="150"/>
      <c r="M1" s="150"/>
    </row>
    <row r="2" spans="2:16" ht="15" customHeight="1">
      <c r="B2" s="149" t="s">
        <v>1</v>
      </c>
      <c r="C2" s="150"/>
      <c r="D2" s="150"/>
      <c r="E2" s="150"/>
      <c r="F2" s="150"/>
      <c r="G2" s="150"/>
      <c r="H2" s="150"/>
      <c r="I2" s="150"/>
      <c r="J2" s="150"/>
      <c r="K2" s="150"/>
      <c r="L2" s="150"/>
      <c r="M2" s="150"/>
    </row>
    <row r="3" spans="2:16" ht="15" customHeight="1">
      <c r="B3" s="149" t="s">
        <v>102</v>
      </c>
      <c r="C3" s="150"/>
      <c r="D3" s="150"/>
      <c r="E3" s="150"/>
      <c r="F3" s="150"/>
      <c r="G3" s="150"/>
      <c r="H3" s="150"/>
      <c r="I3" s="150"/>
      <c r="J3" s="150"/>
      <c r="K3" s="150"/>
      <c r="L3" s="150"/>
      <c r="M3" s="150"/>
    </row>
    <row r="4" spans="2:16" ht="15" customHeight="1">
      <c r="B4" s="6"/>
      <c r="C4" s="6"/>
      <c r="D4" s="6"/>
      <c r="E4" s="6"/>
      <c r="F4" s="6"/>
      <c r="G4" s="6"/>
      <c r="H4" s="6"/>
      <c r="I4" s="6"/>
      <c r="J4" s="6"/>
      <c r="L4" s="66"/>
      <c r="M4" s="6"/>
      <c r="N4" s="6"/>
      <c r="O4" s="6"/>
      <c r="P4" s="6"/>
    </row>
    <row r="5" spans="2:16" ht="15" customHeight="1">
      <c r="B5" s="11" t="s">
        <v>2</v>
      </c>
      <c r="C5" s="6"/>
      <c r="D5" s="153">
        <v>39539</v>
      </c>
      <c r="E5" s="154"/>
      <c r="F5" s="33" t="s">
        <v>70</v>
      </c>
      <c r="G5" s="11" t="s">
        <v>71</v>
      </c>
      <c r="H5" s="153">
        <v>39903</v>
      </c>
      <c r="I5" s="154"/>
      <c r="J5" s="33" t="s">
        <v>70</v>
      </c>
      <c r="L5" s="6"/>
      <c r="M5" s="6"/>
      <c r="N5" s="6"/>
      <c r="O5" s="6"/>
      <c r="P5" s="6"/>
    </row>
    <row r="6" spans="2:16" ht="15" customHeight="1">
      <c r="B6" s="6"/>
      <c r="C6" s="6"/>
      <c r="D6" s="6"/>
      <c r="E6" s="6"/>
      <c r="F6" s="6"/>
      <c r="G6" s="6"/>
      <c r="H6" s="6"/>
      <c r="I6" s="6"/>
      <c r="J6" s="6"/>
      <c r="K6" s="1"/>
      <c r="L6" s="7"/>
      <c r="M6" s="6"/>
      <c r="N6" s="6"/>
      <c r="O6" s="6"/>
      <c r="P6" s="6"/>
    </row>
    <row r="7" spans="2:16" ht="15" customHeight="1">
      <c r="B7" s="49" t="s">
        <v>6</v>
      </c>
      <c r="C7" s="50"/>
      <c r="D7" s="159"/>
      <c r="E7" s="159"/>
      <c r="F7" s="159"/>
      <c r="G7" s="159"/>
      <c r="H7" s="159"/>
      <c r="I7" s="159"/>
      <c r="J7" s="159"/>
      <c r="K7" s="159"/>
      <c r="L7" s="51"/>
      <c r="M7" s="52"/>
      <c r="N7" s="6"/>
      <c r="O7" s="6"/>
      <c r="P7" s="6"/>
    </row>
    <row r="8" spans="2:16" ht="6.95" customHeight="1">
      <c r="B8" s="23"/>
      <c r="E8" s="8"/>
      <c r="F8" s="8"/>
      <c r="G8" s="22"/>
      <c r="H8" s="2"/>
      <c r="I8" s="8"/>
      <c r="J8" s="8"/>
      <c r="K8" s="8"/>
      <c r="L8" s="8"/>
      <c r="M8" s="9"/>
      <c r="N8" s="6"/>
      <c r="O8" s="6"/>
      <c r="P8" s="6"/>
    </row>
    <row r="9" spans="2:16" ht="15" customHeight="1">
      <c r="B9" s="3" t="s">
        <v>3</v>
      </c>
      <c r="C9" s="160"/>
      <c r="D9" s="160"/>
      <c r="E9" s="160"/>
      <c r="F9" s="160"/>
      <c r="H9" s="2" t="s">
        <v>8</v>
      </c>
      <c r="I9" s="155"/>
      <c r="J9" s="155"/>
      <c r="K9" s="156"/>
      <c r="L9" s="156"/>
      <c r="M9" s="9"/>
      <c r="N9" s="6"/>
      <c r="O9" s="6"/>
      <c r="P9" s="6"/>
    </row>
    <row r="10" spans="2:16" ht="15" customHeight="1">
      <c r="B10" s="3" t="s">
        <v>4</v>
      </c>
      <c r="C10" s="160"/>
      <c r="D10" s="160"/>
      <c r="E10" s="160"/>
      <c r="F10" s="160"/>
      <c r="H10" s="2" t="s">
        <v>9</v>
      </c>
      <c r="I10" s="178"/>
      <c r="J10" s="178"/>
      <c r="K10" s="178"/>
      <c r="L10" s="178"/>
      <c r="M10" s="9"/>
      <c r="N10" s="6"/>
      <c r="O10" s="6"/>
      <c r="P10" s="6"/>
    </row>
    <row r="11" spans="2:16" ht="15" customHeight="1">
      <c r="B11" s="3" t="s">
        <v>5</v>
      </c>
      <c r="C11" s="180"/>
      <c r="D11" s="180"/>
      <c r="E11" s="56" t="s">
        <v>7</v>
      </c>
      <c r="F11" s="67"/>
      <c r="H11" s="5" t="s">
        <v>10</v>
      </c>
      <c r="I11" s="179"/>
      <c r="J11" s="179"/>
      <c r="K11" s="179"/>
      <c r="L11" s="179"/>
      <c r="M11" s="9"/>
      <c r="N11" s="6"/>
      <c r="O11" s="6"/>
      <c r="P11" s="6"/>
    </row>
    <row r="12" spans="2:16" ht="6.95" customHeight="1">
      <c r="B12" s="30"/>
      <c r="C12" s="1"/>
      <c r="D12" s="1"/>
      <c r="E12" s="7"/>
      <c r="F12" s="7"/>
      <c r="G12" s="1"/>
      <c r="H12" s="24"/>
      <c r="I12" s="7"/>
      <c r="J12" s="7"/>
      <c r="K12" s="7"/>
      <c r="L12" s="7"/>
      <c r="M12" s="10"/>
      <c r="N12" s="6"/>
      <c r="O12" s="6"/>
      <c r="P12" s="6"/>
    </row>
    <row r="13" spans="2:16" ht="15" customHeight="1">
      <c r="B13" s="6"/>
      <c r="C13" s="6"/>
      <c r="D13" s="6"/>
      <c r="E13" s="6"/>
      <c r="F13" s="6"/>
      <c r="G13" s="6"/>
      <c r="H13" s="6"/>
      <c r="I13" s="6"/>
      <c r="J13" s="6"/>
      <c r="K13" s="1"/>
      <c r="L13" s="7"/>
      <c r="M13" s="6"/>
      <c r="N13" s="6"/>
      <c r="O13" s="6"/>
      <c r="P13" s="6"/>
    </row>
    <row r="14" spans="2:16" ht="15" customHeight="1">
      <c r="B14" s="14" t="s">
        <v>11</v>
      </c>
      <c r="C14" s="15"/>
      <c r="D14" s="15"/>
      <c r="E14" s="15"/>
      <c r="F14" s="15"/>
      <c r="G14" s="15"/>
      <c r="H14" s="15"/>
      <c r="I14" s="15"/>
      <c r="J14" s="15"/>
      <c r="K14" s="16"/>
      <c r="L14" s="16"/>
      <c r="M14" s="17"/>
      <c r="N14" s="6"/>
      <c r="O14" s="6"/>
      <c r="P14" s="6"/>
    </row>
    <row r="15" spans="2:16" ht="6.95" customHeight="1">
      <c r="B15" s="23"/>
      <c r="E15" s="8"/>
      <c r="F15" s="8"/>
      <c r="G15" s="22"/>
      <c r="H15" s="2"/>
      <c r="I15" s="8"/>
      <c r="J15" s="8"/>
      <c r="K15" s="8"/>
      <c r="L15" s="8"/>
      <c r="M15" s="9"/>
      <c r="N15" s="6"/>
      <c r="O15" s="6"/>
      <c r="P15" s="6"/>
    </row>
    <row r="16" spans="2:16" ht="27" customHeight="1">
      <c r="B16" s="128" t="s">
        <v>80</v>
      </c>
      <c r="C16" s="151"/>
      <c r="D16" s="151"/>
      <c r="E16" s="151"/>
      <c r="F16" s="151"/>
      <c r="G16" s="151"/>
      <c r="H16" s="151"/>
      <c r="I16" s="151"/>
      <c r="J16" s="151"/>
      <c r="K16" s="151"/>
      <c r="L16" s="151"/>
      <c r="M16" s="152"/>
      <c r="N16" s="6"/>
      <c r="O16" s="6"/>
      <c r="P16" s="6"/>
    </row>
    <row r="17" spans="2:16" ht="6.95" customHeight="1">
      <c r="B17" s="3"/>
      <c r="C17" s="8"/>
      <c r="D17" s="8"/>
      <c r="E17" s="8"/>
      <c r="F17" s="8"/>
      <c r="G17" s="2"/>
      <c r="H17" s="8"/>
      <c r="I17" s="8"/>
      <c r="J17" s="8"/>
      <c r="L17" s="6"/>
      <c r="M17" s="9"/>
      <c r="N17" s="6"/>
      <c r="O17" s="6"/>
      <c r="P17" s="6"/>
    </row>
    <row r="18" spans="2:16" ht="15" customHeight="1">
      <c r="B18" s="171" t="s">
        <v>104</v>
      </c>
      <c r="C18" s="172"/>
      <c r="D18" s="172"/>
      <c r="E18" s="172"/>
      <c r="F18" s="172"/>
      <c r="G18" s="172"/>
      <c r="H18" s="172"/>
      <c r="I18" s="172"/>
      <c r="J18" s="172"/>
      <c r="K18" s="172"/>
      <c r="L18" s="172"/>
      <c r="M18" s="173"/>
      <c r="N18" s="6"/>
      <c r="O18" s="6"/>
      <c r="P18" s="6"/>
    </row>
    <row r="19" spans="2:16" ht="6.95" customHeight="1">
      <c r="B19" s="3"/>
      <c r="C19" s="8"/>
      <c r="D19" s="8"/>
      <c r="E19" s="8"/>
      <c r="F19" s="8"/>
      <c r="G19" s="2"/>
      <c r="H19" s="8"/>
      <c r="I19" s="8"/>
      <c r="J19" s="8"/>
      <c r="L19" s="6"/>
      <c r="M19" s="9"/>
      <c r="N19" s="6"/>
      <c r="O19" s="6"/>
      <c r="P19" s="6"/>
    </row>
    <row r="20" spans="2:16" ht="15" customHeight="1" thickBot="1">
      <c r="B20" s="68" t="s">
        <v>12</v>
      </c>
      <c r="C20" s="69"/>
      <c r="D20" s="69" t="s">
        <v>13</v>
      </c>
      <c r="E20" s="69"/>
      <c r="F20" s="69" t="s">
        <v>14</v>
      </c>
      <c r="G20" s="69"/>
      <c r="H20" s="69" t="s">
        <v>15</v>
      </c>
      <c r="I20" s="69"/>
      <c r="J20" s="69" t="s">
        <v>16</v>
      </c>
      <c r="K20" s="69"/>
      <c r="L20" s="69" t="s">
        <v>17</v>
      </c>
      <c r="M20" s="70"/>
      <c r="N20" s="6"/>
      <c r="O20" s="6"/>
      <c r="P20" s="6"/>
    </row>
    <row r="21" spans="2:16" ht="15" customHeight="1" thickTop="1" thickBot="1">
      <c r="B21" s="181" t="s">
        <v>19</v>
      </c>
      <c r="C21" s="182"/>
      <c r="D21" s="183">
        <v>0</v>
      </c>
      <c r="E21" s="184"/>
      <c r="F21" s="174">
        <v>100000</v>
      </c>
      <c r="G21" s="175"/>
      <c r="H21" s="176">
        <f t="shared" ref="H21:H28" si="0">((D21*F21)/1000000)</f>
        <v>0</v>
      </c>
      <c r="I21" s="177"/>
      <c r="J21" s="157">
        <v>0</v>
      </c>
      <c r="K21" s="158"/>
      <c r="L21" s="96">
        <f t="shared" ref="L21:L28" si="1">IF(ISERR(J21/H21),0,(J21/H21))</f>
        <v>0</v>
      </c>
      <c r="M21" s="97"/>
      <c r="N21" s="6"/>
      <c r="O21" s="6"/>
      <c r="P21" s="6"/>
    </row>
    <row r="22" spans="2:16" ht="15" customHeight="1" thickTop="1" thickBot="1">
      <c r="B22" s="107" t="s">
        <v>20</v>
      </c>
      <c r="C22" s="108"/>
      <c r="D22" s="169">
        <v>0</v>
      </c>
      <c r="E22" s="170"/>
      <c r="F22" s="119">
        <v>1028</v>
      </c>
      <c r="G22" s="120"/>
      <c r="H22" s="125">
        <f t="shared" si="0"/>
        <v>0</v>
      </c>
      <c r="I22" s="126"/>
      <c r="J22" s="98">
        <v>0</v>
      </c>
      <c r="K22" s="99"/>
      <c r="L22" s="96">
        <f t="shared" si="1"/>
        <v>0</v>
      </c>
      <c r="M22" s="97"/>
      <c r="N22" s="6"/>
      <c r="O22" s="6"/>
      <c r="P22" s="6"/>
    </row>
    <row r="23" spans="2:16" ht="15" customHeight="1" thickTop="1" thickBot="1">
      <c r="B23" s="107" t="s">
        <v>18</v>
      </c>
      <c r="C23" s="108"/>
      <c r="D23" s="169">
        <v>0</v>
      </c>
      <c r="E23" s="170"/>
      <c r="F23" s="119">
        <v>140000</v>
      </c>
      <c r="G23" s="120"/>
      <c r="H23" s="125">
        <f t="shared" si="0"/>
        <v>0</v>
      </c>
      <c r="I23" s="126"/>
      <c r="J23" s="98">
        <v>0</v>
      </c>
      <c r="K23" s="99"/>
      <c r="L23" s="96">
        <f t="shared" si="1"/>
        <v>0</v>
      </c>
      <c r="M23" s="97"/>
      <c r="N23" s="6"/>
      <c r="O23" s="6"/>
      <c r="P23" s="6"/>
    </row>
    <row r="24" spans="2:16" ht="15" customHeight="1" thickTop="1" thickBot="1">
      <c r="B24" s="107" t="s">
        <v>21</v>
      </c>
      <c r="C24" s="108"/>
      <c r="D24" s="169">
        <v>0</v>
      </c>
      <c r="E24" s="170"/>
      <c r="F24" s="119">
        <v>152000</v>
      </c>
      <c r="G24" s="120"/>
      <c r="H24" s="125">
        <f t="shared" si="0"/>
        <v>0</v>
      </c>
      <c r="I24" s="126"/>
      <c r="J24" s="98">
        <v>0</v>
      </c>
      <c r="K24" s="99"/>
      <c r="L24" s="96">
        <f t="shared" si="1"/>
        <v>0</v>
      </c>
      <c r="M24" s="97"/>
      <c r="N24" s="6"/>
      <c r="O24" s="6"/>
      <c r="P24" s="6"/>
    </row>
    <row r="25" spans="2:16" ht="15" customHeight="1" thickTop="1" thickBot="1">
      <c r="B25" s="107" t="s">
        <v>22</v>
      </c>
      <c r="C25" s="108"/>
      <c r="D25" s="169">
        <v>0</v>
      </c>
      <c r="E25" s="170"/>
      <c r="F25" s="119">
        <v>10000</v>
      </c>
      <c r="G25" s="120"/>
      <c r="H25" s="125">
        <f t="shared" si="0"/>
        <v>0</v>
      </c>
      <c r="I25" s="126"/>
      <c r="J25" s="98">
        <v>0</v>
      </c>
      <c r="K25" s="99"/>
      <c r="L25" s="96">
        <f t="shared" si="1"/>
        <v>0</v>
      </c>
      <c r="M25" s="97"/>
      <c r="N25" s="6"/>
      <c r="O25" s="6"/>
      <c r="P25" s="6"/>
    </row>
    <row r="26" spans="2:16" ht="15" customHeight="1" thickTop="1" thickBot="1">
      <c r="B26" s="107" t="s">
        <v>23</v>
      </c>
      <c r="C26" s="108"/>
      <c r="D26" s="169">
        <v>0</v>
      </c>
      <c r="E26" s="170"/>
      <c r="F26" s="119">
        <v>92200</v>
      </c>
      <c r="G26" s="120"/>
      <c r="H26" s="125">
        <f t="shared" si="0"/>
        <v>0</v>
      </c>
      <c r="I26" s="126"/>
      <c r="J26" s="98">
        <v>0</v>
      </c>
      <c r="K26" s="99"/>
      <c r="L26" s="96">
        <f t="shared" si="1"/>
        <v>0</v>
      </c>
      <c r="M26" s="97"/>
      <c r="N26" s="6"/>
      <c r="O26" s="6"/>
      <c r="P26" s="6"/>
    </row>
    <row r="27" spans="2:16" ht="15" customHeight="1" thickTop="1" thickBot="1">
      <c r="B27" s="107" t="s">
        <v>62</v>
      </c>
      <c r="C27" s="108"/>
      <c r="D27" s="169">
        <v>0</v>
      </c>
      <c r="E27" s="170"/>
      <c r="F27" s="117"/>
      <c r="G27" s="118"/>
      <c r="H27" s="123">
        <f t="shared" si="0"/>
        <v>0</v>
      </c>
      <c r="I27" s="124"/>
      <c r="J27" s="98">
        <v>0</v>
      </c>
      <c r="K27" s="99"/>
      <c r="L27" s="96">
        <f t="shared" si="1"/>
        <v>0</v>
      </c>
      <c r="M27" s="97"/>
      <c r="N27" s="6"/>
      <c r="O27" s="6"/>
      <c r="P27" s="6"/>
    </row>
    <row r="28" spans="2:16" ht="15" customHeight="1" thickTop="1" thickBot="1">
      <c r="B28" s="109" t="s">
        <v>109</v>
      </c>
      <c r="C28" s="110"/>
      <c r="D28" s="169">
        <v>0</v>
      </c>
      <c r="E28" s="170"/>
      <c r="F28" s="121"/>
      <c r="G28" s="122"/>
      <c r="H28" s="125">
        <f t="shared" si="0"/>
        <v>0</v>
      </c>
      <c r="I28" s="126"/>
      <c r="J28" s="98">
        <v>0</v>
      </c>
      <c r="K28" s="99"/>
      <c r="L28" s="96">
        <f t="shared" si="1"/>
        <v>0</v>
      </c>
      <c r="M28" s="97"/>
      <c r="N28" s="6"/>
      <c r="O28" s="6"/>
      <c r="P28" s="6"/>
    </row>
    <row r="29" spans="2:16" ht="15" customHeight="1" thickTop="1" thickBot="1">
      <c r="B29" s="109" t="s">
        <v>109</v>
      </c>
      <c r="C29" s="110"/>
      <c r="D29" s="169">
        <v>0</v>
      </c>
      <c r="E29" s="170"/>
      <c r="F29" s="121"/>
      <c r="G29" s="122"/>
      <c r="H29" s="125">
        <f t="shared" ref="H29:H30" si="2">((D29*F29)/1000000)</f>
        <v>0</v>
      </c>
      <c r="I29" s="126"/>
      <c r="J29" s="98">
        <v>0</v>
      </c>
      <c r="K29" s="99"/>
      <c r="L29" s="96">
        <f t="shared" ref="L29:L30" si="3">IF(ISERR(J29/H29),0,(J29/H29))</f>
        <v>0</v>
      </c>
      <c r="M29" s="97"/>
      <c r="N29" s="6"/>
      <c r="O29" s="6"/>
      <c r="P29" s="6"/>
    </row>
    <row r="30" spans="2:16" ht="15" customHeight="1" thickTop="1" thickBot="1">
      <c r="B30" s="109" t="s">
        <v>109</v>
      </c>
      <c r="C30" s="110"/>
      <c r="D30" s="169">
        <v>0</v>
      </c>
      <c r="E30" s="170"/>
      <c r="F30" s="121"/>
      <c r="G30" s="122"/>
      <c r="H30" s="125">
        <f t="shared" si="2"/>
        <v>0</v>
      </c>
      <c r="I30" s="126"/>
      <c r="J30" s="98">
        <v>0</v>
      </c>
      <c r="K30" s="99"/>
      <c r="L30" s="96">
        <f t="shared" si="3"/>
        <v>0</v>
      </c>
      <c r="M30" s="97"/>
      <c r="N30" s="6"/>
      <c r="O30" s="6"/>
      <c r="P30" s="6"/>
    </row>
    <row r="31" spans="2:16" ht="15" customHeight="1" thickTop="1">
      <c r="B31" s="109" t="s">
        <v>109</v>
      </c>
      <c r="C31" s="110"/>
      <c r="D31" s="169">
        <v>0</v>
      </c>
      <c r="E31" s="170"/>
      <c r="F31" s="121"/>
      <c r="G31" s="122"/>
      <c r="H31" s="125">
        <f t="shared" ref="H31" si="4">((D31*F31)/1000000)</f>
        <v>0</v>
      </c>
      <c r="I31" s="126"/>
      <c r="J31" s="98">
        <v>0</v>
      </c>
      <c r="K31" s="99"/>
      <c r="L31" s="96">
        <f t="shared" ref="L31" si="5">IF(ISERR(J31/H31),0,(J31/H31))</f>
        <v>0</v>
      </c>
      <c r="M31" s="97"/>
      <c r="N31" s="6"/>
      <c r="O31" s="6"/>
      <c r="P31" s="6"/>
    </row>
    <row r="32" spans="2:16" ht="15" customHeight="1">
      <c r="B32" s="71" t="s">
        <v>25</v>
      </c>
      <c r="C32" s="72"/>
      <c r="D32" s="72"/>
      <c r="E32" s="72"/>
      <c r="F32" s="72"/>
      <c r="G32" s="73"/>
      <c r="H32" s="115">
        <f>SUM(H21:H31)</f>
        <v>0</v>
      </c>
      <c r="I32" s="116"/>
      <c r="J32" s="113">
        <f>SUM(J21:K31)</f>
        <v>0</v>
      </c>
      <c r="K32" s="114"/>
      <c r="L32" s="111" t="str">
        <f>IFERROR((J32/H32), "Total Energy Cost")</f>
        <v>Total Energy Cost</v>
      </c>
      <c r="M32" s="112"/>
      <c r="N32" s="6"/>
      <c r="O32" s="6"/>
      <c r="P32" s="6"/>
    </row>
    <row r="33" spans="2:16" ht="14.25" customHeight="1">
      <c r="B33" s="74" t="s">
        <v>108</v>
      </c>
      <c r="C33" s="75"/>
      <c r="D33" s="75"/>
      <c r="E33" s="75"/>
      <c r="F33" s="75"/>
      <c r="G33" s="75"/>
      <c r="H33" s="75"/>
      <c r="I33" s="75"/>
      <c r="J33" s="75"/>
      <c r="K33" s="75"/>
      <c r="L33" s="75"/>
      <c r="M33" s="76"/>
      <c r="N33" s="6"/>
      <c r="O33" s="6"/>
      <c r="P33" s="6"/>
    </row>
    <row r="34" spans="2:16" ht="14.25" customHeight="1">
      <c r="B34" s="12"/>
      <c r="C34" s="8"/>
      <c r="D34" s="8"/>
      <c r="E34" s="8"/>
      <c r="F34" s="19"/>
      <c r="G34" s="8"/>
      <c r="H34" s="8"/>
      <c r="I34" s="8"/>
      <c r="J34" s="8"/>
      <c r="K34" s="22"/>
      <c r="L34" s="8"/>
      <c r="M34" s="9"/>
      <c r="N34" s="6"/>
      <c r="O34" s="6"/>
      <c r="P34" s="6"/>
    </row>
    <row r="35" spans="2:16" ht="14.25" customHeight="1">
      <c r="B35" s="162" t="s">
        <v>94</v>
      </c>
      <c r="C35" s="161"/>
      <c r="D35" s="8" t="s">
        <v>96</v>
      </c>
      <c r="E35" s="131" t="s">
        <v>97</v>
      </c>
      <c r="F35" s="132"/>
      <c r="G35" s="8"/>
      <c r="H35" s="161" t="s">
        <v>95</v>
      </c>
      <c r="I35" s="161"/>
      <c r="J35" s="161"/>
      <c r="K35" s="22"/>
      <c r="L35" s="8"/>
      <c r="M35" s="9"/>
      <c r="N35" s="6"/>
      <c r="O35" s="6"/>
      <c r="P35" s="6"/>
    </row>
    <row r="36" spans="2:16" ht="14.25" customHeight="1">
      <c r="B36" s="167" t="s">
        <v>26</v>
      </c>
      <c r="C36" s="166"/>
      <c r="D36" s="77">
        <v>0</v>
      </c>
      <c r="E36" s="22"/>
      <c r="G36" s="22"/>
      <c r="H36" s="165" t="s">
        <v>26</v>
      </c>
      <c r="I36" s="165"/>
      <c r="J36" s="166"/>
      <c r="K36" s="78">
        <v>0</v>
      </c>
      <c r="L36" s="22"/>
      <c r="M36" s="9"/>
      <c r="N36" s="6"/>
      <c r="O36" s="6"/>
      <c r="P36" s="6"/>
    </row>
    <row r="37" spans="2:16" ht="14.25" customHeight="1">
      <c r="B37" s="167" t="s">
        <v>27</v>
      </c>
      <c r="C37" s="166"/>
      <c r="D37" s="77">
        <v>0</v>
      </c>
      <c r="E37" s="28" t="s">
        <v>29</v>
      </c>
      <c r="G37" s="22"/>
      <c r="H37" s="165" t="s">
        <v>27</v>
      </c>
      <c r="I37" s="165"/>
      <c r="J37" s="166"/>
      <c r="K37" s="78">
        <v>0</v>
      </c>
      <c r="L37" s="28" t="s">
        <v>29</v>
      </c>
      <c r="M37" s="9"/>
      <c r="N37" s="6"/>
      <c r="O37" s="6"/>
      <c r="P37" s="6"/>
    </row>
    <row r="38" spans="2:16" ht="14.25" customHeight="1">
      <c r="B38" s="167" t="s">
        <v>107</v>
      </c>
      <c r="C38" s="166"/>
      <c r="D38" s="77">
        <v>0</v>
      </c>
      <c r="E38" s="28" t="s">
        <v>98</v>
      </c>
      <c r="G38" s="22"/>
      <c r="H38" s="165" t="s">
        <v>106</v>
      </c>
      <c r="I38" s="165"/>
      <c r="J38" s="166"/>
      <c r="K38" s="85">
        <f>H32</f>
        <v>0</v>
      </c>
      <c r="L38" s="28" t="s">
        <v>98</v>
      </c>
      <c r="M38" s="9"/>
      <c r="N38" s="6"/>
      <c r="O38" s="6"/>
      <c r="P38" s="6"/>
    </row>
    <row r="39" spans="2:16" ht="15" customHeight="1">
      <c r="B39" s="168" t="s">
        <v>100</v>
      </c>
      <c r="C39" s="164"/>
      <c r="D39" s="54" t="str">
        <f>IFERROR(D38*1000000/D37, "Base Year")</f>
        <v>Base Year</v>
      </c>
      <c r="E39" s="28" t="s">
        <v>30</v>
      </c>
      <c r="G39" s="22"/>
      <c r="H39" s="163" t="s">
        <v>101</v>
      </c>
      <c r="I39" s="163"/>
      <c r="J39" s="164"/>
      <c r="K39" s="54" t="str">
        <f>IFERROR((K38*1000000)/K37, "N/A")</f>
        <v>N/A</v>
      </c>
      <c r="L39" s="28" t="s">
        <v>30</v>
      </c>
      <c r="M39" s="9"/>
      <c r="N39" s="6"/>
      <c r="O39" s="6"/>
      <c r="P39" s="6"/>
    </row>
    <row r="40" spans="2:16" ht="15" customHeight="1">
      <c r="B40" s="23"/>
      <c r="H40" s="22"/>
      <c r="J40" s="8"/>
      <c r="K40" s="22"/>
      <c r="L40" s="8"/>
      <c r="M40" s="9"/>
      <c r="N40" s="6"/>
      <c r="O40" s="6"/>
      <c r="P40" s="6"/>
    </row>
    <row r="41" spans="2:16" ht="15" customHeight="1">
      <c r="B41" s="31"/>
      <c r="C41" s="8"/>
      <c r="D41" s="8"/>
      <c r="E41" s="8"/>
      <c r="F41" s="64"/>
      <c r="G41" s="28"/>
      <c r="H41" s="22"/>
      <c r="I41" s="8"/>
      <c r="J41" s="8"/>
      <c r="K41" s="22"/>
      <c r="L41" s="8"/>
      <c r="M41" s="9"/>
      <c r="N41" s="6"/>
      <c r="O41" s="6"/>
      <c r="P41" s="6"/>
    </row>
    <row r="42" spans="2:16" ht="15" customHeight="1">
      <c r="B42" s="23"/>
      <c r="H42" s="22"/>
      <c r="I42" s="8"/>
      <c r="J42" s="8"/>
      <c r="K42" s="22"/>
      <c r="L42" s="8"/>
      <c r="M42" s="9"/>
      <c r="N42" s="6"/>
      <c r="O42" s="6"/>
      <c r="P42" s="6"/>
    </row>
    <row r="43" spans="2:16" ht="15" customHeight="1">
      <c r="B43" s="31" t="s">
        <v>28</v>
      </c>
      <c r="C43" s="8"/>
      <c r="D43" s="8"/>
      <c r="E43" s="8"/>
      <c r="F43" s="53" t="str">
        <f>IFERROR(-1*((D39-K39)/D39), "N/A")</f>
        <v>N/A</v>
      </c>
      <c r="G43" s="32" t="s">
        <v>31</v>
      </c>
      <c r="H43" s="8"/>
      <c r="I43" s="8"/>
      <c r="J43" s="8"/>
      <c r="K43" s="22"/>
      <c r="L43" s="8"/>
      <c r="M43" s="9"/>
      <c r="N43" s="6"/>
      <c r="O43" s="6"/>
      <c r="P43" s="6"/>
    </row>
    <row r="44" spans="2:16" ht="6.95" customHeight="1">
      <c r="B44" s="13"/>
      <c r="C44" s="7"/>
      <c r="D44" s="7"/>
      <c r="E44" s="7"/>
      <c r="F44" s="7"/>
      <c r="G44" s="7"/>
      <c r="H44" s="7"/>
      <c r="I44" s="7"/>
      <c r="J44" s="7"/>
      <c r="K44" s="1"/>
      <c r="L44" s="7"/>
      <c r="M44" s="10"/>
      <c r="N44" s="6"/>
      <c r="O44" s="6"/>
      <c r="P44" s="6"/>
    </row>
    <row r="45" spans="2:16" ht="12.75">
      <c r="B45" s="133" t="s">
        <v>81</v>
      </c>
      <c r="C45" s="134"/>
      <c r="D45" s="135"/>
      <c r="E45" s="140"/>
      <c r="F45" s="141"/>
      <c r="G45" s="141"/>
      <c r="H45" s="141"/>
      <c r="I45" s="141"/>
      <c r="J45" s="141"/>
      <c r="K45" s="141"/>
      <c r="L45" s="141"/>
      <c r="M45" s="142"/>
      <c r="N45" s="6"/>
      <c r="O45" s="6"/>
      <c r="P45" s="6"/>
    </row>
    <row r="46" spans="2:16" ht="12.75">
      <c r="B46" s="136"/>
      <c r="C46" s="136"/>
      <c r="D46" s="137"/>
      <c r="E46" s="143"/>
      <c r="F46" s="144"/>
      <c r="G46" s="144"/>
      <c r="H46" s="144"/>
      <c r="I46" s="144"/>
      <c r="J46" s="144"/>
      <c r="K46" s="144"/>
      <c r="L46" s="144"/>
      <c r="M46" s="145"/>
      <c r="N46" s="6"/>
      <c r="O46" s="6"/>
      <c r="P46" s="6"/>
    </row>
    <row r="47" spans="2:16" ht="12.75">
      <c r="B47" s="136"/>
      <c r="C47" s="136"/>
      <c r="D47" s="137"/>
      <c r="E47" s="143"/>
      <c r="F47" s="144"/>
      <c r="G47" s="144"/>
      <c r="H47" s="144"/>
      <c r="I47" s="144"/>
      <c r="J47" s="144"/>
      <c r="K47" s="144"/>
      <c r="L47" s="144"/>
      <c r="M47" s="145"/>
      <c r="N47" s="6"/>
      <c r="O47" s="6"/>
      <c r="P47" s="6"/>
    </row>
    <row r="48" spans="2:16" ht="12.75">
      <c r="B48" s="136"/>
      <c r="C48" s="136"/>
      <c r="D48" s="137"/>
      <c r="E48" s="143"/>
      <c r="F48" s="144"/>
      <c r="G48" s="144"/>
      <c r="H48" s="144"/>
      <c r="I48" s="144"/>
      <c r="J48" s="144"/>
      <c r="K48" s="144"/>
      <c r="L48" s="144"/>
      <c r="M48" s="145"/>
      <c r="N48" s="6"/>
      <c r="O48" s="6"/>
      <c r="P48" s="6"/>
    </row>
    <row r="49" spans="2:16" ht="12.75">
      <c r="B49" s="136"/>
      <c r="C49" s="136"/>
      <c r="D49" s="137"/>
      <c r="E49" s="143"/>
      <c r="F49" s="144"/>
      <c r="G49" s="144"/>
      <c r="H49" s="144"/>
      <c r="I49" s="144"/>
      <c r="J49" s="144"/>
      <c r="K49" s="144"/>
      <c r="L49" s="144"/>
      <c r="M49" s="145"/>
      <c r="N49" s="6"/>
      <c r="O49" s="6"/>
      <c r="P49" s="6"/>
    </row>
    <row r="50" spans="2:16" ht="12.75">
      <c r="B50" s="136"/>
      <c r="C50" s="136"/>
      <c r="D50" s="137"/>
      <c r="E50" s="143"/>
      <c r="F50" s="144"/>
      <c r="G50" s="144"/>
      <c r="H50" s="144"/>
      <c r="I50" s="144"/>
      <c r="J50" s="144"/>
      <c r="K50" s="144"/>
      <c r="L50" s="144"/>
      <c r="M50" s="145"/>
      <c r="N50" s="6"/>
      <c r="O50" s="6"/>
      <c r="P50" s="6"/>
    </row>
    <row r="51" spans="2:16" ht="20.25" customHeight="1">
      <c r="B51" s="138"/>
      <c r="C51" s="138"/>
      <c r="D51" s="139"/>
      <c r="E51" s="146"/>
      <c r="F51" s="147"/>
      <c r="G51" s="147"/>
      <c r="H51" s="147"/>
      <c r="I51" s="147"/>
      <c r="J51" s="147"/>
      <c r="K51" s="147"/>
      <c r="L51" s="147"/>
      <c r="M51" s="148"/>
      <c r="N51" s="6"/>
      <c r="O51" s="6"/>
      <c r="P51" s="6"/>
    </row>
    <row r="52" spans="2:16" ht="6" customHeight="1">
      <c r="B52" s="62"/>
      <c r="C52" s="62"/>
      <c r="D52" s="62"/>
      <c r="E52" s="61"/>
      <c r="F52" s="61"/>
      <c r="G52" s="61"/>
      <c r="H52" s="61"/>
      <c r="I52" s="61"/>
      <c r="J52" s="61"/>
      <c r="K52" s="61"/>
      <c r="L52" s="61"/>
      <c r="M52" s="61"/>
      <c r="N52" s="6"/>
      <c r="O52" s="6"/>
      <c r="P52" s="6"/>
    </row>
    <row r="53" spans="2:16" ht="15" customHeight="1">
      <c r="B53" s="14" t="s">
        <v>32</v>
      </c>
      <c r="C53" s="15"/>
      <c r="D53" s="15"/>
      <c r="E53" s="15"/>
      <c r="F53" s="15"/>
      <c r="G53" s="15"/>
      <c r="H53" s="15"/>
      <c r="I53" s="15"/>
      <c r="J53" s="15"/>
      <c r="K53" s="16"/>
      <c r="L53" s="16"/>
      <c r="M53" s="17"/>
      <c r="N53" s="6"/>
      <c r="O53" s="6"/>
      <c r="P53" s="6"/>
    </row>
    <row r="54" spans="2:16" ht="6.95" customHeight="1">
      <c r="B54" s="23"/>
      <c r="E54" s="8"/>
      <c r="F54" s="8"/>
      <c r="G54" s="22"/>
      <c r="H54" s="2"/>
      <c r="I54" s="8"/>
      <c r="J54" s="8"/>
      <c r="K54" s="8"/>
      <c r="L54" s="8"/>
      <c r="M54" s="9"/>
      <c r="N54" s="6"/>
      <c r="O54" s="6"/>
      <c r="P54" s="6"/>
    </row>
    <row r="55" spans="2:16" ht="26.25" customHeight="1">
      <c r="B55" s="128" t="s">
        <v>63</v>
      </c>
      <c r="C55" s="129"/>
      <c r="D55" s="129"/>
      <c r="E55" s="129"/>
      <c r="F55" s="129"/>
      <c r="G55" s="129"/>
      <c r="H55" s="129"/>
      <c r="I55" s="129"/>
      <c r="J55" s="129"/>
      <c r="K55" s="129"/>
      <c r="L55" s="129"/>
      <c r="M55" s="130"/>
      <c r="N55" s="6"/>
      <c r="O55" s="6"/>
      <c r="P55" s="6"/>
    </row>
    <row r="56" spans="2:16" ht="6.95" customHeight="1">
      <c r="B56" s="12"/>
      <c r="E56" s="8"/>
      <c r="F56" s="8"/>
      <c r="G56" s="22"/>
      <c r="H56" s="2"/>
      <c r="I56" s="8"/>
      <c r="J56" s="8"/>
      <c r="K56" s="8"/>
      <c r="L56" s="8"/>
      <c r="M56" s="9"/>
      <c r="N56" s="6"/>
      <c r="O56" s="6"/>
      <c r="P56" s="6"/>
    </row>
    <row r="57" spans="2:16" ht="15" customHeight="1">
      <c r="B57" s="23"/>
      <c r="E57" s="8"/>
      <c r="F57" s="2" t="s">
        <v>36</v>
      </c>
      <c r="G57" s="22"/>
      <c r="I57" s="100" t="s">
        <v>37</v>
      </c>
      <c r="J57" s="100"/>
      <c r="K57" s="8"/>
      <c r="L57" s="8"/>
      <c r="M57" s="9"/>
      <c r="N57" s="6"/>
      <c r="O57" s="6"/>
      <c r="P57" s="6"/>
    </row>
    <row r="58" spans="2:16" ht="15" customHeight="1">
      <c r="B58" s="27" t="s">
        <v>33</v>
      </c>
      <c r="C58" s="8"/>
      <c r="D58" s="8"/>
      <c r="E58" s="8"/>
      <c r="F58" s="103">
        <v>0</v>
      </c>
      <c r="G58" s="104"/>
      <c r="H58" s="33" t="s">
        <v>38</v>
      </c>
      <c r="I58" s="101">
        <v>0</v>
      </c>
      <c r="J58" s="102"/>
      <c r="K58" s="33" t="s">
        <v>38</v>
      </c>
      <c r="L58" s="8"/>
      <c r="M58" s="9"/>
      <c r="N58" s="6"/>
      <c r="O58" s="6"/>
      <c r="P58" s="6"/>
    </row>
    <row r="59" spans="2:16" ht="15" customHeight="1">
      <c r="B59" s="27" t="s">
        <v>34</v>
      </c>
      <c r="C59" s="8"/>
      <c r="D59" s="8"/>
      <c r="E59" s="8"/>
      <c r="F59" s="103">
        <v>0</v>
      </c>
      <c r="G59" s="104"/>
      <c r="H59" s="33" t="s">
        <v>38</v>
      </c>
      <c r="I59" s="101">
        <v>0</v>
      </c>
      <c r="J59" s="102"/>
      <c r="K59" s="33" t="s">
        <v>38</v>
      </c>
      <c r="L59" s="8"/>
      <c r="M59" s="9"/>
      <c r="N59" s="6"/>
      <c r="O59" s="6"/>
      <c r="P59" s="6"/>
    </row>
    <row r="60" spans="2:16" ht="15" customHeight="1">
      <c r="B60" s="27" t="s">
        <v>35</v>
      </c>
      <c r="C60" s="8"/>
      <c r="D60" s="8"/>
      <c r="E60" s="8"/>
      <c r="F60" s="127">
        <v>0</v>
      </c>
      <c r="G60" s="127"/>
      <c r="H60" s="33" t="s">
        <v>38</v>
      </c>
      <c r="I60" s="101">
        <v>0</v>
      </c>
      <c r="J60" s="102"/>
      <c r="K60" s="33" t="s">
        <v>38</v>
      </c>
      <c r="L60" s="8"/>
      <c r="M60" s="9"/>
      <c r="N60" s="6"/>
      <c r="O60" s="6"/>
      <c r="P60" s="6"/>
    </row>
    <row r="61" spans="2:16" ht="13.5" customHeight="1">
      <c r="B61" s="4"/>
      <c r="C61" s="7"/>
      <c r="D61" s="7"/>
      <c r="E61" s="7"/>
      <c r="F61" s="7"/>
      <c r="G61" s="7"/>
      <c r="H61" s="7"/>
      <c r="I61" s="7"/>
      <c r="J61" s="7"/>
      <c r="K61" s="1"/>
      <c r="L61" s="7"/>
      <c r="M61" s="10"/>
      <c r="N61" s="6"/>
      <c r="O61" s="6"/>
      <c r="P61" s="6"/>
    </row>
    <row r="62" spans="2:16" ht="15" customHeight="1">
      <c r="B62" s="6"/>
      <c r="C62" s="6"/>
      <c r="D62" s="6"/>
      <c r="E62" s="6"/>
      <c r="F62" s="6"/>
      <c r="G62" s="6"/>
      <c r="H62" s="6"/>
      <c r="I62" s="6"/>
      <c r="J62" s="6"/>
      <c r="L62" s="6"/>
      <c r="M62" s="6"/>
      <c r="N62" s="6"/>
      <c r="O62" s="6"/>
      <c r="P62" s="6"/>
    </row>
    <row r="63" spans="2:16" ht="15" customHeight="1">
      <c r="B63" s="14" t="s">
        <v>39</v>
      </c>
      <c r="C63" s="15"/>
      <c r="D63" s="15"/>
      <c r="E63" s="15"/>
      <c r="F63" s="15"/>
      <c r="G63" s="15"/>
      <c r="H63" s="15"/>
      <c r="I63" s="15"/>
      <c r="J63" s="15"/>
      <c r="K63" s="16"/>
      <c r="L63" s="16"/>
      <c r="M63" s="17"/>
      <c r="N63" s="6"/>
      <c r="O63" s="6"/>
      <c r="P63" s="6"/>
    </row>
    <row r="64" spans="2:16" ht="6.95" customHeight="1">
      <c r="B64" s="23"/>
      <c r="E64" s="8"/>
      <c r="F64" s="2"/>
      <c r="G64" s="22"/>
      <c r="H64" s="22"/>
      <c r="I64" s="95"/>
      <c r="J64" s="95"/>
      <c r="K64" s="8"/>
      <c r="L64" s="8"/>
      <c r="M64" s="9"/>
      <c r="N64" s="6"/>
      <c r="O64" s="6"/>
      <c r="P64" s="6"/>
    </row>
    <row r="65" spans="2:16" ht="53.1" customHeight="1">
      <c r="B65" s="91" t="s">
        <v>103</v>
      </c>
      <c r="C65" s="92"/>
      <c r="D65" s="92"/>
      <c r="E65" s="92"/>
      <c r="F65" s="92"/>
      <c r="G65" s="92"/>
      <c r="H65" s="92"/>
      <c r="I65" s="92"/>
      <c r="J65" s="92"/>
      <c r="K65" s="92"/>
      <c r="L65" s="92"/>
      <c r="M65" s="93"/>
      <c r="N65" s="6"/>
      <c r="O65" s="6"/>
      <c r="P65" s="6"/>
    </row>
    <row r="66" spans="2:16" ht="6.95" customHeight="1">
      <c r="B66" s="23"/>
      <c r="E66" s="8"/>
      <c r="F66" s="2"/>
      <c r="G66" s="22"/>
      <c r="H66" s="22"/>
      <c r="I66" s="95"/>
      <c r="J66" s="95"/>
      <c r="K66" s="8"/>
      <c r="L66" s="8"/>
      <c r="M66" s="9"/>
      <c r="N66" s="6"/>
      <c r="O66" s="6"/>
      <c r="P66" s="6"/>
    </row>
    <row r="67" spans="2:16" ht="15" customHeight="1">
      <c r="B67" s="65" t="s">
        <v>84</v>
      </c>
      <c r="E67" s="8"/>
      <c r="F67" s="8"/>
      <c r="G67" s="8"/>
      <c r="H67" s="63" t="s">
        <v>88</v>
      </c>
      <c r="L67" s="5"/>
      <c r="M67" s="9"/>
      <c r="N67" s="6"/>
      <c r="O67" s="6"/>
      <c r="P67" s="6"/>
    </row>
    <row r="68" spans="2:16" ht="15" customHeight="1">
      <c r="B68" s="44" t="s">
        <v>65</v>
      </c>
      <c r="C68" s="42"/>
      <c r="D68" s="79">
        <v>0</v>
      </c>
      <c r="E68" s="33" t="s">
        <v>40</v>
      </c>
      <c r="H68" s="79">
        <v>0</v>
      </c>
      <c r="I68" s="33" t="s">
        <v>40</v>
      </c>
      <c r="L68" s="28"/>
      <c r="M68" s="9"/>
      <c r="N68" s="6"/>
      <c r="O68" s="6"/>
      <c r="P68" s="6"/>
    </row>
    <row r="69" spans="2:16" ht="15" customHeight="1">
      <c r="B69" s="44" t="s">
        <v>67</v>
      </c>
      <c r="C69" s="42"/>
      <c r="D69" s="79">
        <v>0</v>
      </c>
      <c r="E69" s="33" t="s">
        <v>40</v>
      </c>
      <c r="H69" s="79">
        <v>0</v>
      </c>
      <c r="I69" s="33" t="s">
        <v>40</v>
      </c>
      <c r="L69" s="28"/>
      <c r="M69" s="9"/>
      <c r="N69" s="6"/>
      <c r="O69" s="6"/>
      <c r="P69" s="6"/>
    </row>
    <row r="70" spans="2:16" ht="15" customHeight="1">
      <c r="B70" s="44" t="s">
        <v>68</v>
      </c>
      <c r="C70" s="42"/>
      <c r="D70" s="79">
        <v>0</v>
      </c>
      <c r="E70" s="33" t="s">
        <v>40</v>
      </c>
      <c r="H70" s="79">
        <v>0</v>
      </c>
      <c r="I70" s="33" t="s">
        <v>40</v>
      </c>
      <c r="L70" s="28"/>
      <c r="M70" s="9"/>
      <c r="N70" s="6"/>
      <c r="O70" s="6"/>
      <c r="P70" s="6"/>
    </row>
    <row r="71" spans="2:16" ht="15" customHeight="1">
      <c r="B71" s="44" t="s">
        <v>23</v>
      </c>
      <c r="C71" s="42"/>
      <c r="D71" s="79">
        <v>0</v>
      </c>
      <c r="E71" s="33" t="s">
        <v>40</v>
      </c>
      <c r="H71" s="79">
        <v>0</v>
      </c>
      <c r="I71" s="33" t="s">
        <v>40</v>
      </c>
      <c r="L71" s="28"/>
      <c r="M71" s="9"/>
      <c r="N71" s="6"/>
      <c r="O71" s="6"/>
      <c r="P71" s="6"/>
    </row>
    <row r="72" spans="2:16" ht="15" customHeight="1">
      <c r="B72" s="44" t="s">
        <v>69</v>
      </c>
      <c r="C72" s="42"/>
      <c r="D72" s="79">
        <v>0</v>
      </c>
      <c r="E72" s="33" t="s">
        <v>40</v>
      </c>
      <c r="H72" s="79">
        <v>0</v>
      </c>
      <c r="I72" s="33" t="s">
        <v>40</v>
      </c>
      <c r="L72" s="28"/>
      <c r="M72" s="9"/>
      <c r="N72" s="6"/>
      <c r="O72" s="6"/>
      <c r="P72" s="6"/>
    </row>
    <row r="73" spans="2:16" ht="15" customHeight="1">
      <c r="B73" s="44" t="s">
        <v>74</v>
      </c>
      <c r="C73" s="42"/>
      <c r="D73" s="79">
        <v>0</v>
      </c>
      <c r="E73" s="33" t="s">
        <v>40</v>
      </c>
      <c r="H73" s="79">
        <v>0</v>
      </c>
      <c r="I73" s="33" t="s">
        <v>40</v>
      </c>
      <c r="L73" s="28"/>
      <c r="M73" s="9"/>
      <c r="N73" s="6"/>
      <c r="O73" s="6"/>
      <c r="P73" s="6"/>
    </row>
    <row r="74" spans="2:16" ht="15" customHeight="1">
      <c r="B74" s="44" t="s">
        <v>24</v>
      </c>
      <c r="C74" s="42"/>
      <c r="D74" s="79">
        <v>0</v>
      </c>
      <c r="E74" s="33" t="s">
        <v>40</v>
      </c>
      <c r="H74" s="79">
        <v>0</v>
      </c>
      <c r="I74" s="33" t="s">
        <v>40</v>
      </c>
      <c r="L74" s="28"/>
      <c r="M74" s="9"/>
      <c r="N74" s="6"/>
      <c r="O74" s="6"/>
      <c r="P74" s="6"/>
    </row>
    <row r="75" spans="2:16" ht="15" customHeight="1">
      <c r="B75" s="44" t="s">
        <v>82</v>
      </c>
      <c r="C75" s="42"/>
      <c r="D75" s="79">
        <v>0</v>
      </c>
      <c r="E75" s="33" t="s">
        <v>40</v>
      </c>
      <c r="H75" s="79">
        <v>0</v>
      </c>
      <c r="I75" s="33" t="s">
        <v>40</v>
      </c>
      <c r="L75" s="28"/>
      <c r="M75" s="9"/>
      <c r="N75" s="6"/>
      <c r="O75" s="6"/>
      <c r="P75" s="6"/>
    </row>
    <row r="76" spans="2:16" ht="15" customHeight="1">
      <c r="B76" s="44" t="s">
        <v>83</v>
      </c>
      <c r="C76" s="42"/>
      <c r="D76" s="79">
        <v>0</v>
      </c>
      <c r="E76" s="33" t="s">
        <v>40</v>
      </c>
      <c r="H76" s="79">
        <v>0</v>
      </c>
      <c r="I76" s="33" t="s">
        <v>40</v>
      </c>
      <c r="L76" s="28"/>
      <c r="M76" s="9"/>
      <c r="N76" s="6"/>
      <c r="O76" s="6"/>
      <c r="P76" s="6"/>
    </row>
    <row r="77" spans="2:16" ht="15" customHeight="1">
      <c r="B77" s="44" t="s">
        <v>64</v>
      </c>
      <c r="C77" s="42"/>
      <c r="D77" s="48">
        <f>SUM(D68:D76)</f>
        <v>0</v>
      </c>
      <c r="E77" s="5"/>
      <c r="F77" s="33"/>
      <c r="G77" s="2"/>
      <c r="H77" s="48">
        <f>SUM(H68:H76)</f>
        <v>0</v>
      </c>
      <c r="I77" s="41"/>
      <c r="K77" s="28"/>
      <c r="L77" s="28"/>
      <c r="M77" s="9"/>
      <c r="N77" s="6"/>
      <c r="O77" s="6"/>
      <c r="P77" s="6"/>
    </row>
    <row r="78" spans="2:16" ht="6.95" customHeight="1">
      <c r="B78" s="27"/>
      <c r="C78" s="28"/>
      <c r="D78" s="28"/>
      <c r="E78" s="28"/>
      <c r="F78" s="8"/>
      <c r="G78" s="8"/>
      <c r="H78" s="8"/>
      <c r="I78" s="22"/>
      <c r="J78" s="22"/>
      <c r="K78" s="33"/>
      <c r="L78" s="22"/>
      <c r="M78" s="26"/>
      <c r="N78" s="6"/>
      <c r="O78" s="6"/>
      <c r="P78" s="6"/>
    </row>
    <row r="79" spans="2:16" ht="15" customHeight="1">
      <c r="B79" s="3" t="s">
        <v>87</v>
      </c>
      <c r="C79" s="8"/>
      <c r="D79" s="8"/>
      <c r="E79" s="8"/>
      <c r="F79" s="8"/>
      <c r="G79" s="8"/>
      <c r="H79" s="8"/>
      <c r="I79" s="5"/>
      <c r="J79" s="57"/>
      <c r="K79" s="33"/>
      <c r="L79" s="5"/>
      <c r="M79" s="28"/>
      <c r="N79" s="6"/>
      <c r="O79" s="6"/>
      <c r="P79" s="6"/>
    </row>
    <row r="80" spans="2:16" ht="6.95" customHeight="1">
      <c r="B80" s="3"/>
      <c r="C80" s="8"/>
      <c r="D80" s="8"/>
      <c r="E80" s="8"/>
      <c r="F80" s="8"/>
      <c r="G80" s="8"/>
      <c r="H80" s="8"/>
      <c r="I80" s="5"/>
      <c r="J80" s="57"/>
      <c r="K80" s="8"/>
      <c r="L80" s="8"/>
      <c r="M80" s="9"/>
      <c r="N80" s="6"/>
      <c r="O80" s="6"/>
      <c r="P80" s="6"/>
    </row>
    <row r="81" spans="2:16" ht="15" customHeight="1">
      <c r="B81" s="27" t="s">
        <v>86</v>
      </c>
      <c r="C81" s="8"/>
      <c r="D81" s="8"/>
      <c r="E81" s="8"/>
      <c r="F81" s="8"/>
      <c r="G81" s="8"/>
      <c r="H81" s="8"/>
      <c r="I81" s="5"/>
      <c r="J81" s="58">
        <f>D76</f>
        <v>0</v>
      </c>
      <c r="K81" s="33" t="s">
        <v>40</v>
      </c>
      <c r="L81" s="59" t="e">
        <f>D76/D77</f>
        <v>#DIV/0!</v>
      </c>
      <c r="M81" s="34" t="s">
        <v>31</v>
      </c>
      <c r="N81" s="6"/>
      <c r="O81" s="6"/>
      <c r="P81" s="6"/>
    </row>
    <row r="82" spans="2:16" ht="15" customHeight="1">
      <c r="B82" s="27" t="s">
        <v>77</v>
      </c>
      <c r="C82" s="8"/>
      <c r="D82" s="8"/>
      <c r="E82" s="8"/>
      <c r="F82" s="8"/>
      <c r="G82" s="8"/>
      <c r="H82" s="8"/>
      <c r="I82" s="5"/>
      <c r="J82" s="58">
        <f>SUM(D68:D74)</f>
        <v>0</v>
      </c>
      <c r="K82" s="33" t="s">
        <v>40</v>
      </c>
      <c r="L82" s="59" t="e">
        <f>J82/(D77-D76)</f>
        <v>#DIV/0!</v>
      </c>
      <c r="M82" s="34" t="s">
        <v>31</v>
      </c>
      <c r="N82" s="6"/>
      <c r="O82" s="6"/>
      <c r="P82" s="6"/>
    </row>
    <row r="83" spans="2:16" ht="15" customHeight="1">
      <c r="B83" s="27" t="s">
        <v>85</v>
      </c>
      <c r="C83" s="8"/>
      <c r="D83" s="8"/>
      <c r="E83" s="8"/>
      <c r="F83" s="8"/>
      <c r="G83" s="8"/>
      <c r="H83" s="8"/>
      <c r="I83" s="5"/>
      <c r="J83" s="58">
        <f>H76</f>
        <v>0</v>
      </c>
      <c r="K83" s="33" t="s">
        <v>40</v>
      </c>
      <c r="L83" s="59" t="e">
        <f>H76/H77</f>
        <v>#DIV/0!</v>
      </c>
      <c r="M83" s="34" t="s">
        <v>31</v>
      </c>
      <c r="N83" s="6"/>
      <c r="O83" s="6"/>
      <c r="P83" s="6"/>
    </row>
    <row r="84" spans="2:16" ht="15" customHeight="1">
      <c r="B84" s="27" t="s">
        <v>75</v>
      </c>
      <c r="C84" s="8"/>
      <c r="D84" s="8"/>
      <c r="E84" s="8"/>
      <c r="F84" s="8"/>
      <c r="G84" s="8"/>
      <c r="H84" s="8"/>
      <c r="I84" s="5"/>
      <c r="J84" s="58">
        <f>SUM(H68:H74)</f>
        <v>0</v>
      </c>
      <c r="K84" s="33" t="s">
        <v>40</v>
      </c>
      <c r="L84" s="59" t="e">
        <f>J84/(H77-H76)</f>
        <v>#DIV/0!</v>
      </c>
      <c r="M84" s="34" t="s">
        <v>31</v>
      </c>
      <c r="N84" s="6"/>
      <c r="O84" s="6"/>
      <c r="P84" s="6"/>
    </row>
    <row r="85" spans="2:16" ht="6.95" customHeight="1">
      <c r="B85" s="3"/>
      <c r="C85" s="8"/>
      <c r="D85" s="8"/>
      <c r="E85" s="8"/>
      <c r="F85" s="8"/>
      <c r="G85" s="8"/>
      <c r="H85" s="8"/>
      <c r="I85" s="5"/>
      <c r="J85" s="5"/>
      <c r="K85" s="8"/>
      <c r="L85" s="8"/>
      <c r="M85" s="9"/>
      <c r="N85" s="6"/>
      <c r="O85" s="6"/>
      <c r="P85" s="6"/>
    </row>
    <row r="86" spans="2:16" ht="80.099999999999994" customHeight="1">
      <c r="B86" s="86" t="s">
        <v>105</v>
      </c>
      <c r="C86" s="87"/>
      <c r="D86" s="88"/>
      <c r="E86" s="89"/>
      <c r="F86" s="89"/>
      <c r="G86" s="89"/>
      <c r="H86" s="89"/>
      <c r="I86" s="89"/>
      <c r="J86" s="89"/>
      <c r="K86" s="89"/>
      <c r="L86" s="89"/>
      <c r="M86" s="90"/>
      <c r="N86" s="6"/>
      <c r="O86" s="6"/>
      <c r="P86" s="6"/>
    </row>
    <row r="87" spans="2:16" ht="6.95" customHeight="1">
      <c r="B87" s="4"/>
      <c r="C87" s="7"/>
      <c r="D87" s="7"/>
      <c r="E87" s="7"/>
      <c r="F87" s="7"/>
      <c r="G87" s="7"/>
      <c r="H87" s="7"/>
      <c r="I87" s="7"/>
      <c r="J87" s="7"/>
      <c r="K87" s="1"/>
      <c r="L87" s="7"/>
      <c r="M87" s="10"/>
      <c r="N87" s="6"/>
      <c r="O87" s="6"/>
      <c r="P87" s="6"/>
    </row>
    <row r="88" spans="2:16" ht="15" customHeight="1">
      <c r="B88" s="6"/>
      <c r="C88" s="6"/>
      <c r="D88" s="6"/>
      <c r="E88" s="6"/>
      <c r="F88" s="6"/>
      <c r="G88" s="6"/>
      <c r="H88" s="6"/>
      <c r="I88" s="6"/>
      <c r="J88" s="6"/>
      <c r="L88" s="6"/>
      <c r="M88" s="6"/>
      <c r="N88" s="6"/>
      <c r="O88" s="6"/>
      <c r="P88" s="6"/>
    </row>
    <row r="89" spans="2:16" ht="15" customHeight="1">
      <c r="B89" s="45" t="s">
        <v>41</v>
      </c>
      <c r="C89" s="46"/>
      <c r="D89" s="46"/>
      <c r="E89" s="46"/>
      <c r="F89" s="46"/>
      <c r="G89" s="46"/>
      <c r="H89" s="46"/>
      <c r="I89" s="46"/>
      <c r="J89" s="46"/>
      <c r="K89" s="46"/>
      <c r="L89" s="46"/>
      <c r="M89" s="47"/>
      <c r="N89" s="6"/>
      <c r="O89" s="6"/>
      <c r="P89" s="6"/>
    </row>
    <row r="90" spans="2:16" ht="6.95" customHeight="1">
      <c r="B90" s="23"/>
      <c r="E90" s="8"/>
      <c r="F90" s="2"/>
      <c r="G90" s="22"/>
      <c r="H90" s="22"/>
      <c r="I90" s="95"/>
      <c r="J90" s="95"/>
      <c r="K90" s="8"/>
      <c r="L90" s="8"/>
      <c r="M90" s="9"/>
      <c r="N90" s="6"/>
      <c r="O90" s="6"/>
      <c r="P90" s="6"/>
    </row>
    <row r="91" spans="2:16" ht="39.950000000000003" customHeight="1">
      <c r="B91" s="91" t="s">
        <v>99</v>
      </c>
      <c r="C91" s="92"/>
      <c r="D91" s="92"/>
      <c r="E91" s="92"/>
      <c r="F91" s="92"/>
      <c r="G91" s="92"/>
      <c r="H91" s="92"/>
      <c r="I91" s="92"/>
      <c r="J91" s="92"/>
      <c r="K91" s="92"/>
      <c r="L91" s="92"/>
      <c r="M91" s="93"/>
      <c r="N91" s="6"/>
      <c r="O91" s="6"/>
      <c r="P91" s="6"/>
    </row>
    <row r="92" spans="2:16" ht="6.95" customHeight="1">
      <c r="B92" s="27"/>
      <c r="C92" s="8"/>
      <c r="D92" s="8"/>
      <c r="E92" s="8"/>
      <c r="F92" s="7"/>
      <c r="G92" s="8"/>
      <c r="H92" s="8"/>
      <c r="I92" s="5"/>
      <c r="J92" s="22"/>
      <c r="K92" s="22"/>
      <c r="L92" s="22"/>
      <c r="M92" s="9"/>
      <c r="N92" s="6"/>
      <c r="O92" s="6"/>
      <c r="P92" s="6"/>
    </row>
    <row r="93" spans="2:16" ht="6.95" customHeight="1">
      <c r="B93" s="38"/>
      <c r="C93" s="19"/>
      <c r="D93" s="19"/>
      <c r="E93" s="19"/>
      <c r="F93" s="21"/>
      <c r="G93" s="18"/>
      <c r="H93" s="19"/>
      <c r="I93" s="39"/>
      <c r="J93" s="20"/>
      <c r="K93" s="20"/>
      <c r="L93" s="20"/>
      <c r="M93" s="21"/>
      <c r="N93" s="6"/>
      <c r="O93" s="6"/>
      <c r="P93" s="6"/>
    </row>
    <row r="94" spans="2:16" ht="15" customHeight="1">
      <c r="B94" s="3" t="s">
        <v>50</v>
      </c>
      <c r="E94" s="8"/>
      <c r="F94" s="9"/>
      <c r="G94" s="2" t="s">
        <v>48</v>
      </c>
      <c r="H94" s="2"/>
      <c r="J94" s="8"/>
      <c r="K94" s="11" t="s">
        <v>49</v>
      </c>
      <c r="L94" s="2"/>
      <c r="M94" s="35"/>
      <c r="N94" s="6"/>
      <c r="O94" s="6"/>
      <c r="P94" s="6"/>
    </row>
    <row r="95" spans="2:16" ht="15" customHeight="1">
      <c r="B95" s="27" t="s">
        <v>42</v>
      </c>
      <c r="C95" s="28"/>
      <c r="D95" s="28"/>
      <c r="E95" s="60">
        <f>D25</f>
        <v>0</v>
      </c>
      <c r="F95" s="36" t="s">
        <v>43</v>
      </c>
      <c r="G95" s="28" t="s">
        <v>44</v>
      </c>
      <c r="H95" s="22"/>
      <c r="I95" s="81">
        <v>0</v>
      </c>
      <c r="J95" s="33" t="s">
        <v>31</v>
      </c>
      <c r="K95" s="83" t="s">
        <v>91</v>
      </c>
      <c r="L95" s="83" t="s">
        <v>91</v>
      </c>
      <c r="M95" s="9" t="s">
        <v>47</v>
      </c>
      <c r="N95" s="6"/>
      <c r="O95" s="6"/>
      <c r="P95" s="6"/>
    </row>
    <row r="96" spans="2:16" ht="15" customHeight="1">
      <c r="B96" s="27" t="s">
        <v>89</v>
      </c>
      <c r="C96" s="28"/>
      <c r="D96" s="28"/>
      <c r="E96" s="60">
        <f>E95*0.1</f>
        <v>0</v>
      </c>
      <c r="F96" s="36" t="s">
        <v>43</v>
      </c>
      <c r="G96" s="28" t="s">
        <v>45</v>
      </c>
      <c r="H96" s="22"/>
      <c r="I96" s="81">
        <v>0</v>
      </c>
      <c r="J96" s="33" t="s">
        <v>31</v>
      </c>
      <c r="K96" s="83"/>
      <c r="L96" s="83"/>
      <c r="M96" s="9" t="s">
        <v>47</v>
      </c>
      <c r="N96" s="6"/>
      <c r="O96" s="6"/>
      <c r="P96" s="6"/>
    </row>
    <row r="97" spans="2:16" ht="15" customHeight="1">
      <c r="B97" s="27" t="s">
        <v>90</v>
      </c>
      <c r="C97" s="28"/>
      <c r="D97" s="28"/>
      <c r="E97" s="80">
        <v>0</v>
      </c>
      <c r="F97" s="36" t="s">
        <v>43</v>
      </c>
      <c r="G97" s="28" t="s">
        <v>46</v>
      </c>
      <c r="H97" s="22"/>
      <c r="I97" s="81">
        <v>0</v>
      </c>
      <c r="J97" s="33" t="s">
        <v>31</v>
      </c>
      <c r="K97" s="83"/>
      <c r="L97" s="83"/>
      <c r="M97" s="9" t="s">
        <v>47</v>
      </c>
      <c r="N97" s="6"/>
      <c r="O97" s="6"/>
      <c r="P97" s="6"/>
    </row>
    <row r="98" spans="2:16" ht="15" customHeight="1">
      <c r="B98" s="27"/>
      <c r="C98" s="28"/>
      <c r="D98" s="28"/>
      <c r="E98" s="39"/>
      <c r="F98" s="36"/>
      <c r="G98" s="28" t="s">
        <v>72</v>
      </c>
      <c r="H98" s="26"/>
      <c r="I98" s="81">
        <v>0</v>
      </c>
      <c r="J98" s="33" t="s">
        <v>31</v>
      </c>
      <c r="K98" s="83"/>
      <c r="L98" s="83"/>
      <c r="M98" s="9" t="s">
        <v>47</v>
      </c>
      <c r="N98" s="6"/>
      <c r="O98" s="6"/>
      <c r="P98" s="6"/>
    </row>
    <row r="99" spans="2:16" ht="15" customHeight="1">
      <c r="B99" s="27"/>
      <c r="C99" s="28"/>
      <c r="D99" s="28"/>
      <c r="E99" s="5"/>
      <c r="F99" s="36"/>
      <c r="G99" s="28" t="s">
        <v>73</v>
      </c>
      <c r="H99" s="26"/>
      <c r="I99" s="82">
        <v>0</v>
      </c>
      <c r="J99" s="33" t="s">
        <v>31</v>
      </c>
      <c r="K99" s="84"/>
      <c r="L99" s="84"/>
      <c r="M99" s="9" t="s">
        <v>47</v>
      </c>
      <c r="N99" s="6"/>
      <c r="O99" s="6"/>
      <c r="P99" s="6"/>
    </row>
    <row r="100" spans="2:16" ht="6.95" customHeight="1">
      <c r="B100" s="37"/>
      <c r="C100" s="7"/>
      <c r="D100" s="7"/>
      <c r="E100" s="7"/>
      <c r="F100" s="10"/>
      <c r="G100" s="13"/>
      <c r="H100" s="7"/>
      <c r="I100" s="25"/>
      <c r="J100" s="1"/>
      <c r="K100" s="1"/>
      <c r="L100" s="1"/>
      <c r="M100" s="10"/>
      <c r="N100" s="6"/>
      <c r="O100" s="6"/>
      <c r="P100" s="6"/>
    </row>
    <row r="101" spans="2:16" ht="6.95" customHeight="1">
      <c r="B101" s="27"/>
      <c r="C101" s="8"/>
      <c r="D101" s="8"/>
      <c r="E101" s="8"/>
      <c r="F101" s="8"/>
      <c r="G101" s="8"/>
      <c r="H101" s="8"/>
      <c r="I101" s="5"/>
      <c r="L101" s="22"/>
      <c r="M101" s="9"/>
      <c r="N101" s="6"/>
      <c r="O101" s="6"/>
      <c r="P101" s="6"/>
    </row>
    <row r="102" spans="2:16" ht="15" customHeight="1">
      <c r="B102" s="3" t="s">
        <v>51</v>
      </c>
      <c r="C102" s="8"/>
      <c r="D102" s="8"/>
      <c r="E102" s="8"/>
      <c r="F102" s="8"/>
      <c r="G102" s="8"/>
      <c r="H102" s="8"/>
      <c r="I102" s="5"/>
      <c r="L102" s="5"/>
      <c r="M102" s="9"/>
      <c r="N102" s="6"/>
      <c r="O102" s="6"/>
      <c r="P102" s="6"/>
    </row>
    <row r="103" spans="2:16" ht="15" customHeight="1">
      <c r="B103" s="44" t="s">
        <v>52</v>
      </c>
      <c r="C103" s="42"/>
      <c r="D103" s="28"/>
      <c r="E103" s="80">
        <v>0</v>
      </c>
      <c r="F103" s="33" t="s">
        <v>43</v>
      </c>
      <c r="G103" s="55" t="e">
        <f>E103/$E$95</f>
        <v>#DIV/0!</v>
      </c>
      <c r="H103" s="27" t="s">
        <v>31</v>
      </c>
      <c r="I103" s="105" t="s">
        <v>92</v>
      </c>
      <c r="J103" s="106"/>
      <c r="K103" s="106"/>
      <c r="L103" s="106"/>
      <c r="M103" s="9"/>
      <c r="N103" s="6"/>
      <c r="O103" s="6"/>
      <c r="P103" s="6"/>
    </row>
    <row r="104" spans="2:16" ht="15" customHeight="1">
      <c r="B104" s="44" t="s">
        <v>53</v>
      </c>
      <c r="C104" s="42"/>
      <c r="D104" s="28"/>
      <c r="E104" s="80">
        <v>0</v>
      </c>
      <c r="F104" s="33" t="s">
        <v>43</v>
      </c>
      <c r="G104" s="55" t="e">
        <f t="shared" ref="G104:G110" si="6">E104/$E$95</f>
        <v>#DIV/0!</v>
      </c>
      <c r="H104" s="27" t="s">
        <v>31</v>
      </c>
      <c r="I104" s="106"/>
      <c r="J104" s="106"/>
      <c r="K104" s="106"/>
      <c r="L104" s="106"/>
      <c r="M104" s="9"/>
      <c r="N104" s="6"/>
      <c r="O104" s="6"/>
      <c r="P104" s="6"/>
    </row>
    <row r="105" spans="2:16" ht="15" customHeight="1">
      <c r="B105" s="44" t="s">
        <v>57</v>
      </c>
      <c r="C105" s="42"/>
      <c r="D105" s="28"/>
      <c r="E105" s="80">
        <v>0</v>
      </c>
      <c r="F105" s="33" t="s">
        <v>43</v>
      </c>
      <c r="G105" s="55" t="e">
        <f t="shared" si="6"/>
        <v>#DIV/0!</v>
      </c>
      <c r="H105" s="27" t="s">
        <v>31</v>
      </c>
      <c r="I105" s="106"/>
      <c r="J105" s="106"/>
      <c r="K105" s="106"/>
      <c r="L105" s="106"/>
      <c r="M105" s="9"/>
      <c r="N105" s="6"/>
      <c r="O105" s="6"/>
      <c r="P105" s="6"/>
    </row>
    <row r="106" spans="2:16" ht="15" customHeight="1">
      <c r="B106" s="44" t="s">
        <v>58</v>
      </c>
      <c r="C106" s="42"/>
      <c r="D106" s="28"/>
      <c r="E106" s="80">
        <v>0</v>
      </c>
      <c r="F106" s="33" t="s">
        <v>43</v>
      </c>
      <c r="G106" s="55" t="e">
        <f t="shared" si="6"/>
        <v>#DIV/0!</v>
      </c>
      <c r="H106" s="27" t="s">
        <v>31</v>
      </c>
      <c r="I106" s="41"/>
      <c r="J106" s="41"/>
      <c r="K106" s="28"/>
      <c r="L106" s="28"/>
      <c r="M106" s="9"/>
      <c r="N106" s="6"/>
      <c r="O106" s="6"/>
      <c r="P106" s="6"/>
    </row>
    <row r="107" spans="2:16" ht="15" customHeight="1">
      <c r="B107" s="44" t="s">
        <v>54</v>
      </c>
      <c r="C107" s="42"/>
      <c r="D107" s="28"/>
      <c r="E107" s="80">
        <v>0</v>
      </c>
      <c r="F107" s="33" t="s">
        <v>43</v>
      </c>
      <c r="G107" s="55" t="e">
        <f t="shared" si="6"/>
        <v>#DIV/0!</v>
      </c>
      <c r="H107" s="27" t="s">
        <v>31</v>
      </c>
      <c r="I107" s="105" t="s">
        <v>93</v>
      </c>
      <c r="J107" s="106"/>
      <c r="K107" s="106"/>
      <c r="L107" s="106"/>
      <c r="M107" s="9"/>
      <c r="N107" s="6"/>
      <c r="O107" s="6"/>
      <c r="P107" s="6"/>
    </row>
    <row r="108" spans="2:16" ht="15" customHeight="1">
      <c r="B108" s="44" t="s">
        <v>59</v>
      </c>
      <c r="C108" s="42"/>
      <c r="D108" s="28"/>
      <c r="E108" s="80">
        <v>0</v>
      </c>
      <c r="F108" s="33" t="s">
        <v>43</v>
      </c>
      <c r="G108" s="55" t="e">
        <f t="shared" si="6"/>
        <v>#DIV/0!</v>
      </c>
      <c r="H108" s="27" t="s">
        <v>31</v>
      </c>
      <c r="I108" s="106"/>
      <c r="J108" s="106"/>
      <c r="K108" s="106"/>
      <c r="L108" s="106"/>
      <c r="M108" s="9"/>
      <c r="N108" s="6"/>
      <c r="O108" s="6"/>
      <c r="P108" s="6"/>
    </row>
    <row r="109" spans="2:16" ht="15" customHeight="1">
      <c r="B109" s="29" t="s">
        <v>55</v>
      </c>
      <c r="C109" s="43"/>
      <c r="D109" s="40"/>
      <c r="E109" s="80">
        <v>0</v>
      </c>
      <c r="F109" s="33" t="s">
        <v>43</v>
      </c>
      <c r="G109" s="55" t="e">
        <f t="shared" si="6"/>
        <v>#DIV/0!</v>
      </c>
      <c r="H109" s="27" t="s">
        <v>31</v>
      </c>
      <c r="I109" s="40"/>
      <c r="J109" s="40"/>
      <c r="K109" s="40"/>
      <c r="L109" s="40"/>
      <c r="M109" s="9"/>
      <c r="N109" s="6"/>
      <c r="O109" s="6"/>
      <c r="P109" s="6"/>
    </row>
    <row r="110" spans="2:16" ht="15" customHeight="1">
      <c r="B110" s="29" t="s">
        <v>56</v>
      </c>
      <c r="C110" s="43"/>
      <c r="D110" s="40"/>
      <c r="E110" s="80">
        <v>0</v>
      </c>
      <c r="F110" s="33" t="s">
        <v>43</v>
      </c>
      <c r="G110" s="55" t="e">
        <f t="shared" si="6"/>
        <v>#DIV/0!</v>
      </c>
      <c r="H110" s="27" t="s">
        <v>31</v>
      </c>
      <c r="I110" s="40"/>
      <c r="J110" s="40"/>
      <c r="K110" s="40"/>
      <c r="L110" s="40"/>
      <c r="M110" s="9"/>
      <c r="N110" s="6"/>
      <c r="O110" s="6"/>
      <c r="P110" s="6"/>
    </row>
    <row r="111" spans="2:16" ht="16.5" customHeight="1">
      <c r="B111" s="4"/>
      <c r="C111" s="7"/>
      <c r="D111" s="7"/>
      <c r="E111" s="7"/>
      <c r="F111" s="7"/>
      <c r="G111" s="7"/>
      <c r="H111" s="7"/>
      <c r="I111" s="7"/>
      <c r="J111" s="7"/>
      <c r="K111" s="1"/>
      <c r="L111" s="7"/>
      <c r="M111" s="10"/>
      <c r="N111" s="6"/>
      <c r="O111" s="6"/>
      <c r="P111" s="6"/>
    </row>
    <row r="112" spans="2:16" ht="15" customHeight="1">
      <c r="B112" s="6"/>
      <c r="C112" s="6"/>
      <c r="D112" s="6"/>
      <c r="E112" s="6"/>
      <c r="F112" s="6"/>
      <c r="G112" s="6"/>
      <c r="H112" s="6"/>
      <c r="I112" s="6"/>
      <c r="J112" s="6"/>
      <c r="L112" s="6"/>
      <c r="M112" s="6"/>
      <c r="N112" s="6"/>
      <c r="O112" s="6"/>
      <c r="P112" s="6"/>
    </row>
    <row r="113" spans="2:16" ht="15" customHeight="1">
      <c r="B113" s="14" t="s">
        <v>76</v>
      </c>
      <c r="C113" s="15"/>
      <c r="D113" s="15"/>
      <c r="E113" s="15"/>
      <c r="F113" s="15"/>
      <c r="G113" s="15"/>
      <c r="H113" s="15"/>
      <c r="I113" s="15"/>
      <c r="J113" s="15"/>
      <c r="K113" s="16"/>
      <c r="L113" s="16"/>
      <c r="M113" s="17"/>
      <c r="N113" s="6"/>
      <c r="O113" s="6"/>
      <c r="P113" s="6"/>
    </row>
    <row r="114" spans="2:16" ht="6.95" customHeight="1">
      <c r="B114" s="23"/>
      <c r="E114" s="8"/>
      <c r="F114" s="2"/>
      <c r="G114" s="22"/>
      <c r="H114" s="22"/>
      <c r="I114" s="95"/>
      <c r="J114" s="95"/>
      <c r="K114" s="8"/>
      <c r="L114" s="8"/>
      <c r="M114" s="9"/>
    </row>
    <row r="115" spans="2:16" ht="39.950000000000003" customHeight="1">
      <c r="B115" s="91" t="s">
        <v>79</v>
      </c>
      <c r="C115" s="92"/>
      <c r="D115" s="92"/>
      <c r="E115" s="92"/>
      <c r="F115" s="92"/>
      <c r="G115" s="92"/>
      <c r="H115" s="92"/>
      <c r="I115" s="92"/>
      <c r="J115" s="92"/>
      <c r="K115" s="92"/>
      <c r="L115" s="92"/>
      <c r="M115" s="93"/>
    </row>
    <row r="116" spans="2:16" ht="6.95" customHeight="1">
      <c r="B116" s="3"/>
      <c r="C116" s="8"/>
      <c r="D116" s="8"/>
      <c r="E116" s="8"/>
      <c r="F116" s="8"/>
      <c r="G116" s="8"/>
      <c r="H116" s="8"/>
      <c r="I116" s="5"/>
      <c r="J116" s="5"/>
      <c r="K116" s="8"/>
      <c r="L116" s="8"/>
      <c r="M116" s="9"/>
    </row>
    <row r="117" spans="2:16" ht="80.099999999999994" customHeight="1">
      <c r="B117" s="86" t="s">
        <v>66</v>
      </c>
      <c r="C117" s="87"/>
      <c r="D117" s="88"/>
      <c r="E117" s="89"/>
      <c r="F117" s="89"/>
      <c r="G117" s="89"/>
      <c r="H117" s="89"/>
      <c r="I117" s="89"/>
      <c r="J117" s="89"/>
      <c r="K117" s="89"/>
      <c r="L117" s="89"/>
      <c r="M117" s="90"/>
    </row>
    <row r="118" spans="2:16" ht="6.95" customHeight="1">
      <c r="B118" s="4"/>
      <c r="C118" s="7"/>
      <c r="D118" s="7"/>
      <c r="E118" s="7"/>
      <c r="F118" s="7"/>
      <c r="G118" s="7"/>
      <c r="H118" s="7"/>
      <c r="I118" s="7"/>
      <c r="J118" s="7"/>
      <c r="K118" s="1"/>
      <c r="L118" s="7"/>
      <c r="M118" s="10"/>
    </row>
    <row r="120" spans="2:16" ht="15" customHeight="1">
      <c r="B120" s="14" t="s">
        <v>60</v>
      </c>
      <c r="C120" s="15"/>
      <c r="D120" s="15"/>
      <c r="E120" s="15"/>
      <c r="F120" s="15"/>
      <c r="G120" s="15"/>
      <c r="H120" s="15"/>
      <c r="I120" s="15"/>
      <c r="J120" s="15"/>
      <c r="K120" s="16"/>
      <c r="L120" s="16"/>
      <c r="M120" s="17"/>
    </row>
    <row r="121" spans="2:16" ht="6.95" customHeight="1">
      <c r="B121" s="23"/>
      <c r="E121" s="8"/>
      <c r="F121" s="2"/>
      <c r="G121" s="22"/>
      <c r="H121" s="22"/>
      <c r="I121" s="95"/>
      <c r="J121" s="95"/>
      <c r="K121" s="8"/>
      <c r="L121" s="8"/>
      <c r="M121" s="9"/>
    </row>
    <row r="122" spans="2:16" ht="39.950000000000003" customHeight="1">
      <c r="B122" s="91" t="s">
        <v>78</v>
      </c>
      <c r="C122" s="94"/>
      <c r="D122" s="94"/>
      <c r="E122" s="94"/>
      <c r="F122" s="94"/>
      <c r="G122" s="94"/>
      <c r="H122" s="94"/>
      <c r="I122" s="94"/>
      <c r="J122" s="94"/>
      <c r="K122" s="94"/>
      <c r="L122" s="94"/>
      <c r="M122" s="93"/>
    </row>
    <row r="123" spans="2:16" ht="6.95" customHeight="1">
      <c r="B123" s="3"/>
      <c r="C123" s="8"/>
      <c r="D123" s="8"/>
      <c r="E123" s="8"/>
      <c r="F123" s="8"/>
      <c r="G123" s="8"/>
      <c r="H123" s="8"/>
      <c r="I123" s="5"/>
      <c r="J123" s="5"/>
      <c r="K123" s="8"/>
      <c r="L123" s="8"/>
      <c r="M123" s="9"/>
    </row>
    <row r="124" spans="2:16" ht="80.099999999999994" customHeight="1">
      <c r="B124" s="86" t="s">
        <v>61</v>
      </c>
      <c r="C124" s="87"/>
      <c r="D124" s="88"/>
      <c r="E124" s="89"/>
      <c r="F124" s="89"/>
      <c r="G124" s="89"/>
      <c r="H124" s="89"/>
      <c r="I124" s="89"/>
      <c r="J124" s="89"/>
      <c r="K124" s="89"/>
      <c r="L124" s="89"/>
      <c r="M124" s="90"/>
    </row>
    <row r="125" spans="2:16" ht="6.95" customHeight="1">
      <c r="B125" s="4"/>
      <c r="C125" s="7"/>
      <c r="D125" s="7"/>
      <c r="E125" s="7"/>
      <c r="F125" s="7"/>
      <c r="G125" s="7"/>
      <c r="H125" s="7"/>
      <c r="I125" s="7"/>
      <c r="J125" s="7"/>
      <c r="K125" s="1"/>
      <c r="L125" s="7"/>
      <c r="M125" s="10"/>
    </row>
  </sheetData>
  <sheetProtection deleteColumns="0" deleteRows="0" selectLockedCells="1" sort="0" selectUnlockedCells="1"/>
  <mergeCells count="121">
    <mergeCell ref="B31:C31"/>
    <mergeCell ref="D31:E31"/>
    <mergeCell ref="F31:G31"/>
    <mergeCell ref="H31:I31"/>
    <mergeCell ref="J31:K31"/>
    <mergeCell ref="L31:M31"/>
    <mergeCell ref="B30:C30"/>
    <mergeCell ref="D30:E30"/>
    <mergeCell ref="F30:G30"/>
    <mergeCell ref="H30:I30"/>
    <mergeCell ref="J30:K30"/>
    <mergeCell ref="L30:M30"/>
    <mergeCell ref="B29:C29"/>
    <mergeCell ref="D29:E29"/>
    <mergeCell ref="F29:G29"/>
    <mergeCell ref="H29:I29"/>
    <mergeCell ref="J29:K29"/>
    <mergeCell ref="L29:M29"/>
    <mergeCell ref="I10:L10"/>
    <mergeCell ref="I11:L11"/>
    <mergeCell ref="C11:D11"/>
    <mergeCell ref="L22:M22"/>
    <mergeCell ref="L27:M27"/>
    <mergeCell ref="L26:M26"/>
    <mergeCell ref="H22:I22"/>
    <mergeCell ref="B21:C21"/>
    <mergeCell ref="B22:C22"/>
    <mergeCell ref="D21:E21"/>
    <mergeCell ref="D22:E22"/>
    <mergeCell ref="L21:M21"/>
    <mergeCell ref="H26:I26"/>
    <mergeCell ref="F24:G24"/>
    <mergeCell ref="B24:C24"/>
    <mergeCell ref="B25:C25"/>
    <mergeCell ref="H24:I24"/>
    <mergeCell ref="H25:I25"/>
    <mergeCell ref="D25:E25"/>
    <mergeCell ref="D27:E27"/>
    <mergeCell ref="D26:E26"/>
    <mergeCell ref="F25:G25"/>
    <mergeCell ref="D23:E23"/>
    <mergeCell ref="D24:E24"/>
    <mergeCell ref="B18:M18"/>
    <mergeCell ref="F21:G21"/>
    <mergeCell ref="F22:G22"/>
    <mergeCell ref="H21:I21"/>
    <mergeCell ref="B1:M1"/>
    <mergeCell ref="B2:M2"/>
    <mergeCell ref="B3:M3"/>
    <mergeCell ref="B16:M16"/>
    <mergeCell ref="D5:E5"/>
    <mergeCell ref="H5:I5"/>
    <mergeCell ref="I9:L9"/>
    <mergeCell ref="B23:C23"/>
    <mergeCell ref="H23:I23"/>
    <mergeCell ref="F23:G23"/>
    <mergeCell ref="J21:K21"/>
    <mergeCell ref="J22:K22"/>
    <mergeCell ref="J23:K23"/>
    <mergeCell ref="L23:M23"/>
    <mergeCell ref="D7:K7"/>
    <mergeCell ref="C9:F9"/>
    <mergeCell ref="C10:F10"/>
    <mergeCell ref="J27:K27"/>
    <mergeCell ref="F27:G27"/>
    <mergeCell ref="F26:G26"/>
    <mergeCell ref="L28:M28"/>
    <mergeCell ref="F28:G28"/>
    <mergeCell ref="H27:I27"/>
    <mergeCell ref="H28:I28"/>
    <mergeCell ref="F60:G60"/>
    <mergeCell ref="B55:M55"/>
    <mergeCell ref="E35:F35"/>
    <mergeCell ref="B45:D51"/>
    <mergeCell ref="E45:M51"/>
    <mergeCell ref="F58:G58"/>
    <mergeCell ref="H35:J35"/>
    <mergeCell ref="B35:C35"/>
    <mergeCell ref="H39:J39"/>
    <mergeCell ref="H38:J38"/>
    <mergeCell ref="H37:J37"/>
    <mergeCell ref="H36:J36"/>
    <mergeCell ref="B36:C36"/>
    <mergeCell ref="B37:C37"/>
    <mergeCell ref="B38:C38"/>
    <mergeCell ref="B39:C39"/>
    <mergeCell ref="D28:E28"/>
    <mergeCell ref="L25:M25"/>
    <mergeCell ref="J24:K24"/>
    <mergeCell ref="I114:J114"/>
    <mergeCell ref="B91:M91"/>
    <mergeCell ref="I57:J57"/>
    <mergeCell ref="I58:J58"/>
    <mergeCell ref="I59:J59"/>
    <mergeCell ref="I60:J60"/>
    <mergeCell ref="F59:G59"/>
    <mergeCell ref="I64:J64"/>
    <mergeCell ref="B65:M65"/>
    <mergeCell ref="I66:J66"/>
    <mergeCell ref="J28:K28"/>
    <mergeCell ref="J25:K25"/>
    <mergeCell ref="J26:K26"/>
    <mergeCell ref="L24:M24"/>
    <mergeCell ref="I103:L105"/>
    <mergeCell ref="I107:L108"/>
    <mergeCell ref="B27:C27"/>
    <mergeCell ref="B26:C26"/>
    <mergeCell ref="B28:C28"/>
    <mergeCell ref="L32:M32"/>
    <mergeCell ref="J32:K32"/>
    <mergeCell ref="H32:I32"/>
    <mergeCell ref="B124:C124"/>
    <mergeCell ref="D124:M124"/>
    <mergeCell ref="B86:C86"/>
    <mergeCell ref="D86:M86"/>
    <mergeCell ref="B115:M115"/>
    <mergeCell ref="B122:M122"/>
    <mergeCell ref="I121:J121"/>
    <mergeCell ref="B117:C117"/>
    <mergeCell ref="D117:M117"/>
    <mergeCell ref="I90:J90"/>
  </mergeCells>
  <phoneticPr fontId="0" type="noConversion"/>
  <pageMargins left="0.43" right="0.42" top="0.4" bottom="0.4" header="0.5" footer="0.5"/>
  <pageSetup scale="66" fitToHeight="2" orientation="portrait" r:id="rId1"/>
  <headerFooter alignWithMargins="0"/>
  <rowBreaks count="1" manualBreakCount="1">
    <brk id="61"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TRC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TRC Companies</dc:creator>
  <cp:lastModifiedBy>BF2</cp:lastModifiedBy>
  <cp:lastPrinted>2008-10-08T18:19:42Z</cp:lastPrinted>
  <dcterms:created xsi:type="dcterms:W3CDTF">2007-10-05T19:09:04Z</dcterms:created>
  <dcterms:modified xsi:type="dcterms:W3CDTF">2009-11-02T14:28:26Z</dcterms:modified>
</cp:coreProperties>
</file>