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60" windowWidth="9555" windowHeight="12120" tabRatio="759"/>
  </bookViews>
  <sheets>
    <sheet name="Instructions" sheetId="1" r:id="rId1"/>
    <sheet name="Information Release" sheetId="8" r:id="rId2"/>
    <sheet name="1. Basic Info" sheetId="2" r:id="rId3"/>
    <sheet name="2. System Complexity" sheetId="4" r:id="rId4"/>
    <sheet name="3. CLINs Requested" sheetId="12" r:id="rId5"/>
    <sheet name="4. Places of Performance" sheetId="3" r:id="rId6"/>
    <sheet name="5. System Information" sheetId="7" r:id="rId7"/>
    <sheet name="Lookups" sheetId="5" state="hidden" r:id="rId8"/>
  </sheets>
  <definedNames>
    <definedName name="accessMethods">Lookups!$N$2:$N$4</definedName>
    <definedName name="clinsYesNo">Lookups!$A$8:$A$9</definedName>
    <definedName name="elapsedTime">Lookups!$A$2:$A$4</definedName>
    <definedName name="fips199Categorization">Lookups!$O$2:$O$4</definedName>
    <definedName name="fouoLookup">Lookups!#REF!</definedName>
    <definedName name="fouoSelector">Lookups!#REF!</definedName>
    <definedName name="numberAppsDBs">Lookups!$D$13:$D$15</definedName>
    <definedName name="numberDomainsZones">Lookups!$I$2:$I$4</definedName>
    <definedName name="numberInterconnections">Lookups!$L$2:$L$4</definedName>
    <definedName name="numberNetworkedDevices">Lookups!$G$2:$G$4</definedName>
    <definedName name="numberPrivilegedUsers">Lookups!$D$2:$D$4</definedName>
    <definedName name="numberPrivilegedUserTypes">Lookups!$E$2:$E$4</definedName>
    <definedName name="numberSecurityBoundaries">Lookups!$K$2:$K$4</definedName>
    <definedName name="numberSecurityComponents">Lookups!$H$2:$H$4</definedName>
    <definedName name="numberTechnologies">Lookups!$J$2:$J$4</definedName>
    <definedName name="numberTypesTraining">Lookups!$F$2:$F$4</definedName>
    <definedName name="numberUsers">Lookups!$C$2:$C$4</definedName>
    <definedName name="otherReleaseStatement">'Information Release'!$B$4</definedName>
    <definedName name="physicalNumberProximity">Lookups!$B$2:$B$4</definedName>
    <definedName name="_xlnm.Print_Area" localSheetId="2">'1. Basic Info'!$A$1:$D$24</definedName>
    <definedName name="_xlnm.Print_Area" localSheetId="3">'2. System Complexity'!$A$1:$B$38</definedName>
    <definedName name="_xlnm.Print_Area" localSheetId="6">'5. System Information'!$A$1:$A$12</definedName>
    <definedName name="_xlnm.Print_Area" localSheetId="1">'Information Release'!$A$1:$F$4</definedName>
    <definedName name="_xlnm.Print_Area" localSheetId="0">Instructions!$A$1:$J$11</definedName>
    <definedName name="_xlnm.Print_Area" localSheetId="7">Lookups!$A$1:$O$15</definedName>
    <definedName name="releaseStatement">Lookups!$A$13:$A$15</definedName>
    <definedName name="selectedReleaseStatement">'Information Release'!$B$3</definedName>
    <definedName name="userConnectMethods">Lookups!$M$2:$M$4</definedName>
    <definedName name="yesNo">Lookups!$B$13:$B$14</definedName>
  </definedNames>
  <calcPr calcId="125725"/>
</workbook>
</file>

<file path=xl/calcChain.xml><?xml version="1.0" encoding="utf-8"?>
<calcChain xmlns="http://schemas.openxmlformats.org/spreadsheetml/2006/main">
  <c r="D10" i="1"/>
  <c r="D11"/>
  <c r="C7" i="4"/>
  <c r="C9"/>
  <c r="C19"/>
  <c r="C20"/>
  <c r="C21"/>
  <c r="C22"/>
  <c r="C24"/>
  <c r="C25"/>
  <c r="C26"/>
  <c r="C27"/>
  <c r="C28"/>
  <c r="C30"/>
  <c r="C31"/>
  <c r="C32"/>
  <c r="C33"/>
  <c r="C35"/>
  <c r="B37" s="1"/>
  <c r="B38" s="1"/>
</calcChain>
</file>

<file path=xl/comments1.xml><?xml version="1.0" encoding="utf-8"?>
<comments xmlns="http://schemas.openxmlformats.org/spreadsheetml/2006/main">
  <authors>
    <author>WendyESellers</author>
    <author>Author</author>
  </authors>
  <commentList>
    <comment ref="C2" authorId="0">
      <text>
        <r>
          <rPr>
            <sz val="10"/>
            <color indexed="81"/>
            <rFont val="Tahoma"/>
          </rPr>
          <t xml:space="preserve">Auto-populated from System Complexity Worksheet
</t>
        </r>
      </text>
    </comment>
    <comment ref="A66" authorId="1">
      <text>
        <r>
          <rPr>
            <b/>
            <sz val="8"/>
            <color indexed="81"/>
            <rFont val="Tahoma"/>
            <family val="2"/>
          </rPr>
          <t>Author:</t>
        </r>
        <r>
          <rPr>
            <sz val="8"/>
            <color indexed="81"/>
            <rFont val="Tahoma"/>
            <family val="2"/>
          </rPr>
          <t xml:space="preserve">
Split this into multiple items along the lines of the SOW?  So, there would be 3 pieces:  CM, Sec. Ctrl. Mon.; Status Reporting</t>
        </r>
      </text>
    </comment>
  </commentList>
</comments>
</file>

<file path=xl/sharedStrings.xml><?xml version="1.0" encoding="utf-8"?>
<sst xmlns="http://schemas.openxmlformats.org/spreadsheetml/2006/main" count="305" uniqueCount="285">
  <si>
    <t>Requestor Information</t>
  </si>
  <si>
    <t>Name</t>
  </si>
  <si>
    <t>Mailing Address</t>
  </si>
  <si>
    <t>Physical Address</t>
  </si>
  <si>
    <t>Phone</t>
  </si>
  <si>
    <t>Email</t>
  </si>
  <si>
    <t>Key Contacts</t>
  </si>
  <si>
    <t>Primary POC</t>
  </si>
  <si>
    <t>Secondary POC</t>
  </si>
  <si>
    <t>Designated Accrediting Authority</t>
  </si>
  <si>
    <t>Certifying Authority</t>
  </si>
  <si>
    <t>Information System Security Officer</t>
  </si>
  <si>
    <t>Information System Security Manager</t>
  </si>
  <si>
    <t>Chief Information Security Officer</t>
  </si>
  <si>
    <t>Program Manager</t>
  </si>
  <si>
    <t>Contracting Officer's Technical Representative</t>
  </si>
  <si>
    <t>Information Owner</t>
  </si>
  <si>
    <t>Information Owner POC</t>
  </si>
  <si>
    <t>Location</t>
  </si>
  <si>
    <t>City</t>
  </si>
  <si>
    <t>State/Country</t>
  </si>
  <si>
    <t>System Complexity Questionnaire</t>
  </si>
  <si>
    <t>Question</t>
  </si>
  <si>
    <t>What is the name of the system?</t>
  </si>
  <si>
    <t>Please list any commonly-used acronyms for the system:</t>
  </si>
  <si>
    <t>What is the system's ID number as reported to OMB for FISMA purposes?</t>
  </si>
  <si>
    <t>Documentation</t>
  </si>
  <si>
    <t>Is the system currently accredited?</t>
  </si>
  <si>
    <t>If yes to the question above, what is the accreditation type?</t>
  </si>
  <si>
    <t>How much time has elapsed since the last update of significant system documentation and/or system boundary descriptions?</t>
  </si>
  <si>
    <t>System Physical Location</t>
  </si>
  <si>
    <t>What is the primary system location (city, state/country)?</t>
  </si>
  <si>
    <t>Is travel required to this location?</t>
  </si>
  <si>
    <t>Is there a backup system?</t>
  </si>
  <si>
    <t>If yes, where is it located (city, state/country)?</t>
  </si>
  <si>
    <t>Is there a remote site for management or other system-related purposes?</t>
  </si>
  <si>
    <t>If yes, is travel required to this location?</t>
  </si>
  <si>
    <t>User Information</t>
  </si>
  <si>
    <t>What is the estimated number of authorized users?</t>
  </si>
  <si>
    <t>What is the estimated number of privileged users?</t>
  </si>
  <si>
    <t>How many types of training are provided (e.g. for unprivileged users, for system operators, for helpdesk staff, etc.)?</t>
  </si>
  <si>
    <t>How many networked host devices are within the system boundary, including servers and workstations (desktops and laptops), but not including specialized security devices (firewalls, IDS, etc.)?</t>
  </si>
  <si>
    <t>How many specialized security components are there?</t>
  </si>
  <si>
    <t xml:space="preserve">How many defined system domains/zones are there (e.g. virtual, logical, or physical system partitions)? </t>
  </si>
  <si>
    <t>External Connectivity</t>
  </si>
  <si>
    <t>How many security boundaries are there?</t>
  </si>
  <si>
    <t>How many interconnections are there with external systems?</t>
  </si>
  <si>
    <t>How do users connect (including broadband and wireless)?</t>
  </si>
  <si>
    <t>System Security Categorization</t>
  </si>
  <si>
    <t>What is the FIPS-199 security categorization of the system?</t>
  </si>
  <si>
    <t>System Information</t>
  </si>
  <si>
    <t>Places of Performance</t>
  </si>
  <si>
    <t>Result</t>
  </si>
  <si>
    <t>System Complexity Rating</t>
  </si>
  <si>
    <t>elapsedTime</t>
  </si>
  <si>
    <t>physicalNumberProximity</t>
  </si>
  <si>
    <t>numberUsers</t>
  </si>
  <si>
    <t>numberPrivilegedUsers</t>
  </si>
  <si>
    <t>numberPrivilegedUserTypes</t>
  </si>
  <si>
    <t>numberTypesTraining</t>
  </si>
  <si>
    <t>numberNetworkedDevices</t>
  </si>
  <si>
    <t>numberSecurityComponents</t>
  </si>
  <si>
    <t>numberDomainsZones</t>
  </si>
  <si>
    <t>numberSecurityBoundaries</t>
  </si>
  <si>
    <t>numberInterconnections</t>
  </si>
  <si>
    <t>userConnectMethods</t>
  </si>
  <si>
    <t>accessMethods</t>
  </si>
  <si>
    <t>6-12 months</t>
  </si>
  <si>
    <t>&lt;6 months</t>
  </si>
  <si>
    <t>&gt;12 months</t>
  </si>
  <si>
    <t>101-250</t>
  </si>
  <si>
    <t>250+</t>
  </si>
  <si>
    <t>25-75</t>
  </si>
  <si>
    <t>&gt;75</t>
  </si>
  <si>
    <t>0-5</t>
  </si>
  <si>
    <t>&gt;15</t>
  </si>
  <si>
    <t>6-15</t>
  </si>
  <si>
    <t>&lt;3</t>
  </si>
  <si>
    <t>3-5</t>
  </si>
  <si>
    <t>&gt;5</t>
  </si>
  <si>
    <t>&lt;5</t>
  </si>
  <si>
    <t>5-25</t>
  </si>
  <si>
    <t>&gt;25</t>
  </si>
  <si>
    <t>1</t>
  </si>
  <si>
    <t>2-3</t>
  </si>
  <si>
    <t>&gt;3</t>
  </si>
  <si>
    <t>LAN and Internet</t>
  </si>
  <si>
    <t>VPN or Private Network</t>
  </si>
  <si>
    <t>fips199Categorization</t>
  </si>
  <si>
    <t>Low</t>
  </si>
  <si>
    <t>Moderate</t>
  </si>
  <si>
    <t>High</t>
  </si>
  <si>
    <t>Score for Calculation</t>
  </si>
  <si>
    <t>LAN Only</t>
  </si>
  <si>
    <t>System Security Plan Analysis</t>
  </si>
  <si>
    <t>Security Control Assessment</t>
  </si>
  <si>
    <t>CLINs Requested Sheet</t>
  </si>
  <si>
    <t>clinsYesNo</t>
  </si>
  <si>
    <t>Yes</t>
  </si>
  <si>
    <t>No</t>
  </si>
  <si>
    <t>Relevance to Assessment Effort</t>
  </si>
  <si>
    <t>Please provide a description of the system.</t>
  </si>
  <si>
    <t>Please describe the system boundaries.</t>
  </si>
  <si>
    <t>Publicly Releasable</t>
  </si>
  <si>
    <t>For Official Use Only</t>
  </si>
  <si>
    <t>Other</t>
  </si>
  <si>
    <t>If the document release statement is "Other", please enter the release statement that applies:</t>
  </si>
  <si>
    <t>Release Statement</t>
  </si>
  <si>
    <t>Basic Information</t>
  </si>
  <si>
    <t>Information Release Statement</t>
  </si>
  <si>
    <t>Response (Cells shaded in blue are required)</t>
  </si>
  <si>
    <t>Please select the information release statement that applies to this request form:</t>
  </si>
  <si>
    <t>Please identify and describe any service contracts or other agreements with external entities with regard to operation of the system.</t>
  </si>
  <si>
    <t>Please identify and describe any interconnections in use.</t>
  </si>
  <si>
    <t>Please identify and describe the data being processed by the system using NIST SP800-60 categories.</t>
  </si>
  <si>
    <t>Document Releasability:</t>
  </si>
  <si>
    <t>1 location</t>
  </si>
  <si>
    <t>2-4 locations</t>
  </si>
  <si>
    <t>5+ locations</t>
  </si>
  <si>
    <t>What is the estimated number of roles/account types?</t>
  </si>
  <si>
    <t>yesNo</t>
  </si>
  <si>
    <t>1-5</t>
  </si>
  <si>
    <t>1-25</t>
  </si>
  <si>
    <t>1-100</t>
  </si>
  <si>
    <t>Infrastructure &amp; Application(s)</t>
  </si>
  <si>
    <t>numberTechnologies</t>
  </si>
  <si>
    <t>6-7</t>
  </si>
  <si>
    <t>8+</t>
  </si>
  <si>
    <t>numberAppsDBs</t>
  </si>
  <si>
    <t>1-3</t>
  </si>
  <si>
    <t>4-5</t>
  </si>
  <si>
    <t>6+</t>
  </si>
  <si>
    <t>What type of interface is provided?</t>
  </si>
  <si>
    <t>Only one interface (whether public or private)</t>
  </si>
  <si>
    <t>Both public and private interfaces, provided through a single enclave</t>
  </si>
  <si>
    <t>Both a public interface and a private interface, provided through separate enclaves</t>
  </si>
  <si>
    <t>What is the number of physical computing locations that are included in the system boundary?</t>
  </si>
  <si>
    <t>50-149</t>
  </si>
  <si>
    <t>1-49</t>
  </si>
  <si>
    <t>150+</t>
  </si>
  <si>
    <t>How many different technologies are used in the infrastructure and application(s) (e.g. Citrix, Java, .Net, Mainframe, RACF, DB2, Oracle, LDAP, Windows, Linux, Apache, IIS, etc.)?</t>
  </si>
  <si>
    <t>How many applications and databases are parts of the system?</t>
  </si>
  <si>
    <r>
      <t xml:space="preserve">Instructions for Requestors:  </t>
    </r>
    <r>
      <rPr>
        <sz val="10"/>
        <color theme="1"/>
        <rFont val="Arial"/>
        <family val="2"/>
      </rPr>
      <t>Please complete all tabs of this spreadsheet.  This will provide vendors with an adequate understanding of the system to be assessed and the level of effort required to do so.</t>
    </r>
  </si>
  <si>
    <r>
      <t>Instructions for Vendors:</t>
    </r>
    <r>
      <rPr>
        <sz val="10"/>
        <color theme="1"/>
        <rFont val="Arial"/>
        <family val="2"/>
      </rPr>
      <t xml:space="preserve">  This form will be completed by the requesting organization.  It is meant to provide adequate information about the system and assessment so that a correct understanding of complexity and level of effort can be obtained for bid, negotiation, and work planning purposes.  </t>
    </r>
    <r>
      <rPr>
        <b/>
        <sz val="10"/>
        <color indexed="8"/>
        <rFont val="Arial"/>
        <family val="2"/>
      </rPr>
      <t>This form is for informational purposes only and does not require a response.</t>
    </r>
  </si>
  <si>
    <t>Security Information</t>
  </si>
  <si>
    <t>What are the personnel security requirements (e.g. security clearances, investigations, suitability checks) that the vendor must meet?</t>
  </si>
  <si>
    <t>What are the physical security requirements (e.g. facility access, badging, physical protection of assessment materials) that the vendor must meet?</t>
  </si>
  <si>
    <t>What are the information security requirements (e.g. system access rules or requests, protection of system and assessment information) the vendor must meet?</t>
  </si>
  <si>
    <t>Please describe any other security issues that the vendor should be aware of, if any.</t>
  </si>
  <si>
    <t>Initial Risk Assessment Documentation</t>
  </si>
  <si>
    <t>Deliverable</t>
  </si>
  <si>
    <t>Pre-C&amp;A Review &amp; Validation</t>
  </si>
  <si>
    <t>Pre-C&amp;A documentation review and size/complexity confirmation per FIPS 199 &amp; 200 (boundary &amp; scope validation).  Includes review of system design documentation, security plans, and COOP/Disaster Recovery Plans.</t>
  </si>
  <si>
    <t>RMF Step 1:  Categorize Information System (SOW Section 3.1)</t>
  </si>
  <si>
    <t>FIPS 199 Security Categorization</t>
  </si>
  <si>
    <t>Threat Assessment</t>
  </si>
  <si>
    <t>System Definition Document</t>
  </si>
  <si>
    <t>Information System Registration</t>
  </si>
  <si>
    <t>RMF Step 2:  Select Security Controls (SOW Section 3.2)</t>
  </si>
  <si>
    <t>Security Control Selection Documentation</t>
  </si>
  <si>
    <t>Monitoring Strategy</t>
  </si>
  <si>
    <t>Security Plan Approval Recommendation</t>
  </si>
  <si>
    <t>RMF Step 3:  Implement Security Controls (SOW Section 3.3)</t>
  </si>
  <si>
    <t>System Security Plan</t>
  </si>
  <si>
    <t>RMF Step 4:  Assess Security Controls (SOW Section 3.4)</t>
  </si>
  <si>
    <t>Security Assessment Plan</t>
  </si>
  <si>
    <t>Rules of Engagement</t>
  </si>
  <si>
    <t>Securty Categorization Review</t>
  </si>
  <si>
    <t>Security Assessment Report</t>
  </si>
  <si>
    <t>Vulnerability Assessment</t>
  </si>
  <si>
    <t>RMF Step 5:  Authorize Information System (SOW Section 3.5)</t>
  </si>
  <si>
    <t>Plan of Action and Milestones</t>
  </si>
  <si>
    <t>Security Authorization Package</t>
  </si>
  <si>
    <t>Residual Risk Statement</t>
  </si>
  <si>
    <t>Risk Acceptance Recommendation</t>
  </si>
  <si>
    <t>RMF Step 6:  Monitor Security Controls (SOW Section 3.6)</t>
  </si>
  <si>
    <t>Impact Assessment</t>
  </si>
  <si>
    <t>Selected Security Control Assessment</t>
  </si>
  <si>
    <t>Updated Security Assessment Report</t>
  </si>
  <si>
    <t>Updated System Security Plan</t>
  </si>
  <si>
    <t>Updated Plan of Action &amp; Milestones</t>
  </si>
  <si>
    <t>Updated Residual Risk Statement</t>
  </si>
  <si>
    <t>Updated Risk Acceptance Recommendation</t>
  </si>
  <si>
    <t>E-Authentication Assessment Documentation</t>
  </si>
  <si>
    <t>Issue Resolution Report</t>
  </si>
  <si>
    <t>Incident Response Plan and Procedures</t>
  </si>
  <si>
    <t>Implementation Status Report</t>
  </si>
  <si>
    <t>Implemented Controls</t>
  </si>
  <si>
    <t>Remediation Actions</t>
  </si>
  <si>
    <t>Remediation Status Report</t>
  </si>
  <si>
    <t>Updated Issue Resolution Report</t>
  </si>
  <si>
    <t>Updated Remediation Status Report</t>
  </si>
  <si>
    <t>Version 18</t>
  </si>
  <si>
    <t>Updated Risk Assessment Documentation</t>
  </si>
  <si>
    <t>047</t>
  </si>
  <si>
    <t>048</t>
  </si>
  <si>
    <t>049</t>
  </si>
  <si>
    <t>050</t>
  </si>
  <si>
    <t>051</t>
  </si>
  <si>
    <t>052</t>
  </si>
  <si>
    <t>053</t>
  </si>
  <si>
    <t>RFQ # QTA-0-10-FK-B-0001</t>
  </si>
  <si>
    <t>001</t>
  </si>
  <si>
    <t>002</t>
  </si>
  <si>
    <t>003</t>
  </si>
  <si>
    <t>004</t>
  </si>
  <si>
    <t>005</t>
  </si>
  <si>
    <t>006</t>
  </si>
  <si>
    <t>007</t>
  </si>
  <si>
    <t>008</t>
  </si>
  <si>
    <t>009</t>
  </si>
  <si>
    <t>010</t>
  </si>
  <si>
    <t>011</t>
  </si>
  <si>
    <t>012</t>
  </si>
  <si>
    <t>Updated Security Control Selection Documentation</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</si>
  <si>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</si>
  <si>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</si>
  <si>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</si>
  <si>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</si>
  <si>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</si>
  <si>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</si>
  <si>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</si>
  <si>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</si>
  <si>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</si>
  <si>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</si>
  <si>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</si>
  <si>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</si>
  <si>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</si>
  <si>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</si>
  <si>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</si>
  <si>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</si>
  <si>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</si>
  <si>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</si>
  <si>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</si>
  <si>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</si>
  <si>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</si>
  <si>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</si>
  <si>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</si>
  <si>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</si>
  <si>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</si>
  <si>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</si>
  <si>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</si>
  <si>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</si>
  <si>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</si>
  <si>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</si>
  <si>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Daily Status Reports and Documentation</t>
  </si>
  <si>
    <t>043</t>
  </si>
  <si>
    <t>Weekly Status Reports and Documentation</t>
  </si>
  <si>
    <t>044</t>
  </si>
  <si>
    <t>Monthly Status Reports and Documentation</t>
  </si>
  <si>
    <t>045</t>
  </si>
  <si>
    <t>046</t>
  </si>
  <si>
    <t>Contingency Plan Documentation Development (Business Impact Analysis and Contingency Plan)</t>
  </si>
  <si>
    <t>Continuous Monitoring (Change Management Documentation with Risk Analysis, Security Assessment, Continuous Monitoring Test Plan, Assessment Report, Issue Resolution Report, Continuous Monitoring Report, Plan of Action &amp; Milestones, Updated System Security Plan)</t>
  </si>
  <si>
    <r>
      <t xml:space="preserve">Privacy Impact Assessment (PIA)  (Privacy Threshold Analysis and Privacy Impact Assessment </t>
    </r>
    <r>
      <rPr>
        <i/>
        <sz val="10"/>
        <rFont val="Arial"/>
        <family val="2"/>
      </rPr>
      <t>(if applicable)</t>
    </r>
    <r>
      <rPr>
        <sz val="10"/>
        <rFont val="Arial"/>
        <family val="2"/>
      </rPr>
      <t>)</t>
    </r>
  </si>
  <si>
    <t>Memorandums of Understanding and Interconnection Security Agreements</t>
  </si>
  <si>
    <t>Information System Removal and Decommissioning  (Decommissioning Plan, Tracking and Management System Information, Decommissioning Security Status Report, Impact Assessment Report)</t>
  </si>
  <si>
    <t>TOTAL</t>
  </si>
  <si>
    <t>Travel and ODC</t>
  </si>
  <si>
    <t xml:space="preserve"> Travel:  In accordance with Federal Travel Regulations </t>
  </si>
  <si>
    <t>Requested</t>
  </si>
  <si>
    <t>Other Security Services: Initial Risk Assessment  (SOW Section 4.1)</t>
  </si>
  <si>
    <t>Other Security Services: Contingency Plan Documentation Development (SOW Section 4.2)</t>
  </si>
  <si>
    <t>Other Security Services: Continuous Monitoring (SOW Section 4.3)</t>
  </si>
  <si>
    <t>Other Security Services: Privacy Impact Assessment (PIA) (SOW Section 4.4)</t>
  </si>
  <si>
    <t>Other Security Services: E-Authentication Risk Assessment (SOW Section 4.5)</t>
  </si>
  <si>
    <t>Other Security Services: Memorandums of Understand and Interconnection Security Agreements (SOW Section 4.6)</t>
  </si>
  <si>
    <t>Other Security Services:  Information System Removal and Decommissioning (SOW Section 4.7)</t>
  </si>
  <si>
    <t>Other Security Services:  Incident Response Plan and Procedures (SOW Section 4.8)</t>
  </si>
  <si>
    <t>Other Security Services:  Updated Risk Assessment (SOW Section 4.9)</t>
  </si>
  <si>
    <t>Other Security Services:  Briefings (SOW Section 4.10)</t>
  </si>
  <si>
    <t>Briefing Slides</t>
  </si>
  <si>
    <t>In-Person Briefing</t>
  </si>
  <si>
    <t>Telephone/Web Conference Briefing</t>
  </si>
  <si>
    <t>Briefing (slides and meeting support)</t>
  </si>
  <si>
    <t>054</t>
  </si>
  <si>
    <t>055</t>
  </si>
  <si>
    <t>056</t>
  </si>
  <si>
    <t>057</t>
  </si>
  <si>
    <t>058</t>
  </si>
  <si>
    <t>Appendix I - CLINS Requested</t>
  </si>
  <si>
    <t xml:space="preserve"> </t>
  </si>
  <si>
    <t>CLIN#</t>
  </si>
  <si>
    <t>This form is used to request security assessment services through the ISSLOB RMF Services BPA.  The sheet requests information that will be used by interested vendors to generate quotes and to calculate any discounts that may be available given unique characteristics of the system.</t>
  </si>
  <si>
    <t>Risk Management Framework Security Assessment Services Request Form</t>
  </si>
</sst>
</file>

<file path=xl/styles.xml><?xml version="1.0" encoding="utf-8"?>
<styleSheet xmlns="http://schemas.openxmlformats.org/spreadsheetml/2006/main">
  <numFmts count="1">
    <numFmt numFmtId="164" formatCode="0.0"/>
  </numFmts>
  <fonts count="12">
    <font>
      <sz val="10"/>
      <color theme="1"/>
      <name val="Arial"/>
      <family val="2"/>
    </font>
    <font>
      <b/>
      <sz val="10"/>
      <name val="Arial"/>
      <family val="2"/>
    </font>
    <font>
      <sz val="10"/>
      <name val="Arial"/>
      <family val="2"/>
    </font>
    <font>
      <b/>
      <sz val="10"/>
      <color indexed="8"/>
      <name val="Arial"/>
      <family val="2"/>
    </font>
    <font>
      <b/>
      <sz val="10"/>
      <color indexed="8"/>
      <name val="Arial"/>
      <family val="2"/>
    </font>
    <font>
      <b/>
      <sz val="10"/>
      <color indexed="10"/>
      <name val="Arial"/>
      <family val="2"/>
    </font>
    <font>
      <sz val="8"/>
      <name val="Arial"/>
      <family val="2"/>
    </font>
    <font>
      <b/>
      <sz val="11"/>
      <name val="Arial"/>
      <family val="2"/>
    </font>
    <font>
      <i/>
      <sz val="10"/>
      <name val="Arial"/>
      <family val="2"/>
    </font>
    <font>
      <b/>
      <sz val="8"/>
      <color indexed="81"/>
      <name val="Tahoma"/>
      <family val="2"/>
    </font>
    <font>
      <sz val="8"/>
      <color indexed="81"/>
      <name val="Tahoma"/>
      <family val="2"/>
    </font>
    <font>
      <sz val="10"/>
      <color indexed="81"/>
      <name val="Tahoma"/>
    </font>
  </fonts>
  <fills count="12">
    <fill>
      <patternFill patternType="none"/>
    </fill>
    <fill>
      <patternFill patternType="gray125"/>
    </fill>
    <fill>
      <patternFill patternType="solid">
        <fgColor indexed="55"/>
        <bgColor indexed="64"/>
      </patternFill>
    </fill>
    <fill>
      <patternFill patternType="solid">
        <fgColor indexed="9"/>
        <bgColor indexed="64"/>
      </patternFill>
    </fill>
    <fill>
      <patternFill patternType="solid">
        <fgColor indexed="22"/>
        <bgColor indexed="64"/>
      </patternFill>
    </fill>
    <fill>
      <patternFill patternType="solid">
        <fgColor indexed="31"/>
        <bgColor indexed="64"/>
      </patternFill>
    </fill>
    <fill>
      <patternFill patternType="solid">
        <fgColor indexed="13"/>
        <bgColor indexed="64"/>
      </patternFill>
    </fill>
    <fill>
      <patternFill patternType="solid">
        <fgColor indexed="43"/>
        <bgColor indexed="64"/>
      </patternFill>
    </fill>
    <fill>
      <patternFill patternType="solid">
        <fgColor indexed="40"/>
        <bgColor indexed="64"/>
      </patternFill>
    </fill>
    <fill>
      <patternFill patternType="solid">
        <fgColor indexed="42"/>
        <bgColor indexed="64"/>
      </patternFill>
    </fill>
    <fill>
      <patternFill patternType="solid">
        <fgColor indexed="9"/>
        <bgColor indexed="8"/>
      </patternFill>
    </fill>
    <fill>
      <patternFill patternType="solid">
        <fgColor indexed="2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6">
    <xf numFmtId="0" fontId="0" fillId="0" borderId="0" xfId="0"/>
    <xf numFmtId="0" fontId="0" fillId="0" borderId="0" xfId="0" applyFont="1" applyAlignment="1">
      <alignment horizontal="right"/>
    </xf>
    <xf numFmtId="0" fontId="4" fillId="2" borderId="0" xfId="0" applyFont="1" applyFill="1" applyAlignment="1">
      <alignment horizontal="right"/>
    </xf>
    <xf numFmtId="0" fontId="4" fillId="2" borderId="0" xfId="0" applyFont="1" applyFill="1"/>
    <xf numFmtId="0" fontId="0" fillId="2" borderId="0" xfId="0" applyFill="1"/>
    <xf numFmtId="0" fontId="0" fillId="0" borderId="0" xfId="0" applyFill="1"/>
    <xf numFmtId="0" fontId="0" fillId="0" borderId="0" xfId="0" applyAlignment="1">
      <alignment horizontal="right" wrapText="1"/>
    </xf>
    <xf numFmtId="0" fontId="0" fillId="0" borderId="0" xfId="0" applyFill="1" applyAlignment="1">
      <alignment horizontal="right" wrapText="1"/>
    </xf>
    <xf numFmtId="0" fontId="0" fillId="3" borderId="0" xfId="0" applyFont="1" applyFill="1" applyAlignment="1">
      <alignment horizontal="right"/>
    </xf>
    <xf numFmtId="0" fontId="0" fillId="4" borderId="0" xfId="0" applyFont="1" applyFill="1" applyAlignment="1">
      <alignment horizontal="right"/>
    </xf>
    <xf numFmtId="49" fontId="0" fillId="0" borderId="0" xfId="0" applyNumberFormat="1" applyAlignment="1">
      <alignment wrapText="1"/>
    </xf>
    <xf numFmtId="49" fontId="4" fillId="0" borderId="0" xfId="0" applyNumberFormat="1" applyFont="1" applyAlignment="1">
      <alignment wrapText="1"/>
    </xf>
    <xf numFmtId="0" fontId="4" fillId="2" borderId="0" xfId="0" applyFont="1" applyFill="1" applyAlignment="1">
      <alignment wrapText="1"/>
    </xf>
    <xf numFmtId="49" fontId="2" fillId="0" borderId="0" xfId="0" applyNumberFormat="1" applyFont="1" applyBorder="1"/>
    <xf numFmtId="0" fontId="0" fillId="0" borderId="0" xfId="0" applyProtection="1">
      <protection locked="0"/>
    </xf>
    <xf numFmtId="0" fontId="0" fillId="3" borderId="0" xfId="0" applyFill="1" applyAlignment="1" applyProtection="1">
      <alignment wrapText="1"/>
      <protection locked="0"/>
    </xf>
    <xf numFmtId="0" fontId="0" fillId="4" borderId="0" xfId="0" applyFill="1" applyAlignment="1" applyProtection="1">
      <alignment wrapText="1"/>
      <protection locked="0"/>
    </xf>
    <xf numFmtId="0" fontId="4" fillId="2" borderId="0" xfId="0" applyFont="1" applyFill="1" applyAlignment="1">
      <alignment horizontal="right" wrapText="1"/>
    </xf>
    <xf numFmtId="0" fontId="4" fillId="2" borderId="0" xfId="0" applyFont="1" applyFill="1" applyAlignment="1">
      <alignment horizontal="left"/>
    </xf>
    <xf numFmtId="0" fontId="4" fillId="4" borderId="0" xfId="0" applyFont="1" applyFill="1" applyAlignment="1">
      <alignment horizontal="center" wrapText="1"/>
    </xf>
    <xf numFmtId="0" fontId="0" fillId="3" borderId="0" xfId="0" applyFill="1" applyProtection="1">
      <protection locked="0"/>
    </xf>
    <xf numFmtId="0" fontId="4" fillId="2" borderId="0" xfId="0" applyFont="1" applyFill="1" applyAlignment="1">
      <alignment horizontal="right" vertical="top" wrapText="1"/>
    </xf>
    <xf numFmtId="49" fontId="0" fillId="5" borderId="0" xfId="0" applyNumberFormat="1" applyFill="1" applyAlignment="1" applyProtection="1">
      <alignment wrapText="1"/>
      <protection locked="0"/>
    </xf>
    <xf numFmtId="49" fontId="0" fillId="0" borderId="0" xfId="0" applyNumberFormat="1" applyAlignment="1" applyProtection="1">
      <alignment wrapText="1"/>
      <protection locked="0"/>
    </xf>
    <xf numFmtId="0" fontId="4" fillId="2" borderId="0" xfId="0" applyFont="1" applyFill="1" applyAlignment="1" applyProtection="1">
      <alignment horizontal="left" wrapText="1"/>
    </xf>
    <xf numFmtId="0" fontId="0" fillId="2" borderId="0" xfId="0" applyFill="1" applyProtection="1"/>
    <xf numFmtId="0" fontId="0" fillId="0" borderId="0" xfId="0" applyProtection="1"/>
    <xf numFmtId="0" fontId="0" fillId="2" borderId="0" xfId="0" applyFill="1" applyAlignment="1" applyProtection="1">
      <alignment horizontal="left" wrapText="1"/>
    </xf>
    <xf numFmtId="0" fontId="4" fillId="2" borderId="0" xfId="0" applyFont="1" applyFill="1" applyProtection="1"/>
    <xf numFmtId="0" fontId="4" fillId="2" borderId="0" xfId="0" applyFont="1" applyFill="1" applyAlignment="1" applyProtection="1">
      <alignment horizontal="center" wrapText="1"/>
    </xf>
    <xf numFmtId="0" fontId="0" fillId="0" borderId="0" xfId="0" applyAlignment="1" applyProtection="1">
      <alignment horizontal="right" wrapText="1"/>
    </xf>
    <xf numFmtId="0" fontId="0" fillId="2" borderId="0" xfId="0" applyFill="1" applyAlignment="1" applyProtection="1">
      <alignment horizontal="right" wrapText="1"/>
    </xf>
    <xf numFmtId="0" fontId="4" fillId="2" borderId="0" xfId="0" applyFont="1" applyFill="1" applyAlignment="1" applyProtection="1">
      <alignment wrapText="1"/>
    </xf>
    <xf numFmtId="0" fontId="4" fillId="2" borderId="0" xfId="0" applyFont="1" applyFill="1" applyAlignment="1" applyProtection="1">
      <alignment horizontal="right" wrapText="1"/>
    </xf>
    <xf numFmtId="1" fontId="4" fillId="2" borderId="0" xfId="0" applyNumberFormat="1" applyFont="1" applyFill="1" applyAlignment="1" applyProtection="1">
      <alignment wrapText="1"/>
    </xf>
    <xf numFmtId="1" fontId="4" fillId="2" borderId="0" xfId="0" applyNumberFormat="1" applyFont="1" applyFill="1" applyAlignment="1" applyProtection="1">
      <alignment horizontal="right" wrapText="1"/>
    </xf>
    <xf numFmtId="49" fontId="0" fillId="0" borderId="0" xfId="0" applyNumberFormat="1" applyFill="1" applyAlignment="1" applyProtection="1">
      <alignment wrapText="1"/>
      <protection locked="0"/>
    </xf>
    <xf numFmtId="0" fontId="0" fillId="3" borderId="0" xfId="0" applyFill="1" applyAlignment="1">
      <alignment vertical="top" wrapText="1"/>
    </xf>
    <xf numFmtId="49" fontId="7" fillId="4" borderId="0" xfId="0" applyNumberFormat="1" applyFont="1" applyFill="1" applyBorder="1"/>
    <xf numFmtId="49" fontId="2" fillId="0" borderId="1" xfId="0" applyNumberFormat="1" applyFont="1" applyFill="1" applyBorder="1" applyAlignment="1">
      <alignment wrapText="1"/>
    </xf>
    <xf numFmtId="164" fontId="2" fillId="0" borderId="1" xfId="0" applyNumberFormat="1" applyFont="1" applyBorder="1" applyAlignment="1">
      <alignment wrapText="1"/>
    </xf>
    <xf numFmtId="49" fontId="2" fillId="0" borderId="1" xfId="0" applyNumberFormat="1" applyFont="1" applyBorder="1"/>
    <xf numFmtId="0" fontId="2" fillId="0" borderId="1" xfId="0" applyFont="1" applyBorder="1" applyAlignment="1">
      <alignment wrapText="1"/>
    </xf>
    <xf numFmtId="164" fontId="2" fillId="0" borderId="1" xfId="0" applyNumberFormat="1" applyFont="1" applyFill="1" applyBorder="1" applyAlignment="1">
      <alignment wrapText="1"/>
    </xf>
    <xf numFmtId="49" fontId="7" fillId="0" borderId="1" xfId="0" applyNumberFormat="1" applyFont="1" applyFill="1" applyBorder="1" applyAlignment="1">
      <alignment wrapText="1"/>
    </xf>
    <xf numFmtId="0" fontId="7" fillId="0" borderId="1" xfId="0" applyFont="1" applyBorder="1" applyAlignment="1">
      <alignment wrapText="1"/>
    </xf>
    <xf numFmtId="49" fontId="2" fillId="6" borderId="1" xfId="0" applyNumberFormat="1" applyFont="1" applyFill="1" applyBorder="1" applyAlignment="1">
      <alignment wrapText="1"/>
    </xf>
    <xf numFmtId="0" fontId="0" fillId="7" borderId="2" xfId="0" applyNumberFormat="1" applyFill="1" applyBorder="1"/>
    <xf numFmtId="0" fontId="2" fillId="8" borderId="1" xfId="0" applyNumberFormat="1" applyFont="1" applyFill="1" applyBorder="1"/>
    <xf numFmtId="0" fontId="2" fillId="7" borderId="1" xfId="0" applyNumberFormat="1" applyFont="1" applyFill="1" applyBorder="1"/>
    <xf numFmtId="0" fontId="0" fillId="9" borderId="1" xfId="0" applyNumberFormat="1" applyFill="1" applyBorder="1"/>
    <xf numFmtId="0" fontId="2" fillId="6" borderId="1" xfId="0" applyNumberFormat="1" applyFont="1" applyFill="1" applyBorder="1" applyAlignment="1" applyProtection="1">
      <alignment wrapText="1"/>
      <protection locked="0"/>
    </xf>
    <xf numFmtId="0" fontId="0" fillId="0" borderId="0" xfId="0" applyNumberFormat="1"/>
    <xf numFmtId="0" fontId="3" fillId="4" borderId="0" xfId="0" applyNumberFormat="1" applyFont="1" applyFill="1"/>
    <xf numFmtId="1" fontId="3" fillId="4" borderId="3" xfId="0" applyNumberFormat="1" applyFont="1" applyFill="1" applyBorder="1"/>
    <xf numFmtId="0" fontId="0" fillId="0" borderId="0" xfId="0" applyNumberFormat="1" applyFill="1"/>
    <xf numFmtId="49" fontId="2" fillId="0" borderId="1" xfId="0" applyNumberFormat="1" applyFont="1" applyFill="1" applyBorder="1" applyAlignment="1">
      <alignment horizontal="left" wrapText="1"/>
    </xf>
    <xf numFmtId="164" fontId="2" fillId="10" borderId="4" xfId="0" applyNumberFormat="1" applyFont="1" applyFill="1" applyBorder="1" applyAlignment="1">
      <alignment wrapText="1"/>
    </xf>
    <xf numFmtId="164" fontId="2" fillId="3" borderId="4" xfId="0" applyNumberFormat="1" applyFont="1" applyFill="1" applyBorder="1" applyAlignment="1">
      <alignment wrapText="1"/>
    </xf>
    <xf numFmtId="49" fontId="1" fillId="4" borderId="5" xfId="0" applyNumberFormat="1" applyFont="1" applyFill="1" applyBorder="1" applyAlignment="1">
      <alignment horizontal="center"/>
    </xf>
    <xf numFmtId="49" fontId="1" fillId="4" borderId="6" xfId="0" applyNumberFormat="1" applyFont="1" applyFill="1" applyBorder="1" applyAlignment="1">
      <alignment horizontal="center"/>
    </xf>
    <xf numFmtId="0" fontId="1" fillId="8" borderId="7" xfId="0" applyNumberFormat="1" applyFont="1" applyFill="1" applyBorder="1" applyAlignment="1">
      <alignment horizontal="center" wrapText="1"/>
    </xf>
    <xf numFmtId="0" fontId="0" fillId="3" borderId="0" xfId="0" applyFill="1" applyAlignment="1">
      <alignment vertical="top" wrapText="1"/>
    </xf>
    <xf numFmtId="0" fontId="4" fillId="11" borderId="0" xfId="0" applyFont="1" applyFill="1" applyAlignment="1">
      <alignment horizontal="right"/>
    </xf>
    <xf numFmtId="0" fontId="4" fillId="11" borderId="0" xfId="0" applyFont="1" applyFill="1" applyAlignment="1">
      <alignment horizontal="right" vertical="top"/>
    </xf>
    <xf numFmtId="0" fontId="4" fillId="11" borderId="0" xfId="0" applyNumberFormat="1" applyFont="1" applyFill="1" applyAlignment="1">
      <alignment wrapText="1"/>
    </xf>
    <xf numFmtId="0" fontId="4" fillId="11" borderId="0" xfId="0" applyNumberFormat="1" applyFont="1" applyFill="1" applyAlignment="1">
      <alignment vertical="top" wrapText="1"/>
    </xf>
    <xf numFmtId="0" fontId="4" fillId="3" borderId="0" xfId="0" applyFont="1" applyFill="1" applyAlignment="1">
      <alignment vertical="top" wrapText="1"/>
    </xf>
    <xf numFmtId="0" fontId="3" fillId="2" borderId="0" xfId="0" applyFont="1" applyFill="1" applyAlignment="1">
      <alignment wrapText="1"/>
    </xf>
    <xf numFmtId="0" fontId="4" fillId="2" borderId="0" xfId="0" applyFont="1" applyFill="1" applyAlignment="1">
      <alignment wrapText="1"/>
    </xf>
    <xf numFmtId="0" fontId="4" fillId="3" borderId="0" xfId="0" applyFont="1" applyFill="1" applyAlignment="1">
      <alignment wrapText="1"/>
    </xf>
    <xf numFmtId="49" fontId="0" fillId="3" borderId="0" xfId="0" applyNumberFormat="1" applyFill="1" applyAlignment="1" applyProtection="1">
      <alignment vertical="top" wrapText="1"/>
      <protection locked="0"/>
    </xf>
    <xf numFmtId="0" fontId="4" fillId="3" borderId="0" xfId="0" applyFont="1" applyFill="1" applyAlignment="1" applyProtection="1">
      <alignment wrapText="1"/>
      <protection locked="0"/>
    </xf>
    <xf numFmtId="0" fontId="4" fillId="2" borderId="0" xfId="0" applyFont="1" applyFill="1" applyAlignment="1">
      <alignment horizontal="left"/>
    </xf>
    <xf numFmtId="0" fontId="0" fillId="0" borderId="0" xfId="0" applyAlignment="1" applyProtection="1">
      <alignment wrapText="1"/>
      <protection locked="0"/>
    </xf>
    <xf numFmtId="0" fontId="0" fillId="0" borderId="0" xfId="0" applyFill="1" applyAlignment="1" applyProtection="1">
      <alignment wrapText="1"/>
      <protection locked="0"/>
    </xf>
    <xf numFmtId="0" fontId="4" fillId="2" borderId="0" xfId="0" applyFont="1" applyFill="1" applyAlignment="1" applyProtection="1">
      <alignment horizontal="center" wrapText="1"/>
    </xf>
    <xf numFmtId="0" fontId="4" fillId="0" borderId="0" xfId="0" applyFont="1" applyAlignment="1" applyProtection="1">
      <alignment horizontal="center" wrapText="1"/>
    </xf>
    <xf numFmtId="164" fontId="7" fillId="4" borderId="0" xfId="0" applyNumberFormat="1" applyFont="1" applyFill="1" applyBorder="1" applyAlignment="1">
      <alignment horizontal="left" wrapText="1"/>
    </xf>
    <xf numFmtId="164" fontId="1" fillId="7" borderId="2" xfId="0" applyNumberFormat="1" applyFont="1" applyFill="1" applyBorder="1" applyAlignment="1">
      <alignment horizontal="center" wrapText="1"/>
    </xf>
    <xf numFmtId="164" fontId="1" fillId="7" borderId="8" xfId="0" applyNumberFormat="1" applyFont="1" applyFill="1" applyBorder="1" applyAlignment="1">
      <alignment horizontal="center" wrapText="1"/>
    </xf>
    <xf numFmtId="164" fontId="1" fillId="7" borderId="9" xfId="0" applyNumberFormat="1" applyFont="1" applyFill="1" applyBorder="1" applyAlignment="1">
      <alignment horizontal="center" wrapText="1"/>
    </xf>
    <xf numFmtId="0" fontId="1" fillId="7" borderId="8" xfId="0" applyFont="1" applyFill="1" applyBorder="1" applyAlignment="1">
      <alignment horizontal="center" wrapText="1"/>
    </xf>
    <xf numFmtId="0" fontId="1" fillId="7" borderId="9" xfId="0" applyFont="1" applyFill="1" applyBorder="1" applyAlignment="1">
      <alignment horizontal="center" wrapText="1"/>
    </xf>
    <xf numFmtId="164" fontId="5" fillId="9" borderId="1" xfId="0" applyNumberFormat="1" applyFont="1" applyFill="1" applyBorder="1" applyAlignment="1">
      <alignment horizontal="center" wrapText="1"/>
    </xf>
    <xf numFmtId="49" fontId="5" fillId="0" borderId="0" xfId="0" applyNumberFormat="1" applyFont="1" applyFill="1" applyBorder="1" applyAlignment="1">
      <alignment horizontal="center" wrapText="1"/>
    </xf>
  </cellXfs>
  <cellStyles count="1">
    <cellStyle name="Normal" xfId="0" builtinId="0"/>
  </cellStyles>
  <dxfs count="3">
    <dxf>
      <font>
        <b/>
        <i val="0"/>
        <color theme="1"/>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pageSetUpPr fitToPage="1"/>
  </sheetPr>
  <dimension ref="A1:J27"/>
  <sheetViews>
    <sheetView tabSelected="1" zoomScaleNormal="100" workbookViewId="0">
      <selection activeCell="O8" sqref="O8"/>
    </sheetView>
  </sheetViews>
  <sheetFormatPr defaultRowHeight="12.75"/>
  <sheetData>
    <row r="1" spans="1:10">
      <c r="A1" s="68" t="s">
        <v>284</v>
      </c>
      <c r="B1" s="69"/>
      <c r="C1" s="69"/>
      <c r="D1" s="69"/>
      <c r="E1" s="69"/>
      <c r="F1" s="69"/>
      <c r="G1" s="69"/>
      <c r="H1" s="69"/>
      <c r="I1" s="69"/>
      <c r="J1" s="69"/>
    </row>
    <row r="2" spans="1:10">
      <c r="A2" s="69" t="s">
        <v>192</v>
      </c>
      <c r="B2" s="69"/>
      <c r="C2" s="69"/>
      <c r="D2" s="69"/>
      <c r="E2" s="69"/>
      <c r="F2" s="69"/>
      <c r="G2" s="69"/>
      <c r="H2" s="69"/>
      <c r="I2" s="69"/>
      <c r="J2" s="69"/>
    </row>
    <row r="3" spans="1:10">
      <c r="A3" s="70"/>
      <c r="B3" s="70"/>
      <c r="C3" s="70"/>
      <c r="D3" s="70"/>
      <c r="E3" s="70"/>
      <c r="F3" s="70"/>
      <c r="G3" s="70"/>
      <c r="H3" s="70"/>
      <c r="I3" s="70"/>
      <c r="J3" s="70"/>
    </row>
    <row r="4" spans="1:10" ht="42" customHeight="1">
      <c r="A4" s="62" t="s">
        <v>283</v>
      </c>
      <c r="B4" s="62"/>
      <c r="C4" s="62"/>
      <c r="D4" s="62"/>
      <c r="E4" s="62"/>
      <c r="F4" s="62"/>
      <c r="G4" s="62"/>
      <c r="H4" s="62"/>
      <c r="I4" s="62"/>
      <c r="J4" s="62"/>
    </row>
    <row r="5" spans="1:10">
      <c r="A5" s="37"/>
      <c r="B5" s="37"/>
      <c r="C5" s="37"/>
      <c r="D5" s="37"/>
      <c r="E5" s="37"/>
      <c r="F5" s="37"/>
      <c r="G5" s="37"/>
      <c r="H5" s="37"/>
      <c r="I5" s="37"/>
      <c r="J5" s="37"/>
    </row>
    <row r="6" spans="1:10" ht="25.5" customHeight="1">
      <c r="A6" s="67" t="s">
        <v>142</v>
      </c>
      <c r="B6" s="67"/>
      <c r="C6" s="67"/>
      <c r="D6" s="67"/>
      <c r="E6" s="67"/>
      <c r="F6" s="67"/>
      <c r="G6" s="67"/>
      <c r="H6" s="67"/>
      <c r="I6" s="67"/>
      <c r="J6" s="67"/>
    </row>
    <row r="7" spans="1:10">
      <c r="A7" s="37"/>
      <c r="B7" s="37"/>
      <c r="C7" s="37"/>
      <c r="D7" s="37"/>
      <c r="E7" s="37"/>
      <c r="F7" s="37"/>
      <c r="G7" s="37"/>
      <c r="H7" s="37"/>
      <c r="I7" s="37"/>
      <c r="J7" s="37"/>
    </row>
    <row r="8" spans="1:10" ht="51" customHeight="1">
      <c r="A8" s="67" t="s">
        <v>143</v>
      </c>
      <c r="B8" s="67"/>
      <c r="C8" s="67"/>
      <c r="D8" s="67"/>
      <c r="E8" s="67"/>
      <c r="F8" s="67"/>
      <c r="G8" s="67"/>
      <c r="H8" s="67"/>
      <c r="I8" s="67"/>
      <c r="J8" s="67"/>
    </row>
    <row r="9" spans="1:10">
      <c r="A9" s="62"/>
      <c r="B9" s="62"/>
      <c r="C9" s="62"/>
      <c r="D9" s="62"/>
      <c r="E9" s="62"/>
      <c r="F9" s="62"/>
      <c r="G9" s="62"/>
      <c r="H9" s="62"/>
      <c r="I9" s="62"/>
      <c r="J9" s="62"/>
    </row>
    <row r="10" spans="1:10">
      <c r="A10" s="63" t="s">
        <v>115</v>
      </c>
      <c r="B10" s="63"/>
      <c r="C10" s="63"/>
      <c r="D10" s="65" t="str">
        <f>IF(ISBLANK(selectedReleaseStatement), "This field is set on the Information Release tab.", selectedReleaseStatement)</f>
        <v>This field is set on the Information Release tab.</v>
      </c>
      <c r="E10" s="65"/>
      <c r="F10" s="65"/>
      <c r="G10" s="65"/>
      <c r="H10" s="65"/>
      <c r="I10" s="65"/>
      <c r="J10" s="65"/>
    </row>
    <row r="11" spans="1:10" ht="99.95" customHeight="1">
      <c r="A11" s="64"/>
      <c r="B11" s="64"/>
      <c r="C11" s="64"/>
      <c r="D11" s="66" t="str">
        <f>IF(ISBLANK(otherReleaseStatement), "", otherReleaseStatement)</f>
        <v/>
      </c>
      <c r="E11" s="66"/>
      <c r="F11" s="66"/>
      <c r="G11" s="66"/>
      <c r="H11" s="66"/>
      <c r="I11" s="66"/>
      <c r="J11" s="66"/>
    </row>
    <row r="12" spans="1:10">
      <c r="A12" s="67"/>
      <c r="B12" s="62"/>
      <c r="C12" s="62"/>
      <c r="D12" s="62"/>
      <c r="E12" s="62"/>
      <c r="F12" s="62"/>
      <c r="G12" s="62"/>
      <c r="H12" s="62"/>
      <c r="I12" s="62"/>
      <c r="J12" s="62"/>
    </row>
    <row r="13" spans="1:10">
      <c r="A13" s="62"/>
      <c r="B13" s="62"/>
      <c r="C13" s="62"/>
      <c r="D13" s="62"/>
      <c r="E13" s="62"/>
      <c r="F13" s="62"/>
      <c r="G13" s="62"/>
      <c r="H13" s="62"/>
      <c r="I13" s="62"/>
      <c r="J13" s="62"/>
    </row>
    <row r="14" spans="1:10">
      <c r="A14" s="62"/>
      <c r="B14" s="62"/>
      <c r="C14" s="62"/>
      <c r="D14" s="62"/>
      <c r="E14" s="62"/>
      <c r="F14" s="62"/>
      <c r="G14" s="62"/>
      <c r="H14" s="62"/>
      <c r="I14" s="62"/>
      <c r="J14" s="62"/>
    </row>
    <row r="15" spans="1:10">
      <c r="A15" s="62"/>
      <c r="B15" s="62"/>
      <c r="C15" s="62"/>
      <c r="D15" s="62"/>
      <c r="E15" s="62"/>
      <c r="F15" s="62"/>
      <c r="G15" s="62"/>
      <c r="H15" s="62"/>
      <c r="I15" s="62"/>
      <c r="J15" s="62"/>
    </row>
    <row r="16" spans="1:10">
      <c r="A16" s="62"/>
      <c r="B16" s="62"/>
      <c r="C16" s="62"/>
      <c r="D16" s="62"/>
      <c r="E16" s="62"/>
      <c r="F16" s="62"/>
      <c r="G16" s="62"/>
      <c r="H16" s="62"/>
      <c r="I16" s="62"/>
      <c r="J16" s="62"/>
    </row>
    <row r="17" spans="1:10">
      <c r="A17" s="62"/>
      <c r="B17" s="62"/>
      <c r="C17" s="62"/>
      <c r="D17" s="62"/>
      <c r="E17" s="62"/>
      <c r="F17" s="62"/>
      <c r="G17" s="62"/>
      <c r="H17" s="62"/>
      <c r="I17" s="62"/>
      <c r="J17" s="62"/>
    </row>
    <row r="18" spans="1:10">
      <c r="A18" s="62"/>
      <c r="B18" s="62"/>
      <c r="C18" s="62"/>
      <c r="D18" s="62"/>
      <c r="E18" s="62"/>
      <c r="F18" s="62"/>
      <c r="G18" s="62"/>
      <c r="H18" s="62"/>
      <c r="I18" s="62"/>
      <c r="J18" s="62"/>
    </row>
    <row r="19" spans="1:10">
      <c r="A19" s="62"/>
      <c r="B19" s="62"/>
      <c r="C19" s="62"/>
      <c r="D19" s="62"/>
      <c r="E19" s="62"/>
      <c r="F19" s="62"/>
      <c r="G19" s="62"/>
      <c r="H19" s="62"/>
      <c r="I19" s="62"/>
      <c r="J19" s="62"/>
    </row>
    <row r="20" spans="1:10">
      <c r="A20" s="62"/>
      <c r="B20" s="62"/>
      <c r="C20" s="62"/>
      <c r="D20" s="62"/>
      <c r="E20" s="62"/>
      <c r="F20" s="62"/>
      <c r="G20" s="62"/>
      <c r="H20" s="62"/>
      <c r="I20" s="62"/>
      <c r="J20" s="62"/>
    </row>
    <row r="21" spans="1:10">
      <c r="A21" s="62"/>
      <c r="B21" s="62"/>
      <c r="C21" s="62"/>
      <c r="D21" s="62"/>
      <c r="E21" s="62"/>
      <c r="F21" s="62"/>
      <c r="G21" s="62"/>
      <c r="H21" s="62"/>
      <c r="I21" s="62"/>
      <c r="J21" s="62"/>
    </row>
    <row r="22" spans="1:10">
      <c r="A22" s="62"/>
      <c r="B22" s="62"/>
      <c r="C22" s="62"/>
      <c r="D22" s="62"/>
      <c r="E22" s="62"/>
      <c r="F22" s="62"/>
      <c r="G22" s="62"/>
      <c r="H22" s="62"/>
      <c r="I22" s="62"/>
      <c r="J22" s="62"/>
    </row>
    <row r="23" spans="1:10">
      <c r="A23" s="62"/>
      <c r="B23" s="62"/>
      <c r="C23" s="62"/>
      <c r="D23" s="62"/>
      <c r="E23" s="62"/>
      <c r="F23" s="62"/>
      <c r="G23" s="62"/>
      <c r="H23" s="62"/>
      <c r="I23" s="62"/>
      <c r="J23" s="62"/>
    </row>
    <row r="24" spans="1:10">
      <c r="A24" s="62"/>
      <c r="B24" s="62"/>
      <c r="C24" s="62"/>
      <c r="D24" s="62"/>
      <c r="E24" s="62"/>
      <c r="F24" s="62"/>
      <c r="G24" s="62"/>
      <c r="H24" s="62"/>
      <c r="I24" s="62"/>
      <c r="J24" s="62"/>
    </row>
    <row r="25" spans="1:10">
      <c r="A25" s="62"/>
      <c r="B25" s="62"/>
      <c r="C25" s="62"/>
      <c r="D25" s="62"/>
      <c r="E25" s="62"/>
      <c r="F25" s="62"/>
      <c r="G25" s="62"/>
      <c r="H25" s="62"/>
      <c r="I25" s="62"/>
      <c r="J25" s="62"/>
    </row>
    <row r="26" spans="1:10">
      <c r="A26" s="62"/>
      <c r="B26" s="62"/>
      <c r="C26" s="62"/>
      <c r="D26" s="62"/>
      <c r="E26" s="62"/>
      <c r="F26" s="62"/>
      <c r="G26" s="62"/>
      <c r="H26" s="62"/>
      <c r="I26" s="62"/>
      <c r="J26" s="62"/>
    </row>
    <row r="27" spans="1:10">
      <c r="A27" s="62"/>
      <c r="B27" s="62"/>
      <c r="C27" s="62"/>
      <c r="D27" s="62"/>
      <c r="E27" s="62"/>
      <c r="F27" s="62"/>
      <c r="G27" s="62"/>
      <c r="H27" s="62"/>
      <c r="I27" s="62"/>
      <c r="J27" s="62"/>
    </row>
  </sheetData>
  <sheetProtection sheet="1" objects="1" scenarios="1"/>
  <mergeCells count="27">
    <mergeCell ref="A1:J1"/>
    <mergeCell ref="A2:J2"/>
    <mergeCell ref="A3:J3"/>
    <mergeCell ref="A4:J4"/>
    <mergeCell ref="A18:J18"/>
    <mergeCell ref="A6:J6"/>
    <mergeCell ref="A17:J17"/>
    <mergeCell ref="A9:J9"/>
    <mergeCell ref="A16:J16"/>
    <mergeCell ref="A8:J8"/>
    <mergeCell ref="A19:J19"/>
    <mergeCell ref="A10:C10"/>
    <mergeCell ref="A11:C11"/>
    <mergeCell ref="D10:J10"/>
    <mergeCell ref="D11:J11"/>
    <mergeCell ref="A12:J12"/>
    <mergeCell ref="A13:J13"/>
    <mergeCell ref="A14:J14"/>
    <mergeCell ref="A15:J15"/>
    <mergeCell ref="A27:J27"/>
    <mergeCell ref="A20:J20"/>
    <mergeCell ref="A22:J22"/>
    <mergeCell ref="A23:J23"/>
    <mergeCell ref="A24:J24"/>
    <mergeCell ref="A25:J25"/>
    <mergeCell ref="A26:J26"/>
    <mergeCell ref="A21:J21"/>
  </mergeCells>
  <phoneticPr fontId="6" type="noConversion"/>
  <pageMargins left="0.25" right="0.25" top="0.75" bottom="0.75" header="0.3" footer="0.3"/>
  <pageSetup fitToHeight="0" orientation="portrait" r:id="rId1"/>
  <headerFooter>
    <oddHeader>&amp;LAppendix I</oddHeader>
    <oddFooter>&amp;L&amp;F&amp;C&amp;A&amp;R&amp;D &amp;T
&amp;P</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F4"/>
  <sheetViews>
    <sheetView zoomScaleNormal="100" workbookViewId="0">
      <selection activeCell="A3" sqref="A3:J3"/>
    </sheetView>
  </sheetViews>
  <sheetFormatPr defaultRowHeight="12.75"/>
  <cols>
    <col min="1" max="1" width="45.85546875" customWidth="1"/>
    <col min="2" max="4" width="10.7109375" customWidth="1"/>
  </cols>
  <sheetData>
    <row r="1" spans="1:6">
      <c r="A1" s="73" t="s">
        <v>109</v>
      </c>
      <c r="B1" s="73"/>
      <c r="C1" s="73"/>
      <c r="D1" s="73"/>
      <c r="E1" s="73"/>
      <c r="F1" s="73"/>
    </row>
    <row r="2" spans="1:6">
      <c r="A2" s="18"/>
      <c r="B2" s="18"/>
      <c r="C2" s="18"/>
      <c r="D2" s="73"/>
      <c r="E2" s="73"/>
      <c r="F2" s="73"/>
    </row>
    <row r="3" spans="1:6" ht="25.5">
      <c r="A3" s="17" t="s">
        <v>111</v>
      </c>
      <c r="B3" s="72"/>
      <c r="C3" s="72"/>
      <c r="D3" s="72"/>
      <c r="E3" s="72"/>
      <c r="F3" s="72"/>
    </row>
    <row r="4" spans="1:6" ht="99.95" customHeight="1">
      <c r="A4" s="21" t="s">
        <v>106</v>
      </c>
      <c r="B4" s="71"/>
      <c r="C4" s="71"/>
      <c r="D4" s="71"/>
      <c r="E4" s="71"/>
      <c r="F4" s="71"/>
    </row>
  </sheetData>
  <mergeCells count="4">
    <mergeCell ref="B4:F4"/>
    <mergeCell ref="B3:F3"/>
    <mergeCell ref="A1:F1"/>
    <mergeCell ref="D2:F2"/>
  </mergeCells>
  <phoneticPr fontId="6" type="noConversion"/>
  <conditionalFormatting sqref="B3">
    <cfRule type="expression" dxfId="2" priority="1" stopIfTrue="1">
      <formula>"ISBLANK($B$2)"</formula>
    </cfRule>
    <cfRule type="expression" dxfId="1" priority="2" stopIfTrue="1">
      <formula>$B$4="Yes"</formula>
    </cfRule>
    <cfRule type="expression" dxfId="0" priority="3" stopIfTrue="1">
      <formula>$B$4="No"</formula>
    </cfRule>
  </conditionalFormatting>
  <dataValidations count="1">
    <dataValidation type="list" allowBlank="1" showInputMessage="1" showErrorMessage="1" sqref="B3">
      <formula1>releaseStatement</formula1>
    </dataValidation>
  </dataValidations>
  <pageMargins left="0.25" right="0.25" top="0.75" bottom="0.75" header="0.3" footer="0.3"/>
  <pageSetup fitToHeight="0" orientation="portrait" r:id="rId1"/>
  <headerFooter>
    <oddHeader>&amp;LAppendix I</oddHeader>
    <oddFooter>&amp;L&amp;F&amp;C&amp;A&amp;R&amp;D &amp;T
&amp;P</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29"/>
  <sheetViews>
    <sheetView zoomScaleNormal="100" workbookViewId="0">
      <pane ySplit="2" topLeftCell="A3" activePane="bottomLeft" state="frozen"/>
      <selection activeCell="A3" sqref="A3:J3"/>
      <selection pane="bottomLeft" activeCell="D14" sqref="D14"/>
    </sheetView>
  </sheetViews>
  <sheetFormatPr defaultRowHeight="12.75"/>
  <cols>
    <col min="1" max="1" width="44" bestFit="1" customWidth="1"/>
    <col min="2" max="4" width="25.7109375" customWidth="1"/>
  </cols>
  <sheetData>
    <row r="1" spans="1:5">
      <c r="A1" s="3" t="s">
        <v>108</v>
      </c>
      <c r="B1" s="3"/>
      <c r="C1" s="3"/>
      <c r="D1" s="3"/>
    </row>
    <row r="2" spans="1:5">
      <c r="A2" s="3"/>
      <c r="B2" s="3"/>
      <c r="C2" s="3"/>
      <c r="D2" s="3"/>
    </row>
    <row r="3" spans="1:5">
      <c r="A3" s="2" t="s">
        <v>0</v>
      </c>
      <c r="B3" s="4"/>
      <c r="C3" s="4"/>
      <c r="D3" s="4"/>
      <c r="E3" s="5"/>
    </row>
    <row r="4" spans="1:5">
      <c r="A4" s="1" t="s">
        <v>1</v>
      </c>
      <c r="B4" s="74"/>
      <c r="C4" s="74"/>
      <c r="D4" s="74"/>
      <c r="E4" s="5"/>
    </row>
    <row r="5" spans="1:5">
      <c r="A5" s="1" t="s">
        <v>2</v>
      </c>
      <c r="B5" s="74"/>
      <c r="C5" s="74"/>
      <c r="D5" s="74"/>
      <c r="E5" s="5"/>
    </row>
    <row r="6" spans="1:5">
      <c r="A6" s="1" t="s">
        <v>3</v>
      </c>
      <c r="B6" s="74"/>
      <c r="C6" s="74"/>
      <c r="D6" s="74"/>
      <c r="E6" s="5"/>
    </row>
    <row r="7" spans="1:5">
      <c r="A7" s="1" t="s">
        <v>4</v>
      </c>
      <c r="B7" s="74"/>
      <c r="C7" s="74"/>
      <c r="D7" s="74"/>
      <c r="E7" s="5"/>
    </row>
    <row r="8" spans="1:5">
      <c r="A8" s="1" t="s">
        <v>5</v>
      </c>
      <c r="B8" s="74"/>
      <c r="C8" s="74"/>
      <c r="D8" s="74"/>
      <c r="E8" s="5"/>
    </row>
    <row r="9" spans="1:5">
      <c r="A9" s="2" t="s">
        <v>50</v>
      </c>
      <c r="B9" s="4"/>
      <c r="C9" s="4"/>
      <c r="D9" s="4"/>
    </row>
    <row r="10" spans="1:5">
      <c r="A10" s="6" t="s">
        <v>23</v>
      </c>
      <c r="B10" s="74"/>
      <c r="C10" s="74"/>
      <c r="D10" s="74"/>
    </row>
    <row r="11" spans="1:5" ht="25.5">
      <c r="A11" s="7" t="s">
        <v>24</v>
      </c>
      <c r="B11" s="75"/>
      <c r="C11" s="75"/>
      <c r="D11" s="75"/>
    </row>
    <row r="12" spans="1:5" ht="25.5">
      <c r="A12" s="6" t="s">
        <v>25</v>
      </c>
      <c r="B12" s="74"/>
      <c r="C12" s="74"/>
      <c r="D12" s="74"/>
    </row>
    <row r="13" spans="1:5">
      <c r="A13" s="2" t="s">
        <v>6</v>
      </c>
      <c r="B13" s="3" t="s">
        <v>1</v>
      </c>
      <c r="C13" s="3" t="s">
        <v>5</v>
      </c>
      <c r="D13" s="3" t="s">
        <v>4</v>
      </c>
      <c r="E13" s="5"/>
    </row>
    <row r="14" spans="1:5">
      <c r="A14" s="8" t="s">
        <v>7</v>
      </c>
      <c r="B14" s="15"/>
      <c r="C14" s="15"/>
      <c r="D14" s="15"/>
      <c r="E14" s="5"/>
    </row>
    <row r="15" spans="1:5">
      <c r="A15" s="9" t="s">
        <v>8</v>
      </c>
      <c r="B15" s="16"/>
      <c r="C15" s="16"/>
      <c r="D15" s="16"/>
      <c r="E15" s="5"/>
    </row>
    <row r="16" spans="1:5">
      <c r="A16" s="8" t="s">
        <v>9</v>
      </c>
      <c r="B16" s="15"/>
      <c r="C16" s="15"/>
      <c r="D16" s="15"/>
      <c r="E16" s="5"/>
    </row>
    <row r="17" spans="1:5">
      <c r="A17" s="9" t="s">
        <v>10</v>
      </c>
      <c r="B17" s="16"/>
      <c r="C17" s="16"/>
      <c r="D17" s="16"/>
      <c r="E17" s="5"/>
    </row>
    <row r="18" spans="1:5">
      <c r="A18" s="8" t="s">
        <v>11</v>
      </c>
      <c r="B18" s="15"/>
      <c r="C18" s="15"/>
      <c r="D18" s="15"/>
      <c r="E18" s="5"/>
    </row>
    <row r="19" spans="1:5">
      <c r="A19" s="9" t="s">
        <v>12</v>
      </c>
      <c r="B19" s="16"/>
      <c r="C19" s="16"/>
      <c r="D19" s="16"/>
      <c r="E19" s="5"/>
    </row>
    <row r="20" spans="1:5">
      <c r="A20" s="8" t="s">
        <v>13</v>
      </c>
      <c r="B20" s="15"/>
      <c r="C20" s="15"/>
      <c r="D20" s="15"/>
      <c r="E20" s="5"/>
    </row>
    <row r="21" spans="1:5">
      <c r="A21" s="9" t="s">
        <v>14</v>
      </c>
      <c r="B21" s="16"/>
      <c r="C21" s="16"/>
      <c r="D21" s="16"/>
      <c r="E21" s="5"/>
    </row>
    <row r="22" spans="1:5">
      <c r="A22" s="8" t="s">
        <v>15</v>
      </c>
      <c r="B22" s="15"/>
      <c r="C22" s="15"/>
      <c r="D22" s="15"/>
      <c r="E22" s="5"/>
    </row>
    <row r="23" spans="1:5">
      <c r="A23" s="9" t="s">
        <v>16</v>
      </c>
      <c r="B23" s="16"/>
      <c r="C23" s="16"/>
      <c r="D23" s="16"/>
      <c r="E23" s="5"/>
    </row>
    <row r="24" spans="1:5">
      <c r="A24" s="8" t="s">
        <v>17</v>
      </c>
      <c r="B24" s="15"/>
      <c r="C24" s="15"/>
      <c r="D24" s="15"/>
      <c r="E24" s="5"/>
    </row>
    <row r="25" spans="1:5">
      <c r="A25" s="2" t="s">
        <v>144</v>
      </c>
      <c r="B25" s="4"/>
      <c r="C25" s="4"/>
      <c r="D25" s="4"/>
    </row>
    <row r="26" spans="1:5" ht="38.25">
      <c r="A26" s="6" t="s">
        <v>145</v>
      </c>
      <c r="B26" s="74"/>
      <c r="C26" s="74"/>
      <c r="D26" s="74"/>
    </row>
    <row r="27" spans="1:5" ht="51">
      <c r="A27" s="6" t="s">
        <v>146</v>
      </c>
      <c r="B27" s="74"/>
      <c r="C27" s="74"/>
      <c r="D27" s="74"/>
    </row>
    <row r="28" spans="1:5" ht="51">
      <c r="A28" s="6" t="s">
        <v>147</v>
      </c>
      <c r="B28" s="74"/>
      <c r="C28" s="74"/>
      <c r="D28" s="74"/>
    </row>
    <row r="29" spans="1:5" ht="25.5">
      <c r="A29" s="6" t="s">
        <v>148</v>
      </c>
      <c r="B29" s="74"/>
      <c r="C29" s="74"/>
      <c r="D29" s="74"/>
    </row>
  </sheetData>
  <sheetProtection sheet="1"/>
  <mergeCells count="12">
    <mergeCell ref="B26:D26"/>
    <mergeCell ref="B27:D27"/>
    <mergeCell ref="B28:D28"/>
    <mergeCell ref="B29:D29"/>
    <mergeCell ref="B4:D4"/>
    <mergeCell ref="B7:D7"/>
    <mergeCell ref="B8:D8"/>
    <mergeCell ref="B10:D10"/>
    <mergeCell ref="B11:D11"/>
    <mergeCell ref="B12:D12"/>
    <mergeCell ref="B5:D5"/>
    <mergeCell ref="B6:D6"/>
  </mergeCells>
  <phoneticPr fontId="6" type="noConversion"/>
  <pageMargins left="0.25" right="0.25" top="0.75" bottom="0.75" header="0.3" footer="0.3"/>
  <pageSetup scale="85" fitToHeight="0" orientation="portrait" r:id="rId1"/>
  <headerFooter>
    <oddHeader>&amp;LAppendix I</oddHeader>
    <oddFooter>&amp;L&amp;F&amp;C&amp;A&amp;R&amp;D &amp;T
&amp;P</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C38"/>
  <sheetViews>
    <sheetView zoomScaleNormal="100" workbookViewId="0">
      <pane ySplit="3" topLeftCell="A4" activePane="bottomLeft" state="frozen"/>
      <selection activeCell="A3" sqref="A3:J3"/>
      <selection pane="bottomLeft" activeCell="B38" sqref="B38"/>
    </sheetView>
  </sheetViews>
  <sheetFormatPr defaultRowHeight="12.75"/>
  <cols>
    <col min="1" max="1" width="75.7109375" style="30" customWidth="1"/>
    <col min="2" max="2" width="58.140625" style="26" bestFit="1" customWidth="1"/>
    <col min="3" max="3" width="27.5703125" style="26" hidden="1" customWidth="1"/>
    <col min="4" max="16384" width="9.140625" style="26"/>
  </cols>
  <sheetData>
    <row r="1" spans="1:3">
      <c r="A1" s="24" t="s">
        <v>21</v>
      </c>
      <c r="B1" s="25"/>
      <c r="C1" s="24"/>
    </row>
    <row r="2" spans="1:3">
      <c r="A2" s="27"/>
      <c r="B2" s="25"/>
      <c r="C2" s="27"/>
    </row>
    <row r="3" spans="1:3">
      <c r="A3" s="24" t="s">
        <v>22</v>
      </c>
      <c r="B3" s="28" t="s">
        <v>110</v>
      </c>
      <c r="C3" s="24" t="s">
        <v>92</v>
      </c>
    </row>
    <row r="4" spans="1:3">
      <c r="A4" s="76" t="s">
        <v>26</v>
      </c>
      <c r="B4" s="77"/>
      <c r="C4" s="29"/>
    </row>
    <row r="5" spans="1:3">
      <c r="A5" s="30" t="s">
        <v>27</v>
      </c>
      <c r="B5" s="36"/>
      <c r="C5" s="31"/>
    </row>
    <row r="6" spans="1:3">
      <c r="A6" s="30" t="s">
        <v>28</v>
      </c>
      <c r="B6" s="36"/>
      <c r="C6" s="31"/>
    </row>
    <row r="7" spans="1:3" ht="25.5">
      <c r="A7" s="30" t="s">
        <v>29</v>
      </c>
      <c r="B7" s="22"/>
      <c r="C7" s="30">
        <f>(IF(B7="&lt;6 months",1,(IF(B7="6-12 months",3,(IF(B7="&gt;12 months",5,0))))))</f>
        <v>0</v>
      </c>
    </row>
    <row r="8" spans="1:3">
      <c r="A8" s="76" t="s">
        <v>30</v>
      </c>
      <c r="B8" s="77"/>
      <c r="C8" s="29"/>
    </row>
    <row r="9" spans="1:3" ht="25.5">
      <c r="A9" s="30" t="s">
        <v>136</v>
      </c>
      <c r="B9" s="22"/>
      <c r="C9" s="30">
        <f>(IF(B9="1 location",0,(IF(B9="2-4 locations",20,(IF(B9="5+ locations",40,0))))))</f>
        <v>0</v>
      </c>
    </row>
    <row r="10" spans="1:3">
      <c r="A10" s="30" t="s">
        <v>31</v>
      </c>
      <c r="B10" s="23"/>
      <c r="C10" s="31"/>
    </row>
    <row r="11" spans="1:3">
      <c r="A11" s="30" t="s">
        <v>32</v>
      </c>
      <c r="B11" s="23"/>
      <c r="C11" s="31"/>
    </row>
    <row r="12" spans="1:3">
      <c r="A12" s="30" t="s">
        <v>33</v>
      </c>
      <c r="B12" s="23"/>
      <c r="C12" s="31"/>
    </row>
    <row r="13" spans="1:3">
      <c r="A13" s="30" t="s">
        <v>34</v>
      </c>
      <c r="B13" s="23"/>
      <c r="C13" s="31"/>
    </row>
    <row r="14" spans="1:3">
      <c r="A14" s="30" t="s">
        <v>36</v>
      </c>
      <c r="B14" s="23"/>
      <c r="C14" s="31"/>
    </row>
    <row r="15" spans="1:3">
      <c r="A15" s="30" t="s">
        <v>35</v>
      </c>
      <c r="B15" s="23"/>
      <c r="C15" s="31"/>
    </row>
    <row r="16" spans="1:3">
      <c r="A16" s="30" t="s">
        <v>34</v>
      </c>
      <c r="B16" s="23"/>
      <c r="C16" s="31"/>
    </row>
    <row r="17" spans="1:3">
      <c r="A17" s="30" t="s">
        <v>36</v>
      </c>
      <c r="B17" s="23"/>
      <c r="C17" s="31"/>
    </row>
    <row r="18" spans="1:3">
      <c r="A18" s="76" t="s">
        <v>37</v>
      </c>
      <c r="B18" s="77"/>
      <c r="C18" s="29"/>
    </row>
    <row r="19" spans="1:3">
      <c r="A19" s="30" t="s">
        <v>38</v>
      </c>
      <c r="B19" s="22"/>
      <c r="C19" s="30">
        <f>(IF(B19="0-100",1,(IF(B19="101-250",3,(IF(B19="250+",5,0))))))</f>
        <v>0</v>
      </c>
    </row>
    <row r="20" spans="1:3">
      <c r="A20" s="30" t="s">
        <v>39</v>
      </c>
      <c r="B20" s="22"/>
      <c r="C20" s="30">
        <f>(IF(B20="0-25",1,(IF(B20="25-75",3,(IF(B20="&gt;75",5,0))))))</f>
        <v>0</v>
      </c>
    </row>
    <row r="21" spans="1:3">
      <c r="A21" s="30" t="s">
        <v>119</v>
      </c>
      <c r="B21" s="22"/>
      <c r="C21" s="30">
        <f>(IF(B21="0-5",1,(IF(B21="6-15",3,(IF(B21="&gt;15",5,0))))))</f>
        <v>0</v>
      </c>
    </row>
    <row r="22" spans="1:3" ht="25.5">
      <c r="A22" s="30" t="s">
        <v>40</v>
      </c>
      <c r="B22" s="22"/>
      <c r="C22" s="30">
        <f>(IF(B22="&lt;3",1,(IF(B22="3-5",3,(IF(B22="&gt;5",5,0))))))</f>
        <v>0</v>
      </c>
    </row>
    <row r="23" spans="1:3">
      <c r="A23" s="76" t="s">
        <v>124</v>
      </c>
      <c r="B23" s="77"/>
      <c r="C23" s="29"/>
    </row>
    <row r="24" spans="1:3" ht="38.25">
      <c r="A24" s="30" t="s">
        <v>41</v>
      </c>
      <c r="B24" s="22"/>
      <c r="C24" s="30">
        <f>(IF(B24="1-49",1, (IF(B24="50-149", 3, (IF(B24="150+",5,0))))))</f>
        <v>0</v>
      </c>
    </row>
    <row r="25" spans="1:3">
      <c r="A25" s="30" t="s">
        <v>42</v>
      </c>
      <c r="B25" s="22"/>
      <c r="C25" s="30">
        <f>(IF(B25="&lt;5",1,(IF(B25="5-25",3,(IF(B25="&gt;25",5,0))))))</f>
        <v>0</v>
      </c>
    </row>
    <row r="26" spans="1:3" ht="25.5">
      <c r="A26" s="30" t="s">
        <v>43</v>
      </c>
      <c r="B26" s="22"/>
      <c r="C26" s="30">
        <f>(IF(B26="0-5",1,(IF(B26="6-15",3,(IF(B26="&gt;15",5,0))))))</f>
        <v>0</v>
      </c>
    </row>
    <row r="27" spans="1:3" ht="38.25">
      <c r="A27" s="30" t="s">
        <v>140</v>
      </c>
      <c r="B27" s="22"/>
      <c r="C27" s="30">
        <f>(IF(B27="1-5",1,(IF(B27="6-7",3,(IF(B27="8+",5,0))))))</f>
        <v>0</v>
      </c>
    </row>
    <row r="28" spans="1:3">
      <c r="A28" s="30" t="s">
        <v>141</v>
      </c>
      <c r="B28" s="22"/>
      <c r="C28" s="30">
        <f>(IF(B28="1-3",1,(IF(B28="4-5",3,(IF(B28="6+",5,0))))))</f>
        <v>0</v>
      </c>
    </row>
    <row r="29" spans="1:3">
      <c r="A29" s="76" t="s">
        <v>44</v>
      </c>
      <c r="B29" s="77"/>
      <c r="C29" s="29"/>
    </row>
    <row r="30" spans="1:3">
      <c r="A30" s="30" t="s">
        <v>45</v>
      </c>
      <c r="B30" s="22"/>
      <c r="C30" s="30">
        <f>(IF(B30="1",1,(IF(B30="2-3",3,(IF(B30="&gt;3",5,0))))))</f>
        <v>0</v>
      </c>
    </row>
    <row r="31" spans="1:3">
      <c r="A31" s="30" t="s">
        <v>46</v>
      </c>
      <c r="B31" s="22"/>
      <c r="C31" s="30">
        <f>(IF(B31="&lt;3",1,(IF(B31="3-5",3,(IF(B31="&gt;5",5,0))))))</f>
        <v>0</v>
      </c>
    </row>
    <row r="32" spans="1:3">
      <c r="A32" s="30" t="s">
        <v>47</v>
      </c>
      <c r="B32" s="22"/>
      <c r="C32" s="30">
        <f>(IF(B32="LAN Only",1,(IF(B32="Lan and Internet",3,(IF(B32="VPN or Private Network",5,0))))))</f>
        <v>0</v>
      </c>
    </row>
    <row r="33" spans="1:3">
      <c r="A33" s="30" t="s">
        <v>132</v>
      </c>
      <c r="B33" s="22"/>
      <c r="C33" s="30">
        <f>(IF(B33="Only one interface (whether public or private)",1,(IF(B33="Both a public interface and a private interface, provided through separate enclaves",3,(IF(B33="Both public and private interfaces, provided through a single enclave",5,0))))))</f>
        <v>0</v>
      </c>
    </row>
    <row r="34" spans="1:3">
      <c r="A34" s="76" t="s">
        <v>48</v>
      </c>
      <c r="B34" s="77"/>
      <c r="C34" s="29"/>
    </row>
    <row r="35" spans="1:3">
      <c r="A35" s="30" t="s">
        <v>49</v>
      </c>
      <c r="B35" s="22"/>
      <c r="C35" s="30">
        <f>(IF(B35="Low", 1, (IF(B35="Moderate", 1.5, (IF(B35="High", 1.6,0))))))</f>
        <v>0</v>
      </c>
    </row>
    <row r="36" spans="1:3">
      <c r="A36" s="24" t="s">
        <v>52</v>
      </c>
      <c r="B36" s="32"/>
      <c r="C36" s="24"/>
    </row>
    <row r="37" spans="1:3">
      <c r="A37" s="33" t="s">
        <v>53</v>
      </c>
      <c r="B37" s="34">
        <f>(((C7+SUM(C19:C22)+SUM(C24:C28)+SUM(C30:C33))*C35)+C9)</f>
        <v>0</v>
      </c>
      <c r="C37" s="33"/>
    </row>
    <row r="38" spans="1:3">
      <c r="A38" s="33"/>
      <c r="B38" s="35" t="str">
        <f>(IF((B37&gt;=14)*AND(B37&lt;33),"Simple (Tier 1)",IF((B37&gt;=33)*AND(B37&lt;53),"Somewhat Complex (Tier 2)",IF((B37&gt;=53)*AND(B37&lt;73),"Complex (Tier 3)",IF((B37&gt;=73)*AND(B37&lt;93),"Very Complex (Tier 4)",IF((B37&gt;=93)*AND(B37&lt;=152),"Highly Complex (Tier 5)","Error!"))))))</f>
        <v>Error!</v>
      </c>
      <c r="C38" s="33"/>
    </row>
  </sheetData>
  <sheetProtection sheet="1"/>
  <mergeCells count="6">
    <mergeCell ref="A29:B29"/>
    <mergeCell ref="A34:B34"/>
    <mergeCell ref="A4:B4"/>
    <mergeCell ref="A8:B8"/>
    <mergeCell ref="A18:B18"/>
    <mergeCell ref="A23:B23"/>
  </mergeCells>
  <phoneticPr fontId="6" type="noConversion"/>
  <dataValidations count="17">
    <dataValidation type="list" allowBlank="1" showInputMessage="1" showErrorMessage="1" sqref="B7">
      <formula1>elapsedTime</formula1>
    </dataValidation>
    <dataValidation type="list" allowBlank="1" showInputMessage="1" showErrorMessage="1" sqref="B9">
      <formula1>physicalNumberProximity</formula1>
    </dataValidation>
    <dataValidation type="list" allowBlank="1" showInputMessage="1" showErrorMessage="1" sqref="B19">
      <formula1>numberUsers</formula1>
    </dataValidation>
    <dataValidation type="list" allowBlank="1" showInputMessage="1" showErrorMessage="1" sqref="B20">
      <formula1>numberPrivilegedUsers</formula1>
    </dataValidation>
    <dataValidation type="list" allowBlank="1" showInputMessage="1" showErrorMessage="1" sqref="B21">
      <formula1>numberPrivilegedUserTypes</formula1>
    </dataValidation>
    <dataValidation type="list" allowBlank="1" showInputMessage="1" showErrorMessage="1" sqref="B22">
      <formula1>numberTypesTraining</formula1>
    </dataValidation>
    <dataValidation type="list" allowBlank="1" showInputMessage="1" showErrorMessage="1" sqref="B24">
      <formula1>numberNetworkedDevices</formula1>
    </dataValidation>
    <dataValidation type="list" allowBlank="1" showInputMessage="1" showErrorMessage="1" sqref="B25">
      <formula1>numberSecurityComponents</formula1>
    </dataValidation>
    <dataValidation type="list" allowBlank="1" showInputMessage="1" showErrorMessage="1" sqref="B26">
      <formula1>numberDomainsZones</formula1>
    </dataValidation>
    <dataValidation type="list" allowBlank="1" showInputMessage="1" showErrorMessage="1" sqref="B27">
      <formula1>numberTechnologies</formula1>
    </dataValidation>
    <dataValidation type="list" allowBlank="1" showInputMessage="1" showErrorMessage="1" sqref="B30">
      <formula1>numberSecurityBoundaries</formula1>
    </dataValidation>
    <dataValidation type="list" allowBlank="1" showInputMessage="1" showErrorMessage="1" sqref="B31">
      <formula1>numberInterconnections</formula1>
    </dataValidation>
    <dataValidation type="list" allowBlank="1" showInputMessage="1" showErrorMessage="1" sqref="B32">
      <formula1>userConnectMethods</formula1>
    </dataValidation>
    <dataValidation type="list" allowBlank="1" showInputMessage="1" showErrorMessage="1" sqref="B33">
      <formula1>accessMethods</formula1>
    </dataValidation>
    <dataValidation type="list" allowBlank="1" showInputMessage="1" showErrorMessage="1" sqref="B35">
      <formula1>fips199Categorization</formula1>
    </dataValidation>
    <dataValidation type="list" allowBlank="1" showInputMessage="1" showErrorMessage="1" sqref="B5">
      <formula1>(yesNo)</formula1>
    </dataValidation>
    <dataValidation type="list" allowBlank="1" showInputMessage="1" showErrorMessage="1" sqref="B28">
      <formula1>numberAppsDBs</formula1>
    </dataValidation>
  </dataValidations>
  <pageMargins left="0.25" right="0.25" top="0.75" bottom="0.75" header="0.3" footer="0.3"/>
  <pageSetup scale="77" fitToHeight="0" orientation="portrait" r:id="rId1"/>
  <headerFooter>
    <oddHeader>&amp;LAppendix I</oddHeader>
    <oddFooter>&amp;L&amp;F&amp;C&amp;A&amp;R&amp;D &amp;T
&amp;P</oddFooter>
  </headerFooter>
</worksheet>
</file>

<file path=xl/worksheets/sheet5.xml><?xml version="1.0" encoding="utf-8"?>
<worksheet xmlns="http://schemas.openxmlformats.org/spreadsheetml/2006/main" xmlns:r="http://schemas.openxmlformats.org/officeDocument/2006/relationships">
  <dimension ref="A1:C81"/>
  <sheetViews>
    <sheetView workbookViewId="0">
      <selection activeCell="B1" sqref="B1"/>
    </sheetView>
  </sheetViews>
  <sheetFormatPr defaultRowHeight="12.75"/>
  <cols>
    <col min="1" max="1" width="6.28515625" style="13" customWidth="1"/>
    <col min="2" max="2" width="68.7109375" style="13" customWidth="1"/>
    <col min="3" max="3" width="15.7109375" style="52" customWidth="1"/>
  </cols>
  <sheetData>
    <row r="1" spans="1:3" ht="15.75" thickBot="1">
      <c r="A1" s="38" t="s">
        <v>201</v>
      </c>
      <c r="B1" s="38"/>
      <c r="C1" s="53"/>
    </row>
    <row r="2" spans="1:3" ht="15.75" thickBot="1">
      <c r="A2" s="78" t="s">
        <v>280</v>
      </c>
      <c r="B2" s="78"/>
      <c r="C2" s="54" t="s">
        <v>281</v>
      </c>
    </row>
    <row r="3" spans="1:3" ht="13.5" thickBot="1">
      <c r="A3" s="59" t="s">
        <v>282</v>
      </c>
      <c r="B3" s="60" t="s">
        <v>150</v>
      </c>
      <c r="C3" s="61" t="s">
        <v>260</v>
      </c>
    </row>
    <row r="4" spans="1:3">
      <c r="A4" s="79" t="s">
        <v>151</v>
      </c>
      <c r="B4" s="79"/>
      <c r="C4" s="47"/>
    </row>
    <row r="5" spans="1:3" ht="52.5" customHeight="1">
      <c r="A5" s="39" t="s">
        <v>202</v>
      </c>
      <c r="B5" s="40" t="s">
        <v>152</v>
      </c>
      <c r="C5" s="48"/>
    </row>
    <row r="6" spans="1:3" ht="12.75" customHeight="1">
      <c r="A6" s="80" t="s">
        <v>153</v>
      </c>
      <c r="B6" s="81"/>
      <c r="C6" s="49"/>
    </row>
    <row r="7" spans="1:3" ht="12.75" customHeight="1">
      <c r="A7" s="39" t="s">
        <v>203</v>
      </c>
      <c r="B7" s="40" t="s">
        <v>154</v>
      </c>
      <c r="C7" s="48"/>
    </row>
    <row r="8" spans="1:3">
      <c r="A8" s="39" t="s">
        <v>204</v>
      </c>
      <c r="B8" s="40" t="s">
        <v>155</v>
      </c>
      <c r="C8" s="48"/>
    </row>
    <row r="9" spans="1:3">
      <c r="A9" s="39" t="s">
        <v>205</v>
      </c>
      <c r="B9" s="40" t="s">
        <v>156</v>
      </c>
      <c r="C9" s="48"/>
    </row>
    <row r="10" spans="1:3">
      <c r="A10" s="39" t="s">
        <v>206</v>
      </c>
      <c r="B10" s="39" t="s">
        <v>157</v>
      </c>
      <c r="C10" s="48"/>
    </row>
    <row r="11" spans="1:3" ht="12.75" customHeight="1">
      <c r="A11" s="82" t="s">
        <v>158</v>
      </c>
      <c r="B11" s="83"/>
      <c r="C11" s="49"/>
    </row>
    <row r="12" spans="1:3" ht="12.75" customHeight="1">
      <c r="A12" s="39" t="s">
        <v>207</v>
      </c>
      <c r="B12" s="40" t="s">
        <v>159</v>
      </c>
      <c r="C12" s="48"/>
    </row>
    <row r="13" spans="1:3">
      <c r="A13" s="39" t="s">
        <v>208</v>
      </c>
      <c r="B13" s="40" t="s">
        <v>214</v>
      </c>
      <c r="C13" s="48"/>
    </row>
    <row r="14" spans="1:3">
      <c r="A14" s="39" t="s">
        <v>209</v>
      </c>
      <c r="B14" s="40" t="s">
        <v>163</v>
      </c>
      <c r="C14" s="48"/>
    </row>
    <row r="15" spans="1:3">
      <c r="A15" s="39" t="s">
        <v>210</v>
      </c>
      <c r="B15" s="39" t="s">
        <v>160</v>
      </c>
      <c r="C15" s="48"/>
    </row>
    <row r="16" spans="1:3">
      <c r="A16" s="39" t="s">
        <v>211</v>
      </c>
      <c r="B16" s="39" t="s">
        <v>274</v>
      </c>
      <c r="C16" s="48"/>
    </row>
    <row r="17" spans="1:3">
      <c r="A17" s="39" t="s">
        <v>212</v>
      </c>
      <c r="B17" s="40" t="s">
        <v>161</v>
      </c>
      <c r="C17" s="48"/>
    </row>
    <row r="18" spans="1:3" ht="12.75" customHeight="1">
      <c r="A18" s="80" t="s">
        <v>162</v>
      </c>
      <c r="B18" s="81"/>
      <c r="C18" s="49"/>
    </row>
    <row r="19" spans="1:3" ht="12.75" customHeight="1">
      <c r="A19" s="39" t="s">
        <v>213</v>
      </c>
      <c r="B19" s="40" t="s">
        <v>186</v>
      </c>
      <c r="C19" s="48"/>
    </row>
    <row r="20" spans="1:3">
      <c r="A20" s="39" t="s">
        <v>215</v>
      </c>
      <c r="B20" s="40" t="s">
        <v>187</v>
      </c>
      <c r="C20" s="48"/>
    </row>
    <row r="21" spans="1:3">
      <c r="A21" s="39" t="s">
        <v>216</v>
      </c>
      <c r="B21" s="40" t="s">
        <v>163</v>
      </c>
      <c r="C21" s="48"/>
    </row>
    <row r="22" spans="1:3" ht="12.75" customHeight="1">
      <c r="A22" s="80" t="s">
        <v>164</v>
      </c>
      <c r="B22" s="81"/>
      <c r="C22" s="49"/>
    </row>
    <row r="23" spans="1:3" ht="12.75" customHeight="1">
      <c r="A23" s="39" t="s">
        <v>217</v>
      </c>
      <c r="B23" s="40" t="s">
        <v>165</v>
      </c>
      <c r="C23" s="48"/>
    </row>
    <row r="24" spans="1:3">
      <c r="A24" s="39" t="s">
        <v>218</v>
      </c>
      <c r="B24" s="40" t="s">
        <v>166</v>
      </c>
      <c r="C24" s="48"/>
    </row>
    <row r="25" spans="1:3">
      <c r="A25" s="39" t="s">
        <v>219</v>
      </c>
      <c r="B25" s="40" t="s">
        <v>167</v>
      </c>
      <c r="C25" s="48"/>
    </row>
    <row r="26" spans="1:3">
      <c r="A26" s="39" t="s">
        <v>220</v>
      </c>
      <c r="B26" s="40" t="s">
        <v>94</v>
      </c>
      <c r="C26" s="48"/>
    </row>
    <row r="27" spans="1:3">
      <c r="A27" s="39" t="s">
        <v>221</v>
      </c>
      <c r="B27" s="39" t="s">
        <v>95</v>
      </c>
      <c r="C27" s="48"/>
    </row>
    <row r="28" spans="1:3">
      <c r="A28" s="39" t="s">
        <v>222</v>
      </c>
      <c r="B28" s="40" t="s">
        <v>169</v>
      </c>
      <c r="C28" s="48"/>
    </row>
    <row r="29" spans="1:3">
      <c r="A29" s="39" t="s">
        <v>223</v>
      </c>
      <c r="B29" s="41" t="s">
        <v>168</v>
      </c>
      <c r="C29" s="48"/>
    </row>
    <row r="30" spans="1:3">
      <c r="A30" s="39" t="s">
        <v>224</v>
      </c>
      <c r="B30" s="13" t="s">
        <v>274</v>
      </c>
      <c r="C30" s="48"/>
    </row>
    <row r="31" spans="1:3">
      <c r="A31" s="39" t="s">
        <v>225</v>
      </c>
      <c r="B31" s="40" t="s">
        <v>184</v>
      </c>
      <c r="C31" s="48"/>
    </row>
    <row r="32" spans="1:3">
      <c r="A32" s="39" t="s">
        <v>226</v>
      </c>
      <c r="B32" s="40" t="s">
        <v>189</v>
      </c>
      <c r="C32" s="48"/>
    </row>
    <row r="33" spans="1:3">
      <c r="A33" s="39" t="s">
        <v>227</v>
      </c>
      <c r="B33" s="39" t="s">
        <v>188</v>
      </c>
      <c r="C33" s="48"/>
    </row>
    <row r="34" spans="1:3" ht="12.75" customHeight="1">
      <c r="A34" s="80" t="s">
        <v>170</v>
      </c>
      <c r="B34" s="81"/>
      <c r="C34" s="49"/>
    </row>
    <row r="35" spans="1:3" ht="12.75" customHeight="1">
      <c r="A35" s="39" t="s">
        <v>228</v>
      </c>
      <c r="B35" s="39" t="s">
        <v>171</v>
      </c>
      <c r="C35" s="48"/>
    </row>
    <row r="36" spans="1:3">
      <c r="A36" s="39" t="s">
        <v>229</v>
      </c>
      <c r="B36" s="39" t="s">
        <v>172</v>
      </c>
      <c r="C36" s="48"/>
    </row>
    <row r="37" spans="1:3">
      <c r="A37" s="39" t="s">
        <v>230</v>
      </c>
      <c r="B37" s="40" t="s">
        <v>173</v>
      </c>
      <c r="C37" s="48"/>
    </row>
    <row r="38" spans="1:3">
      <c r="A38" s="39" t="s">
        <v>231</v>
      </c>
      <c r="B38" s="40" t="s">
        <v>274</v>
      </c>
      <c r="C38" s="48"/>
    </row>
    <row r="39" spans="1:3">
      <c r="A39" s="39" t="s">
        <v>232</v>
      </c>
      <c r="B39" s="40" t="s">
        <v>174</v>
      </c>
      <c r="C39" s="48"/>
    </row>
    <row r="40" spans="1:3">
      <c r="A40" s="39" t="s">
        <v>233</v>
      </c>
      <c r="B40" s="13" t="s">
        <v>274</v>
      </c>
      <c r="C40" s="48"/>
    </row>
    <row r="41" spans="1:3" ht="12.75" customHeight="1">
      <c r="A41" s="80" t="s">
        <v>175</v>
      </c>
      <c r="B41" s="81"/>
      <c r="C41" s="49"/>
    </row>
    <row r="42" spans="1:3" ht="12.75" customHeight="1">
      <c r="A42" s="39" t="s">
        <v>234</v>
      </c>
      <c r="B42" s="40" t="s">
        <v>176</v>
      </c>
      <c r="C42" s="48"/>
    </row>
    <row r="43" spans="1:3">
      <c r="A43" s="39" t="s">
        <v>235</v>
      </c>
      <c r="B43" s="40" t="s">
        <v>177</v>
      </c>
      <c r="C43" s="48"/>
    </row>
    <row r="44" spans="1:3">
      <c r="A44" s="39" t="s">
        <v>236</v>
      </c>
      <c r="B44" s="40" t="s">
        <v>178</v>
      </c>
      <c r="C44" s="48"/>
    </row>
    <row r="45" spans="1:3">
      <c r="A45" s="39" t="s">
        <v>237</v>
      </c>
      <c r="B45" s="40" t="s">
        <v>190</v>
      </c>
      <c r="C45" s="48"/>
    </row>
    <row r="46" spans="1:3">
      <c r="A46" s="39" t="s">
        <v>238</v>
      </c>
      <c r="B46" s="40" t="s">
        <v>191</v>
      </c>
      <c r="C46" s="48"/>
    </row>
    <row r="47" spans="1:3">
      <c r="A47" s="39" t="s">
        <v>239</v>
      </c>
      <c r="B47" s="40" t="s">
        <v>188</v>
      </c>
      <c r="C47" s="48"/>
    </row>
    <row r="48" spans="1:3">
      <c r="A48" s="39" t="s">
        <v>240</v>
      </c>
      <c r="B48" s="40" t="s">
        <v>179</v>
      </c>
      <c r="C48" s="48"/>
    </row>
    <row r="49" spans="1:3">
      <c r="A49" s="39" t="s">
        <v>241</v>
      </c>
      <c r="B49" s="40" t="s">
        <v>178</v>
      </c>
      <c r="C49" s="48"/>
    </row>
    <row r="50" spans="1:3">
      <c r="A50" s="39" t="s">
        <v>242</v>
      </c>
      <c r="B50" s="40" t="s">
        <v>180</v>
      </c>
      <c r="C50" s="48"/>
    </row>
    <row r="51" spans="1:3">
      <c r="A51" s="39" t="s">
        <v>243</v>
      </c>
      <c r="B51" s="40" t="s">
        <v>245</v>
      </c>
      <c r="C51" s="48"/>
    </row>
    <row r="52" spans="1:3">
      <c r="A52" s="39" t="s">
        <v>244</v>
      </c>
      <c r="B52" s="40" t="s">
        <v>247</v>
      </c>
      <c r="C52" s="48"/>
    </row>
    <row r="53" spans="1:3">
      <c r="A53" s="39" t="s">
        <v>246</v>
      </c>
      <c r="B53" s="40" t="s">
        <v>249</v>
      </c>
      <c r="C53" s="48"/>
    </row>
    <row r="54" spans="1:3">
      <c r="A54" s="39" t="s">
        <v>248</v>
      </c>
      <c r="B54" s="40" t="s">
        <v>181</v>
      </c>
      <c r="C54" s="48"/>
    </row>
    <row r="55" spans="1:3">
      <c r="A55" s="39" t="s">
        <v>250</v>
      </c>
      <c r="B55" s="40" t="s">
        <v>182</v>
      </c>
      <c r="C55" s="48"/>
    </row>
    <row r="56" spans="1:3" ht="12.75" customHeight="1">
      <c r="A56" s="80" t="s">
        <v>261</v>
      </c>
      <c r="B56" s="81"/>
      <c r="C56" s="49"/>
    </row>
    <row r="57" spans="1:3" ht="12.75" customHeight="1">
      <c r="A57" s="39" t="s">
        <v>251</v>
      </c>
      <c r="B57" s="40" t="s">
        <v>149</v>
      </c>
      <c r="C57" s="48"/>
    </row>
    <row r="58" spans="1:3" ht="12.75" customHeight="1">
      <c r="A58" s="80" t="s">
        <v>262</v>
      </c>
      <c r="B58" s="81"/>
      <c r="C58" s="49"/>
    </row>
    <row r="59" spans="1:3" ht="15" customHeight="1">
      <c r="A59" s="39" t="s">
        <v>194</v>
      </c>
      <c r="B59" s="43" t="s">
        <v>252</v>
      </c>
      <c r="C59" s="48"/>
    </row>
    <row r="60" spans="1:3" ht="12.75" customHeight="1">
      <c r="A60" s="80" t="s">
        <v>263</v>
      </c>
      <c r="B60" s="81"/>
      <c r="C60" s="49"/>
    </row>
    <row r="61" spans="1:3" ht="46.5" customHeight="1">
      <c r="A61" s="39" t="s">
        <v>195</v>
      </c>
      <c r="B61" s="43" t="s">
        <v>253</v>
      </c>
      <c r="C61" s="48"/>
    </row>
    <row r="62" spans="1:3" ht="12.75" customHeight="1">
      <c r="A62" s="80" t="s">
        <v>264</v>
      </c>
      <c r="B62" s="81"/>
      <c r="C62" s="49"/>
    </row>
    <row r="63" spans="1:3" ht="25.5" customHeight="1">
      <c r="A63" s="39" t="s">
        <v>196</v>
      </c>
      <c r="B63" s="43" t="s">
        <v>254</v>
      </c>
      <c r="C63" s="48"/>
    </row>
    <row r="64" spans="1:3" ht="12.75" customHeight="1">
      <c r="A64" s="80" t="s">
        <v>265</v>
      </c>
      <c r="B64" s="81"/>
      <c r="C64" s="49"/>
    </row>
    <row r="65" spans="1:3" ht="12.75" customHeight="1">
      <c r="A65" s="39" t="s">
        <v>197</v>
      </c>
      <c r="B65" s="40" t="s">
        <v>183</v>
      </c>
      <c r="C65" s="48"/>
    </row>
    <row r="66" spans="1:3" ht="12.75" customHeight="1">
      <c r="A66" s="80" t="s">
        <v>266</v>
      </c>
      <c r="B66" s="81"/>
      <c r="C66" s="49"/>
    </row>
    <row r="67" spans="1:3" ht="12.75" customHeight="1">
      <c r="A67" s="39" t="s">
        <v>198</v>
      </c>
      <c r="B67" s="43" t="s">
        <v>255</v>
      </c>
      <c r="C67" s="48"/>
    </row>
    <row r="68" spans="1:3" ht="12.75" customHeight="1">
      <c r="A68" s="80" t="s">
        <v>267</v>
      </c>
      <c r="B68" s="81"/>
      <c r="C68" s="49"/>
    </row>
    <row r="69" spans="1:3" ht="30.75" customHeight="1">
      <c r="A69" s="39" t="s">
        <v>199</v>
      </c>
      <c r="B69" s="43" t="s">
        <v>256</v>
      </c>
      <c r="C69" s="48"/>
    </row>
    <row r="70" spans="1:3" ht="12.75" customHeight="1">
      <c r="A70" s="80" t="s">
        <v>268</v>
      </c>
      <c r="B70" s="81"/>
      <c r="C70" s="49"/>
    </row>
    <row r="71" spans="1:3" ht="21.75" customHeight="1">
      <c r="A71" s="39" t="s">
        <v>200</v>
      </c>
      <c r="B71" s="40" t="s">
        <v>185</v>
      </c>
      <c r="C71" s="48"/>
    </row>
    <row r="72" spans="1:3" ht="12.75" customHeight="1">
      <c r="A72" s="80" t="s">
        <v>269</v>
      </c>
      <c r="B72" s="81"/>
      <c r="C72" s="49"/>
    </row>
    <row r="73" spans="1:3" ht="12.75" customHeight="1">
      <c r="A73" s="56" t="s">
        <v>275</v>
      </c>
      <c r="B73" s="42" t="s">
        <v>193</v>
      </c>
      <c r="C73" s="48"/>
    </row>
    <row r="74" spans="1:3" ht="12.75" customHeight="1">
      <c r="A74" s="80" t="s">
        <v>270</v>
      </c>
      <c r="B74" s="81"/>
      <c r="C74" s="49"/>
    </row>
    <row r="75" spans="1:3" ht="12.75" customHeight="1">
      <c r="A75" s="56" t="s">
        <v>276</v>
      </c>
      <c r="B75" s="57" t="s">
        <v>271</v>
      </c>
      <c r="C75" s="48"/>
    </row>
    <row r="76" spans="1:3">
      <c r="A76" s="56" t="s">
        <v>277</v>
      </c>
      <c r="B76" s="57" t="s">
        <v>272</v>
      </c>
      <c r="C76" s="49"/>
    </row>
    <row r="77" spans="1:3">
      <c r="A77" s="56" t="s">
        <v>278</v>
      </c>
      <c r="B77" s="58" t="s">
        <v>273</v>
      </c>
      <c r="C77" s="48"/>
    </row>
    <row r="78" spans="1:3" ht="15">
      <c r="A78" s="44"/>
      <c r="B78" s="45" t="s">
        <v>257</v>
      </c>
      <c r="C78" s="48"/>
    </row>
    <row r="79" spans="1:3">
      <c r="A79" s="84" t="s">
        <v>259</v>
      </c>
      <c r="B79" s="84"/>
      <c r="C79" s="50"/>
    </row>
    <row r="80" spans="1:3">
      <c r="A80" s="46" t="s">
        <v>279</v>
      </c>
      <c r="B80" s="46" t="s">
        <v>258</v>
      </c>
      <c r="C80" s="51"/>
    </row>
    <row r="81" spans="1:3">
      <c r="A81" s="85"/>
      <c r="B81" s="85"/>
      <c r="C81" s="55"/>
    </row>
  </sheetData>
  <mergeCells count="20">
    <mergeCell ref="A79:B79"/>
    <mergeCell ref="A81:B81"/>
    <mergeCell ref="A68:B68"/>
    <mergeCell ref="A70:B70"/>
    <mergeCell ref="A72:B72"/>
    <mergeCell ref="A74:B74"/>
    <mergeCell ref="A64:B64"/>
    <mergeCell ref="A66:B66"/>
    <mergeCell ref="A34:B34"/>
    <mergeCell ref="A41:B41"/>
    <mergeCell ref="A56:B56"/>
    <mergeCell ref="A58:B58"/>
    <mergeCell ref="A2:B2"/>
    <mergeCell ref="A4:B4"/>
    <mergeCell ref="A60:B60"/>
    <mergeCell ref="A62:B62"/>
    <mergeCell ref="A6:B6"/>
    <mergeCell ref="A11:B11"/>
    <mergeCell ref="A18:B18"/>
    <mergeCell ref="A22:B22"/>
  </mergeCells>
  <phoneticPr fontId="6" type="noConversion"/>
  <pageMargins left="0.75" right="0.75" top="1" bottom="1" header="0.5" footer="0.5"/>
  <pageSetup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sheetPr>
    <pageSetUpPr fitToPage="1"/>
  </sheetPr>
  <dimension ref="A1:D3"/>
  <sheetViews>
    <sheetView zoomScaleNormal="100" workbookViewId="0">
      <pane ySplit="3" topLeftCell="A4" activePane="bottomLeft" state="frozen"/>
      <selection activeCell="A3" sqref="A3:J3"/>
      <selection pane="bottomLeft" activeCell="C20" sqref="C20"/>
    </sheetView>
  </sheetViews>
  <sheetFormatPr defaultRowHeight="12.75"/>
  <cols>
    <col min="1" max="4" width="30.7109375" style="14" customWidth="1"/>
  </cols>
  <sheetData>
    <row r="1" spans="1:4">
      <c r="A1" s="69" t="s">
        <v>51</v>
      </c>
      <c r="B1" s="69"/>
      <c r="C1" s="69"/>
      <c r="D1" s="69"/>
    </row>
    <row r="2" spans="1:4">
      <c r="A2" s="12"/>
      <c r="B2" s="12"/>
      <c r="C2" s="12"/>
      <c r="D2" s="12"/>
    </row>
    <row r="3" spans="1:4">
      <c r="A3" s="3" t="s">
        <v>18</v>
      </c>
      <c r="B3" s="3" t="s">
        <v>19</v>
      </c>
      <c r="C3" s="3" t="s">
        <v>20</v>
      </c>
      <c r="D3" s="3" t="s">
        <v>100</v>
      </c>
    </row>
  </sheetData>
  <sheetProtection sheet="1"/>
  <mergeCells count="1">
    <mergeCell ref="A1:D1"/>
  </mergeCells>
  <phoneticPr fontId="6" type="noConversion"/>
  <pageMargins left="0.25" right="0.25" top="0.75" bottom="0.75" header="0.3" footer="0.3"/>
  <pageSetup scale="84" fitToHeight="0" orientation="portrait" r:id="rId1"/>
  <headerFooter>
    <oddHeader>&amp;LAppendix I</oddHeader>
    <oddFooter>&amp;L&amp;F&amp;C&amp;A&amp;R&amp;D &amp;T
&amp;P</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A12"/>
  <sheetViews>
    <sheetView zoomScaleNormal="100" workbookViewId="0">
      <pane ySplit="2" topLeftCell="A3" activePane="bottomLeft" state="frozen"/>
      <selection activeCell="A3" sqref="A3:J3"/>
      <selection pane="bottomLeft" activeCell="C10" sqref="C10"/>
    </sheetView>
  </sheetViews>
  <sheetFormatPr defaultRowHeight="12.75"/>
  <cols>
    <col min="1" max="1" width="125.7109375" customWidth="1"/>
  </cols>
  <sheetData>
    <row r="1" spans="1:1">
      <c r="A1" s="3" t="s">
        <v>50</v>
      </c>
    </row>
    <row r="2" spans="1:1">
      <c r="A2" s="4"/>
    </row>
    <row r="3" spans="1:1" ht="12.75" customHeight="1">
      <c r="A3" s="19" t="s">
        <v>101</v>
      </c>
    </row>
    <row r="4" spans="1:1" ht="99.95" customHeight="1">
      <c r="A4" s="14"/>
    </row>
    <row r="5" spans="1:1">
      <c r="A5" s="19" t="s">
        <v>102</v>
      </c>
    </row>
    <row r="6" spans="1:1" ht="99.95" customHeight="1">
      <c r="A6" s="14"/>
    </row>
    <row r="7" spans="1:1">
      <c r="A7" s="19" t="s">
        <v>114</v>
      </c>
    </row>
    <row r="8" spans="1:1" ht="99.95" customHeight="1">
      <c r="A8" s="14"/>
    </row>
    <row r="9" spans="1:1">
      <c r="A9" s="19" t="s">
        <v>113</v>
      </c>
    </row>
    <row r="10" spans="1:1" ht="99.95" customHeight="1">
      <c r="A10" s="14"/>
    </row>
    <row r="11" spans="1:1">
      <c r="A11" s="19" t="s">
        <v>112</v>
      </c>
    </row>
    <row r="12" spans="1:1" ht="99.95" customHeight="1">
      <c r="A12" s="20"/>
    </row>
  </sheetData>
  <sheetProtection sheet="1"/>
  <phoneticPr fontId="6" type="noConversion"/>
  <pageMargins left="0.25" right="0.25" top="0.75" bottom="0.75" header="0.3" footer="0.3"/>
  <pageSetup scale="82" fitToHeight="0" orientation="portrait" r:id="rId1"/>
  <headerFooter>
    <oddHeader>&amp;LAppendix I</oddHeader>
    <oddFooter>&amp;L&amp;F&amp;C&amp;A&amp;R&amp;D &amp;T
&amp;P</oddFooter>
  </headerFooter>
</worksheet>
</file>

<file path=xl/worksheets/sheet8.xml><?xml version="1.0" encoding="utf-8"?>
<worksheet xmlns="http://schemas.openxmlformats.org/spreadsheetml/2006/main" xmlns:r="http://schemas.openxmlformats.org/officeDocument/2006/relationships">
  <dimension ref="A1:O15"/>
  <sheetViews>
    <sheetView workbookViewId="0">
      <selection activeCell="A8" sqref="A8"/>
    </sheetView>
  </sheetViews>
  <sheetFormatPr defaultRowHeight="12.75"/>
  <cols>
    <col min="1" max="1" width="12.7109375" style="10" bestFit="1" customWidth="1"/>
    <col min="2" max="2" width="26.5703125" style="10" bestFit="1" customWidth="1"/>
    <col min="3" max="3" width="12.85546875" style="10" bestFit="1" customWidth="1"/>
    <col min="4" max="4" width="22.5703125" style="10" bestFit="1" customWidth="1"/>
    <col min="5" max="5" width="26.28515625" style="10" bestFit="1" customWidth="1"/>
    <col min="6" max="6" width="21.140625" style="10" bestFit="1" customWidth="1"/>
    <col min="7" max="7" width="25.140625" style="10" bestFit="1" customWidth="1"/>
    <col min="8" max="8" width="26.42578125" style="10" bestFit="1" customWidth="1"/>
    <col min="9" max="9" width="21.5703125" style="10" bestFit="1" customWidth="1"/>
    <col min="10" max="10" width="24.85546875" style="10" bestFit="1" customWidth="1"/>
    <col min="11" max="11" width="26.28515625" style="10" bestFit="1" customWidth="1"/>
    <col min="12" max="12" width="23.42578125" style="10" bestFit="1" customWidth="1"/>
    <col min="13" max="13" width="20.7109375" style="10" bestFit="1" customWidth="1"/>
    <col min="14" max="14" width="26.85546875" style="10" bestFit="1" customWidth="1"/>
    <col min="15" max="15" width="20.7109375" style="10" bestFit="1" customWidth="1"/>
    <col min="16" max="16384" width="9.140625" style="10"/>
  </cols>
  <sheetData>
    <row r="1" spans="1:15" s="11" customFormat="1" ht="25.5">
      <c r="A1" s="11" t="s">
        <v>54</v>
      </c>
      <c r="B1" s="11" t="s">
        <v>55</v>
      </c>
      <c r="C1" s="11" t="s">
        <v>56</v>
      </c>
      <c r="D1" s="11" t="s">
        <v>57</v>
      </c>
      <c r="E1" s="11" t="s">
        <v>58</v>
      </c>
      <c r="F1" s="11" t="s">
        <v>59</v>
      </c>
      <c r="G1" s="11" t="s">
        <v>60</v>
      </c>
      <c r="H1" s="11" t="s">
        <v>61</v>
      </c>
      <c r="I1" s="11" t="s">
        <v>62</v>
      </c>
      <c r="J1" s="11" t="s">
        <v>125</v>
      </c>
      <c r="K1" s="11" t="s">
        <v>63</v>
      </c>
      <c r="L1" s="11" t="s">
        <v>64</v>
      </c>
      <c r="M1" s="11" t="s">
        <v>65</v>
      </c>
      <c r="N1" s="11" t="s">
        <v>66</v>
      </c>
      <c r="O1" s="11" t="s">
        <v>88</v>
      </c>
    </row>
    <row r="2" spans="1:15" ht="25.5">
      <c r="A2" s="10" t="s">
        <v>68</v>
      </c>
      <c r="B2" s="10" t="s">
        <v>116</v>
      </c>
      <c r="C2" s="10" t="s">
        <v>123</v>
      </c>
      <c r="D2" s="10" t="s">
        <v>122</v>
      </c>
      <c r="E2" s="10" t="s">
        <v>121</v>
      </c>
      <c r="F2" s="10" t="s">
        <v>77</v>
      </c>
      <c r="G2" s="10" t="s">
        <v>138</v>
      </c>
      <c r="H2" s="10" t="s">
        <v>80</v>
      </c>
      <c r="I2" s="10" t="s">
        <v>74</v>
      </c>
      <c r="J2" s="10" t="s">
        <v>121</v>
      </c>
      <c r="K2" s="10" t="s">
        <v>83</v>
      </c>
      <c r="L2" s="10" t="s">
        <v>77</v>
      </c>
      <c r="M2" s="10" t="s">
        <v>93</v>
      </c>
      <c r="N2" s="10" t="s">
        <v>133</v>
      </c>
      <c r="O2" s="10" t="s">
        <v>89</v>
      </c>
    </row>
    <row r="3" spans="1:15" ht="38.25">
      <c r="A3" s="10" t="s">
        <v>67</v>
      </c>
      <c r="B3" s="10" t="s">
        <v>117</v>
      </c>
      <c r="C3" s="10" t="s">
        <v>70</v>
      </c>
      <c r="D3" s="10" t="s">
        <v>72</v>
      </c>
      <c r="E3" s="10" t="s">
        <v>76</v>
      </c>
      <c r="F3" s="10" t="s">
        <v>78</v>
      </c>
      <c r="G3" s="10" t="s">
        <v>137</v>
      </c>
      <c r="H3" s="10" t="s">
        <v>81</v>
      </c>
      <c r="I3" s="10" t="s">
        <v>76</v>
      </c>
      <c r="J3" s="10" t="s">
        <v>126</v>
      </c>
      <c r="K3" s="10" t="s">
        <v>84</v>
      </c>
      <c r="L3" s="10" t="s">
        <v>78</v>
      </c>
      <c r="M3" s="10" t="s">
        <v>86</v>
      </c>
      <c r="N3" s="10" t="s">
        <v>135</v>
      </c>
      <c r="O3" s="10" t="s">
        <v>90</v>
      </c>
    </row>
    <row r="4" spans="1:15" ht="38.25">
      <c r="A4" s="10" t="s">
        <v>69</v>
      </c>
      <c r="B4" s="10" t="s">
        <v>118</v>
      </c>
      <c r="C4" s="10" t="s">
        <v>71</v>
      </c>
      <c r="D4" s="10" t="s">
        <v>73</v>
      </c>
      <c r="E4" s="10" t="s">
        <v>75</v>
      </c>
      <c r="F4" s="10" t="s">
        <v>79</v>
      </c>
      <c r="G4" s="10" t="s">
        <v>139</v>
      </c>
      <c r="H4" s="10" t="s">
        <v>82</v>
      </c>
      <c r="I4" s="10" t="s">
        <v>75</v>
      </c>
      <c r="J4" s="10" t="s">
        <v>127</v>
      </c>
      <c r="K4" s="10" t="s">
        <v>85</v>
      </c>
      <c r="L4" s="10" t="s">
        <v>79</v>
      </c>
      <c r="M4" s="10" t="s">
        <v>87</v>
      </c>
      <c r="N4" s="10" t="s">
        <v>134</v>
      </c>
      <c r="O4" s="10" t="s">
        <v>91</v>
      </c>
    </row>
    <row r="6" spans="1:15" ht="38.25">
      <c r="A6" s="11" t="s">
        <v>96</v>
      </c>
    </row>
    <row r="7" spans="1:15">
      <c r="A7" s="11" t="s">
        <v>97</v>
      </c>
    </row>
    <row r="8" spans="1:15">
      <c r="A8" s="10" t="s">
        <v>98</v>
      </c>
    </row>
    <row r="9" spans="1:15">
      <c r="A9" s="10" t="s">
        <v>99</v>
      </c>
    </row>
    <row r="12" spans="1:15" ht="25.5">
      <c r="A12" s="11" t="s">
        <v>107</v>
      </c>
      <c r="B12" s="11" t="s">
        <v>120</v>
      </c>
      <c r="D12" s="11" t="s">
        <v>128</v>
      </c>
    </row>
    <row r="13" spans="1:15" ht="25.5">
      <c r="A13" s="10" t="s">
        <v>103</v>
      </c>
      <c r="B13" s="10" t="s">
        <v>98</v>
      </c>
      <c r="D13" s="10" t="s">
        <v>129</v>
      </c>
    </row>
    <row r="14" spans="1:15" ht="25.5">
      <c r="A14" s="10" t="s">
        <v>104</v>
      </c>
      <c r="B14" s="10" t="s">
        <v>99</v>
      </c>
      <c r="D14" s="10" t="s">
        <v>130</v>
      </c>
    </row>
    <row r="15" spans="1:15">
      <c r="A15" s="10" t="s">
        <v>105</v>
      </c>
      <c r="D15" s="10" t="s">
        <v>131</v>
      </c>
    </row>
  </sheetData>
  <sheetProtection sheet="1"/>
  <phoneticPr fontId="6" type="noConversion"/>
  <pageMargins left="0.25" right="0.25" top="0.75" bottom="0.75" header="0.3" footer="0.3"/>
  <pageSetup paperSize="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27</vt:i4>
      </vt:variant>
    </vt:vector>
  </HeadingPairs>
  <TitlesOfParts>
    <vt:vector size="35" baseType="lpstr">
      <vt:lpstr>Instructions</vt:lpstr>
      <vt:lpstr>Information Release</vt:lpstr>
      <vt:lpstr>1. Basic Info</vt:lpstr>
      <vt:lpstr>2. System Complexity</vt:lpstr>
      <vt:lpstr>3. CLINs Requested</vt:lpstr>
      <vt:lpstr>4. Places of Performance</vt:lpstr>
      <vt:lpstr>5. System Information</vt:lpstr>
      <vt:lpstr>Lookups</vt:lpstr>
      <vt:lpstr>accessMethods</vt:lpstr>
      <vt:lpstr>clinsYesNo</vt:lpstr>
      <vt:lpstr>elapsedTime</vt:lpstr>
      <vt:lpstr>fips199Categorization</vt:lpstr>
      <vt:lpstr>numberAppsDBs</vt:lpstr>
      <vt:lpstr>numberDomainsZones</vt:lpstr>
      <vt:lpstr>numberInterconnections</vt:lpstr>
      <vt:lpstr>numberNetworkedDevices</vt:lpstr>
      <vt:lpstr>numberPrivilegedUsers</vt:lpstr>
      <vt:lpstr>numberPrivilegedUserTypes</vt:lpstr>
      <vt:lpstr>numberSecurityBoundaries</vt:lpstr>
      <vt:lpstr>numberSecurityComponents</vt:lpstr>
      <vt:lpstr>numberTechnologies</vt:lpstr>
      <vt:lpstr>numberTypesTraining</vt:lpstr>
      <vt:lpstr>numberUsers</vt:lpstr>
      <vt:lpstr>otherReleaseStatement</vt:lpstr>
      <vt:lpstr>physicalNumberProximity</vt:lpstr>
      <vt:lpstr>'1. Basic Info'!Print_Area</vt:lpstr>
      <vt:lpstr>'2. System Complexity'!Print_Area</vt:lpstr>
      <vt:lpstr>'5. System Information'!Print_Area</vt:lpstr>
      <vt:lpstr>'Information Release'!Print_Area</vt:lpstr>
      <vt:lpstr>Instructions!Print_Area</vt:lpstr>
      <vt:lpstr>Lookups!Print_Area</vt:lpstr>
      <vt:lpstr>releaseStatement</vt:lpstr>
      <vt:lpstr>selectedReleaseStatement</vt:lpstr>
      <vt:lpstr>userConnectMethods</vt:lpstr>
      <vt:lpstr>yesNo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ISSLOB Security Assessment Services Request Form</dc:title>
  <dc:subject>RMF BPAs </dc:subject>
  <dc:creator>US GSA FAS ITS</dc:creator>
  <cp:keywords>cyber security, cybersecurity</cp:keywords>
  <dc:description>Use this form is used to request security assessment services through the ISSLOB RMF Services BPA.  The sheet requests information that will be used by interested vendors to generate quotes and to calculate any discounts that may be available given unique characteristics of the system.</dc:description>
  <cp:lastModifiedBy>Joy Fulton</cp:lastModifiedBy>
  <cp:lastPrinted>2010-05-11T12:28:51Z</cp:lastPrinted>
  <dcterms:created xsi:type="dcterms:W3CDTF">2009-10-08T22:59:21Z</dcterms:created>
  <dcterms:modified xsi:type="dcterms:W3CDTF">2012-12-10T23:26:48Z</dcterms:modified>
</cp:coreProperties>
</file>