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8060" windowHeight="11130"/>
  </bookViews>
  <sheets>
    <sheet name="form Request For Funds" sheetId="1" r:id="rId1"/>
  </sheets>
  <calcPr calcId="145621"/>
</workbook>
</file>

<file path=xl/calcChain.xml><?xml version="1.0" encoding="utf-8"?>
<calcChain xmlns="http://schemas.openxmlformats.org/spreadsheetml/2006/main">
  <c r="E87" i="1" l="1"/>
  <c r="E70" i="1"/>
  <c r="E68" i="1"/>
  <c r="E67" i="1"/>
  <c r="E66" i="1"/>
  <c r="B63" i="1"/>
  <c r="E53" i="1"/>
</calcChain>
</file>

<file path=xl/sharedStrings.xml><?xml version="1.0" encoding="utf-8"?>
<sst xmlns="http://schemas.openxmlformats.org/spreadsheetml/2006/main" count="62" uniqueCount="51">
  <si>
    <t>Texas Science, Technology, Engineering, and</t>
  </si>
  <si>
    <t>Mathematics (T-STEM) Challenge Scholarship Program</t>
  </si>
  <si>
    <t>Request for Funds</t>
  </si>
  <si>
    <r>
      <t>Name of Institution</t>
    </r>
    <r>
      <rPr>
        <b/>
        <sz val="11"/>
        <color indexed="8"/>
        <rFont val="Tahoma"/>
        <family val="2"/>
      </rPr>
      <t>:</t>
    </r>
  </si>
  <si>
    <t>T-STEM Program Director</t>
  </si>
  <si>
    <t>Name:</t>
  </si>
  <si>
    <t>Title:</t>
  </si>
  <si>
    <t>Phone:</t>
  </si>
  <si>
    <t>Email:</t>
  </si>
  <si>
    <t>Individual certifying and submitting the Request for Funds information</t>
  </si>
  <si>
    <t>Department:</t>
  </si>
  <si>
    <t>NOTE:</t>
  </si>
  <si>
    <t>The spread sheet is populated with example data.</t>
  </si>
  <si>
    <t>Please overwrite example data with institution's data.</t>
  </si>
  <si>
    <t>CIP Code</t>
  </si>
  <si>
    <t>Instructional Program Name</t>
  </si>
  <si>
    <t>Number of Students</t>
  </si>
  <si>
    <t xml:space="preserve">Computer and Information Sciences and Support Services </t>
  </si>
  <si>
    <t xml:space="preserve">Engineering </t>
  </si>
  <si>
    <t xml:space="preserve">Engineering Technologies/Technicians </t>
  </si>
  <si>
    <t xml:space="preserve">Biological Sciences </t>
  </si>
  <si>
    <t xml:space="preserve">Mathematics and Statics </t>
  </si>
  <si>
    <t xml:space="preserve">Physical Sciences </t>
  </si>
  <si>
    <t xml:space="preserve">Multi/Interdisciplinary Studies, Biological and Physical Sciences </t>
  </si>
  <si>
    <t xml:space="preserve">Health Services/Allied health/Health Sciences, General </t>
  </si>
  <si>
    <t xml:space="preserve">Dental Support Services and Allied Professions </t>
  </si>
  <si>
    <t xml:space="preserve">Allied health and Medical Assisting Services </t>
  </si>
  <si>
    <t xml:space="preserve">Allied Health Diagnostic, Intervention, and Treatment Professions </t>
  </si>
  <si>
    <t xml:space="preserve">Clinical/Medical laboratory Science/Research and Allied Health Professions </t>
  </si>
  <si>
    <t xml:space="preserve">Health/Medical Preparatory Programs </t>
  </si>
  <si>
    <t xml:space="preserve">Ophthalmic and Optometric Support Services and Allied Professions </t>
  </si>
  <si>
    <t xml:space="preserve">Rehabilitation and Therapeutic Professions </t>
  </si>
  <si>
    <t>sum:</t>
  </si>
  <si>
    <t>Budget:</t>
  </si>
  <si>
    <t>n</t>
  </si>
  <si>
    <t xml:space="preserve">    additional line itmes as necessary</t>
  </si>
  <si>
    <t>Subtract Fist Installment of Funds Received:</t>
  </si>
  <si>
    <t>Requested Funds for 2nd Installment:</t>
  </si>
  <si>
    <t>Expected Total Expenditures:</t>
  </si>
  <si>
    <t>Budget Justification:</t>
  </si>
  <si>
    <t>(Describe issues that may have caused the budget to be off-target.)</t>
  </si>
  <si>
    <t>Matching funds:</t>
  </si>
  <si>
    <t>(List any matching funds the institution expended on this project.)</t>
  </si>
  <si>
    <t>Cells containing formulas are shaded grey and should not be changed.</t>
  </si>
  <si>
    <t>Prior to receiving the full award amount, by October 1, 2013, Awarded Applicant for T-STEM 2013 shall submit to Texas Higher Education Coordinating Board (THECB) an updated list of number of scholarship recipients for fall 2013, together with an updated budget (Request for Application, bullet 14, “Payment for Services”).</t>
  </si>
  <si>
    <t>Institution's T-STEM 2013 Award (total):</t>
  </si>
  <si>
    <t>Administration for T-STEM 2013:</t>
  </si>
  <si>
    <t>Scholarship Funds Accrued for Fall 2013:</t>
  </si>
  <si>
    <r>
      <t xml:space="preserve">Scholarship Funds </t>
    </r>
    <r>
      <rPr>
        <i/>
        <sz val="11"/>
        <color indexed="8"/>
        <rFont val="Tahoma"/>
        <family val="2"/>
      </rPr>
      <t>Estimated</t>
    </r>
    <r>
      <rPr>
        <sz val="11"/>
        <color indexed="8"/>
        <rFont val="Tahoma"/>
        <family val="2"/>
      </rPr>
      <t xml:space="preserve"> Spring 2014:</t>
    </r>
  </si>
  <si>
    <r>
      <t xml:space="preserve">Scholarship Funds </t>
    </r>
    <r>
      <rPr>
        <i/>
        <sz val="11"/>
        <color indexed="8"/>
        <rFont val="Tahoma"/>
        <family val="2"/>
      </rPr>
      <t>Estimated</t>
    </r>
    <r>
      <rPr>
        <sz val="11"/>
        <color indexed="8"/>
        <rFont val="Tahoma"/>
        <family val="2"/>
      </rPr>
      <t xml:space="preserve"> Summer 2014:</t>
    </r>
  </si>
  <si>
    <r>
      <t xml:space="preserve">Number of students </t>
    </r>
    <r>
      <rPr>
        <b/>
        <i/>
        <u/>
        <sz val="11"/>
        <color indexed="8"/>
        <rFont val="Tahoma"/>
        <family val="2"/>
      </rPr>
      <t>that received a T-STEM Scholarship in fall 2013:</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</si>
</sst>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0_);[Red]\(&quot;$&quot;#,##0\)"/>
  </numFmts>
  <fonts count="13" x14ac:knownFonts="1">
    <font>
      <sz val="11"/>
      <color theme="1"/>
      <name val="Calibri"/>
      <family val="2"/>
      <scheme val="minor"/>
    </font>
    <font>
      <sz val="11"/>
      <color indexed="8"/>
      <name val="Tahoma"/>
      <family val="2"/>
    </font>
    <font>
      <i/>
      <sz val="11"/>
      <color indexed="8"/>
      <name val="Tahoma"/>
      <family val="2"/>
    </font>
    <font>
      <b/>
      <sz val="11"/>
      <color indexed="8"/>
      <name val="Tahoma"/>
      <family val="2"/>
    </font>
    <font>
      <b/>
      <i/>
      <u/>
      <sz val="11"/>
      <color indexed="8"/>
      <name val="Tahoma"/>
      <family val="2"/>
    </font>
    <font>
      <sz val="11"/>
      <color theme="1"/>
      <name val="Tahoma"/>
      <family val="2"/>
    </font>
    <font>
      <b/>
      <sz val="12"/>
      <color theme="1"/>
      <name val="Tahoma"/>
      <family val="2"/>
    </font>
    <font>
      <b/>
      <sz val="11"/>
      <color theme="1"/>
      <name val="Tahoma"/>
      <family val="2"/>
    </font>
    <font>
      <b/>
      <u/>
      <sz val="11"/>
      <color theme="1"/>
      <name val="Tahoma"/>
      <family val="2"/>
    </font>
    <font>
      <sz val="10"/>
      <color theme="1"/>
      <name val="Tahoma"/>
      <family val="2"/>
    </font>
    <font>
      <i/>
      <sz val="11"/>
      <color theme="1"/>
      <name val="Tahoma"/>
      <family val="2"/>
    </font>
    <font>
      <sz val="14"/>
      <color theme="1"/>
      <name val="Calibri"/>
      <family val="2"/>
      <scheme val="minor"/>
    </font>
    <font>
      <b/>
      <i/>
      <u/>
      <sz val="11"/>
      <color theme="1"/>
      <name val="Tahoma"/>
      <family val="2"/>
    </font>
  </fonts>
  <fills count="3">
    <fill>
      <patternFill patternType="none"/>
    </fill>
    <fill>
      <patternFill patternType="gray125"/>
    </fill>
    <fill>
      <patternFill patternType="solid">
        <fgColor theme="0" tint="-0.14999847407452621"/>
        <bgColor indexed="64"/>
      </patternFill>
    </fill>
  </fills>
  <borders count="37">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thin">
        <color indexed="64"/>
      </top>
      <bottom/>
      <diagonal/>
    </border>
    <border>
      <left/>
      <right/>
      <top style="hair">
        <color indexed="64"/>
      </top>
      <bottom style="hair">
        <color indexed="64"/>
      </bottom>
      <diagonal/>
    </border>
    <border>
      <left/>
      <right/>
      <top style="hair">
        <color indexed="64"/>
      </top>
      <bottom/>
      <diagonal/>
    </border>
    <border>
      <left/>
      <right/>
      <top/>
      <bottom style="hair">
        <color indexed="64"/>
      </bottom>
      <diagonal/>
    </border>
    <border>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diagonal/>
    </border>
    <border>
      <left style="thin">
        <color indexed="64"/>
      </left>
      <right style="medium">
        <color indexed="64"/>
      </right>
      <top/>
      <bottom/>
      <diagonal/>
    </border>
    <border>
      <left style="medium">
        <color indexed="64"/>
      </left>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diagonal/>
    </border>
    <border>
      <left style="thin">
        <color indexed="64"/>
      </left>
      <right style="medium">
        <color indexed="64"/>
      </right>
      <top style="thin">
        <color indexed="64"/>
      </top>
      <bottom/>
      <diagonal/>
    </border>
    <border>
      <left/>
      <right/>
      <top/>
      <bottom style="thin">
        <color indexed="64"/>
      </bottom>
      <diagonal/>
    </border>
    <border>
      <left/>
      <right/>
      <top style="double">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double">
        <color indexed="64"/>
      </top>
      <bottom/>
      <diagonal/>
    </border>
    <border>
      <left/>
      <right/>
      <top style="thin">
        <color indexed="64"/>
      </top>
      <bottom style="medium">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s>
  <cellStyleXfs count="1">
    <xf numFmtId="0" fontId="0" fillId="0" borderId="0"/>
  </cellStyleXfs>
  <cellXfs count="138">
    <xf numFmtId="0" fontId="0" fillId="0" borderId="0" xfId="0"/>
    <xf numFmtId="0" fontId="5" fillId="0" borderId="0" xfId="0" applyFont="1"/>
    <xf numFmtId="0" fontId="5" fillId="0" borderId="0" xfId="0" applyFont="1" applyBorder="1"/>
    <xf numFmtId="0" fontId="5" fillId="0" borderId="1" xfId="0" applyFont="1" applyBorder="1"/>
    <xf numFmtId="0" fontId="5" fillId="0" borderId="2" xfId="0" applyFont="1" applyBorder="1"/>
    <xf numFmtId="0" fontId="5" fillId="0" borderId="3" xfId="0" applyFont="1" applyBorder="1"/>
    <xf numFmtId="0" fontId="5" fillId="0" borderId="4" xfId="0" applyFont="1" applyBorder="1"/>
    <xf numFmtId="0" fontId="5" fillId="0" borderId="5" xfId="0" applyFont="1" applyBorder="1"/>
    <xf numFmtId="0" fontId="5" fillId="0" borderId="6" xfId="0" applyFont="1" applyBorder="1"/>
    <xf numFmtId="0" fontId="5" fillId="0" borderId="7" xfId="0" applyFont="1" applyBorder="1"/>
    <xf numFmtId="0" fontId="5" fillId="0" borderId="8" xfId="0" applyFont="1" applyBorder="1"/>
    <xf numFmtId="0" fontId="6" fillId="0" borderId="1" xfId="0" applyFont="1" applyBorder="1" applyAlignment="1">
      <alignment horizontal="center"/>
    </xf>
    <xf numFmtId="0" fontId="6" fillId="0" borderId="0" xfId="0" applyFont="1" applyBorder="1" applyAlignment="1">
      <alignment horizontal="center"/>
    </xf>
    <xf numFmtId="0" fontId="7" fillId="0" borderId="0" xfId="0" applyFont="1" applyAlignment="1">
      <alignment horizontal="center" vertical="center"/>
    </xf>
    <xf numFmtId="0" fontId="7" fillId="0" borderId="0" xfId="0" applyFont="1" applyAlignment="1">
      <alignment horizontal="center"/>
    </xf>
    <xf numFmtId="0" fontId="0" fillId="0" borderId="0" xfId="0" applyBorder="1"/>
    <xf numFmtId="0" fontId="5" fillId="0" borderId="0" xfId="0" applyFont="1" applyBorder="1" applyAlignment="1">
      <alignment vertical="center"/>
    </xf>
    <xf numFmtId="0" fontId="5" fillId="0" borderId="0" xfId="0" applyFont="1" applyBorder="1"/>
    <xf numFmtId="0" fontId="5" fillId="0" borderId="1" xfId="0" applyFont="1" applyBorder="1"/>
    <xf numFmtId="0" fontId="5" fillId="0" borderId="2" xfId="0" applyFont="1" applyBorder="1"/>
    <xf numFmtId="0" fontId="5" fillId="0" borderId="4" xfId="0" applyFont="1" applyBorder="1" applyAlignment="1">
      <alignment vertical="center"/>
    </xf>
    <xf numFmtId="0" fontId="5" fillId="0" borderId="3" xfId="0" applyFont="1" applyBorder="1"/>
    <xf numFmtId="0" fontId="5" fillId="0" borderId="5" xfId="0" applyFont="1" applyBorder="1"/>
    <xf numFmtId="0" fontId="5" fillId="0" borderId="6" xfId="0" applyFont="1" applyBorder="1"/>
    <xf numFmtId="0" fontId="5" fillId="0" borderId="7" xfId="0" applyFont="1" applyBorder="1"/>
    <xf numFmtId="0" fontId="8" fillId="0" borderId="8" xfId="0" applyFont="1" applyBorder="1" applyAlignment="1">
      <alignment vertical="center"/>
    </xf>
    <xf numFmtId="0" fontId="5" fillId="0" borderId="9" xfId="0" applyFont="1" applyBorder="1"/>
    <xf numFmtId="0" fontId="8" fillId="0" borderId="4" xfId="0" applyFont="1" applyBorder="1" applyAlignment="1">
      <alignment vertical="center"/>
    </xf>
    <xf numFmtId="0" fontId="0" fillId="0" borderId="1" xfId="0" applyBorder="1"/>
    <xf numFmtId="0" fontId="5" fillId="0" borderId="0" xfId="0" applyFont="1" applyBorder="1"/>
    <xf numFmtId="0" fontId="5" fillId="0" borderId="1" xfId="0" applyFont="1" applyBorder="1"/>
    <xf numFmtId="0" fontId="5" fillId="0" borderId="2" xfId="0" applyFont="1" applyBorder="1"/>
    <xf numFmtId="0" fontId="5" fillId="0" borderId="3" xfId="0" applyFont="1" applyBorder="1"/>
    <xf numFmtId="0" fontId="5" fillId="0" borderId="4" xfId="0" applyFont="1" applyBorder="1"/>
    <xf numFmtId="0" fontId="5" fillId="0" borderId="5" xfId="0" applyFont="1" applyBorder="1"/>
    <xf numFmtId="0" fontId="5" fillId="0" borderId="6" xfId="0" applyFont="1" applyBorder="1"/>
    <xf numFmtId="0" fontId="5" fillId="0" borderId="7" xfId="0" applyFont="1" applyBorder="1"/>
    <xf numFmtId="0" fontId="7" fillId="0" borderId="8" xfId="0" applyFont="1" applyBorder="1"/>
    <xf numFmtId="0" fontId="7" fillId="0" borderId="4" xfId="0" applyFont="1" applyBorder="1"/>
    <xf numFmtId="0" fontId="5" fillId="2" borderId="0" xfId="0" applyFont="1" applyFill="1" applyBorder="1"/>
    <xf numFmtId="0" fontId="5" fillId="0" borderId="9" xfId="0" applyFont="1" applyBorder="1" applyAlignment="1">
      <alignment horizontal="right" vertical="center"/>
    </xf>
    <xf numFmtId="0" fontId="5" fillId="0" borderId="0" xfId="0" applyFont="1" applyBorder="1"/>
    <xf numFmtId="0" fontId="5" fillId="0" borderId="1" xfId="0" applyFont="1" applyBorder="1"/>
    <xf numFmtId="0" fontId="5" fillId="0" borderId="2" xfId="0" applyFont="1" applyBorder="1"/>
    <xf numFmtId="0" fontId="5" fillId="0" borderId="3" xfId="0" applyFont="1" applyBorder="1"/>
    <xf numFmtId="0" fontId="5" fillId="0" borderId="5" xfId="0" applyFont="1" applyBorder="1"/>
    <xf numFmtId="0" fontId="5" fillId="0" borderId="6" xfId="0" applyFont="1" applyBorder="1"/>
    <xf numFmtId="0" fontId="5" fillId="0" borderId="7" xfId="0" applyFont="1" applyBorder="1"/>
    <xf numFmtId="0" fontId="5" fillId="0" borderId="4" xfId="0" applyFont="1" applyBorder="1" applyAlignment="1">
      <alignment horizontal="center" vertical="center"/>
    </xf>
    <xf numFmtId="0" fontId="9" fillId="0" borderId="10" xfId="0" applyFont="1" applyBorder="1" applyAlignment="1">
      <alignment vertical="center"/>
    </xf>
    <xf numFmtId="0" fontId="9" fillId="0" borderId="11" xfId="0" applyFont="1" applyBorder="1" applyAlignment="1">
      <alignment vertical="center"/>
    </xf>
    <xf numFmtId="0" fontId="5" fillId="0" borderId="12" xfId="0" applyFont="1" applyBorder="1"/>
    <xf numFmtId="0" fontId="5" fillId="0" borderId="10" xfId="0" applyFont="1" applyBorder="1"/>
    <xf numFmtId="0" fontId="5" fillId="0" borderId="11" xfId="0" applyFont="1" applyBorder="1"/>
    <xf numFmtId="0" fontId="9" fillId="0" borderId="13" xfId="0" applyFont="1" applyBorder="1" applyAlignment="1">
      <alignment vertical="center"/>
    </xf>
    <xf numFmtId="0" fontId="5" fillId="0" borderId="9" xfId="0" applyFont="1" applyBorder="1"/>
    <xf numFmtId="0" fontId="8" fillId="0" borderId="4" xfId="0" applyFont="1" applyBorder="1" applyAlignment="1">
      <alignment vertic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4" xfId="0" applyBorder="1"/>
    <xf numFmtId="0" fontId="5" fillId="0" borderId="17" xfId="0" applyFont="1" applyBorder="1" applyAlignment="1">
      <alignment horizontal="center" vertical="center" wrapText="1"/>
    </xf>
    <xf numFmtId="0" fontId="5" fillId="0" borderId="0" xfId="0" applyFont="1" applyBorder="1" applyAlignment="1">
      <alignment horizontal="center" vertical="center"/>
    </xf>
    <xf numFmtId="0" fontId="5" fillId="0" borderId="0" xfId="0" applyFont="1" applyBorder="1" applyAlignment="1">
      <alignment horizont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2" borderId="21" xfId="0" applyFont="1" applyFill="1" applyBorder="1" applyAlignment="1" applyProtection="1">
      <alignment horizontal="center" vertical="center"/>
    </xf>
    <xf numFmtId="0" fontId="5" fillId="0" borderId="9" xfId="0" applyFont="1" applyBorder="1" applyAlignment="1">
      <alignment vertical="center"/>
    </xf>
    <xf numFmtId="0" fontId="5" fillId="0" borderId="0" xfId="0" applyFont="1" applyBorder="1" applyAlignment="1">
      <alignment vertical="center"/>
    </xf>
    <xf numFmtId="0" fontId="5" fillId="0" borderId="22" xfId="0" applyFont="1" applyBorder="1" applyAlignment="1">
      <alignment vertical="center"/>
    </xf>
    <xf numFmtId="0" fontId="5" fillId="0" borderId="0" xfId="0" applyFont="1" applyBorder="1"/>
    <xf numFmtId="0" fontId="5" fillId="0" borderId="23" xfId="0" applyFont="1" applyBorder="1"/>
    <xf numFmtId="0" fontId="5" fillId="0" borderId="1" xfId="0" applyFont="1" applyBorder="1"/>
    <xf numFmtId="0" fontId="5" fillId="0" borderId="2" xfId="0" applyFont="1" applyBorder="1"/>
    <xf numFmtId="0" fontId="5" fillId="0" borderId="4" xfId="0" applyFont="1" applyBorder="1" applyAlignment="1">
      <alignment vertical="center"/>
    </xf>
    <xf numFmtId="0" fontId="5" fillId="0" borderId="3" xfId="0" applyFont="1" applyBorder="1"/>
    <xf numFmtId="0" fontId="5" fillId="0" borderId="4" xfId="0" applyFont="1" applyBorder="1"/>
    <xf numFmtId="0" fontId="7" fillId="0" borderId="0" xfId="0" applyFont="1" applyBorder="1"/>
    <xf numFmtId="6" fontId="7" fillId="0" borderId="3" xfId="0" applyNumberFormat="1" applyFont="1" applyBorder="1"/>
    <xf numFmtId="0" fontId="10" fillId="0" borderId="4" xfId="0" applyFont="1" applyBorder="1" applyAlignment="1">
      <alignment horizontal="center"/>
    </xf>
    <xf numFmtId="38" fontId="5" fillId="0" borderId="3" xfId="0" applyNumberFormat="1" applyFont="1" applyBorder="1"/>
    <xf numFmtId="0" fontId="5" fillId="0" borderId="24" xfId="0" applyFont="1" applyBorder="1"/>
    <xf numFmtId="6" fontId="5" fillId="0" borderId="25" xfId="0" applyNumberFormat="1" applyFont="1" applyBorder="1" applyAlignment="1">
      <alignment vertical="center"/>
    </xf>
    <xf numFmtId="0" fontId="5" fillId="0" borderId="4" xfId="0" applyFont="1" applyBorder="1" applyAlignment="1">
      <alignment horizontal="center" vertical="center"/>
    </xf>
    <xf numFmtId="6" fontId="5" fillId="0" borderId="3" xfId="0" applyNumberFormat="1" applyFont="1" applyBorder="1" applyAlignment="1">
      <alignment vertical="center"/>
    </xf>
    <xf numFmtId="0" fontId="5" fillId="0" borderId="26" xfId="0" applyFont="1" applyBorder="1" applyAlignment="1">
      <alignment horizontal="center" vertical="center"/>
    </xf>
    <xf numFmtId="6" fontId="5" fillId="0" borderId="27" xfId="0" applyNumberFormat="1" applyFont="1" applyBorder="1" applyAlignment="1">
      <alignment vertical="center"/>
    </xf>
    <xf numFmtId="0" fontId="5" fillId="0" borderId="4" xfId="0" applyFont="1" applyBorder="1" applyAlignment="1">
      <alignment horizontal="center"/>
    </xf>
    <xf numFmtId="0" fontId="5" fillId="0" borderId="28" xfId="0" applyFont="1" applyBorder="1"/>
    <xf numFmtId="0" fontId="5" fillId="0" borderId="5" xfId="0" applyFont="1" applyBorder="1" applyAlignment="1">
      <alignment vertical="center"/>
    </xf>
    <xf numFmtId="0" fontId="7" fillId="0" borderId="0" xfId="0" applyFont="1" applyBorder="1" applyAlignment="1">
      <alignment vertical="center"/>
    </xf>
    <xf numFmtId="0" fontId="5" fillId="0" borderId="29" xfId="0" applyFont="1" applyBorder="1"/>
    <xf numFmtId="0" fontId="8" fillId="0" borderId="8" xfId="0" applyFont="1" applyBorder="1"/>
    <xf numFmtId="0" fontId="7" fillId="0" borderId="30" xfId="0" applyFont="1" applyBorder="1"/>
    <xf numFmtId="0" fontId="5" fillId="0" borderId="30" xfId="0" applyFont="1" applyBorder="1"/>
    <xf numFmtId="0" fontId="5" fillId="0" borderId="31" xfId="0" applyFont="1" applyBorder="1" applyAlignment="1">
      <alignment vertical="center"/>
    </xf>
    <xf numFmtId="0" fontId="5" fillId="0" borderId="32" xfId="0" applyFont="1" applyBorder="1"/>
    <xf numFmtId="0" fontId="5" fillId="0" borderId="30" xfId="0" applyFont="1" applyBorder="1" applyAlignment="1">
      <alignment horizontal="right" vertical="center"/>
    </xf>
    <xf numFmtId="0" fontId="5" fillId="0" borderId="33" xfId="0" applyFont="1" applyBorder="1" applyAlignment="1">
      <alignment horizontal="right" vertical="center"/>
    </xf>
    <xf numFmtId="6" fontId="5" fillId="2" borderId="3" xfId="0" applyNumberFormat="1" applyFont="1" applyFill="1" applyBorder="1" applyAlignment="1">
      <alignment vertical="center"/>
    </xf>
    <xf numFmtId="0" fontId="5" fillId="2" borderId="4" xfId="0" applyFont="1" applyFill="1" applyBorder="1" applyAlignment="1" applyProtection="1">
      <alignment horizontal="center" vertical="center"/>
    </xf>
    <xf numFmtId="6" fontId="7" fillId="2" borderId="25" xfId="0" applyNumberFormat="1" applyFont="1" applyFill="1" applyBorder="1" applyAlignment="1" applyProtection="1">
      <alignment vertical="center"/>
    </xf>
    <xf numFmtId="6" fontId="5" fillId="2" borderId="34" xfId="0" applyNumberFormat="1" applyFont="1" applyFill="1" applyBorder="1" applyProtection="1"/>
    <xf numFmtId="0" fontId="5" fillId="0" borderId="30" xfId="0" applyFont="1" applyBorder="1" applyAlignment="1">
      <alignment vertical="center"/>
    </xf>
    <xf numFmtId="0" fontId="0" fillId="0" borderId="0" xfId="0"/>
    <xf numFmtId="0" fontId="5" fillId="0" borderId="0" xfId="0" applyFont="1" applyBorder="1"/>
    <xf numFmtId="0" fontId="5" fillId="0" borderId="1" xfId="0" applyFont="1" applyBorder="1"/>
    <xf numFmtId="0" fontId="5" fillId="0" borderId="2" xfId="0" applyFont="1" applyBorder="1"/>
    <xf numFmtId="0" fontId="5" fillId="0" borderId="4" xfId="0" applyFont="1" applyBorder="1"/>
    <xf numFmtId="0" fontId="5" fillId="0" borderId="5" xfId="0" applyFont="1" applyBorder="1"/>
    <xf numFmtId="0" fontId="5" fillId="0" borderId="6" xfId="0" applyFont="1" applyBorder="1"/>
    <xf numFmtId="0" fontId="5" fillId="0" borderId="7" xfId="0" applyFont="1" applyBorder="1"/>
    <xf numFmtId="0" fontId="5" fillId="0" borderId="24" xfId="0" applyFont="1" applyBorder="1"/>
    <xf numFmtId="0" fontId="8" fillId="0" borderId="8" xfId="0" applyFont="1" applyBorder="1" applyAlignment="1">
      <alignment vertical="center"/>
    </xf>
    <xf numFmtId="0" fontId="8" fillId="0" borderId="8" xfId="0" applyFont="1" applyBorder="1"/>
    <xf numFmtId="0" fontId="5" fillId="0" borderId="33" xfId="0" applyFont="1" applyBorder="1" applyAlignment="1">
      <alignment horizontal="right" vertical="center"/>
    </xf>
    <xf numFmtId="0" fontId="5" fillId="0" borderId="9" xfId="0" applyFont="1" applyBorder="1"/>
    <xf numFmtId="0" fontId="5" fillId="2" borderId="0" xfId="0" applyFont="1" applyFill="1" applyBorder="1"/>
    <xf numFmtId="6" fontId="5" fillId="2" borderId="35" xfId="0" applyNumberFormat="1" applyFont="1" applyFill="1" applyBorder="1" applyAlignment="1">
      <alignment vertical="center"/>
    </xf>
    <xf numFmtId="6" fontId="5" fillId="0" borderId="2" xfId="0" applyNumberFormat="1" applyFont="1" applyBorder="1"/>
    <xf numFmtId="6" fontId="5" fillId="0" borderId="3" xfId="0" applyNumberFormat="1" applyFont="1" applyBorder="1"/>
    <xf numFmtId="6" fontId="5" fillId="0" borderId="17" xfId="0" applyNumberFormat="1" applyFont="1" applyBorder="1"/>
    <xf numFmtId="6" fontId="5" fillId="0" borderId="36" xfId="0" applyNumberFormat="1" applyFont="1" applyBorder="1"/>
    <xf numFmtId="0" fontId="5" fillId="0" borderId="4" xfId="0" applyFont="1" applyBorder="1" applyAlignment="1">
      <alignment wrapText="1"/>
    </xf>
    <xf numFmtId="0" fontId="5" fillId="0" borderId="0" xfId="0" applyFont="1" applyBorder="1" applyAlignment="1">
      <alignment wrapText="1"/>
    </xf>
    <xf numFmtId="0" fontId="5" fillId="0" borderId="3" xfId="0" applyFont="1" applyBorder="1" applyAlignment="1">
      <alignment wrapText="1"/>
    </xf>
    <xf numFmtId="0" fontId="10" fillId="0" borderId="24" xfId="0" applyFont="1" applyBorder="1" applyAlignment="1">
      <alignment vertical="center"/>
    </xf>
    <xf numFmtId="0" fontId="0" fillId="0" borderId="9" xfId="0" applyBorder="1" applyAlignment="1"/>
    <xf numFmtId="0" fontId="11" fillId="0" borderId="22" xfId="0" applyFont="1" applyBorder="1" applyAlignment="1">
      <alignment horizontal="left"/>
    </xf>
    <xf numFmtId="0" fontId="5" fillId="0" borderId="4" xfId="0" applyFont="1" applyBorder="1" applyAlignment="1">
      <alignment vertical="top" wrapText="1"/>
    </xf>
    <xf numFmtId="0" fontId="0" fillId="0" borderId="0" xfId="0"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12" fillId="0" borderId="8"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88"/>
  <sheetViews>
    <sheetView tabSelected="1" topLeftCell="A16" workbookViewId="0">
      <selection activeCell="G31" sqref="G31"/>
    </sheetView>
  </sheetViews>
  <sheetFormatPr defaultRowHeight="14.25" x14ac:dyDescent="0.2"/>
  <cols>
    <col min="1" max="1" width="3.42578125" style="1" customWidth="1"/>
    <col min="2" max="2" width="9.140625" style="1"/>
    <col min="3" max="3" width="61.140625" style="1" bestFit="1" customWidth="1"/>
    <col min="4" max="4" width="9.140625" style="1"/>
    <col min="5" max="5" width="13" style="1" bestFit="1" customWidth="1"/>
    <col min="6" max="16384" width="9.140625" style="1"/>
  </cols>
  <sheetData>
    <row r="1" spans="2:5" x14ac:dyDescent="0.2">
      <c r="C1" s="13" t="s">
        <v>0</v>
      </c>
    </row>
    <row r="2" spans="2:5" x14ac:dyDescent="0.2">
      <c r="C2" s="13" t="s">
        <v>1</v>
      </c>
    </row>
    <row r="3" spans="2:5" x14ac:dyDescent="0.2">
      <c r="C3" s="14">
        <v>2013</v>
      </c>
    </row>
    <row r="4" spans="2:5" ht="15" thickBot="1" x14ac:dyDescent="0.25"/>
    <row r="5" spans="2:5" ht="15" x14ac:dyDescent="0.2">
      <c r="B5" s="10"/>
      <c r="C5" s="11" t="s">
        <v>2</v>
      </c>
      <c r="D5" s="3"/>
      <c r="E5" s="4"/>
    </row>
    <row r="6" spans="2:5" ht="15" x14ac:dyDescent="0.2">
      <c r="B6" s="6"/>
      <c r="C6" s="12"/>
      <c r="D6" s="2"/>
      <c r="E6" s="5"/>
    </row>
    <row r="7" spans="2:5" x14ac:dyDescent="0.2">
      <c r="B7" s="124" t="s">
        <v>44</v>
      </c>
      <c r="C7" s="125"/>
      <c r="D7" s="125"/>
      <c r="E7" s="126"/>
    </row>
    <row r="8" spans="2:5" x14ac:dyDescent="0.2">
      <c r="B8" s="124"/>
      <c r="C8" s="125"/>
      <c r="D8" s="125"/>
      <c r="E8" s="126"/>
    </row>
    <row r="9" spans="2:5" x14ac:dyDescent="0.2">
      <c r="B9" s="124"/>
      <c r="C9" s="125"/>
      <c r="D9" s="125"/>
      <c r="E9" s="126"/>
    </row>
    <row r="10" spans="2:5" x14ac:dyDescent="0.2">
      <c r="B10" s="124"/>
      <c r="C10" s="125"/>
      <c r="D10" s="125"/>
      <c r="E10" s="126"/>
    </row>
    <row r="11" spans="2:5" ht="15" thickBot="1" x14ac:dyDescent="0.25">
      <c r="B11" s="7"/>
      <c r="C11" s="8"/>
      <c r="D11" s="8"/>
      <c r="E11" s="9"/>
    </row>
    <row r="12" spans="2:5" ht="15" thickBot="1" x14ac:dyDescent="0.25"/>
    <row r="13" spans="2:5" ht="15" x14ac:dyDescent="0.25">
      <c r="B13" s="25" t="s">
        <v>3</v>
      </c>
      <c r="C13" s="28"/>
      <c r="D13" s="18"/>
      <c r="E13" s="19"/>
    </row>
    <row r="14" spans="2:5" ht="18.75" x14ac:dyDescent="0.3">
      <c r="B14" s="27"/>
      <c r="C14" s="129"/>
      <c r="D14" s="129"/>
      <c r="E14" s="21"/>
    </row>
    <row r="15" spans="2:5" ht="15" x14ac:dyDescent="0.25">
      <c r="B15" s="20"/>
      <c r="C15" s="15"/>
      <c r="D15" s="17"/>
      <c r="E15" s="21"/>
    </row>
    <row r="16" spans="2:5" ht="15" x14ac:dyDescent="0.25">
      <c r="B16" s="127" t="s">
        <v>4</v>
      </c>
      <c r="C16" s="128"/>
      <c r="D16" s="26"/>
      <c r="E16" s="21"/>
    </row>
    <row r="17" spans="2:5" ht="15" x14ac:dyDescent="0.25">
      <c r="B17" s="20" t="s">
        <v>5</v>
      </c>
      <c r="C17" s="15"/>
      <c r="D17" s="17"/>
      <c r="E17" s="21"/>
    </row>
    <row r="18" spans="2:5" ht="15" x14ac:dyDescent="0.25">
      <c r="B18" s="20" t="s">
        <v>6</v>
      </c>
      <c r="C18" s="15"/>
      <c r="D18" s="17"/>
      <c r="E18" s="21"/>
    </row>
    <row r="19" spans="2:5" x14ac:dyDescent="0.2">
      <c r="B19" s="20" t="s">
        <v>7</v>
      </c>
      <c r="C19" s="16"/>
      <c r="D19" s="17"/>
      <c r="E19" s="21"/>
    </row>
    <row r="20" spans="2:5" ht="15" x14ac:dyDescent="0.25">
      <c r="B20" s="20" t="s">
        <v>8</v>
      </c>
      <c r="C20" s="15"/>
      <c r="D20" s="17"/>
      <c r="E20" s="21"/>
    </row>
    <row r="21" spans="2:5" ht="15" x14ac:dyDescent="0.25">
      <c r="B21" s="20"/>
      <c r="C21" s="15"/>
      <c r="D21" s="17"/>
      <c r="E21" s="21"/>
    </row>
    <row r="22" spans="2:5" ht="15" x14ac:dyDescent="0.25">
      <c r="B22" s="127" t="s">
        <v>9</v>
      </c>
      <c r="C22" s="128"/>
      <c r="D22" s="26"/>
      <c r="E22" s="21"/>
    </row>
    <row r="23" spans="2:5" ht="15" x14ac:dyDescent="0.25">
      <c r="B23" s="20" t="s">
        <v>5</v>
      </c>
      <c r="C23" s="15"/>
      <c r="D23" s="17"/>
      <c r="E23" s="21"/>
    </row>
    <row r="24" spans="2:5" ht="15" x14ac:dyDescent="0.25">
      <c r="B24" s="20" t="s">
        <v>6</v>
      </c>
      <c r="C24" s="15"/>
      <c r="D24" s="17"/>
      <c r="E24" s="21"/>
    </row>
    <row r="25" spans="2:5" ht="15" x14ac:dyDescent="0.25">
      <c r="B25" s="20" t="s">
        <v>10</v>
      </c>
      <c r="C25" s="15"/>
      <c r="D25" s="17"/>
      <c r="E25" s="21"/>
    </row>
    <row r="26" spans="2:5" x14ac:dyDescent="0.2">
      <c r="B26" s="20" t="s">
        <v>7</v>
      </c>
      <c r="C26" s="17"/>
      <c r="D26" s="17"/>
      <c r="E26" s="21"/>
    </row>
    <row r="27" spans="2:5" ht="15" x14ac:dyDescent="0.25">
      <c r="B27" s="20" t="s">
        <v>8</v>
      </c>
      <c r="C27" s="15"/>
      <c r="D27" s="17"/>
      <c r="E27" s="21"/>
    </row>
    <row r="28" spans="2:5" ht="15" thickBot="1" x14ac:dyDescent="0.25">
      <c r="B28" s="22"/>
      <c r="C28" s="23"/>
      <c r="D28" s="23"/>
      <c r="E28" s="24"/>
    </row>
    <row r="29" spans="2:5" ht="15" thickBot="1" x14ac:dyDescent="0.25"/>
    <row r="30" spans="2:5" x14ac:dyDescent="0.2">
      <c r="B30" s="37" t="s">
        <v>11</v>
      </c>
      <c r="C30" s="30" t="s">
        <v>12</v>
      </c>
      <c r="D30" s="30"/>
      <c r="E30" s="31"/>
    </row>
    <row r="31" spans="2:5" x14ac:dyDescent="0.2">
      <c r="B31" s="38"/>
      <c r="C31" s="29" t="s">
        <v>13</v>
      </c>
      <c r="D31" s="29"/>
      <c r="E31" s="32"/>
    </row>
    <row r="32" spans="2:5" x14ac:dyDescent="0.2">
      <c r="B32" s="33"/>
      <c r="C32" s="39" t="s">
        <v>43</v>
      </c>
      <c r="D32" s="118"/>
      <c r="E32" s="32"/>
    </row>
    <row r="33" spans="2:5" ht="11.25" customHeight="1" thickBot="1" x14ac:dyDescent="0.25">
      <c r="B33" s="34"/>
      <c r="C33" s="35"/>
      <c r="D33" s="35"/>
      <c r="E33" s="36"/>
    </row>
    <row r="34" spans="2:5" ht="15" thickBot="1" x14ac:dyDescent="0.25"/>
    <row r="35" spans="2:5" x14ac:dyDescent="0.2">
      <c r="B35" s="137" t="s">
        <v>50</v>
      </c>
      <c r="C35" s="42"/>
      <c r="D35" s="42"/>
      <c r="E35" s="43"/>
    </row>
    <row r="36" spans="2:5" x14ac:dyDescent="0.2">
      <c r="B36" s="56"/>
      <c r="C36" s="41"/>
      <c r="D36" s="41"/>
      <c r="E36" s="44"/>
    </row>
    <row r="37" spans="2:5" ht="28.5" x14ac:dyDescent="0.2">
      <c r="B37" s="48" t="s">
        <v>14</v>
      </c>
      <c r="C37" s="62" t="s">
        <v>15</v>
      </c>
      <c r="D37" s="63"/>
      <c r="E37" s="61" t="s">
        <v>16</v>
      </c>
    </row>
    <row r="38" spans="2:5" ht="15" x14ac:dyDescent="0.25">
      <c r="B38" s="64">
        <v>11</v>
      </c>
      <c r="C38" s="54" t="s">
        <v>17</v>
      </c>
      <c r="D38" s="55"/>
      <c r="E38" s="57">
        <v>30</v>
      </c>
    </row>
    <row r="39" spans="2:5" ht="15" x14ac:dyDescent="0.25">
      <c r="B39" s="65">
        <v>14</v>
      </c>
      <c r="C39" s="49" t="s">
        <v>18</v>
      </c>
      <c r="D39" s="51"/>
      <c r="E39" s="58">
        <v>50</v>
      </c>
    </row>
    <row r="40" spans="2:5" ht="15" x14ac:dyDescent="0.25">
      <c r="B40" s="65">
        <v>15</v>
      </c>
      <c r="C40" s="49" t="s">
        <v>19</v>
      </c>
      <c r="D40" s="52"/>
      <c r="E40" s="58">
        <v>60</v>
      </c>
    </row>
    <row r="41" spans="2:5" ht="15" x14ac:dyDescent="0.25">
      <c r="B41" s="65">
        <v>26</v>
      </c>
      <c r="C41" s="49" t="s">
        <v>20</v>
      </c>
      <c r="D41" s="52"/>
      <c r="E41" s="58"/>
    </row>
    <row r="42" spans="2:5" ht="15" x14ac:dyDescent="0.25">
      <c r="B42" s="65">
        <v>27</v>
      </c>
      <c r="C42" s="49" t="s">
        <v>21</v>
      </c>
      <c r="D42" s="52"/>
      <c r="E42" s="58"/>
    </row>
    <row r="43" spans="2:5" ht="15" x14ac:dyDescent="0.25">
      <c r="B43" s="65">
        <v>40</v>
      </c>
      <c r="C43" s="49" t="s">
        <v>22</v>
      </c>
      <c r="D43" s="52"/>
      <c r="E43" s="58"/>
    </row>
    <row r="44" spans="2:5" ht="15" x14ac:dyDescent="0.25">
      <c r="B44" s="65">
        <v>30.01</v>
      </c>
      <c r="C44" s="49" t="s">
        <v>23</v>
      </c>
      <c r="D44" s="52"/>
      <c r="E44" s="58"/>
    </row>
    <row r="45" spans="2:5" ht="15" x14ac:dyDescent="0.25">
      <c r="B45" s="65">
        <v>51</v>
      </c>
      <c r="C45" s="49" t="s">
        <v>24</v>
      </c>
      <c r="D45" s="52"/>
      <c r="E45" s="58"/>
    </row>
    <row r="46" spans="2:5" ht="15" x14ac:dyDescent="0.25">
      <c r="B46" s="65">
        <v>51.06</v>
      </c>
      <c r="C46" s="49" t="s">
        <v>25</v>
      </c>
      <c r="D46" s="52"/>
      <c r="E46" s="58"/>
    </row>
    <row r="47" spans="2:5" ht="15" x14ac:dyDescent="0.25">
      <c r="B47" s="65">
        <v>51.08</v>
      </c>
      <c r="C47" s="49" t="s">
        <v>26</v>
      </c>
      <c r="D47" s="52"/>
      <c r="E47" s="58">
        <v>20</v>
      </c>
    </row>
    <row r="48" spans="2:5" ht="15" x14ac:dyDescent="0.25">
      <c r="B48" s="65">
        <v>51.09</v>
      </c>
      <c r="C48" s="49" t="s">
        <v>27</v>
      </c>
      <c r="D48" s="52"/>
      <c r="E48" s="58">
        <v>10</v>
      </c>
    </row>
    <row r="49" spans="2:5" ht="15" x14ac:dyDescent="0.25">
      <c r="B49" s="65">
        <v>51.1</v>
      </c>
      <c r="C49" s="49" t="s">
        <v>28</v>
      </c>
      <c r="D49" s="52"/>
      <c r="E49" s="58"/>
    </row>
    <row r="50" spans="2:5" ht="15" x14ac:dyDescent="0.25">
      <c r="B50" s="65">
        <v>51.11</v>
      </c>
      <c r="C50" s="49" t="s">
        <v>29</v>
      </c>
      <c r="D50" s="52"/>
      <c r="E50" s="58"/>
    </row>
    <row r="51" spans="2:5" ht="15" x14ac:dyDescent="0.25">
      <c r="B51" s="65">
        <v>51.18</v>
      </c>
      <c r="C51" s="49" t="s">
        <v>30</v>
      </c>
      <c r="D51" s="52"/>
      <c r="E51" s="58"/>
    </row>
    <row r="52" spans="2:5" ht="15" x14ac:dyDescent="0.25">
      <c r="B52" s="66">
        <v>51.23</v>
      </c>
      <c r="C52" s="50" t="s">
        <v>31</v>
      </c>
      <c r="D52" s="53"/>
      <c r="E52" s="59"/>
    </row>
    <row r="53" spans="2:5" ht="15" x14ac:dyDescent="0.25">
      <c r="B53" s="60"/>
      <c r="C53" s="41"/>
      <c r="D53" s="40" t="s">
        <v>32</v>
      </c>
      <c r="E53" s="67">
        <f>SUM(E38:E52)</f>
        <v>170</v>
      </c>
    </row>
    <row r="54" spans="2:5" ht="15" thickBot="1" x14ac:dyDescent="0.25">
      <c r="B54" s="45"/>
      <c r="C54" s="46"/>
      <c r="D54" s="46"/>
      <c r="E54" s="47"/>
    </row>
    <row r="55" spans="2:5" ht="15" thickBot="1" x14ac:dyDescent="0.25"/>
    <row r="56" spans="2:5" x14ac:dyDescent="0.2">
      <c r="B56" s="93" t="s">
        <v>33</v>
      </c>
      <c r="C56" s="73"/>
      <c r="D56" s="73"/>
      <c r="E56" s="74"/>
    </row>
    <row r="57" spans="2:5" x14ac:dyDescent="0.2">
      <c r="B57" s="77"/>
      <c r="C57" s="71"/>
      <c r="D57" s="71"/>
      <c r="E57" s="76"/>
    </row>
    <row r="58" spans="2:5" x14ac:dyDescent="0.2">
      <c r="B58" s="77"/>
      <c r="C58" s="78" t="s">
        <v>45</v>
      </c>
      <c r="D58" s="94"/>
      <c r="E58" s="79">
        <v>500000</v>
      </c>
    </row>
    <row r="59" spans="2:5" x14ac:dyDescent="0.2">
      <c r="B59" s="80" t="s">
        <v>34</v>
      </c>
      <c r="C59" s="71"/>
      <c r="D59" s="95"/>
      <c r="E59" s="81"/>
    </row>
    <row r="60" spans="2:5" x14ac:dyDescent="0.2">
      <c r="B60" s="82"/>
      <c r="C60" s="68" t="s">
        <v>46</v>
      </c>
      <c r="D60" s="96"/>
      <c r="E60" s="83">
        <v>24000</v>
      </c>
    </row>
    <row r="61" spans="2:5" x14ac:dyDescent="0.2">
      <c r="B61" s="77"/>
      <c r="C61" s="69" t="s">
        <v>35</v>
      </c>
      <c r="D61" s="104"/>
      <c r="E61" s="85"/>
    </row>
    <row r="62" spans="2:5" x14ac:dyDescent="0.2">
      <c r="B62" s="77"/>
      <c r="C62" s="69" t="s">
        <v>35</v>
      </c>
      <c r="D62" s="104"/>
      <c r="E62" s="85"/>
    </row>
    <row r="63" spans="2:5" x14ac:dyDescent="0.2">
      <c r="B63" s="101">
        <f>E53</f>
        <v>170</v>
      </c>
      <c r="C63" s="69" t="s">
        <v>47</v>
      </c>
      <c r="D63" s="95"/>
      <c r="E63" s="85">
        <v>212500</v>
      </c>
    </row>
    <row r="64" spans="2:5" x14ac:dyDescent="0.2">
      <c r="B64" s="84">
        <v>175</v>
      </c>
      <c r="C64" s="69" t="s">
        <v>48</v>
      </c>
      <c r="D64" s="95"/>
      <c r="E64" s="85">
        <v>218750</v>
      </c>
    </row>
    <row r="65" spans="2:5" x14ac:dyDescent="0.2">
      <c r="B65" s="86">
        <v>35</v>
      </c>
      <c r="C65" s="70" t="s">
        <v>49</v>
      </c>
      <c r="D65" s="97"/>
      <c r="E65" s="87">
        <v>43750</v>
      </c>
    </row>
    <row r="66" spans="2:5" x14ac:dyDescent="0.2">
      <c r="B66" s="88"/>
      <c r="C66" s="71"/>
      <c r="D66" s="98" t="s">
        <v>32</v>
      </c>
      <c r="E66" s="100">
        <f>SUM(E60:E65)</f>
        <v>499000</v>
      </c>
    </row>
    <row r="67" spans="2:5" x14ac:dyDescent="0.2">
      <c r="B67" s="77"/>
      <c r="C67" s="69" t="s">
        <v>36</v>
      </c>
      <c r="D67" s="95"/>
      <c r="E67" s="100">
        <f>-E58/2</f>
        <v>-250000</v>
      </c>
    </row>
    <row r="68" spans="2:5" ht="15" thickBot="1" x14ac:dyDescent="0.25">
      <c r="B68" s="75"/>
      <c r="C68" s="91" t="s">
        <v>37</v>
      </c>
      <c r="D68" s="99" t="s">
        <v>32</v>
      </c>
      <c r="E68" s="102">
        <f>SUM(E66:E67)</f>
        <v>249000</v>
      </c>
    </row>
    <row r="69" spans="2:5" ht="15" thickTop="1" x14ac:dyDescent="0.2">
      <c r="B69" s="75"/>
      <c r="C69" s="71"/>
      <c r="D69" s="72"/>
      <c r="E69" s="89"/>
    </row>
    <row r="70" spans="2:5" ht="15" thickBot="1" x14ac:dyDescent="0.25">
      <c r="B70" s="90"/>
      <c r="C70" s="92" t="s">
        <v>38</v>
      </c>
      <c r="D70" s="92"/>
      <c r="E70" s="103">
        <f>E68-E67</f>
        <v>499000</v>
      </c>
    </row>
    <row r="71" spans="2:5" ht="15" thickBot="1" x14ac:dyDescent="0.25"/>
    <row r="72" spans="2:5" x14ac:dyDescent="0.2">
      <c r="B72" s="114" t="s">
        <v>39</v>
      </c>
      <c r="C72" s="107"/>
      <c r="D72" s="107"/>
      <c r="E72" s="108"/>
    </row>
    <row r="73" spans="2:5" x14ac:dyDescent="0.2">
      <c r="B73" s="130" t="s">
        <v>40</v>
      </c>
      <c r="C73" s="131"/>
      <c r="D73" s="131"/>
      <c r="E73" s="132"/>
    </row>
    <row r="74" spans="2:5" x14ac:dyDescent="0.2">
      <c r="B74" s="133"/>
      <c r="C74" s="131"/>
      <c r="D74" s="131"/>
      <c r="E74" s="132"/>
    </row>
    <row r="75" spans="2:5" x14ac:dyDescent="0.2">
      <c r="B75" s="133"/>
      <c r="C75" s="131"/>
      <c r="D75" s="131"/>
      <c r="E75" s="132"/>
    </row>
    <row r="76" spans="2:5" x14ac:dyDescent="0.2">
      <c r="B76" s="133"/>
      <c r="C76" s="131"/>
      <c r="D76" s="131"/>
      <c r="E76" s="132"/>
    </row>
    <row r="77" spans="2:5" x14ac:dyDescent="0.2">
      <c r="B77" s="133"/>
      <c r="C77" s="131"/>
      <c r="D77" s="131"/>
      <c r="E77" s="132"/>
    </row>
    <row r="78" spans="2:5" x14ac:dyDescent="0.2">
      <c r="B78" s="133"/>
      <c r="C78" s="131"/>
      <c r="D78" s="131"/>
      <c r="E78" s="132"/>
    </row>
    <row r="79" spans="2:5" x14ac:dyDescent="0.2">
      <c r="B79" s="133"/>
      <c r="C79" s="131"/>
      <c r="D79" s="131"/>
      <c r="E79" s="132"/>
    </row>
    <row r="80" spans="2:5" ht="15" thickBot="1" x14ac:dyDescent="0.25">
      <c r="B80" s="134"/>
      <c r="C80" s="135"/>
      <c r="D80" s="135"/>
      <c r="E80" s="136"/>
    </row>
    <row r="81" spans="2:5" ht="15.75" thickBot="1" x14ac:dyDescent="0.3">
      <c r="B81" s="105"/>
      <c r="C81" s="105"/>
      <c r="D81" s="105"/>
      <c r="E81" s="105"/>
    </row>
    <row r="82" spans="2:5" x14ac:dyDescent="0.2">
      <c r="B82" s="115" t="s">
        <v>41</v>
      </c>
      <c r="C82" s="107"/>
      <c r="D82" s="107"/>
      <c r="E82" s="120"/>
    </row>
    <row r="83" spans="2:5" x14ac:dyDescent="0.2">
      <c r="B83" s="109" t="s">
        <v>42</v>
      </c>
      <c r="C83" s="106"/>
      <c r="D83" s="106"/>
      <c r="E83" s="121"/>
    </row>
    <row r="84" spans="2:5" x14ac:dyDescent="0.2">
      <c r="B84" s="109"/>
      <c r="C84" s="106" t="s">
        <v>35</v>
      </c>
      <c r="D84" s="106"/>
      <c r="E84" s="122"/>
    </row>
    <row r="85" spans="2:5" x14ac:dyDescent="0.2">
      <c r="B85" s="109"/>
      <c r="C85" s="106" t="s">
        <v>35</v>
      </c>
      <c r="D85" s="106"/>
      <c r="E85" s="122"/>
    </row>
    <row r="86" spans="2:5" x14ac:dyDescent="0.2">
      <c r="B86" s="109"/>
      <c r="C86" s="106" t="s">
        <v>35</v>
      </c>
      <c r="D86" s="106"/>
      <c r="E86" s="123"/>
    </row>
    <row r="87" spans="2:5" ht="15" thickBot="1" x14ac:dyDescent="0.25">
      <c r="B87" s="113"/>
      <c r="C87" s="117"/>
      <c r="D87" s="116" t="s">
        <v>32</v>
      </c>
      <c r="E87" s="119">
        <f>SUM(E83:E86)</f>
        <v>0</v>
      </c>
    </row>
    <row r="88" spans="2:5" ht="15.75" thickTop="1" thickBot="1" x14ac:dyDescent="0.25">
      <c r="B88" s="110"/>
      <c r="C88" s="111"/>
      <c r="D88" s="111"/>
      <c r="E88" s="112"/>
    </row>
  </sheetData>
  <mergeCells count="5">
    <mergeCell ref="B7:E10"/>
    <mergeCell ref="B16:C16"/>
    <mergeCell ref="B22:C22"/>
    <mergeCell ref="C14:D14"/>
    <mergeCell ref="B73:E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Request For Funds</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Reinold Cornelius</dc:creator>
  <cp:lastModifiedBy>Reinold Cornelius</cp:lastModifiedBy>
  <dcterms:created xsi:type="dcterms:W3CDTF">2012-09-24T20:10:28Z</dcterms:created>
  <dcterms:modified xsi:type="dcterms:W3CDTF">2013-01-14T20:26:10Z</dcterms:modified>
</cp:coreProperties>
</file>