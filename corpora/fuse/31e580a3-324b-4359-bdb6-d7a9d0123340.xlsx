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60" windowWidth="15576" windowHeight="11532"/>
  </bookViews>
  <sheets>
    <sheet name="OFFSET_TPP_FY12_DIS" sheetId="1" r:id="rId1"/>
  </sheets>
  <calcPr calcId="145621"/>
</workbook>
</file>

<file path=xl/calcChain.xml><?xml version="1.0" encoding="utf-8"?>
<calcChain xmlns="http://schemas.openxmlformats.org/spreadsheetml/2006/main">
  <c r="O627" i="1" l="1"/>
  <c r="N627" i="1"/>
  <c r="M627" i="1"/>
  <c r="L627" i="1"/>
  <c r="K627" i="1"/>
  <c r="J627" i="1"/>
  <c r="I627" i="1"/>
  <c r="H627" i="1"/>
  <c r="G627" i="1"/>
  <c r="F627" i="1"/>
  <c r="E627" i="1"/>
  <c r="D627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627" i="1" l="1"/>
</calcChain>
</file>

<file path=xl/sharedStrings.xml><?xml version="1.0" encoding="utf-8"?>
<sst xmlns="http://schemas.openxmlformats.org/spreadsheetml/2006/main" count="1303" uniqueCount="693">
  <si>
    <t>TPP FIXED RATE</t>
  </si>
  <si>
    <t>OPERATING LEVY</t>
  </si>
  <si>
    <t>NON-OPERATING</t>
  </si>
  <si>
    <t>TPP FIXED SUM</t>
  </si>
  <si>
    <t>TPP DEBT LEVY</t>
  </si>
  <si>
    <t>TPP INSIDE DEBT</t>
  </si>
  <si>
    <t>LOSS</t>
  </si>
  <si>
    <t>LEVY LOSS</t>
  </si>
  <si>
    <t>REIMBURSEMENT</t>
  </si>
  <si>
    <t>LOSS ANNUAL</t>
  </si>
  <si>
    <t>ANNUAL</t>
  </si>
  <si>
    <t>FY12 (PAID IN</t>
  </si>
  <si>
    <t>IRN</t>
  </si>
  <si>
    <t>DISTRICT</t>
  </si>
  <si>
    <t>COUNTY</t>
  </si>
  <si>
    <t>NOVEMBER 2011)</t>
  </si>
  <si>
    <t>MAY 2012)</t>
  </si>
  <si>
    <t>FY12</t>
  </si>
  <si>
    <t>Ada Ex Vill SD</t>
  </si>
  <si>
    <t>Hardin</t>
  </si>
  <si>
    <t>Adena Local SD</t>
  </si>
  <si>
    <t>Ross</t>
  </si>
  <si>
    <t>Akron City SD</t>
  </si>
  <si>
    <t>Summit</t>
  </si>
  <si>
    <t>Alexander Local SD</t>
  </si>
  <si>
    <t>Athens</t>
  </si>
  <si>
    <t>Allen East Local SD</t>
  </si>
  <si>
    <t>Allen</t>
  </si>
  <si>
    <t>Alliance City SD</t>
  </si>
  <si>
    <t>Stark</t>
  </si>
  <si>
    <t>Amanda-Clearcreek Local SD</t>
  </si>
  <si>
    <t>Fairfield</t>
  </si>
  <si>
    <t>Amherst Ex Vill SD</t>
  </si>
  <si>
    <t>Lorain</t>
  </si>
  <si>
    <t>Anna Local SD</t>
  </si>
  <si>
    <t>Shelby</t>
  </si>
  <si>
    <t>Ansonia Local SD</t>
  </si>
  <si>
    <t>Darke</t>
  </si>
  <si>
    <t>Anthony Wayne Local SD</t>
  </si>
  <si>
    <t>Lucas</t>
  </si>
  <si>
    <t>Antwerp Local SD</t>
  </si>
  <si>
    <t>Paulding</t>
  </si>
  <si>
    <t>Arcadia Local SD</t>
  </si>
  <si>
    <t>Hancock</t>
  </si>
  <si>
    <t>Arcanum Butler Local SD</t>
  </si>
  <si>
    <t>Archbold-Area Local SD</t>
  </si>
  <si>
    <t>Fulton</t>
  </si>
  <si>
    <t>Arlington Local SD</t>
  </si>
  <si>
    <t>Ashland City SD</t>
  </si>
  <si>
    <t>Ashland</t>
  </si>
  <si>
    <t>Ashtabula Area City SD</t>
  </si>
  <si>
    <t>Ashtabula</t>
  </si>
  <si>
    <t>Athens City SD</t>
  </si>
  <si>
    <t>Aurora City SD</t>
  </si>
  <si>
    <t>Portage</t>
  </si>
  <si>
    <t>Austintown Local SD</t>
  </si>
  <si>
    <t>Mahoning</t>
  </si>
  <si>
    <t>Avon Lake City SD</t>
  </si>
  <si>
    <t>Avon Local SD</t>
  </si>
  <si>
    <t>Ayersville Local SD</t>
  </si>
  <si>
    <t>Defiance</t>
  </si>
  <si>
    <t>Barberton City SD</t>
  </si>
  <si>
    <t>Barnesville Ex Vill SD</t>
  </si>
  <si>
    <t>Belmont</t>
  </si>
  <si>
    <t>Batavia Local SD</t>
  </si>
  <si>
    <t>Clermont</t>
  </si>
  <si>
    <t>Bath Local SD</t>
  </si>
  <si>
    <t>Bay Village City SD</t>
  </si>
  <si>
    <t>Cuyahoga</t>
  </si>
  <si>
    <t>Beachwood City SD</t>
  </si>
  <si>
    <t>Beaver Local SD</t>
  </si>
  <si>
    <t>Columbiana</t>
  </si>
  <si>
    <t>Beavercreek City SD</t>
  </si>
  <si>
    <t>Greene</t>
  </si>
  <si>
    <t>Bedford City SD</t>
  </si>
  <si>
    <t>Bellaire Local SD</t>
  </si>
  <si>
    <t>Bellefontaine City SD</t>
  </si>
  <si>
    <t>Logan</t>
  </si>
  <si>
    <t>Bellevue City SD</t>
  </si>
  <si>
    <t>Huron</t>
  </si>
  <si>
    <t>Belpre City SD</t>
  </si>
  <si>
    <t>Washington</t>
  </si>
  <si>
    <t>Benjamin Logan Local SD</t>
  </si>
  <si>
    <t>Benton Carroll Salem Local S</t>
  </si>
  <si>
    <t>Ottawa</t>
  </si>
  <si>
    <t>Berea City SD</t>
  </si>
  <si>
    <t>Berkshire Local SD</t>
  </si>
  <si>
    <t>Geauga</t>
  </si>
  <si>
    <t>Berlin-Milan Local SD</t>
  </si>
  <si>
    <t>Erie</t>
  </si>
  <si>
    <t>Berne Union Local SD</t>
  </si>
  <si>
    <t>Bethel Local SD</t>
  </si>
  <si>
    <t>Miami</t>
  </si>
  <si>
    <t>Bethel-Tate Local SD</t>
  </si>
  <si>
    <t>Bettsville Local SD</t>
  </si>
  <si>
    <t>Seneca</t>
  </si>
  <si>
    <t>Bexley City SD</t>
  </si>
  <si>
    <t>Franklin</t>
  </si>
  <si>
    <t>Big Walnut Local SD</t>
  </si>
  <si>
    <t>Delaware</t>
  </si>
  <si>
    <t>Black River Local SD</t>
  </si>
  <si>
    <t>Medina</t>
  </si>
  <si>
    <t>Blanchester Local SD</t>
  </si>
  <si>
    <t>Clinton</t>
  </si>
  <si>
    <t>Bloom Carroll Local SD</t>
  </si>
  <si>
    <t>Bloom-Vernon Local SD</t>
  </si>
  <si>
    <t>Scioto</t>
  </si>
  <si>
    <t>Bloomfield-Mespo Local SD</t>
  </si>
  <si>
    <t>Trumbull</t>
  </si>
  <si>
    <t>Bluffton Ex Vill SD</t>
  </si>
  <si>
    <t>Boardman Local SD</t>
  </si>
  <si>
    <t>Botkins Local SD</t>
  </si>
  <si>
    <t>Bowling Green City SD</t>
  </si>
  <si>
    <t>Wood</t>
  </si>
  <si>
    <t>Bradford Ex Vill SD</t>
  </si>
  <si>
    <t>Brecksville-Broadview Height</t>
  </si>
  <si>
    <t>Bridgeport Ex Vill SD</t>
  </si>
  <si>
    <t>Bright Local SD</t>
  </si>
  <si>
    <t>Highland</t>
  </si>
  <si>
    <t>Bristol Local SD</t>
  </si>
  <si>
    <t>Brookfield Local SD</t>
  </si>
  <si>
    <t>Brooklyn City SD</t>
  </si>
  <si>
    <t>Brookville Local SD</t>
  </si>
  <si>
    <t>Montgomery</t>
  </si>
  <si>
    <t>Brown Local SD</t>
  </si>
  <si>
    <t>Carroll</t>
  </si>
  <si>
    <t>Brunswick City SD</t>
  </si>
  <si>
    <t>Bryan City SD</t>
  </si>
  <si>
    <t>Williams</t>
  </si>
  <si>
    <t>Buckeye Central Local SD</t>
  </si>
  <si>
    <t>Crawford</t>
  </si>
  <si>
    <t>Buckeye Local SD</t>
  </si>
  <si>
    <t>Jefferson</t>
  </si>
  <si>
    <t>Buckeye Valley Local SD</t>
  </si>
  <si>
    <t>Bucyrus City SD</t>
  </si>
  <si>
    <t>Caldwell Ex Vill SD</t>
  </si>
  <si>
    <t>Noble</t>
  </si>
  <si>
    <t>Cambridge City SD</t>
  </si>
  <si>
    <t>Guernsey</t>
  </si>
  <si>
    <t>Campbell City SD</t>
  </si>
  <si>
    <t>Canal Winchester Local SD</t>
  </si>
  <si>
    <t>Canfield Local SD</t>
  </si>
  <si>
    <t>Canton City SD</t>
  </si>
  <si>
    <t>Canton Local SD</t>
  </si>
  <si>
    <t>Cardinal Local SD</t>
  </si>
  <si>
    <t>Cardington-Lincoln Local SD</t>
  </si>
  <si>
    <t>Morrow</t>
  </si>
  <si>
    <t>Carey Ex Vill SD</t>
  </si>
  <si>
    <t>Wyandot</t>
  </si>
  <si>
    <t>Carlisle Local SD</t>
  </si>
  <si>
    <t>Warren</t>
  </si>
  <si>
    <t>Carrollton Ex Vill SD</t>
  </si>
  <si>
    <t>Cedar Cliff Local SD</t>
  </si>
  <si>
    <t>Celina City SD</t>
  </si>
  <si>
    <t>Mercer</t>
  </si>
  <si>
    <t>Centerburg Local SD</t>
  </si>
  <si>
    <t>Knox</t>
  </si>
  <si>
    <t>Centerville City SD</t>
  </si>
  <si>
    <t>Central Local SD</t>
  </si>
  <si>
    <t>Chagrin Falls Ex Vill SD</t>
  </si>
  <si>
    <t>Champion Local SD</t>
  </si>
  <si>
    <t>Chardon Local SD</t>
  </si>
  <si>
    <t>Chesapeake Union Ex Vill SD</t>
  </si>
  <si>
    <t>Lawrence</t>
  </si>
  <si>
    <t>Chillicothe City SD</t>
  </si>
  <si>
    <t>Chippewa Local SD</t>
  </si>
  <si>
    <t>Wayne</t>
  </si>
  <si>
    <t>Cincinnati City SD</t>
  </si>
  <si>
    <t>Hamilton</t>
  </si>
  <si>
    <t>Circleville City SD</t>
  </si>
  <si>
    <t>Pickaway</t>
  </si>
  <si>
    <t>Clark-Shawnee Local SD</t>
  </si>
  <si>
    <t>Clark</t>
  </si>
  <si>
    <t>Clay Local SD</t>
  </si>
  <si>
    <t>Claymont City SD</t>
  </si>
  <si>
    <t>Tuscarawas</t>
  </si>
  <si>
    <t>Clear Fork Valley Local SD</t>
  </si>
  <si>
    <t>Richland</t>
  </si>
  <si>
    <t>Clearview Local SD</t>
  </si>
  <si>
    <t>Clermont-Northeastern Local</t>
  </si>
  <si>
    <t>Cleveland Hts-Univ Hts City</t>
  </si>
  <si>
    <t>Cleveland Municipal SD</t>
  </si>
  <si>
    <t>Clinton-Massie Local SD</t>
  </si>
  <si>
    <t>Cloverleaf Local SD</t>
  </si>
  <si>
    <t>Clyde-Green Springs Ex Vill</t>
  </si>
  <si>
    <t>Sandusky</t>
  </si>
  <si>
    <t>Coldwater Ex Vill SD</t>
  </si>
  <si>
    <t>College Corner Local SD</t>
  </si>
  <si>
    <t>Preble</t>
  </si>
  <si>
    <t>Colonel Crawford Local SD</t>
  </si>
  <si>
    <t>Columbia Local SD</t>
  </si>
  <si>
    <t>Columbiana Ex Vill SD</t>
  </si>
  <si>
    <t>Columbus City SD</t>
  </si>
  <si>
    <t>Columbus Grove Local SD</t>
  </si>
  <si>
    <t>Putnam</t>
  </si>
  <si>
    <t>Conneaut Area City SD</t>
  </si>
  <si>
    <t>Conotton Valley Union Local</t>
  </si>
  <si>
    <t>Harrison</t>
  </si>
  <si>
    <t>Continental Local SD</t>
  </si>
  <si>
    <t>Copley-Fairlawn City SD</t>
  </si>
  <si>
    <t>Cory-Rawson Local SD</t>
  </si>
  <si>
    <t>Coshocton City SD</t>
  </si>
  <si>
    <t>Coshocton</t>
  </si>
  <si>
    <t>Coventry Local SD</t>
  </si>
  <si>
    <t>Covington Ex Vill SD</t>
  </si>
  <si>
    <t>Crestline Ex Vill SD</t>
  </si>
  <si>
    <t>Crestview Local SD</t>
  </si>
  <si>
    <t>Van Wert</t>
  </si>
  <si>
    <t>Crestwood Local SD</t>
  </si>
  <si>
    <t>Crooksville Ex Vill SD</t>
  </si>
  <si>
    <t>Perry</t>
  </si>
  <si>
    <t>Cuyahoga Falls City SD</t>
  </si>
  <si>
    <t>Cuyahoga Heights Local SD</t>
  </si>
  <si>
    <t>Dalton Local SD</t>
  </si>
  <si>
    <t>Danbury Local SD</t>
  </si>
  <si>
    <t>Danville Local SD</t>
  </si>
  <si>
    <t>Dawson-Bryant Local SD</t>
  </si>
  <si>
    <t>Dayton City SD</t>
  </si>
  <si>
    <t>Deer Park Community City SD</t>
  </si>
  <si>
    <t>Defiance City SD</t>
  </si>
  <si>
    <t>Delaware City SD</t>
  </si>
  <si>
    <t>Delphos City SD</t>
  </si>
  <si>
    <t>Dover City SD</t>
  </si>
  <si>
    <t>Dublin City SD</t>
  </si>
  <si>
    <t>East Cleveland City SD</t>
  </si>
  <si>
    <t>East Clinton Local SD</t>
  </si>
  <si>
    <t>East Guernsey Local SD</t>
  </si>
  <si>
    <t>East Holmes Local SD</t>
  </si>
  <si>
    <t>Holmes</t>
  </si>
  <si>
    <t>East Knox Local SD</t>
  </si>
  <si>
    <t>East Liverpool City SD</t>
  </si>
  <si>
    <t>East Muskingum Local SD</t>
  </si>
  <si>
    <t>Muskingum</t>
  </si>
  <si>
    <t>East Palestine City SD</t>
  </si>
  <si>
    <t>Eastern Local SD</t>
  </si>
  <si>
    <t>Brown</t>
  </si>
  <si>
    <t>Meigs</t>
  </si>
  <si>
    <t>Pike</t>
  </si>
  <si>
    <t>Eastwood Local SD</t>
  </si>
  <si>
    <t>Eaton Community Schools City</t>
  </si>
  <si>
    <t>Edgerton Local SD</t>
  </si>
  <si>
    <t>Edgewood City SD</t>
  </si>
  <si>
    <t>Butler</t>
  </si>
  <si>
    <t>Edison Local SD</t>
  </si>
  <si>
    <t>Edon-Northwest Local SD</t>
  </si>
  <si>
    <t>Elgin Local SD</t>
  </si>
  <si>
    <t>Marion</t>
  </si>
  <si>
    <t>Elida Local SD</t>
  </si>
  <si>
    <t>Elmwood Local SD</t>
  </si>
  <si>
    <t>Elyria City SD</t>
  </si>
  <si>
    <t>Euclid City SD</t>
  </si>
  <si>
    <t>Evergreen Local SD</t>
  </si>
  <si>
    <t>Fairbanks Local SD</t>
  </si>
  <si>
    <t>Union</t>
  </si>
  <si>
    <t>Fairborn City SD</t>
  </si>
  <si>
    <t>Fairfield City SD</t>
  </si>
  <si>
    <t>Fairfield Local SD</t>
  </si>
  <si>
    <t>Fairfield Union Local SD</t>
  </si>
  <si>
    <t>Fairland Local SD</t>
  </si>
  <si>
    <t>Fairlawn Local SD</t>
  </si>
  <si>
    <t>Fairless Local SD</t>
  </si>
  <si>
    <t>Fairport Harbor Ex Vill SD</t>
  </si>
  <si>
    <t>Lake</t>
  </si>
  <si>
    <t>Fairview Park City SD</t>
  </si>
  <si>
    <t>Fayette Local SD</t>
  </si>
  <si>
    <t>Fayetteville-Perry Local SD</t>
  </si>
  <si>
    <t>Federal Hocking Local SD</t>
  </si>
  <si>
    <t>Felicity-Franklin Local SD</t>
  </si>
  <si>
    <t>Field Local SD</t>
  </si>
  <si>
    <t>Findlay City SD</t>
  </si>
  <si>
    <t>Finneytown Local SD</t>
  </si>
  <si>
    <t>Firelands Local SD</t>
  </si>
  <si>
    <t>Forest Hills Local SD</t>
  </si>
  <si>
    <t>Fort Frye Local SD</t>
  </si>
  <si>
    <t>Fort Loramie Local SD</t>
  </si>
  <si>
    <t>Fort Recovery Local SD</t>
  </si>
  <si>
    <t>Fostoria City SD</t>
  </si>
  <si>
    <t>Franklin City SD</t>
  </si>
  <si>
    <t>Franklin Local SD</t>
  </si>
  <si>
    <t>Franklin-Monroe Local SD</t>
  </si>
  <si>
    <t>Fredericktown Local SD</t>
  </si>
  <si>
    <t>Fremont City SD</t>
  </si>
  <si>
    <t>Frontier Local SD</t>
  </si>
  <si>
    <t>Gahanna-Jefferson City SD</t>
  </si>
  <si>
    <t>Galion City SD</t>
  </si>
  <si>
    <t>Gallia County Local SD</t>
  </si>
  <si>
    <t>Gallia</t>
  </si>
  <si>
    <t>Gallipolis City SD</t>
  </si>
  <si>
    <t>Garaway Local SD</t>
  </si>
  <si>
    <t>Garfield Heights City SD</t>
  </si>
  <si>
    <t>Geneva Area City SD</t>
  </si>
  <si>
    <t>Genoa Area Local SD</t>
  </si>
  <si>
    <t>Georgetown Ex Vill SD</t>
  </si>
  <si>
    <t>Gibsonburg Ex Vill SD</t>
  </si>
  <si>
    <t>Girard City SD</t>
  </si>
  <si>
    <t>Goshen Local SD</t>
  </si>
  <si>
    <t>Graham Local SD</t>
  </si>
  <si>
    <t>Champaign</t>
  </si>
  <si>
    <t>Grand Valley Local SD</t>
  </si>
  <si>
    <t>Grandview Heights City SD</t>
  </si>
  <si>
    <t>Granville Ex Vill SD</t>
  </si>
  <si>
    <t>Licking</t>
  </si>
  <si>
    <t>Green Local SD</t>
  </si>
  <si>
    <t>Greeneview Local SD</t>
  </si>
  <si>
    <t>Greenfield Ex Vill SD</t>
  </si>
  <si>
    <t>Greenon Local SD</t>
  </si>
  <si>
    <t>Greenville City SD</t>
  </si>
  <si>
    <t>Groveport Madison Local SD</t>
  </si>
  <si>
    <t>Hamilton City SD</t>
  </si>
  <si>
    <t>Hamilton Local SD</t>
  </si>
  <si>
    <t>Hardin Northern Local SD</t>
  </si>
  <si>
    <t>Hardin-Houston Local SD</t>
  </si>
  <si>
    <t>Harrison Hills City SD</t>
  </si>
  <si>
    <t>Heath City SD</t>
  </si>
  <si>
    <t>Hicksville Ex Vill SD</t>
  </si>
  <si>
    <t>Highland Local SD</t>
  </si>
  <si>
    <t>Hilliard City SD</t>
  </si>
  <si>
    <t>Hillsboro City SD</t>
  </si>
  <si>
    <t>Hillsdale Local SD</t>
  </si>
  <si>
    <t>Holgate Local SD</t>
  </si>
  <si>
    <t>Henry</t>
  </si>
  <si>
    <t>Hopewell-Loudon Local SD</t>
  </si>
  <si>
    <t>Howland Local SD</t>
  </si>
  <si>
    <t>Hubbard Ex Vill SD</t>
  </si>
  <si>
    <t>Huber Heights City SD</t>
  </si>
  <si>
    <t>Hudson City SD</t>
  </si>
  <si>
    <t>Huntington Local SD</t>
  </si>
  <si>
    <t>Huron City SD</t>
  </si>
  <si>
    <t>Independence Local SD</t>
  </si>
  <si>
    <t>Indian Creek Local SD</t>
  </si>
  <si>
    <t>Indian Hill Ex Vill SD</t>
  </si>
  <si>
    <t>Indian Lake Local SD</t>
  </si>
  <si>
    <t>Indian Valley Local SD</t>
  </si>
  <si>
    <t>Ironton City SD</t>
  </si>
  <si>
    <t>Jackson Center Local SD</t>
  </si>
  <si>
    <t>Jackson City SD</t>
  </si>
  <si>
    <t>Jackson</t>
  </si>
  <si>
    <t>Jackson Local SD</t>
  </si>
  <si>
    <t>Jackson-Milton Local SD</t>
  </si>
  <si>
    <t>James A Garfield Local SD</t>
  </si>
  <si>
    <t>Jefferson Area Local SD</t>
  </si>
  <si>
    <t>Jefferson Local SD</t>
  </si>
  <si>
    <t>Madison</t>
  </si>
  <si>
    <t>Jefferson Township Local SD</t>
  </si>
  <si>
    <t>Jennings Local SD</t>
  </si>
  <si>
    <t>Johnstown-Monroe Local SD</t>
  </si>
  <si>
    <t>Jonathan Alder Local SD</t>
  </si>
  <si>
    <t>Joseph Badger Local SD</t>
  </si>
  <si>
    <t>Kalida Local SD</t>
  </si>
  <si>
    <t>Kelleys Island Local SD</t>
  </si>
  <si>
    <t>Kenston Local SD</t>
  </si>
  <si>
    <t>Kent City SD</t>
  </si>
  <si>
    <t>Kenton City SD</t>
  </si>
  <si>
    <t>Kettering City SD</t>
  </si>
  <si>
    <t>Keystone Local SD</t>
  </si>
  <si>
    <t>Kings Local SD</t>
  </si>
  <si>
    <t>Kirtland Local SD</t>
  </si>
  <si>
    <t>La Brae Local SD</t>
  </si>
  <si>
    <t>Lake Local SD</t>
  </si>
  <si>
    <t>Lakeview Local SD</t>
  </si>
  <si>
    <t>Lakewood City SD</t>
  </si>
  <si>
    <t>Lakewood Local SD</t>
  </si>
  <si>
    <t>Lakota Local SD</t>
  </si>
  <si>
    <t>Lancaster City SD</t>
  </si>
  <si>
    <t>Lebanon City SD</t>
  </si>
  <si>
    <t>Ledgemont Local SD</t>
  </si>
  <si>
    <t>Leetonia Ex Vill SD</t>
  </si>
  <si>
    <t>Leipsic Local SD</t>
  </si>
  <si>
    <t>Lexington Local SD</t>
  </si>
  <si>
    <t>Liberty Benton Local SD</t>
  </si>
  <si>
    <t>Liberty Center Local SD</t>
  </si>
  <si>
    <t>Liberty Local SD</t>
  </si>
  <si>
    <t>Liberty Union-Thurston Local</t>
  </si>
  <si>
    <t>Licking Heights Local SD</t>
  </si>
  <si>
    <t>Licking Valley Local SD</t>
  </si>
  <si>
    <t>Lima City SD</t>
  </si>
  <si>
    <t>Lincolnview Local SD</t>
  </si>
  <si>
    <t>Lisbon Ex Vill SD</t>
  </si>
  <si>
    <t>Little Miami Local SD</t>
  </si>
  <si>
    <t>Lockland City SD</t>
  </si>
  <si>
    <t>Logan Elm Local SD</t>
  </si>
  <si>
    <t>Logan-Hocking Local SD</t>
  </si>
  <si>
    <t>Hocking</t>
  </si>
  <si>
    <t>London City SD</t>
  </si>
  <si>
    <t>Lorain City SD</t>
  </si>
  <si>
    <t>Lordstown Local SD</t>
  </si>
  <si>
    <t>Loudonville-Perrysville Ex V</t>
  </si>
  <si>
    <t>Louisville City SD</t>
  </si>
  <si>
    <t>Loveland City SD</t>
  </si>
  <si>
    <t>Lowellville Local SD</t>
  </si>
  <si>
    <t>Lucas Local SD</t>
  </si>
  <si>
    <t>Lynchburg-Clay Local SD</t>
  </si>
  <si>
    <t>Mad River Local SD</t>
  </si>
  <si>
    <t>Madeira City SD</t>
  </si>
  <si>
    <t>Madison Local SD</t>
  </si>
  <si>
    <t>Madison-Plains Local SD</t>
  </si>
  <si>
    <t>Manchester Local SD</t>
  </si>
  <si>
    <t>Adams</t>
  </si>
  <si>
    <t>Mansfield City SD</t>
  </si>
  <si>
    <t>Maple Heights City SD</t>
  </si>
  <si>
    <t>Mapleton Local SD</t>
  </si>
  <si>
    <t>Maplewood Local SD</t>
  </si>
  <si>
    <t>Margaretta Local SD</t>
  </si>
  <si>
    <t>Mariemont City SD</t>
  </si>
  <si>
    <t>Marietta City SD</t>
  </si>
  <si>
    <t>Marion City SD</t>
  </si>
  <si>
    <t>Marion Local SD</t>
  </si>
  <si>
    <t>Marlington Local SD</t>
  </si>
  <si>
    <t>Martins Ferry City SD</t>
  </si>
  <si>
    <t>Marysville Ex Vill SD</t>
  </si>
  <si>
    <t>Mason City SD</t>
  </si>
  <si>
    <t>Massillon City SD</t>
  </si>
  <si>
    <t>Mathews Local SD</t>
  </si>
  <si>
    <t>Maumee City SD</t>
  </si>
  <si>
    <t>Mayfield City SD</t>
  </si>
  <si>
    <t>Maysville Local SD</t>
  </si>
  <si>
    <t>McComb Local SD</t>
  </si>
  <si>
    <t>McDonald Local SD</t>
  </si>
  <si>
    <t>Mechanicsburg Ex Vill SD</t>
  </si>
  <si>
    <t>Medina City SD</t>
  </si>
  <si>
    <t>Meigs Local SD</t>
  </si>
  <si>
    <t>Mentor Ex Vill SD</t>
  </si>
  <si>
    <t>Miami East Local SD</t>
  </si>
  <si>
    <t>Miami Trace Local SD</t>
  </si>
  <si>
    <t>Fayette</t>
  </si>
  <si>
    <t>Miamisburg City SD</t>
  </si>
  <si>
    <t>Middle Bass Local SD</t>
  </si>
  <si>
    <t>Middletown City SD</t>
  </si>
  <si>
    <t>Midview Local SD</t>
  </si>
  <si>
    <t>Milford Ex Vill SD</t>
  </si>
  <si>
    <t>Millcreek-West Unity Local S</t>
  </si>
  <si>
    <t>Miller City-New Cleveland Lo</t>
  </si>
  <si>
    <t>Milton-Union Ex Vill SD</t>
  </si>
  <si>
    <t>Minerva Local SD</t>
  </si>
  <si>
    <t>Minford Local SD</t>
  </si>
  <si>
    <t>Minster Local SD</t>
  </si>
  <si>
    <t>Auglaize</t>
  </si>
  <si>
    <t>Mississinawa Valley Local SD</t>
  </si>
  <si>
    <t>Mogadore Local SD</t>
  </si>
  <si>
    <t>Mohawk Local SD</t>
  </si>
  <si>
    <t>Monroe Local SD</t>
  </si>
  <si>
    <t>Monroeville Local SD</t>
  </si>
  <si>
    <t>Montpelier Ex Vill SD</t>
  </si>
  <si>
    <t>Morgan Local SD</t>
  </si>
  <si>
    <t>Morgan</t>
  </si>
  <si>
    <t>Mount Gilead Ex Vill SD</t>
  </si>
  <si>
    <t>Mount Healthy City SD</t>
  </si>
  <si>
    <t>Mount Vernon City SD</t>
  </si>
  <si>
    <t>Napoleon City SD</t>
  </si>
  <si>
    <t>National Trail Local SD</t>
  </si>
  <si>
    <t>Nelsonville-York City SD</t>
  </si>
  <si>
    <t>New Albany-Plain Local SD</t>
  </si>
  <si>
    <t>New Boston Local SD</t>
  </si>
  <si>
    <t>New Bremen Local SD</t>
  </si>
  <si>
    <t>New Knoxville Local SD</t>
  </si>
  <si>
    <t>New Lebanon Local SD</t>
  </si>
  <si>
    <t>New Lexington City SD</t>
  </si>
  <si>
    <t>New London Local SD</t>
  </si>
  <si>
    <t>New Miami Local SD</t>
  </si>
  <si>
    <t>New Philadelphia City SD</t>
  </si>
  <si>
    <t>New Richmond Ex Vill SD</t>
  </si>
  <si>
    <t>New Riegel Local SD</t>
  </si>
  <si>
    <t>Newark City SD</t>
  </si>
  <si>
    <t>Newbury Local SD</t>
  </si>
  <si>
    <t>Newcomerstown Ex Vill SD</t>
  </si>
  <si>
    <t>Newton Falls Ex Vill SD</t>
  </si>
  <si>
    <t>Newton Local SD</t>
  </si>
  <si>
    <t>Niles City SD</t>
  </si>
  <si>
    <t>Noble Local SD</t>
  </si>
  <si>
    <t>Nordonia Hills City SD</t>
  </si>
  <si>
    <t>North Baltimore Local SD</t>
  </si>
  <si>
    <t>North Bass Local SD</t>
  </si>
  <si>
    <t>North Canton City SD</t>
  </si>
  <si>
    <t>North Central Local SD</t>
  </si>
  <si>
    <t>North College Hill City SD</t>
  </si>
  <si>
    <t>North Fork Local SD</t>
  </si>
  <si>
    <t>North Olmsted City SD</t>
  </si>
  <si>
    <t>North Ridgeville City SD</t>
  </si>
  <si>
    <t>North Royalton City SD</t>
  </si>
  <si>
    <t>North Union Local SD</t>
  </si>
  <si>
    <t>Northeastern Local SD</t>
  </si>
  <si>
    <t>Northern Local SD</t>
  </si>
  <si>
    <t>Northmont City SD</t>
  </si>
  <si>
    <t>Northmor Local SD</t>
  </si>
  <si>
    <t>Northridge Local SD</t>
  </si>
  <si>
    <t>Northwest Local SD</t>
  </si>
  <si>
    <t>Northwestern Local SD</t>
  </si>
  <si>
    <t>Northwood Local SD</t>
  </si>
  <si>
    <t>Norton City SD</t>
  </si>
  <si>
    <t>Norwalk City SD</t>
  </si>
  <si>
    <t>Norwood City SD</t>
  </si>
  <si>
    <t>Oak Hill Union Local SD</t>
  </si>
  <si>
    <t>Oak Hills Local SD</t>
  </si>
  <si>
    <t>Oakwood City SD</t>
  </si>
  <si>
    <t>Oberlin City SD</t>
  </si>
  <si>
    <t>Ohio Valley Local SD</t>
  </si>
  <si>
    <t>Old Fort Local SD</t>
  </si>
  <si>
    <t>Olentangy Local SD</t>
  </si>
  <si>
    <t>Olmsted Falls City SD</t>
  </si>
  <si>
    <t>Ontario Local SD</t>
  </si>
  <si>
    <t>Orange City SD</t>
  </si>
  <si>
    <t>Oregon City SD</t>
  </si>
  <si>
    <t>Orrville City SD</t>
  </si>
  <si>
    <t>Osnaburg Local SD</t>
  </si>
  <si>
    <t>Otsego Local SD</t>
  </si>
  <si>
    <t>Ottawa Hills Local SD</t>
  </si>
  <si>
    <t>Ottawa-Glandorf Local SD</t>
  </si>
  <si>
    <t>Ottoville Local SD</t>
  </si>
  <si>
    <t>Painsville City Local SD</t>
  </si>
  <si>
    <t>Paint Valley Local SD</t>
  </si>
  <si>
    <t>Pandora-Gilboa Local SD</t>
  </si>
  <si>
    <t>Parkway Local SD</t>
  </si>
  <si>
    <t>Parma City SD</t>
  </si>
  <si>
    <t>Patrick Henry Local SD</t>
  </si>
  <si>
    <t>Paulding Ex Vill SD</t>
  </si>
  <si>
    <t>Perkins Local SD</t>
  </si>
  <si>
    <t>Perry Local SD</t>
  </si>
  <si>
    <t>Perrysburg Ex Vill SD</t>
  </si>
  <si>
    <t>Pettisville Local SD</t>
  </si>
  <si>
    <t>Pickerington Local SD</t>
  </si>
  <si>
    <t>Pike-Delta-York Local SD</t>
  </si>
  <si>
    <t>Piqua City SD</t>
  </si>
  <si>
    <t>Plain Local SD</t>
  </si>
  <si>
    <t>Pleasant Local SD</t>
  </si>
  <si>
    <t>Plymouth-Shiloh Local SD</t>
  </si>
  <si>
    <t>Poland Local SD</t>
  </si>
  <si>
    <t>Port Clinton City SD</t>
  </si>
  <si>
    <t>Portsmouth City SD</t>
  </si>
  <si>
    <t>Preble-Shawnee Local SD</t>
  </si>
  <si>
    <t>Princeton City SD</t>
  </si>
  <si>
    <t>Put-In-Bay Local SD</t>
  </si>
  <si>
    <t>Pymatuning Valley Local SD</t>
  </si>
  <si>
    <t>Ravenna City SD</t>
  </si>
  <si>
    <t>Reading Community City SD</t>
  </si>
  <si>
    <t>Revere Local SD</t>
  </si>
  <si>
    <t>Reynoldsburg City SD</t>
  </si>
  <si>
    <t>Richmond Heights Local SD</t>
  </si>
  <si>
    <t>Ridgedale Local SD</t>
  </si>
  <si>
    <t>Ridgemont Local SD</t>
  </si>
  <si>
    <t>Ridgewood Local SD</t>
  </si>
  <si>
    <t>Ripley-Union-Lewis Local SD</t>
  </si>
  <si>
    <t>Rittman Ex Vill SD</t>
  </si>
  <si>
    <t>River Valley Local SD</t>
  </si>
  <si>
    <t>River View Local SD</t>
  </si>
  <si>
    <t>Riverdale Local SD</t>
  </si>
  <si>
    <t>Riverside Local SD</t>
  </si>
  <si>
    <t>Rock Hill Local SD</t>
  </si>
  <si>
    <t>Rocky River City SD</t>
  </si>
  <si>
    <t>Rolling Hills Local SD</t>
  </si>
  <si>
    <t>Rootstown Local SD</t>
  </si>
  <si>
    <t>Ross Local SD</t>
  </si>
  <si>
    <t>Rossford Ex Vill SD</t>
  </si>
  <si>
    <t>Russia Local SD</t>
  </si>
  <si>
    <t>Salem City SD</t>
  </si>
  <si>
    <t>Sandusky City SD</t>
  </si>
  <si>
    <t>Sandy Valley Local SD</t>
  </si>
  <si>
    <t>Scioto Valley Local SD</t>
  </si>
  <si>
    <t>Sebring Local SD</t>
  </si>
  <si>
    <t>Seneca East Local SD</t>
  </si>
  <si>
    <t>Shadyside Local SD</t>
  </si>
  <si>
    <t>Shaker Heights City SD</t>
  </si>
  <si>
    <t>Shawnee Local SD</t>
  </si>
  <si>
    <t>Sheffield-Sheffield Lake Cit</t>
  </si>
  <si>
    <t>Shelby City SD</t>
  </si>
  <si>
    <t>Sidney City SD</t>
  </si>
  <si>
    <t>Solon City SD</t>
  </si>
  <si>
    <t>South Central Local SD</t>
  </si>
  <si>
    <t>South Euclid-Lyndhurst City</t>
  </si>
  <si>
    <t>South Point Local SD</t>
  </si>
  <si>
    <t>South Range Local SD</t>
  </si>
  <si>
    <t>South-Western City SD</t>
  </si>
  <si>
    <t>Southeast Local SD</t>
  </si>
  <si>
    <t>Southeastern Local SD</t>
  </si>
  <si>
    <t>Southern Local SD</t>
  </si>
  <si>
    <t>Southington Local SD</t>
  </si>
  <si>
    <t>Southwest Licking Local SD</t>
  </si>
  <si>
    <t>Southwest Local SD</t>
  </si>
  <si>
    <t>Spencerville Local SD</t>
  </si>
  <si>
    <t>Springboro Community City SD</t>
  </si>
  <si>
    <t>Springfield City SD</t>
  </si>
  <si>
    <t>Springfield Local SD</t>
  </si>
  <si>
    <t>St Bernard-Elmwood Place Cit</t>
  </si>
  <si>
    <t>St Clairsville-Richland City</t>
  </si>
  <si>
    <t>St Henry Consolidated Local</t>
  </si>
  <si>
    <t>St Marys City SD</t>
  </si>
  <si>
    <t>Steubenville City SD</t>
  </si>
  <si>
    <t>Stow-Munroe Falls City SD</t>
  </si>
  <si>
    <t>Strasburg-Franklin Local SD</t>
  </si>
  <si>
    <t>Streetsboro City SD</t>
  </si>
  <si>
    <t>Strongsville City SD</t>
  </si>
  <si>
    <t>Struthers City SD</t>
  </si>
  <si>
    <t>Stryker Local SD</t>
  </si>
  <si>
    <t>Sugarcreek Local SD</t>
  </si>
  <si>
    <t>Swanton Local SD</t>
  </si>
  <si>
    <t>Switzerland Of Ohio Local SD</t>
  </si>
  <si>
    <t>Monroe</t>
  </si>
  <si>
    <t>Sycamore Community City SD</t>
  </si>
  <si>
    <t>Sylvania City SD</t>
  </si>
  <si>
    <t>Symmes Valley Local SD</t>
  </si>
  <si>
    <t>Talawanda City SD</t>
  </si>
  <si>
    <t>Tallmadge City SD</t>
  </si>
  <si>
    <t>Teays Valley Local SD</t>
  </si>
  <si>
    <t>Tecumseh Local SD</t>
  </si>
  <si>
    <t>Three Rivers Local SD</t>
  </si>
  <si>
    <t>Tiffin City SD</t>
  </si>
  <si>
    <t>Tipp City Ex Vill SD</t>
  </si>
  <si>
    <t>Toledo City SD</t>
  </si>
  <si>
    <t>Toronto City SD</t>
  </si>
  <si>
    <t>Tri-County North Local SD</t>
  </si>
  <si>
    <t>Tri-Valley Local SD</t>
  </si>
  <si>
    <t>Tri-Village Local SD</t>
  </si>
  <si>
    <t>Triad Local SD</t>
  </si>
  <si>
    <t>Trimble Local SD</t>
  </si>
  <si>
    <t>Triway Local SD</t>
  </si>
  <si>
    <t>Trotwood-Madison City SD</t>
  </si>
  <si>
    <t>Troy City SD</t>
  </si>
  <si>
    <t>Tuscarawas Valley Local SD</t>
  </si>
  <si>
    <t>Tuslaw Local SD</t>
  </si>
  <si>
    <t>Twin Valley Community Local</t>
  </si>
  <si>
    <t>Twinsburg City SD</t>
  </si>
  <si>
    <t>Union Local SD</t>
  </si>
  <si>
    <t>Union Scioto Local SD</t>
  </si>
  <si>
    <t>United Local SD</t>
  </si>
  <si>
    <t>Upper Arlington City SD</t>
  </si>
  <si>
    <t>Upper Sandusky Ex Vill SD</t>
  </si>
  <si>
    <t>Upper Scioto Valley Local SD</t>
  </si>
  <si>
    <t>Urbana City SD</t>
  </si>
  <si>
    <t>Valley Local SD</t>
  </si>
  <si>
    <t>Valley View Local SD</t>
  </si>
  <si>
    <t>Van Buren Local SD</t>
  </si>
  <si>
    <t>Van Wert City SD</t>
  </si>
  <si>
    <t>Vandalia-Butler City SD</t>
  </si>
  <si>
    <t>Vanlue Local SD</t>
  </si>
  <si>
    <t>Vermilion Local SD</t>
  </si>
  <si>
    <t>Versailles Ex Vill SD</t>
  </si>
  <si>
    <t>Vinton County Local SD</t>
  </si>
  <si>
    <t>Vinton</t>
  </si>
  <si>
    <t>Wadsworth City SD</t>
  </si>
  <si>
    <t>Walnut Township Local SD</t>
  </si>
  <si>
    <t>Wapakoneta City SD</t>
  </si>
  <si>
    <t>Warren City SD</t>
  </si>
  <si>
    <t>Warren Local SD</t>
  </si>
  <si>
    <t>Warrensville Heights City SD</t>
  </si>
  <si>
    <t>Washington Court House City</t>
  </si>
  <si>
    <t>Washington Local SD</t>
  </si>
  <si>
    <t>Washington-Nile Local SD</t>
  </si>
  <si>
    <t>Waterloo Local SD</t>
  </si>
  <si>
    <t>Wauseon Ex Vill SD</t>
  </si>
  <si>
    <t>Waverly City SD</t>
  </si>
  <si>
    <t>Wayne Local SD</t>
  </si>
  <si>
    <t>Wayne Trace Local SD</t>
  </si>
  <si>
    <t>Waynesfield-Goshen Local SD</t>
  </si>
  <si>
    <t>Weathersfield Local SD</t>
  </si>
  <si>
    <t>Wellington Ex Vill SD</t>
  </si>
  <si>
    <t>Wellston City SD</t>
  </si>
  <si>
    <t>Wellsville Local SD</t>
  </si>
  <si>
    <t>West Branch Local SD</t>
  </si>
  <si>
    <t>West Carrollton City SD</t>
  </si>
  <si>
    <t>West Clermont Local SD</t>
  </si>
  <si>
    <t>West Geauga Local SD</t>
  </si>
  <si>
    <t>West Holmes Local SD</t>
  </si>
  <si>
    <t>West Liberty-Salem Local SD</t>
  </si>
  <si>
    <t>West Muskingum Local SD</t>
  </si>
  <si>
    <t>Western Brown Local SD</t>
  </si>
  <si>
    <t>Western Local SD</t>
  </si>
  <si>
    <t>Western Reserve Local SD</t>
  </si>
  <si>
    <t>Westerville City SD</t>
  </si>
  <si>
    <t>Westfall Local SD</t>
  </si>
  <si>
    <t>Westlake City SD</t>
  </si>
  <si>
    <t>Wheelersburg Local SD</t>
  </si>
  <si>
    <t>Whitehall City SD</t>
  </si>
  <si>
    <t>Wickliffe City SD</t>
  </si>
  <si>
    <t>Willard City SD</t>
  </si>
  <si>
    <t>Williamsburg Local SD</t>
  </si>
  <si>
    <t>Willoughby-Eastlake City SD</t>
  </si>
  <si>
    <t>Wilmington City SD</t>
  </si>
  <si>
    <t>Windham Ex Vill SD</t>
  </si>
  <si>
    <t>Winton Woods City SD</t>
  </si>
  <si>
    <t>Wolf Creek Local SD</t>
  </si>
  <si>
    <t>Woodmore Local SD</t>
  </si>
  <si>
    <t>Woodridge Local SD</t>
  </si>
  <si>
    <t>Wooster City SD</t>
  </si>
  <si>
    <t>Worthington City SD</t>
  </si>
  <si>
    <t>Wynford Local SD</t>
  </si>
  <si>
    <t>Wyoming City SD</t>
  </si>
  <si>
    <t>Xenia Community City SD</t>
  </si>
  <si>
    <t>Yellow Springs Ex Vill SD</t>
  </si>
  <si>
    <t>Youngstown City SD</t>
  </si>
  <si>
    <t>Zane Trace Local SD</t>
  </si>
  <si>
    <t>Zanesville City SD</t>
  </si>
  <si>
    <t>ALL LEVY LOSS</t>
  </si>
  <si>
    <t>TOTAL</t>
  </si>
  <si>
    <t>daria.shams:offset_tpp_fy12_dis_revised.xlsx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</si>
</sst>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164" fontId="0" fillId="0" borderId="0" xfId="0" applyNumberFormat="1"/>
    <xf numFmtId="164" fontId="16" fillId="0" borderId="0" xfId="0" applyNumberFormat="1" applyFont="1" applyAlignment="1">
      <alignment horizontal="center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27"/>
  <sheetViews>
    <sheetView tabSelected="1" workbookViewId="0">
      <pane ySplit="10" topLeftCell="A11" activePane="bottomLeft" state="frozen"/>
      <selection pane="bottomLeft" sqref="A1:D1"/>
    </sheetView>
  </sheetViews>
  <sheetFormatPr defaultRowHeight="14.4" x14ac:dyDescent="0.3"/>
  <cols>
    <col min="1" max="1" width="7" bestFit="1" customWidth="1"/>
    <col min="2" max="2" width="28.5546875" bestFit="1" customWidth="1"/>
    <col min="3" max="3" width="12.44140625" bestFit="1" customWidth="1"/>
    <col min="4" max="16" width="16.6640625" style="2" bestFit="1" customWidth="1"/>
  </cols>
  <sheetData>
    <row r="1" spans="1:16" ht="15" x14ac:dyDescent="0.25">
      <c r="A1" s="4" t="s">
        <v>692</v>
      </c>
      <c r="B1" s="4"/>
      <c r="C1" s="4"/>
      <c r="D1" s="4"/>
    </row>
    <row r="5" spans="1:16" ht="15" x14ac:dyDescent="0.25">
      <c r="D5" s="3" t="s">
        <v>0</v>
      </c>
      <c r="E5" s="3" t="s">
        <v>0</v>
      </c>
      <c r="F5" s="3"/>
      <c r="G5" s="3" t="s">
        <v>0</v>
      </c>
      <c r="H5" s="3" t="s">
        <v>0</v>
      </c>
      <c r="I5" s="3" t="s">
        <v>0</v>
      </c>
      <c r="J5" s="3"/>
      <c r="K5" s="3"/>
      <c r="L5" s="3"/>
      <c r="M5" s="3"/>
      <c r="N5" s="3"/>
      <c r="O5" s="3"/>
    </row>
    <row r="6" spans="1:16" ht="15" x14ac:dyDescent="0.25">
      <c r="D6" s="3" t="s">
        <v>1</v>
      </c>
      <c r="E6" s="3" t="s">
        <v>1</v>
      </c>
      <c r="F6" s="3" t="s">
        <v>0</v>
      </c>
      <c r="G6" s="3" t="s">
        <v>2</v>
      </c>
      <c r="H6" s="3" t="s">
        <v>2</v>
      </c>
      <c r="I6" s="3" t="s">
        <v>2</v>
      </c>
      <c r="J6" s="3" t="s">
        <v>3</v>
      </c>
      <c r="K6" s="3" t="s">
        <v>3</v>
      </c>
      <c r="L6" s="3" t="s">
        <v>3</v>
      </c>
      <c r="M6" s="3" t="s">
        <v>4</v>
      </c>
      <c r="N6" s="3" t="s">
        <v>4</v>
      </c>
      <c r="O6" s="3" t="s">
        <v>5</v>
      </c>
      <c r="P6" s="3" t="s">
        <v>690</v>
      </c>
    </row>
    <row r="7" spans="1:16" ht="15" x14ac:dyDescent="0.25">
      <c r="D7" s="3" t="s">
        <v>6</v>
      </c>
      <c r="E7" s="3" t="s">
        <v>6</v>
      </c>
      <c r="F7" s="3" t="s">
        <v>1</v>
      </c>
      <c r="G7" s="3" t="s">
        <v>7</v>
      </c>
      <c r="H7" s="3" t="s">
        <v>7</v>
      </c>
      <c r="I7" s="3" t="s">
        <v>7</v>
      </c>
      <c r="J7" s="3" t="s">
        <v>7</v>
      </c>
      <c r="K7" s="3" t="s">
        <v>7</v>
      </c>
      <c r="L7" s="3" t="s">
        <v>7</v>
      </c>
      <c r="M7" s="3" t="s">
        <v>6</v>
      </c>
      <c r="N7" s="3" t="s">
        <v>6</v>
      </c>
      <c r="O7" s="3" t="s">
        <v>7</v>
      </c>
      <c r="P7" s="3" t="s">
        <v>691</v>
      </c>
    </row>
    <row r="8" spans="1:16" ht="15" x14ac:dyDescent="0.25">
      <c r="D8" s="3" t="s">
        <v>8</v>
      </c>
      <c r="E8" s="3" t="s">
        <v>8</v>
      </c>
      <c r="F8" s="3" t="s">
        <v>9</v>
      </c>
      <c r="G8" s="3" t="s">
        <v>8</v>
      </c>
      <c r="H8" s="3" t="s">
        <v>8</v>
      </c>
      <c r="I8" s="3" t="s">
        <v>10</v>
      </c>
      <c r="J8" s="3" t="s">
        <v>8</v>
      </c>
      <c r="K8" s="3" t="s">
        <v>8</v>
      </c>
      <c r="L8" s="3" t="s">
        <v>10</v>
      </c>
      <c r="M8" s="3" t="s">
        <v>8</v>
      </c>
      <c r="N8" s="3" t="s">
        <v>8</v>
      </c>
      <c r="O8" s="3" t="s">
        <v>10</v>
      </c>
      <c r="P8" s="3" t="s">
        <v>10</v>
      </c>
    </row>
    <row r="9" spans="1:16" ht="15" x14ac:dyDescent="0.25">
      <c r="D9" s="3" t="s">
        <v>11</v>
      </c>
      <c r="E9" s="3" t="s">
        <v>11</v>
      </c>
      <c r="F9" s="3" t="s">
        <v>8</v>
      </c>
      <c r="G9" s="3" t="s">
        <v>11</v>
      </c>
      <c r="H9" s="3" t="s">
        <v>11</v>
      </c>
      <c r="I9" s="3" t="s">
        <v>8</v>
      </c>
      <c r="J9" s="3" t="s">
        <v>11</v>
      </c>
      <c r="K9" s="3" t="s">
        <v>11</v>
      </c>
      <c r="L9" s="3" t="s">
        <v>8</v>
      </c>
      <c r="M9" s="3" t="s">
        <v>11</v>
      </c>
      <c r="N9" s="3" t="s">
        <v>11</v>
      </c>
      <c r="O9" s="3" t="s">
        <v>8</v>
      </c>
      <c r="P9" s="3" t="s">
        <v>8</v>
      </c>
    </row>
    <row r="10" spans="1:16" ht="15" x14ac:dyDescent="0.25">
      <c r="A10" s="1" t="s">
        <v>12</v>
      </c>
      <c r="B10" s="1" t="s">
        <v>13</v>
      </c>
      <c r="C10" s="1" t="s">
        <v>14</v>
      </c>
      <c r="D10" s="3" t="s">
        <v>15</v>
      </c>
      <c r="E10" s="3" t="s">
        <v>16</v>
      </c>
      <c r="F10" s="3" t="s">
        <v>17</v>
      </c>
      <c r="G10" s="3" t="s">
        <v>15</v>
      </c>
      <c r="H10" s="3" t="s">
        <v>16</v>
      </c>
      <c r="I10" s="3" t="s">
        <v>17</v>
      </c>
      <c r="J10" s="3" t="s">
        <v>15</v>
      </c>
      <c r="K10" s="3" t="s">
        <v>16</v>
      </c>
      <c r="L10" s="3" t="s">
        <v>17</v>
      </c>
      <c r="M10" s="3" t="s">
        <v>15</v>
      </c>
      <c r="N10" s="3" t="s">
        <v>16</v>
      </c>
      <c r="O10" s="3" t="s">
        <v>17</v>
      </c>
      <c r="P10" s="3" t="s">
        <v>17</v>
      </c>
    </row>
    <row r="12" spans="1:16" ht="15" x14ac:dyDescent="0.25">
      <c r="A12">
        <v>45187</v>
      </c>
      <c r="B12" t="s">
        <v>18</v>
      </c>
      <c r="C12" t="s">
        <v>19</v>
      </c>
      <c r="D12" s="2">
        <v>0</v>
      </c>
      <c r="E12" s="2">
        <v>0</v>
      </c>
      <c r="F12" s="2">
        <v>0</v>
      </c>
      <c r="G12" s="2">
        <v>4559.63</v>
      </c>
      <c r="H12" s="2">
        <v>4559.63</v>
      </c>
      <c r="I12" s="2">
        <v>9119.27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f>F12+I12+L12+O12</f>
        <v>9119.27</v>
      </c>
    </row>
    <row r="13" spans="1:16" ht="15" x14ac:dyDescent="0.25">
      <c r="A13">
        <v>49494</v>
      </c>
      <c r="B13" t="s">
        <v>20</v>
      </c>
      <c r="C13" t="s">
        <v>21</v>
      </c>
      <c r="D13" s="2">
        <v>0</v>
      </c>
      <c r="E13" s="2">
        <v>0</v>
      </c>
      <c r="F13" s="2">
        <v>0</v>
      </c>
      <c r="G13" s="2">
        <v>704.55</v>
      </c>
      <c r="H13" s="2">
        <v>704.55</v>
      </c>
      <c r="I13" s="2">
        <v>1409.1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f t="shared" ref="P13:P76" si="0">F13+I13+L13+O13</f>
        <v>1409.1</v>
      </c>
    </row>
    <row r="14" spans="1:16" ht="15" x14ac:dyDescent="0.25">
      <c r="A14">
        <v>43489</v>
      </c>
      <c r="B14" t="s">
        <v>22</v>
      </c>
      <c r="C14" t="s">
        <v>23</v>
      </c>
      <c r="D14" s="2">
        <v>5674966.3399999999</v>
      </c>
      <c r="E14" s="2">
        <v>5674966.3399999999</v>
      </c>
      <c r="F14" s="2">
        <v>11349932.68</v>
      </c>
      <c r="G14" s="2">
        <v>375973.62</v>
      </c>
      <c r="H14" s="2">
        <v>375973.62</v>
      </c>
      <c r="I14" s="2">
        <v>751947.24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f t="shared" si="0"/>
        <v>12101879.92</v>
      </c>
    </row>
    <row r="15" spans="1:16" ht="15" x14ac:dyDescent="0.25">
      <c r="A15">
        <v>45906</v>
      </c>
      <c r="B15" t="s">
        <v>24</v>
      </c>
      <c r="C15" t="s">
        <v>25</v>
      </c>
      <c r="D15" s="2">
        <v>0</v>
      </c>
      <c r="E15" s="2">
        <v>0</v>
      </c>
      <c r="F15" s="2">
        <v>0</v>
      </c>
      <c r="G15" s="2">
        <v>963.17</v>
      </c>
      <c r="H15" s="2">
        <v>963.17</v>
      </c>
      <c r="I15" s="2">
        <v>1926.33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f t="shared" si="0"/>
        <v>1926.33</v>
      </c>
    </row>
    <row r="16" spans="1:16" ht="15" x14ac:dyDescent="0.25">
      <c r="A16">
        <v>45757</v>
      </c>
      <c r="B16" t="s">
        <v>26</v>
      </c>
      <c r="C16" t="s">
        <v>27</v>
      </c>
      <c r="D16" s="2">
        <v>0</v>
      </c>
      <c r="E16" s="2">
        <v>0</v>
      </c>
      <c r="F16" s="2">
        <v>0</v>
      </c>
      <c r="G16" s="2">
        <v>7718</v>
      </c>
      <c r="H16" s="2">
        <v>7718</v>
      </c>
      <c r="I16" s="2">
        <v>15435.99</v>
      </c>
      <c r="J16" s="2">
        <v>14262.41</v>
      </c>
      <c r="K16" s="2">
        <v>7131.2</v>
      </c>
      <c r="L16" s="2">
        <v>21393.61</v>
      </c>
      <c r="M16" s="2">
        <v>0</v>
      </c>
      <c r="N16" s="2">
        <v>0</v>
      </c>
      <c r="O16" s="2">
        <v>0</v>
      </c>
      <c r="P16" s="2">
        <f t="shared" si="0"/>
        <v>36829.599999999999</v>
      </c>
    </row>
    <row r="17" spans="1:16" ht="15" x14ac:dyDescent="0.25">
      <c r="A17">
        <v>43497</v>
      </c>
      <c r="B17" t="s">
        <v>28</v>
      </c>
      <c r="C17" t="s">
        <v>29</v>
      </c>
      <c r="D17" s="2">
        <v>149383.65</v>
      </c>
      <c r="E17" s="2">
        <v>149383.65</v>
      </c>
      <c r="F17" s="2">
        <v>298767.3</v>
      </c>
      <c r="G17" s="2">
        <v>23911.07</v>
      </c>
      <c r="H17" s="2">
        <v>23911.07</v>
      </c>
      <c r="I17" s="2">
        <v>47822.14</v>
      </c>
      <c r="J17" s="2">
        <v>122869.87</v>
      </c>
      <c r="K17" s="2">
        <v>61434.93</v>
      </c>
      <c r="L17" s="2">
        <v>184304.8</v>
      </c>
      <c r="M17" s="2">
        <v>0</v>
      </c>
      <c r="N17" s="2">
        <v>0</v>
      </c>
      <c r="O17" s="2">
        <v>0</v>
      </c>
      <c r="P17" s="2">
        <f t="shared" si="0"/>
        <v>530894.24</v>
      </c>
    </row>
    <row r="18" spans="1:16" ht="15" x14ac:dyDescent="0.25">
      <c r="A18">
        <v>46847</v>
      </c>
      <c r="B18" t="s">
        <v>30</v>
      </c>
      <c r="C18" t="s">
        <v>31</v>
      </c>
      <c r="D18" s="2">
        <v>0</v>
      </c>
      <c r="E18" s="2">
        <v>0</v>
      </c>
      <c r="F18" s="2">
        <v>0</v>
      </c>
      <c r="G18" s="2">
        <v>1034.4000000000001</v>
      </c>
      <c r="H18" s="2">
        <v>1034.4000000000001</v>
      </c>
      <c r="I18" s="2">
        <v>2068.8000000000002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f t="shared" si="0"/>
        <v>2068.8000000000002</v>
      </c>
    </row>
    <row r="19" spans="1:16" ht="15" x14ac:dyDescent="0.25">
      <c r="A19">
        <v>45195</v>
      </c>
      <c r="B19" t="s">
        <v>32</v>
      </c>
      <c r="C19" t="s">
        <v>33</v>
      </c>
      <c r="D19" s="2">
        <v>304176.67</v>
      </c>
      <c r="E19" s="2">
        <v>304176.67</v>
      </c>
      <c r="F19" s="2">
        <v>608353.34</v>
      </c>
      <c r="G19" s="2">
        <v>17623.080000000002</v>
      </c>
      <c r="H19" s="2">
        <v>17623.080000000002</v>
      </c>
      <c r="I19" s="2">
        <v>35246.15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f t="shared" si="0"/>
        <v>643599.49</v>
      </c>
    </row>
    <row r="20" spans="1:16" ht="15" x14ac:dyDescent="0.25">
      <c r="A20">
        <v>49759</v>
      </c>
      <c r="B20" t="s">
        <v>34</v>
      </c>
      <c r="C20" t="s">
        <v>35</v>
      </c>
      <c r="D20" s="2">
        <v>341107.43</v>
      </c>
      <c r="E20" s="2">
        <v>341107.43</v>
      </c>
      <c r="F20" s="2">
        <v>682214.86</v>
      </c>
      <c r="G20" s="2">
        <v>60189.71</v>
      </c>
      <c r="H20" s="2">
        <v>60189.71</v>
      </c>
      <c r="I20" s="2">
        <v>120379.42</v>
      </c>
      <c r="J20" s="2">
        <v>337076.37</v>
      </c>
      <c r="K20" s="2">
        <v>136127</v>
      </c>
      <c r="L20" s="2">
        <v>473203.37</v>
      </c>
      <c r="M20" s="2">
        <v>0</v>
      </c>
      <c r="N20" s="2">
        <v>0</v>
      </c>
      <c r="O20" s="2">
        <v>0</v>
      </c>
      <c r="P20" s="2">
        <f t="shared" si="0"/>
        <v>1275797.6499999999</v>
      </c>
    </row>
    <row r="21" spans="1:16" ht="15" x14ac:dyDescent="0.25">
      <c r="A21">
        <v>46623</v>
      </c>
      <c r="B21" t="s">
        <v>36</v>
      </c>
      <c r="C21" t="s">
        <v>37</v>
      </c>
      <c r="D21" s="2">
        <v>1079.19</v>
      </c>
      <c r="E21" s="2">
        <v>1079.19</v>
      </c>
      <c r="F21" s="2">
        <v>2158.38</v>
      </c>
      <c r="G21" s="2">
        <v>1835.45</v>
      </c>
      <c r="H21" s="2">
        <v>1835.45</v>
      </c>
      <c r="I21" s="2">
        <v>3670.9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f t="shared" si="0"/>
        <v>5829.2800000000007</v>
      </c>
    </row>
    <row r="22" spans="1:16" ht="15" x14ac:dyDescent="0.25">
      <c r="A22">
        <v>48207</v>
      </c>
      <c r="B22" t="s">
        <v>38</v>
      </c>
      <c r="C22" t="s">
        <v>39</v>
      </c>
      <c r="D22" s="2">
        <v>1147814.56</v>
      </c>
      <c r="E22" s="2">
        <v>1147814.56</v>
      </c>
      <c r="F22" s="2">
        <v>2295629.12</v>
      </c>
      <c r="G22" s="2">
        <v>41420.370000000003</v>
      </c>
      <c r="H22" s="2">
        <v>41420.370000000003</v>
      </c>
      <c r="I22" s="2">
        <v>82840.73</v>
      </c>
      <c r="J22" s="2">
        <v>14718.85</v>
      </c>
      <c r="K22" s="2">
        <v>7359.43</v>
      </c>
      <c r="L22" s="2">
        <v>22078.28</v>
      </c>
      <c r="M22" s="2">
        <v>0</v>
      </c>
      <c r="N22" s="2">
        <v>0</v>
      </c>
      <c r="O22" s="2">
        <v>0</v>
      </c>
      <c r="P22" s="2">
        <f t="shared" si="0"/>
        <v>2400548.13</v>
      </c>
    </row>
    <row r="23" spans="1:16" ht="15" x14ac:dyDescent="0.25">
      <c r="A23">
        <v>48991</v>
      </c>
      <c r="B23" t="s">
        <v>40</v>
      </c>
      <c r="C23" t="s">
        <v>41</v>
      </c>
      <c r="D23" s="2">
        <v>0</v>
      </c>
      <c r="E23" s="2">
        <v>0</v>
      </c>
      <c r="F23" s="2">
        <v>0</v>
      </c>
      <c r="G23" s="2">
        <v>2282.79</v>
      </c>
      <c r="H23" s="2">
        <v>2282.79</v>
      </c>
      <c r="I23" s="2">
        <v>4565.57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f t="shared" si="0"/>
        <v>4565.57</v>
      </c>
    </row>
    <row r="24" spans="1:16" ht="15" x14ac:dyDescent="0.25">
      <c r="A24">
        <v>47415</v>
      </c>
      <c r="B24" t="s">
        <v>42</v>
      </c>
      <c r="C24" t="s">
        <v>43</v>
      </c>
      <c r="D24" s="2">
        <v>4982.37</v>
      </c>
      <c r="E24" s="2">
        <v>4982.37</v>
      </c>
      <c r="F24" s="2">
        <v>9964.74</v>
      </c>
      <c r="G24" s="2">
        <v>0</v>
      </c>
      <c r="H24" s="2">
        <v>0</v>
      </c>
      <c r="I24" s="2">
        <v>0</v>
      </c>
      <c r="J24" s="2">
        <v>15252.21</v>
      </c>
      <c r="K24" s="2">
        <v>7626.11</v>
      </c>
      <c r="L24" s="2">
        <v>22878.32</v>
      </c>
      <c r="M24" s="2">
        <v>0</v>
      </c>
      <c r="N24" s="2">
        <v>0</v>
      </c>
      <c r="O24" s="2">
        <v>0</v>
      </c>
      <c r="P24" s="2">
        <f t="shared" si="0"/>
        <v>32843.06</v>
      </c>
    </row>
    <row r="25" spans="1:16" ht="15" x14ac:dyDescent="0.25">
      <c r="A25">
        <v>46631</v>
      </c>
      <c r="B25" t="s">
        <v>44</v>
      </c>
      <c r="C25" t="s">
        <v>37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f t="shared" si="0"/>
        <v>0</v>
      </c>
    </row>
    <row r="26" spans="1:16" ht="15" x14ac:dyDescent="0.25">
      <c r="A26">
        <v>47043</v>
      </c>
      <c r="B26" t="s">
        <v>45</v>
      </c>
      <c r="C26" t="s">
        <v>46</v>
      </c>
      <c r="D26" s="2">
        <v>1113974.03</v>
      </c>
      <c r="E26" s="2">
        <v>1113974.03</v>
      </c>
      <c r="F26" s="2">
        <v>2227948.06</v>
      </c>
      <c r="G26" s="2">
        <v>47022.25</v>
      </c>
      <c r="H26" s="2">
        <v>47022.25</v>
      </c>
      <c r="I26" s="2">
        <v>94044.5</v>
      </c>
      <c r="J26" s="2">
        <v>198867.17</v>
      </c>
      <c r="K26" s="2">
        <v>99433.58</v>
      </c>
      <c r="L26" s="2">
        <v>298300.75</v>
      </c>
      <c r="M26" s="2">
        <v>0</v>
      </c>
      <c r="N26" s="2">
        <v>0</v>
      </c>
      <c r="O26" s="2">
        <v>0</v>
      </c>
      <c r="P26" s="2">
        <f t="shared" si="0"/>
        <v>2620293.31</v>
      </c>
    </row>
    <row r="27" spans="1:16" ht="15" x14ac:dyDescent="0.25">
      <c r="A27">
        <v>47423</v>
      </c>
      <c r="B27" t="s">
        <v>47</v>
      </c>
      <c r="C27" t="s">
        <v>43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f t="shared" si="0"/>
        <v>0</v>
      </c>
    </row>
    <row r="28" spans="1:16" ht="15" x14ac:dyDescent="0.25">
      <c r="A28">
        <v>43505</v>
      </c>
      <c r="B28" t="s">
        <v>48</v>
      </c>
      <c r="C28" t="s">
        <v>49</v>
      </c>
      <c r="D28" s="2">
        <v>1213518.1100000001</v>
      </c>
      <c r="E28" s="2">
        <v>1213518.1100000001</v>
      </c>
      <c r="F28" s="2">
        <v>2427036.2200000002</v>
      </c>
      <c r="G28" s="2">
        <v>26396.16</v>
      </c>
      <c r="H28" s="2">
        <v>26396.16</v>
      </c>
      <c r="I28" s="2">
        <v>52792.31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f t="shared" si="0"/>
        <v>2479828.5300000003</v>
      </c>
    </row>
    <row r="29" spans="1:16" ht="15" x14ac:dyDescent="0.25">
      <c r="A29">
        <v>43513</v>
      </c>
      <c r="B29" t="s">
        <v>50</v>
      </c>
      <c r="C29" t="s">
        <v>51</v>
      </c>
      <c r="D29" s="2">
        <v>123336.7</v>
      </c>
      <c r="E29" s="2">
        <v>123336.7</v>
      </c>
      <c r="F29" s="2">
        <v>246673.4</v>
      </c>
      <c r="G29" s="2">
        <v>63320.42</v>
      </c>
      <c r="H29" s="2">
        <v>63320.42</v>
      </c>
      <c r="I29" s="2">
        <v>126640.85</v>
      </c>
      <c r="J29" s="2">
        <v>100423.31</v>
      </c>
      <c r="K29" s="2">
        <v>50211.66</v>
      </c>
      <c r="L29" s="2">
        <v>150634.97</v>
      </c>
      <c r="M29" s="2">
        <v>0</v>
      </c>
      <c r="N29" s="2">
        <v>0</v>
      </c>
      <c r="O29" s="2">
        <v>0</v>
      </c>
      <c r="P29" s="2">
        <f t="shared" si="0"/>
        <v>523949.22</v>
      </c>
    </row>
    <row r="30" spans="1:16" ht="15" x14ac:dyDescent="0.25">
      <c r="A30">
        <v>43521</v>
      </c>
      <c r="B30" t="s">
        <v>52</v>
      </c>
      <c r="C30" t="s">
        <v>25</v>
      </c>
      <c r="D30" s="2">
        <v>300155.77</v>
      </c>
      <c r="E30" s="2">
        <v>300155.77</v>
      </c>
      <c r="F30" s="2">
        <v>600311.54</v>
      </c>
      <c r="G30" s="2">
        <v>27261.25</v>
      </c>
      <c r="H30" s="2">
        <v>27261.25</v>
      </c>
      <c r="I30" s="2">
        <v>54522.5</v>
      </c>
      <c r="J30" s="2">
        <v>71282.48</v>
      </c>
      <c r="K30" s="2">
        <v>35641.24</v>
      </c>
      <c r="L30" s="2">
        <v>106923.72</v>
      </c>
      <c r="M30" s="2">
        <v>0</v>
      </c>
      <c r="N30" s="2">
        <v>0</v>
      </c>
      <c r="O30" s="2">
        <v>0</v>
      </c>
      <c r="P30" s="2">
        <f t="shared" si="0"/>
        <v>761757.76</v>
      </c>
    </row>
    <row r="31" spans="1:16" ht="15" x14ac:dyDescent="0.25">
      <c r="A31">
        <v>49171</v>
      </c>
      <c r="B31" t="s">
        <v>53</v>
      </c>
      <c r="C31" t="s">
        <v>54</v>
      </c>
      <c r="D31" s="2">
        <v>934462.66</v>
      </c>
      <c r="E31" s="2">
        <v>934462.66</v>
      </c>
      <c r="F31" s="2">
        <v>1868925.32</v>
      </c>
      <c r="G31" s="2">
        <v>21102.58</v>
      </c>
      <c r="H31" s="2">
        <v>21102.58</v>
      </c>
      <c r="I31" s="2">
        <v>42205.16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f t="shared" si="0"/>
        <v>1911130.48</v>
      </c>
    </row>
    <row r="32" spans="1:16" ht="15" x14ac:dyDescent="0.25">
      <c r="A32">
        <v>48298</v>
      </c>
      <c r="B32" t="s">
        <v>55</v>
      </c>
      <c r="C32" t="s">
        <v>56</v>
      </c>
      <c r="D32" s="2">
        <v>497467.09</v>
      </c>
      <c r="E32" s="2">
        <v>497467.09</v>
      </c>
      <c r="F32" s="2">
        <v>994934.18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f t="shared" si="0"/>
        <v>994934.18</v>
      </c>
    </row>
    <row r="33" spans="1:16" ht="15" x14ac:dyDescent="0.25">
      <c r="A33">
        <v>48124</v>
      </c>
      <c r="B33" t="s">
        <v>57</v>
      </c>
      <c r="C33" t="s">
        <v>33</v>
      </c>
      <c r="D33" s="2">
        <v>1297273.58</v>
      </c>
      <c r="E33" s="2">
        <v>1297273.58</v>
      </c>
      <c r="F33" s="2">
        <v>2594547.16</v>
      </c>
      <c r="G33" s="2">
        <v>37643.339999999997</v>
      </c>
      <c r="H33" s="2">
        <v>37643.339999999997</v>
      </c>
      <c r="I33" s="2">
        <v>75286.69</v>
      </c>
      <c r="J33" s="2">
        <v>198106.71</v>
      </c>
      <c r="K33" s="2">
        <v>99053.35</v>
      </c>
      <c r="L33" s="2">
        <v>297160.06</v>
      </c>
      <c r="M33" s="2">
        <v>0</v>
      </c>
      <c r="N33" s="2">
        <v>0</v>
      </c>
      <c r="O33" s="2">
        <v>0</v>
      </c>
      <c r="P33" s="2">
        <f t="shared" si="0"/>
        <v>2966993.91</v>
      </c>
    </row>
    <row r="34" spans="1:16" ht="15" x14ac:dyDescent="0.25">
      <c r="A34">
        <v>48116</v>
      </c>
      <c r="B34" t="s">
        <v>58</v>
      </c>
      <c r="C34" t="s">
        <v>33</v>
      </c>
      <c r="D34" s="2">
        <v>342106.79</v>
      </c>
      <c r="E34" s="2">
        <v>342106.79</v>
      </c>
      <c r="F34" s="2">
        <v>684213.58</v>
      </c>
      <c r="G34" s="2">
        <v>15103.48</v>
      </c>
      <c r="H34" s="2">
        <v>15103.48</v>
      </c>
      <c r="I34" s="2">
        <v>30206.959999999999</v>
      </c>
      <c r="J34" s="2">
        <v>67715.08</v>
      </c>
      <c r="K34" s="2">
        <v>33857.54</v>
      </c>
      <c r="L34" s="2">
        <v>101572.62</v>
      </c>
      <c r="M34" s="2">
        <v>0</v>
      </c>
      <c r="N34" s="2">
        <v>0</v>
      </c>
      <c r="O34" s="2">
        <v>0</v>
      </c>
      <c r="P34" s="2">
        <f t="shared" si="0"/>
        <v>815993.15999999992</v>
      </c>
    </row>
    <row r="35" spans="1:16" ht="15" x14ac:dyDescent="0.25">
      <c r="A35">
        <v>46706</v>
      </c>
      <c r="B35" t="s">
        <v>59</v>
      </c>
      <c r="C35" t="s">
        <v>60</v>
      </c>
      <c r="D35" s="2">
        <v>443845.74</v>
      </c>
      <c r="E35" s="2">
        <v>443845.74</v>
      </c>
      <c r="F35" s="2">
        <v>887691.48</v>
      </c>
      <c r="G35" s="2">
        <v>21286.46</v>
      </c>
      <c r="H35" s="2">
        <v>21286.46</v>
      </c>
      <c r="I35" s="2">
        <v>42572.91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f t="shared" si="0"/>
        <v>930264.39</v>
      </c>
    </row>
    <row r="36" spans="1:16" ht="15" x14ac:dyDescent="0.25">
      <c r="A36">
        <v>43539</v>
      </c>
      <c r="B36" t="s">
        <v>61</v>
      </c>
      <c r="C36" t="s">
        <v>23</v>
      </c>
      <c r="D36" s="2">
        <v>444996.72</v>
      </c>
      <c r="E36" s="2">
        <v>444996.72</v>
      </c>
      <c r="F36" s="2">
        <v>889993.44</v>
      </c>
      <c r="G36" s="2">
        <v>18681.419999999998</v>
      </c>
      <c r="H36" s="2">
        <v>18681.419999999998</v>
      </c>
      <c r="I36" s="2">
        <v>37362.839999999997</v>
      </c>
      <c r="J36" s="2">
        <v>205323.13</v>
      </c>
      <c r="K36" s="2">
        <v>102661.57</v>
      </c>
      <c r="L36" s="2">
        <v>307984.7</v>
      </c>
      <c r="M36" s="2">
        <v>0</v>
      </c>
      <c r="N36" s="2">
        <v>0</v>
      </c>
      <c r="O36" s="2">
        <v>0</v>
      </c>
      <c r="P36" s="2">
        <f t="shared" si="0"/>
        <v>1235340.98</v>
      </c>
    </row>
    <row r="37" spans="1:16" ht="15" x14ac:dyDescent="0.25">
      <c r="A37">
        <v>45203</v>
      </c>
      <c r="B37" t="s">
        <v>62</v>
      </c>
      <c r="C37" t="s">
        <v>63</v>
      </c>
      <c r="D37" s="2">
        <v>5900.5</v>
      </c>
      <c r="E37" s="2">
        <v>5900.5</v>
      </c>
      <c r="F37" s="2">
        <v>11801</v>
      </c>
      <c r="G37" s="2">
        <v>822.84</v>
      </c>
      <c r="H37" s="2">
        <v>822.84</v>
      </c>
      <c r="I37" s="2">
        <v>1645.68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f t="shared" si="0"/>
        <v>13446.68</v>
      </c>
    </row>
    <row r="38" spans="1:16" ht="15" x14ac:dyDescent="0.25">
      <c r="A38">
        <v>46300</v>
      </c>
      <c r="B38" t="s">
        <v>64</v>
      </c>
      <c r="C38" t="s">
        <v>65</v>
      </c>
      <c r="D38" s="2">
        <v>590375.19999999995</v>
      </c>
      <c r="E38" s="2">
        <v>590375.19999999995</v>
      </c>
      <c r="F38" s="2">
        <v>1180750.3999999999</v>
      </c>
      <c r="G38" s="2">
        <v>0</v>
      </c>
      <c r="H38" s="2">
        <v>0</v>
      </c>
      <c r="I38" s="2">
        <v>0</v>
      </c>
      <c r="J38" s="2">
        <v>58832.86</v>
      </c>
      <c r="K38" s="2">
        <v>29416.43</v>
      </c>
      <c r="L38" s="2">
        <v>88249.29</v>
      </c>
      <c r="M38" s="2">
        <v>0</v>
      </c>
      <c r="N38" s="2">
        <v>0</v>
      </c>
      <c r="O38" s="2">
        <v>0</v>
      </c>
      <c r="P38" s="2">
        <f t="shared" si="0"/>
        <v>1268999.69</v>
      </c>
    </row>
    <row r="39" spans="1:16" ht="15" x14ac:dyDescent="0.25">
      <c r="A39">
        <v>45765</v>
      </c>
      <c r="B39" t="s">
        <v>66</v>
      </c>
      <c r="C39" t="s">
        <v>27</v>
      </c>
      <c r="D39" s="2">
        <v>492180.18</v>
      </c>
      <c r="E39" s="2">
        <v>492180.18</v>
      </c>
      <c r="F39" s="2">
        <v>984360.36</v>
      </c>
      <c r="G39" s="2">
        <v>105733.07</v>
      </c>
      <c r="H39" s="2">
        <v>105733.07</v>
      </c>
      <c r="I39" s="2">
        <v>211466.15</v>
      </c>
      <c r="J39" s="2">
        <v>665981.59</v>
      </c>
      <c r="K39" s="2">
        <v>332990.78999999998</v>
      </c>
      <c r="L39" s="2">
        <v>998972.38</v>
      </c>
      <c r="M39" s="2">
        <v>0</v>
      </c>
      <c r="N39" s="2">
        <v>0</v>
      </c>
      <c r="O39" s="2">
        <v>0</v>
      </c>
      <c r="P39" s="2">
        <f t="shared" si="0"/>
        <v>2194798.89</v>
      </c>
    </row>
    <row r="40" spans="1:16" ht="15" x14ac:dyDescent="0.25">
      <c r="A40">
        <v>43547</v>
      </c>
      <c r="B40" t="s">
        <v>67</v>
      </c>
      <c r="C40" t="s">
        <v>68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f t="shared" si="0"/>
        <v>0</v>
      </c>
    </row>
    <row r="41" spans="1:16" ht="15" x14ac:dyDescent="0.25">
      <c r="A41">
        <v>43554</v>
      </c>
      <c r="B41" t="s">
        <v>69</v>
      </c>
      <c r="C41" t="s">
        <v>68</v>
      </c>
      <c r="D41" s="2">
        <v>1588267.2</v>
      </c>
      <c r="E41" s="2">
        <v>1588267.2</v>
      </c>
      <c r="F41" s="2">
        <v>3176534.4</v>
      </c>
      <c r="G41" s="2">
        <v>49882.59</v>
      </c>
      <c r="H41" s="2">
        <v>49882.59</v>
      </c>
      <c r="I41" s="2">
        <v>99765.19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f t="shared" si="0"/>
        <v>3276299.59</v>
      </c>
    </row>
    <row r="42" spans="1:16" x14ac:dyDescent="0.3">
      <c r="A42">
        <v>46425</v>
      </c>
      <c r="B42" t="s">
        <v>70</v>
      </c>
      <c r="C42" t="s">
        <v>71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f t="shared" si="0"/>
        <v>0</v>
      </c>
    </row>
    <row r="43" spans="1:16" x14ac:dyDescent="0.3">
      <c r="A43">
        <v>47241</v>
      </c>
      <c r="B43" t="s">
        <v>72</v>
      </c>
      <c r="C43" t="s">
        <v>73</v>
      </c>
      <c r="D43" s="2">
        <v>495789.28</v>
      </c>
      <c r="E43" s="2">
        <v>495789.28</v>
      </c>
      <c r="F43" s="2">
        <v>991578.56</v>
      </c>
      <c r="G43" s="2">
        <v>56089.86</v>
      </c>
      <c r="H43" s="2">
        <v>56089.86</v>
      </c>
      <c r="I43" s="2">
        <v>112179.72</v>
      </c>
      <c r="J43" s="2">
        <v>367143.63</v>
      </c>
      <c r="K43" s="2">
        <v>183571.82</v>
      </c>
      <c r="L43" s="2">
        <v>550715.44999999995</v>
      </c>
      <c r="M43" s="2">
        <v>0</v>
      </c>
      <c r="N43" s="2">
        <v>0</v>
      </c>
      <c r="O43" s="2">
        <v>0</v>
      </c>
      <c r="P43" s="2">
        <f t="shared" si="0"/>
        <v>1654473.73</v>
      </c>
    </row>
    <row r="44" spans="1:16" x14ac:dyDescent="0.3">
      <c r="A44">
        <v>43562</v>
      </c>
      <c r="B44" t="s">
        <v>74</v>
      </c>
      <c r="C44" t="s">
        <v>68</v>
      </c>
      <c r="D44" s="2">
        <v>3573133.32</v>
      </c>
      <c r="E44" s="2">
        <v>3573133.32</v>
      </c>
      <c r="F44" s="2">
        <v>7146266.6399999997</v>
      </c>
      <c r="G44" s="2">
        <v>55874.42</v>
      </c>
      <c r="H44" s="2">
        <v>55874.42</v>
      </c>
      <c r="I44" s="2">
        <v>111748.83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f t="shared" si="0"/>
        <v>7258015.4699999997</v>
      </c>
    </row>
    <row r="45" spans="1:16" x14ac:dyDescent="0.3">
      <c r="A45">
        <v>43570</v>
      </c>
      <c r="B45" t="s">
        <v>75</v>
      </c>
      <c r="C45" t="s">
        <v>63</v>
      </c>
      <c r="D45" s="2">
        <v>0</v>
      </c>
      <c r="E45" s="2">
        <v>0</v>
      </c>
      <c r="F45" s="2">
        <v>0</v>
      </c>
      <c r="G45" s="2">
        <v>7066.03</v>
      </c>
      <c r="H45" s="2">
        <v>7066.03</v>
      </c>
      <c r="I45" s="2">
        <v>14132.06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f t="shared" si="0"/>
        <v>14132.06</v>
      </c>
    </row>
    <row r="46" spans="1:16" x14ac:dyDescent="0.3">
      <c r="A46">
        <v>43588</v>
      </c>
      <c r="B46" t="s">
        <v>76</v>
      </c>
      <c r="C46" t="s">
        <v>77</v>
      </c>
      <c r="D46" s="2">
        <v>450314.72</v>
      </c>
      <c r="E46" s="2">
        <v>450314.72</v>
      </c>
      <c r="F46" s="2">
        <v>900629.44</v>
      </c>
      <c r="G46" s="2">
        <v>16378.3</v>
      </c>
      <c r="H46" s="2">
        <v>16378.3</v>
      </c>
      <c r="I46" s="2">
        <v>32756.6</v>
      </c>
      <c r="J46" s="2">
        <v>25817.59</v>
      </c>
      <c r="K46" s="2">
        <v>12908.8</v>
      </c>
      <c r="L46" s="2">
        <v>38726.39</v>
      </c>
      <c r="M46" s="2">
        <v>0</v>
      </c>
      <c r="N46" s="2">
        <v>0</v>
      </c>
      <c r="O46" s="2">
        <v>0</v>
      </c>
      <c r="P46" s="2">
        <f t="shared" si="0"/>
        <v>972112.42999999993</v>
      </c>
    </row>
    <row r="47" spans="1:16" x14ac:dyDescent="0.3">
      <c r="A47">
        <v>43596</v>
      </c>
      <c r="B47" t="s">
        <v>78</v>
      </c>
      <c r="C47" t="s">
        <v>79</v>
      </c>
      <c r="D47" s="2">
        <v>125890.07</v>
      </c>
      <c r="E47" s="2">
        <v>125890.07</v>
      </c>
      <c r="F47" s="2">
        <v>251780.14</v>
      </c>
      <c r="G47" s="2">
        <v>49594.41</v>
      </c>
      <c r="H47" s="2">
        <v>49594.41</v>
      </c>
      <c r="I47" s="2">
        <v>99188.83</v>
      </c>
      <c r="J47" s="2">
        <v>233628.75</v>
      </c>
      <c r="K47" s="2">
        <v>116814.37</v>
      </c>
      <c r="L47" s="2">
        <v>350443.12</v>
      </c>
      <c r="M47" s="2">
        <v>0</v>
      </c>
      <c r="N47" s="2">
        <v>0</v>
      </c>
      <c r="O47" s="2">
        <v>0</v>
      </c>
      <c r="P47" s="2">
        <f t="shared" si="0"/>
        <v>701412.09000000008</v>
      </c>
    </row>
    <row r="48" spans="1:16" x14ac:dyDescent="0.3">
      <c r="A48">
        <v>43604</v>
      </c>
      <c r="B48" t="s">
        <v>80</v>
      </c>
      <c r="C48" t="s">
        <v>81</v>
      </c>
      <c r="D48" s="2">
        <v>1059965.1299999999</v>
      </c>
      <c r="E48" s="2">
        <v>1059965.1299999999</v>
      </c>
      <c r="F48" s="2">
        <v>2119930.2599999998</v>
      </c>
      <c r="G48" s="2">
        <v>0</v>
      </c>
      <c r="H48" s="2">
        <v>0</v>
      </c>
      <c r="I48" s="2">
        <v>0</v>
      </c>
      <c r="J48" s="2">
        <v>173380.93</v>
      </c>
      <c r="K48" s="2">
        <v>86690.46</v>
      </c>
      <c r="L48" s="2">
        <v>260071.39</v>
      </c>
      <c r="M48" s="2">
        <v>0</v>
      </c>
      <c r="N48" s="2">
        <v>0</v>
      </c>
      <c r="O48" s="2">
        <v>0</v>
      </c>
      <c r="P48" s="2">
        <f t="shared" si="0"/>
        <v>2380001.65</v>
      </c>
    </row>
    <row r="49" spans="1:16" x14ac:dyDescent="0.3">
      <c r="A49">
        <v>48074</v>
      </c>
      <c r="B49" t="s">
        <v>82</v>
      </c>
      <c r="C49" t="s">
        <v>77</v>
      </c>
      <c r="D49" s="2">
        <v>975215.46</v>
      </c>
      <c r="E49" s="2">
        <v>975215.46</v>
      </c>
      <c r="F49" s="2">
        <v>1950430.92</v>
      </c>
      <c r="G49" s="2">
        <v>0</v>
      </c>
      <c r="H49" s="2">
        <v>0</v>
      </c>
      <c r="I49" s="2">
        <v>0</v>
      </c>
      <c r="J49" s="2">
        <v>373046.41</v>
      </c>
      <c r="K49" s="2">
        <v>110116.11</v>
      </c>
      <c r="L49" s="2">
        <v>483162.52</v>
      </c>
      <c r="M49" s="2">
        <v>0</v>
      </c>
      <c r="N49" s="2">
        <v>0</v>
      </c>
      <c r="O49" s="2">
        <v>0</v>
      </c>
      <c r="P49" s="2">
        <f t="shared" si="0"/>
        <v>2433593.44</v>
      </c>
    </row>
    <row r="50" spans="1:16" x14ac:dyDescent="0.3">
      <c r="A50">
        <v>48926</v>
      </c>
      <c r="B50" t="s">
        <v>83</v>
      </c>
      <c r="C50" t="s">
        <v>84</v>
      </c>
      <c r="D50" s="2">
        <v>0</v>
      </c>
      <c r="E50" s="2">
        <v>0</v>
      </c>
      <c r="F50" s="2">
        <v>0</v>
      </c>
      <c r="G50" s="2">
        <v>5786.72</v>
      </c>
      <c r="H50" s="2">
        <v>5786.72</v>
      </c>
      <c r="I50" s="2">
        <v>11573.44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f t="shared" si="0"/>
        <v>11573.44</v>
      </c>
    </row>
    <row r="51" spans="1:16" x14ac:dyDescent="0.3">
      <c r="A51">
        <v>43612</v>
      </c>
      <c r="B51" t="s">
        <v>85</v>
      </c>
      <c r="C51" t="s">
        <v>68</v>
      </c>
      <c r="D51" s="2">
        <v>5102714.33</v>
      </c>
      <c r="E51" s="2">
        <v>5102714.33</v>
      </c>
      <c r="F51" s="2">
        <v>10205428.66</v>
      </c>
      <c r="G51" s="2">
        <v>126453.3</v>
      </c>
      <c r="H51" s="2">
        <v>126453.3</v>
      </c>
      <c r="I51" s="2">
        <v>252906.59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f t="shared" si="0"/>
        <v>10458335.25</v>
      </c>
    </row>
    <row r="52" spans="1:16" x14ac:dyDescent="0.3">
      <c r="A52">
        <v>47167</v>
      </c>
      <c r="B52" t="s">
        <v>86</v>
      </c>
      <c r="C52" t="s">
        <v>87</v>
      </c>
      <c r="D52" s="2">
        <v>355327.4</v>
      </c>
      <c r="E52" s="2">
        <v>355327.4</v>
      </c>
      <c r="F52" s="2">
        <v>710654.8</v>
      </c>
      <c r="G52" s="2">
        <v>17144.66</v>
      </c>
      <c r="H52" s="2">
        <v>17144.66</v>
      </c>
      <c r="I52" s="2">
        <v>34289.32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f t="shared" si="0"/>
        <v>744944.12</v>
      </c>
    </row>
    <row r="53" spans="1:16" x14ac:dyDescent="0.3">
      <c r="A53">
        <v>46789</v>
      </c>
      <c r="B53" t="s">
        <v>88</v>
      </c>
      <c r="C53" t="s">
        <v>89</v>
      </c>
      <c r="D53" s="2">
        <v>545648.29</v>
      </c>
      <c r="E53" s="2">
        <v>545648.29</v>
      </c>
      <c r="F53" s="2">
        <v>1091296.58</v>
      </c>
      <c r="G53" s="2">
        <v>32918.97</v>
      </c>
      <c r="H53" s="2">
        <v>32918.97</v>
      </c>
      <c r="I53" s="2">
        <v>65837.94</v>
      </c>
      <c r="J53" s="2">
        <v>1457.53</v>
      </c>
      <c r="K53" s="2">
        <v>728.77</v>
      </c>
      <c r="L53" s="2">
        <v>2186.3000000000002</v>
      </c>
      <c r="M53" s="2">
        <v>0</v>
      </c>
      <c r="N53" s="2">
        <v>0</v>
      </c>
      <c r="O53" s="2">
        <v>0</v>
      </c>
      <c r="P53" s="2">
        <f t="shared" si="0"/>
        <v>1159320.82</v>
      </c>
    </row>
    <row r="54" spans="1:16" x14ac:dyDescent="0.3">
      <c r="A54">
        <v>46854</v>
      </c>
      <c r="B54" t="s">
        <v>90</v>
      </c>
      <c r="C54" t="s">
        <v>31</v>
      </c>
      <c r="D54" s="2">
        <v>421.55</v>
      </c>
      <c r="E54" s="2">
        <v>421.55</v>
      </c>
      <c r="F54" s="2">
        <v>843.1</v>
      </c>
      <c r="G54" s="2">
        <v>753.27</v>
      </c>
      <c r="H54" s="2">
        <v>753.27</v>
      </c>
      <c r="I54" s="2">
        <v>1506.53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f t="shared" si="0"/>
        <v>2349.63</v>
      </c>
    </row>
    <row r="55" spans="1:16" x14ac:dyDescent="0.3">
      <c r="A55">
        <v>48611</v>
      </c>
      <c r="B55" t="s">
        <v>91</v>
      </c>
      <c r="C55" t="s">
        <v>92</v>
      </c>
      <c r="D55" s="2">
        <v>67688.429999999993</v>
      </c>
      <c r="E55" s="2">
        <v>67688.429999999993</v>
      </c>
      <c r="F55" s="2">
        <v>135376.85999999999</v>
      </c>
      <c r="G55" s="2">
        <v>8500.26</v>
      </c>
      <c r="H55" s="2">
        <v>8500.26</v>
      </c>
      <c r="I55" s="2">
        <v>17000.53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f t="shared" si="0"/>
        <v>152377.38999999998</v>
      </c>
    </row>
    <row r="56" spans="1:16" x14ac:dyDescent="0.3">
      <c r="A56">
        <v>46318</v>
      </c>
      <c r="B56" t="s">
        <v>93</v>
      </c>
      <c r="C56" t="s">
        <v>65</v>
      </c>
      <c r="D56" s="2">
        <v>0</v>
      </c>
      <c r="E56" s="2">
        <v>0</v>
      </c>
      <c r="F56" s="2">
        <v>0</v>
      </c>
      <c r="G56" s="2">
        <v>616.35</v>
      </c>
      <c r="H56" s="2">
        <v>616.35</v>
      </c>
      <c r="I56" s="2">
        <v>1232.71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f t="shared" si="0"/>
        <v>1232.71</v>
      </c>
    </row>
    <row r="57" spans="1:16" x14ac:dyDescent="0.3">
      <c r="A57">
        <v>49692</v>
      </c>
      <c r="B57" t="s">
        <v>94</v>
      </c>
      <c r="C57" t="s">
        <v>95</v>
      </c>
      <c r="D57" s="2">
        <v>43947.57</v>
      </c>
      <c r="E57" s="2">
        <v>43947.57</v>
      </c>
      <c r="F57" s="2">
        <v>87895.14</v>
      </c>
      <c r="G57" s="2">
        <v>2191.56</v>
      </c>
      <c r="H57" s="2">
        <v>2191.56</v>
      </c>
      <c r="I57" s="2">
        <v>4383.1099999999997</v>
      </c>
      <c r="J57" s="2">
        <v>2095.13</v>
      </c>
      <c r="K57" s="2">
        <v>1047.57</v>
      </c>
      <c r="L57" s="2">
        <v>3142.7</v>
      </c>
      <c r="M57" s="2">
        <v>0</v>
      </c>
      <c r="N57" s="2">
        <v>0</v>
      </c>
      <c r="O57" s="2">
        <v>0</v>
      </c>
      <c r="P57" s="2">
        <f t="shared" si="0"/>
        <v>95420.95</v>
      </c>
    </row>
    <row r="58" spans="1:16" x14ac:dyDescent="0.3">
      <c r="A58">
        <v>43620</v>
      </c>
      <c r="B58" t="s">
        <v>96</v>
      </c>
      <c r="C58" t="s">
        <v>97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f t="shared" si="0"/>
        <v>0</v>
      </c>
    </row>
    <row r="59" spans="1:16" x14ac:dyDescent="0.3">
      <c r="A59">
        <v>46748</v>
      </c>
      <c r="B59" t="s">
        <v>98</v>
      </c>
      <c r="C59" t="s">
        <v>99</v>
      </c>
      <c r="D59" s="2">
        <v>132133.98000000001</v>
      </c>
      <c r="E59" s="2">
        <v>132133.98000000001</v>
      </c>
      <c r="F59" s="2">
        <v>264267.96000000002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f t="shared" si="0"/>
        <v>264267.96000000002</v>
      </c>
    </row>
    <row r="60" spans="1:16" x14ac:dyDescent="0.3">
      <c r="A60">
        <v>48462</v>
      </c>
      <c r="B60" t="s">
        <v>100</v>
      </c>
      <c r="C60" t="s">
        <v>101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f t="shared" si="0"/>
        <v>0</v>
      </c>
    </row>
    <row r="61" spans="1:16" x14ac:dyDescent="0.3">
      <c r="A61">
        <v>46383</v>
      </c>
      <c r="B61" t="s">
        <v>102</v>
      </c>
      <c r="C61" t="s">
        <v>103</v>
      </c>
      <c r="D61" s="2">
        <v>6216</v>
      </c>
      <c r="E61" s="2">
        <v>6216</v>
      </c>
      <c r="F61" s="2">
        <v>12432</v>
      </c>
      <c r="G61" s="2">
        <v>10789.92</v>
      </c>
      <c r="H61" s="2">
        <v>10789.92</v>
      </c>
      <c r="I61" s="2">
        <v>21579.83</v>
      </c>
      <c r="J61" s="2">
        <v>10945.35</v>
      </c>
      <c r="K61" s="2">
        <v>5472.68</v>
      </c>
      <c r="L61" s="2">
        <v>16418.03</v>
      </c>
      <c r="M61" s="2">
        <v>0</v>
      </c>
      <c r="N61" s="2">
        <v>0</v>
      </c>
      <c r="O61" s="2">
        <v>0</v>
      </c>
      <c r="P61" s="2">
        <f t="shared" si="0"/>
        <v>50429.86</v>
      </c>
    </row>
    <row r="62" spans="1:16" x14ac:dyDescent="0.3">
      <c r="A62">
        <v>46862</v>
      </c>
      <c r="B62" t="s">
        <v>104</v>
      </c>
      <c r="C62" t="s">
        <v>31</v>
      </c>
      <c r="D62" s="2">
        <v>23155.45</v>
      </c>
      <c r="E62" s="2">
        <v>23155.45</v>
      </c>
      <c r="F62" s="2">
        <v>46310.9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f t="shared" si="0"/>
        <v>46310.9</v>
      </c>
    </row>
    <row r="63" spans="1:16" x14ac:dyDescent="0.3">
      <c r="A63">
        <v>49593</v>
      </c>
      <c r="B63" t="s">
        <v>105</v>
      </c>
      <c r="C63" t="s">
        <v>106</v>
      </c>
      <c r="D63" s="2">
        <v>0</v>
      </c>
      <c r="E63" s="2">
        <v>0</v>
      </c>
      <c r="F63" s="2">
        <v>0</v>
      </c>
      <c r="G63" s="2">
        <v>332.98</v>
      </c>
      <c r="H63" s="2">
        <v>332.98</v>
      </c>
      <c r="I63" s="2">
        <v>665.96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f t="shared" si="0"/>
        <v>665.96</v>
      </c>
    </row>
    <row r="64" spans="1:16" x14ac:dyDescent="0.3">
      <c r="A64">
        <v>50096</v>
      </c>
      <c r="B64" t="s">
        <v>107</v>
      </c>
      <c r="C64" t="s">
        <v>108</v>
      </c>
      <c r="D64" s="2">
        <v>4038.67</v>
      </c>
      <c r="E64" s="2">
        <v>4038.67</v>
      </c>
      <c r="F64" s="2">
        <v>8077.34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f t="shared" si="0"/>
        <v>8077.34</v>
      </c>
    </row>
    <row r="65" spans="1:16" x14ac:dyDescent="0.3">
      <c r="A65">
        <v>45211</v>
      </c>
      <c r="B65" t="s">
        <v>109</v>
      </c>
      <c r="C65" t="s">
        <v>27</v>
      </c>
      <c r="D65" s="2">
        <v>246771.56</v>
      </c>
      <c r="E65" s="2">
        <v>246771.56</v>
      </c>
      <c r="F65" s="2">
        <v>493543.12</v>
      </c>
      <c r="G65" s="2">
        <v>0</v>
      </c>
      <c r="H65" s="2">
        <v>0</v>
      </c>
      <c r="I65" s="2">
        <v>0</v>
      </c>
      <c r="J65" s="2">
        <v>90112.26</v>
      </c>
      <c r="K65" s="2">
        <v>45056.13</v>
      </c>
      <c r="L65" s="2">
        <v>135168.39000000001</v>
      </c>
      <c r="M65" s="2">
        <v>0</v>
      </c>
      <c r="N65" s="2">
        <v>0</v>
      </c>
      <c r="O65" s="2">
        <v>0</v>
      </c>
      <c r="P65" s="2">
        <f t="shared" si="0"/>
        <v>628711.51</v>
      </c>
    </row>
    <row r="66" spans="1:16" x14ac:dyDescent="0.3">
      <c r="A66">
        <v>48306</v>
      </c>
      <c r="B66" t="s">
        <v>110</v>
      </c>
      <c r="C66" t="s">
        <v>56</v>
      </c>
      <c r="D66" s="2">
        <v>1664937.13</v>
      </c>
      <c r="E66" s="2">
        <v>1664937.13</v>
      </c>
      <c r="F66" s="2">
        <v>3329874.26</v>
      </c>
      <c r="G66" s="2">
        <v>51168.38</v>
      </c>
      <c r="H66" s="2">
        <v>51168.38</v>
      </c>
      <c r="I66" s="2">
        <v>102336.75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f t="shared" si="0"/>
        <v>3432211.01</v>
      </c>
    </row>
    <row r="67" spans="1:16" x14ac:dyDescent="0.3">
      <c r="A67">
        <v>49767</v>
      </c>
      <c r="B67" t="s">
        <v>111</v>
      </c>
      <c r="C67" t="s">
        <v>35</v>
      </c>
      <c r="D67" s="2">
        <v>38112.22</v>
      </c>
      <c r="E67" s="2">
        <v>38112.22</v>
      </c>
      <c r="F67" s="2">
        <v>76224.44</v>
      </c>
      <c r="G67" s="2">
        <v>5730.68</v>
      </c>
      <c r="H67" s="2">
        <v>5730.68</v>
      </c>
      <c r="I67" s="2">
        <v>11461.35</v>
      </c>
      <c r="J67" s="2">
        <v>15165.91</v>
      </c>
      <c r="K67" s="2">
        <v>7582.95</v>
      </c>
      <c r="L67" s="2">
        <v>22748.86</v>
      </c>
      <c r="M67" s="2">
        <v>0</v>
      </c>
      <c r="N67" s="2">
        <v>0</v>
      </c>
      <c r="O67" s="2">
        <v>0</v>
      </c>
      <c r="P67" s="2">
        <f t="shared" si="0"/>
        <v>110434.65000000001</v>
      </c>
    </row>
    <row r="68" spans="1:16" x14ac:dyDescent="0.3">
      <c r="A68">
        <v>43638</v>
      </c>
      <c r="B68" t="s">
        <v>112</v>
      </c>
      <c r="C68" t="s">
        <v>113</v>
      </c>
      <c r="D68" s="2">
        <v>1091777.19</v>
      </c>
      <c r="E68" s="2">
        <v>1091777.19</v>
      </c>
      <c r="F68" s="2">
        <v>2183554.38</v>
      </c>
      <c r="G68" s="2">
        <v>23672.61</v>
      </c>
      <c r="H68" s="2">
        <v>23672.61</v>
      </c>
      <c r="I68" s="2">
        <v>47345.23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f t="shared" si="0"/>
        <v>2230899.61</v>
      </c>
    </row>
    <row r="69" spans="1:16" x14ac:dyDescent="0.3">
      <c r="A69">
        <v>45229</v>
      </c>
      <c r="B69" t="s">
        <v>114</v>
      </c>
      <c r="C69" t="s">
        <v>92</v>
      </c>
      <c r="D69" s="2">
        <v>0</v>
      </c>
      <c r="E69" s="2">
        <v>0</v>
      </c>
      <c r="F69" s="2">
        <v>0</v>
      </c>
      <c r="G69" s="2">
        <v>228.48</v>
      </c>
      <c r="H69" s="2">
        <v>228.48</v>
      </c>
      <c r="I69" s="2">
        <v>456.96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f t="shared" si="0"/>
        <v>456.96</v>
      </c>
    </row>
    <row r="70" spans="1:16" x14ac:dyDescent="0.3">
      <c r="A70">
        <v>43646</v>
      </c>
      <c r="B70" t="s">
        <v>115</v>
      </c>
      <c r="C70" t="s">
        <v>68</v>
      </c>
      <c r="D70" s="2">
        <v>1313761.27</v>
      </c>
      <c r="E70" s="2">
        <v>1313761.27</v>
      </c>
      <c r="F70" s="2">
        <v>2627522.54</v>
      </c>
      <c r="G70" s="2">
        <v>36549.69</v>
      </c>
      <c r="H70" s="2">
        <v>36549.69</v>
      </c>
      <c r="I70" s="2">
        <v>73099.39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f t="shared" si="0"/>
        <v>2700621.93</v>
      </c>
    </row>
    <row r="71" spans="1:16" x14ac:dyDescent="0.3">
      <c r="A71">
        <v>45237</v>
      </c>
      <c r="B71" t="s">
        <v>116</v>
      </c>
      <c r="C71" t="s">
        <v>63</v>
      </c>
      <c r="D71" s="2">
        <v>2809.82</v>
      </c>
      <c r="E71" s="2">
        <v>2809.82</v>
      </c>
      <c r="F71" s="2">
        <v>5619.64</v>
      </c>
      <c r="G71" s="2">
        <v>3970.09</v>
      </c>
      <c r="H71" s="2">
        <v>3970.09</v>
      </c>
      <c r="I71" s="2">
        <v>7940.18</v>
      </c>
      <c r="J71" s="2">
        <v>16.05</v>
      </c>
      <c r="K71" s="2">
        <v>8.02</v>
      </c>
      <c r="L71" s="2">
        <v>24.07</v>
      </c>
      <c r="M71" s="2">
        <v>0</v>
      </c>
      <c r="N71" s="2">
        <v>0</v>
      </c>
      <c r="O71" s="2">
        <v>0</v>
      </c>
      <c r="P71" s="2">
        <f t="shared" si="0"/>
        <v>13583.89</v>
      </c>
    </row>
    <row r="72" spans="1:16" x14ac:dyDescent="0.3">
      <c r="A72">
        <v>47613</v>
      </c>
      <c r="B72" t="s">
        <v>117</v>
      </c>
      <c r="C72" t="s">
        <v>118</v>
      </c>
      <c r="D72" s="2">
        <v>0</v>
      </c>
      <c r="E72" s="2">
        <v>0</v>
      </c>
      <c r="F72" s="2">
        <v>0</v>
      </c>
      <c r="G72" s="2">
        <v>1200.5899999999999</v>
      </c>
      <c r="H72" s="2">
        <v>1200.5899999999999</v>
      </c>
      <c r="I72" s="2">
        <v>2401.19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f t="shared" si="0"/>
        <v>2401.19</v>
      </c>
    </row>
    <row r="73" spans="1:16" x14ac:dyDescent="0.3">
      <c r="A73">
        <v>50112</v>
      </c>
      <c r="B73" t="s">
        <v>119</v>
      </c>
      <c r="C73" t="s">
        <v>108</v>
      </c>
      <c r="D73" s="2">
        <v>0</v>
      </c>
      <c r="E73" s="2">
        <v>0</v>
      </c>
      <c r="F73" s="2">
        <v>0</v>
      </c>
      <c r="G73" s="2">
        <v>1585.69</v>
      </c>
      <c r="H73" s="2">
        <v>1585.69</v>
      </c>
      <c r="I73" s="2">
        <v>3171.38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f t="shared" si="0"/>
        <v>3171.38</v>
      </c>
    </row>
    <row r="74" spans="1:16" x14ac:dyDescent="0.3">
      <c r="A74">
        <v>50120</v>
      </c>
      <c r="B74" t="s">
        <v>120</v>
      </c>
      <c r="C74" t="s">
        <v>108</v>
      </c>
      <c r="D74" s="2">
        <v>170780.47</v>
      </c>
      <c r="E74" s="2">
        <v>170780.47</v>
      </c>
      <c r="F74" s="2">
        <v>341560.94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f t="shared" si="0"/>
        <v>341560.94</v>
      </c>
    </row>
    <row r="75" spans="1:16" x14ac:dyDescent="0.3">
      <c r="A75">
        <v>43653</v>
      </c>
      <c r="B75" t="s">
        <v>121</v>
      </c>
      <c r="C75" t="s">
        <v>68</v>
      </c>
      <c r="D75" s="2">
        <v>858472.91</v>
      </c>
      <c r="E75" s="2">
        <v>858472.91</v>
      </c>
      <c r="F75" s="2">
        <v>1716945.82</v>
      </c>
      <c r="G75" s="2">
        <v>23290.84</v>
      </c>
      <c r="H75" s="2">
        <v>23290.84</v>
      </c>
      <c r="I75" s="2">
        <v>46581.68</v>
      </c>
      <c r="J75" s="2">
        <v>135242.15</v>
      </c>
      <c r="K75" s="2">
        <v>67621.070000000007</v>
      </c>
      <c r="L75" s="2">
        <v>202863.22</v>
      </c>
      <c r="M75" s="2">
        <v>0</v>
      </c>
      <c r="N75" s="2">
        <v>0</v>
      </c>
      <c r="O75" s="2">
        <v>0</v>
      </c>
      <c r="P75" s="2">
        <f t="shared" si="0"/>
        <v>1966390.72</v>
      </c>
    </row>
    <row r="76" spans="1:16" x14ac:dyDescent="0.3">
      <c r="A76">
        <v>48678</v>
      </c>
      <c r="B76" t="s">
        <v>122</v>
      </c>
      <c r="C76" t="s">
        <v>123</v>
      </c>
      <c r="D76" s="2">
        <v>257799.15</v>
      </c>
      <c r="E76" s="2">
        <v>257799.15</v>
      </c>
      <c r="F76" s="2">
        <v>515598.3</v>
      </c>
      <c r="G76" s="2">
        <v>4011.44</v>
      </c>
      <c r="H76" s="2">
        <v>4011.44</v>
      </c>
      <c r="I76" s="2">
        <v>8022.87</v>
      </c>
      <c r="J76" s="2">
        <v>22431.87</v>
      </c>
      <c r="K76" s="2">
        <v>11215.93</v>
      </c>
      <c r="L76" s="2">
        <v>33647.800000000003</v>
      </c>
      <c r="M76" s="2">
        <v>0</v>
      </c>
      <c r="N76" s="2">
        <v>0</v>
      </c>
      <c r="O76" s="2">
        <v>0</v>
      </c>
      <c r="P76" s="2">
        <f t="shared" si="0"/>
        <v>557268.97</v>
      </c>
    </row>
    <row r="77" spans="1:16" x14ac:dyDescent="0.3">
      <c r="A77">
        <v>46177</v>
      </c>
      <c r="B77" t="s">
        <v>124</v>
      </c>
      <c r="C77" t="s">
        <v>125</v>
      </c>
      <c r="D77" s="2">
        <v>16611.349999999999</v>
      </c>
      <c r="E77" s="2">
        <v>16611.349999999999</v>
      </c>
      <c r="F77" s="2">
        <v>33222.699999999997</v>
      </c>
      <c r="G77" s="2">
        <v>2709.35</v>
      </c>
      <c r="H77" s="2">
        <v>2709.35</v>
      </c>
      <c r="I77" s="2">
        <v>5418.69</v>
      </c>
      <c r="J77" s="2">
        <v>21229.85</v>
      </c>
      <c r="K77" s="2">
        <v>10614.92</v>
      </c>
      <c r="L77" s="2">
        <v>31844.77</v>
      </c>
      <c r="M77" s="2">
        <v>0</v>
      </c>
      <c r="N77" s="2">
        <v>0</v>
      </c>
      <c r="O77" s="2">
        <v>0</v>
      </c>
      <c r="P77" s="2">
        <f t="shared" ref="P77:P140" si="1">F77+I77+L77+O77</f>
        <v>70486.16</v>
      </c>
    </row>
    <row r="78" spans="1:16" x14ac:dyDescent="0.3">
      <c r="A78">
        <v>43661</v>
      </c>
      <c r="B78" t="s">
        <v>126</v>
      </c>
      <c r="C78" t="s">
        <v>101</v>
      </c>
      <c r="D78" s="2">
        <v>393935.23</v>
      </c>
      <c r="E78" s="2">
        <v>393935.23</v>
      </c>
      <c r="F78" s="2">
        <v>787870.46</v>
      </c>
      <c r="G78" s="2">
        <v>19127.71</v>
      </c>
      <c r="H78" s="2">
        <v>19127.71</v>
      </c>
      <c r="I78" s="2">
        <v>38255.42</v>
      </c>
      <c r="J78" s="2">
        <v>110703.5</v>
      </c>
      <c r="K78" s="2">
        <v>53855.77</v>
      </c>
      <c r="L78" s="2">
        <v>164559.26999999999</v>
      </c>
      <c r="M78" s="2">
        <v>0</v>
      </c>
      <c r="N78" s="2">
        <v>0</v>
      </c>
      <c r="O78" s="2">
        <v>0</v>
      </c>
      <c r="P78" s="2">
        <f t="shared" si="1"/>
        <v>990685.15</v>
      </c>
    </row>
    <row r="79" spans="1:16" x14ac:dyDescent="0.3">
      <c r="A79">
        <v>43679</v>
      </c>
      <c r="B79" t="s">
        <v>127</v>
      </c>
      <c r="C79" t="s">
        <v>128</v>
      </c>
      <c r="D79" s="2">
        <v>790595.05</v>
      </c>
      <c r="E79" s="2">
        <v>790595.05</v>
      </c>
      <c r="F79" s="2">
        <v>1581190.1</v>
      </c>
      <c r="G79" s="2">
        <v>79319.08</v>
      </c>
      <c r="H79" s="2">
        <v>79319.08</v>
      </c>
      <c r="I79" s="2">
        <v>158638.16</v>
      </c>
      <c r="J79" s="2">
        <v>147512.26999999999</v>
      </c>
      <c r="K79" s="2">
        <v>73756.13</v>
      </c>
      <c r="L79" s="2">
        <v>221268.4</v>
      </c>
      <c r="M79" s="2">
        <v>0</v>
      </c>
      <c r="N79" s="2">
        <v>0</v>
      </c>
      <c r="O79" s="2">
        <v>0</v>
      </c>
      <c r="P79" s="2">
        <f t="shared" si="1"/>
        <v>1961096.66</v>
      </c>
    </row>
    <row r="80" spans="1:16" x14ac:dyDescent="0.3">
      <c r="A80">
        <v>46508</v>
      </c>
      <c r="B80" t="s">
        <v>129</v>
      </c>
      <c r="C80" t="s">
        <v>130</v>
      </c>
      <c r="D80" s="2">
        <v>17118.41</v>
      </c>
      <c r="E80" s="2">
        <v>17118.41</v>
      </c>
      <c r="F80" s="2">
        <v>34236.82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f t="shared" si="1"/>
        <v>34236.82</v>
      </c>
    </row>
    <row r="81" spans="1:16" x14ac:dyDescent="0.3">
      <c r="A81">
        <v>45856</v>
      </c>
      <c r="B81" t="s">
        <v>131</v>
      </c>
      <c r="C81" t="s">
        <v>51</v>
      </c>
      <c r="D81" s="2">
        <v>1510860.35</v>
      </c>
      <c r="E81" s="2">
        <v>1510860.35</v>
      </c>
      <c r="F81" s="2">
        <v>3021720.7</v>
      </c>
      <c r="G81" s="2">
        <v>57262.07</v>
      </c>
      <c r="H81" s="2">
        <v>57262.07</v>
      </c>
      <c r="I81" s="2">
        <v>114524.15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f t="shared" si="1"/>
        <v>3136244.85</v>
      </c>
    </row>
    <row r="82" spans="1:16" x14ac:dyDescent="0.3">
      <c r="A82">
        <v>47787</v>
      </c>
      <c r="B82" t="s">
        <v>131</v>
      </c>
      <c r="C82" t="s">
        <v>132</v>
      </c>
      <c r="D82" s="2">
        <v>146174.09</v>
      </c>
      <c r="E82" s="2">
        <v>146174.09</v>
      </c>
      <c r="F82" s="2">
        <v>292348.18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f t="shared" si="1"/>
        <v>292348.18</v>
      </c>
    </row>
    <row r="83" spans="1:16" x14ac:dyDescent="0.3">
      <c r="A83">
        <v>48470</v>
      </c>
      <c r="B83" t="s">
        <v>131</v>
      </c>
      <c r="C83" t="s">
        <v>101</v>
      </c>
      <c r="D83" s="2">
        <v>1386908.76</v>
      </c>
      <c r="E83" s="2">
        <v>1386908.76</v>
      </c>
      <c r="F83" s="2">
        <v>2773817.52</v>
      </c>
      <c r="G83" s="2">
        <v>21142.17</v>
      </c>
      <c r="H83" s="2">
        <v>21142.17</v>
      </c>
      <c r="I83" s="2">
        <v>42284.34</v>
      </c>
      <c r="J83" s="2">
        <v>65363.65</v>
      </c>
      <c r="K83" s="2">
        <v>32681.82</v>
      </c>
      <c r="L83" s="2">
        <v>98045.47</v>
      </c>
      <c r="M83" s="2">
        <v>0</v>
      </c>
      <c r="N83" s="2">
        <v>0</v>
      </c>
      <c r="O83" s="2">
        <v>0</v>
      </c>
      <c r="P83" s="2">
        <f t="shared" si="1"/>
        <v>2914147.33</v>
      </c>
    </row>
    <row r="84" spans="1:16" x14ac:dyDescent="0.3">
      <c r="A84">
        <v>46755</v>
      </c>
      <c r="B84" t="s">
        <v>133</v>
      </c>
      <c r="C84" t="s">
        <v>99</v>
      </c>
      <c r="D84" s="2">
        <v>85538.52</v>
      </c>
      <c r="E84" s="2">
        <v>85538.52</v>
      </c>
      <c r="F84" s="2">
        <v>171077.04</v>
      </c>
      <c r="G84" s="2">
        <v>10939.26</v>
      </c>
      <c r="H84" s="2">
        <v>10939.26</v>
      </c>
      <c r="I84" s="2">
        <v>21878.53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f t="shared" si="1"/>
        <v>192955.57</v>
      </c>
    </row>
    <row r="85" spans="1:16" x14ac:dyDescent="0.3">
      <c r="A85">
        <v>43687</v>
      </c>
      <c r="B85" t="s">
        <v>134</v>
      </c>
      <c r="C85" t="s">
        <v>130</v>
      </c>
      <c r="D85" s="2">
        <v>132494.92000000001</v>
      </c>
      <c r="E85" s="2">
        <v>132494.92000000001</v>
      </c>
      <c r="F85" s="2">
        <v>264989.84000000003</v>
      </c>
      <c r="G85" s="2">
        <v>0</v>
      </c>
      <c r="H85" s="2">
        <v>0</v>
      </c>
      <c r="I85" s="2">
        <v>0</v>
      </c>
      <c r="J85" s="2">
        <v>101556.03</v>
      </c>
      <c r="K85" s="2">
        <v>50778.01</v>
      </c>
      <c r="L85" s="2">
        <v>152334.04</v>
      </c>
      <c r="M85" s="2">
        <v>0</v>
      </c>
      <c r="N85" s="2">
        <v>0</v>
      </c>
      <c r="O85" s="2">
        <v>0</v>
      </c>
      <c r="P85" s="2">
        <f t="shared" si="1"/>
        <v>417323.88</v>
      </c>
    </row>
    <row r="86" spans="1:16" x14ac:dyDescent="0.3">
      <c r="A86">
        <v>45252</v>
      </c>
      <c r="B86" t="s">
        <v>135</v>
      </c>
      <c r="C86" t="s">
        <v>136</v>
      </c>
      <c r="D86" s="2">
        <v>5226.2</v>
      </c>
      <c r="E86" s="2">
        <v>5226.2</v>
      </c>
      <c r="F86" s="2">
        <v>10452.4</v>
      </c>
      <c r="G86" s="2">
        <v>2522.4299999999998</v>
      </c>
      <c r="H86" s="2">
        <v>2522.4299999999998</v>
      </c>
      <c r="I86" s="2">
        <v>5044.8500000000004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f t="shared" si="1"/>
        <v>15497.25</v>
      </c>
    </row>
    <row r="87" spans="1:16" x14ac:dyDescent="0.3">
      <c r="A87">
        <v>43695</v>
      </c>
      <c r="B87" t="s">
        <v>137</v>
      </c>
      <c r="C87" t="s">
        <v>138</v>
      </c>
      <c r="D87" s="2">
        <v>9701.68</v>
      </c>
      <c r="E87" s="2">
        <v>9701.68</v>
      </c>
      <c r="F87" s="2">
        <v>19403.36</v>
      </c>
      <c r="G87" s="2">
        <v>4716.01</v>
      </c>
      <c r="H87" s="2">
        <v>4716.01</v>
      </c>
      <c r="I87" s="2">
        <v>9432.02</v>
      </c>
      <c r="J87" s="2">
        <v>120799.27</v>
      </c>
      <c r="K87" s="2">
        <v>60399.64</v>
      </c>
      <c r="L87" s="2">
        <v>181198.91</v>
      </c>
      <c r="M87" s="2">
        <v>0</v>
      </c>
      <c r="N87" s="2">
        <v>0</v>
      </c>
      <c r="O87" s="2">
        <v>0</v>
      </c>
      <c r="P87" s="2">
        <f t="shared" si="1"/>
        <v>210034.29</v>
      </c>
    </row>
    <row r="88" spans="1:16" x14ac:dyDescent="0.3">
      <c r="A88">
        <v>43703</v>
      </c>
      <c r="B88" t="s">
        <v>139</v>
      </c>
      <c r="C88" t="s">
        <v>56</v>
      </c>
      <c r="D88" s="2">
        <v>0</v>
      </c>
      <c r="E88" s="2">
        <v>0</v>
      </c>
      <c r="F88" s="2">
        <v>0</v>
      </c>
      <c r="G88" s="2">
        <v>835.7</v>
      </c>
      <c r="H88" s="2">
        <v>835.7</v>
      </c>
      <c r="I88" s="2">
        <v>1671.41</v>
      </c>
      <c r="J88" s="2">
        <v>33474.25</v>
      </c>
      <c r="K88" s="2">
        <v>16737.13</v>
      </c>
      <c r="L88" s="2">
        <v>50211.38</v>
      </c>
      <c r="M88" s="2">
        <v>0</v>
      </c>
      <c r="N88" s="2">
        <v>0</v>
      </c>
      <c r="O88" s="2">
        <v>0</v>
      </c>
      <c r="P88" s="2">
        <f t="shared" si="1"/>
        <v>51882.79</v>
      </c>
    </row>
    <row r="89" spans="1:16" x14ac:dyDescent="0.3">
      <c r="A89">
        <v>46946</v>
      </c>
      <c r="B89" t="s">
        <v>140</v>
      </c>
      <c r="C89" t="s">
        <v>97</v>
      </c>
      <c r="D89" s="2">
        <v>151681.24</v>
      </c>
      <c r="E89" s="2">
        <v>151681.24</v>
      </c>
      <c r="F89" s="2">
        <v>303362.48</v>
      </c>
      <c r="G89" s="2">
        <v>3995.26</v>
      </c>
      <c r="H89" s="2">
        <v>3995.26</v>
      </c>
      <c r="I89" s="2">
        <v>7990.52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f t="shared" si="1"/>
        <v>311353</v>
      </c>
    </row>
    <row r="90" spans="1:16" x14ac:dyDescent="0.3">
      <c r="A90">
        <v>48314</v>
      </c>
      <c r="B90" t="s">
        <v>141</v>
      </c>
      <c r="C90" t="s">
        <v>56</v>
      </c>
      <c r="D90" s="2">
        <v>160156.26</v>
      </c>
      <c r="E90" s="2">
        <v>160156.26</v>
      </c>
      <c r="F90" s="2">
        <v>320312.52</v>
      </c>
      <c r="G90" s="2">
        <v>5269.13</v>
      </c>
      <c r="H90" s="2">
        <v>5269.13</v>
      </c>
      <c r="I90" s="2">
        <v>10538.25</v>
      </c>
      <c r="J90" s="2">
        <v>0</v>
      </c>
      <c r="K90" s="2">
        <v>0</v>
      </c>
      <c r="L90" s="2">
        <v>0</v>
      </c>
      <c r="M90" s="2">
        <v>1549.74</v>
      </c>
      <c r="N90" s="2">
        <v>1549.74</v>
      </c>
      <c r="O90" s="2">
        <v>3099.48</v>
      </c>
      <c r="P90" s="2">
        <f t="shared" si="1"/>
        <v>333950.25</v>
      </c>
    </row>
    <row r="91" spans="1:16" x14ac:dyDescent="0.3">
      <c r="A91">
        <v>43711</v>
      </c>
      <c r="B91" t="s">
        <v>142</v>
      </c>
      <c r="C91" t="s">
        <v>29</v>
      </c>
      <c r="D91" s="2">
        <v>2417550.4500000002</v>
      </c>
      <c r="E91" s="2">
        <v>2417550.4500000002</v>
      </c>
      <c r="F91" s="2">
        <v>4835100.9000000004</v>
      </c>
      <c r="G91" s="2">
        <v>138817.64000000001</v>
      </c>
      <c r="H91" s="2">
        <v>138817.64000000001</v>
      </c>
      <c r="I91" s="2">
        <v>277635.27</v>
      </c>
      <c r="J91" s="2">
        <v>116861.39</v>
      </c>
      <c r="K91" s="2">
        <v>58430.69</v>
      </c>
      <c r="L91" s="2">
        <v>175292.08</v>
      </c>
      <c r="M91" s="2">
        <v>0</v>
      </c>
      <c r="N91" s="2">
        <v>0</v>
      </c>
      <c r="O91" s="2">
        <v>0</v>
      </c>
      <c r="P91" s="2">
        <f t="shared" si="1"/>
        <v>5288028.25</v>
      </c>
    </row>
    <row r="92" spans="1:16" x14ac:dyDescent="0.3">
      <c r="A92">
        <v>49833</v>
      </c>
      <c r="B92" t="s">
        <v>143</v>
      </c>
      <c r="C92" t="s">
        <v>29</v>
      </c>
      <c r="D92" s="2">
        <v>1531150.75</v>
      </c>
      <c r="E92" s="2">
        <v>1531150.75</v>
      </c>
      <c r="F92" s="2">
        <v>3062301.5</v>
      </c>
      <c r="G92" s="2">
        <v>33466.15</v>
      </c>
      <c r="H92" s="2">
        <v>33466.15</v>
      </c>
      <c r="I92" s="2">
        <v>66932.3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f t="shared" si="1"/>
        <v>3129233.8</v>
      </c>
    </row>
    <row r="93" spans="1:16" x14ac:dyDescent="0.3">
      <c r="A93">
        <v>47175</v>
      </c>
      <c r="B93" t="s">
        <v>144</v>
      </c>
      <c r="C93" t="s">
        <v>87</v>
      </c>
      <c r="D93" s="2">
        <v>1069339.03</v>
      </c>
      <c r="E93" s="2">
        <v>1069339.03</v>
      </c>
      <c r="F93" s="2">
        <v>2138678.06</v>
      </c>
      <c r="G93" s="2">
        <v>17381.52</v>
      </c>
      <c r="H93" s="2">
        <v>17381.52</v>
      </c>
      <c r="I93" s="2">
        <v>34763.050000000003</v>
      </c>
      <c r="J93" s="2">
        <v>55052.85</v>
      </c>
      <c r="K93" s="2">
        <v>27526.42</v>
      </c>
      <c r="L93" s="2">
        <v>82579.27</v>
      </c>
      <c r="M93" s="2">
        <v>0</v>
      </c>
      <c r="N93" s="2">
        <v>0</v>
      </c>
      <c r="O93" s="2">
        <v>0</v>
      </c>
      <c r="P93" s="2">
        <f t="shared" si="1"/>
        <v>2256020.38</v>
      </c>
    </row>
    <row r="94" spans="1:16" x14ac:dyDescent="0.3">
      <c r="A94">
        <v>48793</v>
      </c>
      <c r="B94" t="s">
        <v>145</v>
      </c>
      <c r="C94" t="s">
        <v>146</v>
      </c>
      <c r="D94" s="2">
        <v>0</v>
      </c>
      <c r="E94" s="2">
        <v>0</v>
      </c>
      <c r="F94" s="2">
        <v>0</v>
      </c>
      <c r="G94" s="2">
        <v>2131.38</v>
      </c>
      <c r="H94" s="2">
        <v>2131.38</v>
      </c>
      <c r="I94" s="2">
        <v>4262.7700000000004</v>
      </c>
      <c r="J94" s="2">
        <v>15261.78</v>
      </c>
      <c r="K94" s="2">
        <v>7630.88</v>
      </c>
      <c r="L94" s="2">
        <v>22892.66</v>
      </c>
      <c r="M94" s="2">
        <v>0</v>
      </c>
      <c r="N94" s="2">
        <v>0</v>
      </c>
      <c r="O94" s="2">
        <v>0</v>
      </c>
      <c r="P94" s="2">
        <f t="shared" si="1"/>
        <v>27155.43</v>
      </c>
    </row>
    <row r="95" spans="1:16" x14ac:dyDescent="0.3">
      <c r="A95">
        <v>45260</v>
      </c>
      <c r="B95" t="s">
        <v>147</v>
      </c>
      <c r="C95" t="s">
        <v>148</v>
      </c>
      <c r="D95" s="2">
        <v>216389.74</v>
      </c>
      <c r="E95" s="2">
        <v>216389.74</v>
      </c>
      <c r="F95" s="2">
        <v>432779.48</v>
      </c>
      <c r="G95" s="2">
        <v>18936.849999999999</v>
      </c>
      <c r="H95" s="2">
        <v>18936.849999999999</v>
      </c>
      <c r="I95" s="2">
        <v>37873.699999999997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f t="shared" si="1"/>
        <v>470653.18</v>
      </c>
    </row>
    <row r="96" spans="1:16" x14ac:dyDescent="0.3">
      <c r="A96">
        <v>50419</v>
      </c>
      <c r="B96" t="s">
        <v>149</v>
      </c>
      <c r="C96" t="s">
        <v>150</v>
      </c>
      <c r="D96" s="2">
        <v>0</v>
      </c>
      <c r="E96" s="2">
        <v>0</v>
      </c>
      <c r="F96" s="2">
        <v>0</v>
      </c>
      <c r="G96" s="2">
        <v>3695.47</v>
      </c>
      <c r="H96" s="2">
        <v>3695.47</v>
      </c>
      <c r="I96" s="2">
        <v>7390.94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f t="shared" si="1"/>
        <v>7390.94</v>
      </c>
    </row>
    <row r="97" spans="1:16" x14ac:dyDescent="0.3">
      <c r="A97">
        <v>45278</v>
      </c>
      <c r="B97" t="s">
        <v>151</v>
      </c>
      <c r="C97" t="s">
        <v>125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f t="shared" si="1"/>
        <v>0</v>
      </c>
    </row>
    <row r="98" spans="1:16" x14ac:dyDescent="0.3">
      <c r="A98">
        <v>47258</v>
      </c>
      <c r="B98" t="s">
        <v>152</v>
      </c>
      <c r="C98" t="s">
        <v>73</v>
      </c>
      <c r="D98" s="2">
        <v>0</v>
      </c>
      <c r="E98" s="2">
        <v>0</v>
      </c>
      <c r="F98" s="2">
        <v>0</v>
      </c>
      <c r="G98" s="2">
        <v>2797.16</v>
      </c>
      <c r="H98" s="2">
        <v>2797.16</v>
      </c>
      <c r="I98" s="2">
        <v>5594.33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f t="shared" si="1"/>
        <v>5594.33</v>
      </c>
    </row>
    <row r="99" spans="1:16" x14ac:dyDescent="0.3">
      <c r="A99">
        <v>43729</v>
      </c>
      <c r="B99" t="s">
        <v>153</v>
      </c>
      <c r="C99" t="s">
        <v>154</v>
      </c>
      <c r="D99" s="2">
        <v>21829.43</v>
      </c>
      <c r="E99" s="2">
        <v>21829.43</v>
      </c>
      <c r="F99" s="2">
        <v>43658.86</v>
      </c>
      <c r="G99" s="2">
        <v>0</v>
      </c>
      <c r="H99" s="2">
        <v>0</v>
      </c>
      <c r="I99" s="2">
        <v>0</v>
      </c>
      <c r="J99" s="2">
        <v>63071.47</v>
      </c>
      <c r="K99" s="2">
        <v>31535.74</v>
      </c>
      <c r="L99" s="2">
        <v>94607.21</v>
      </c>
      <c r="M99" s="2">
        <v>0</v>
      </c>
      <c r="N99" s="2">
        <v>0</v>
      </c>
      <c r="O99" s="2">
        <v>0</v>
      </c>
      <c r="P99" s="2">
        <f t="shared" si="1"/>
        <v>138266.07</v>
      </c>
    </row>
    <row r="100" spans="1:16" x14ac:dyDescent="0.3">
      <c r="A100">
        <v>47829</v>
      </c>
      <c r="B100" t="s">
        <v>155</v>
      </c>
      <c r="C100" t="s">
        <v>156</v>
      </c>
      <c r="D100" s="2">
        <v>0</v>
      </c>
      <c r="E100" s="2">
        <v>0</v>
      </c>
      <c r="F100" s="2">
        <v>0</v>
      </c>
      <c r="G100" s="2">
        <v>1286.7</v>
      </c>
      <c r="H100" s="2">
        <v>1286.7</v>
      </c>
      <c r="I100" s="2">
        <v>2573.39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f t="shared" si="1"/>
        <v>2573.39</v>
      </c>
    </row>
    <row r="101" spans="1:16" x14ac:dyDescent="0.3">
      <c r="A101">
        <v>43737</v>
      </c>
      <c r="B101" t="s">
        <v>157</v>
      </c>
      <c r="C101" t="s">
        <v>123</v>
      </c>
      <c r="D101" s="2">
        <v>1041279.09</v>
      </c>
      <c r="E101" s="2">
        <v>1041279.09</v>
      </c>
      <c r="F101" s="2">
        <v>2082558.18</v>
      </c>
      <c r="G101" s="2">
        <v>38785.49</v>
      </c>
      <c r="H101" s="2">
        <v>38785.49</v>
      </c>
      <c r="I101" s="2">
        <v>77570.98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f t="shared" si="1"/>
        <v>2160129.16</v>
      </c>
    </row>
    <row r="102" spans="1:16" x14ac:dyDescent="0.3">
      <c r="A102">
        <v>46714</v>
      </c>
      <c r="B102" t="s">
        <v>158</v>
      </c>
      <c r="C102" t="s">
        <v>60</v>
      </c>
      <c r="D102" s="2">
        <v>0</v>
      </c>
      <c r="E102" s="2">
        <v>0</v>
      </c>
      <c r="F102" s="2">
        <v>0</v>
      </c>
      <c r="G102" s="2">
        <v>843.82</v>
      </c>
      <c r="H102" s="2">
        <v>843.82</v>
      </c>
      <c r="I102" s="2">
        <v>1687.64</v>
      </c>
      <c r="J102" s="2">
        <v>1954.95</v>
      </c>
      <c r="K102" s="2">
        <v>977.47</v>
      </c>
      <c r="L102" s="2">
        <v>2932.42</v>
      </c>
      <c r="M102" s="2">
        <v>0</v>
      </c>
      <c r="N102" s="2">
        <v>0</v>
      </c>
      <c r="O102" s="2">
        <v>0</v>
      </c>
      <c r="P102" s="2">
        <f t="shared" si="1"/>
        <v>4620.0600000000004</v>
      </c>
    </row>
    <row r="103" spans="1:16" x14ac:dyDescent="0.3">
      <c r="A103">
        <v>45286</v>
      </c>
      <c r="B103" t="s">
        <v>159</v>
      </c>
      <c r="C103" t="s">
        <v>68</v>
      </c>
      <c r="D103" s="2">
        <v>112151.9</v>
      </c>
      <c r="E103" s="2">
        <v>112151.9</v>
      </c>
      <c r="F103" s="2">
        <v>224303.8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f t="shared" si="1"/>
        <v>224303.8</v>
      </c>
    </row>
    <row r="104" spans="1:16" x14ac:dyDescent="0.3">
      <c r="A104">
        <v>50138</v>
      </c>
      <c r="B104" t="s">
        <v>160</v>
      </c>
      <c r="C104" t="s">
        <v>108</v>
      </c>
      <c r="D104" s="2">
        <v>151137.84</v>
      </c>
      <c r="E104" s="2">
        <v>151137.84</v>
      </c>
      <c r="F104" s="2">
        <v>302275.68</v>
      </c>
      <c r="G104" s="2">
        <v>10581.06</v>
      </c>
      <c r="H104" s="2">
        <v>10581.06</v>
      </c>
      <c r="I104" s="2">
        <v>21162.11</v>
      </c>
      <c r="J104" s="2">
        <v>109301.91</v>
      </c>
      <c r="K104" s="2">
        <v>54650.96</v>
      </c>
      <c r="L104" s="2">
        <v>163952.87</v>
      </c>
      <c r="M104" s="2">
        <v>0</v>
      </c>
      <c r="N104" s="2">
        <v>0</v>
      </c>
      <c r="O104" s="2">
        <v>0</v>
      </c>
      <c r="P104" s="2">
        <f t="shared" si="1"/>
        <v>487390.66</v>
      </c>
    </row>
    <row r="105" spans="1:16" x14ac:dyDescent="0.3">
      <c r="A105">
        <v>47183</v>
      </c>
      <c r="B105" t="s">
        <v>161</v>
      </c>
      <c r="C105" t="s">
        <v>87</v>
      </c>
      <c r="D105" s="2">
        <v>770806.5</v>
      </c>
      <c r="E105" s="2">
        <v>770806.5</v>
      </c>
      <c r="F105" s="2">
        <v>1541613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f t="shared" si="1"/>
        <v>1541613</v>
      </c>
    </row>
    <row r="106" spans="1:16" x14ac:dyDescent="0.3">
      <c r="A106">
        <v>45294</v>
      </c>
      <c r="B106" t="s">
        <v>162</v>
      </c>
      <c r="C106" t="s">
        <v>163</v>
      </c>
      <c r="D106" s="2">
        <v>0</v>
      </c>
      <c r="E106" s="2">
        <v>0</v>
      </c>
      <c r="F106" s="2">
        <v>0</v>
      </c>
      <c r="G106" s="2">
        <v>501.74</v>
      </c>
      <c r="H106" s="2">
        <v>501.74</v>
      </c>
      <c r="I106" s="2">
        <v>1003.49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f t="shared" si="1"/>
        <v>1003.49</v>
      </c>
    </row>
    <row r="107" spans="1:16" x14ac:dyDescent="0.3">
      <c r="A107">
        <v>43745</v>
      </c>
      <c r="B107" t="s">
        <v>164</v>
      </c>
      <c r="C107" t="s">
        <v>21</v>
      </c>
      <c r="D107" s="2">
        <v>1488126.6</v>
      </c>
      <c r="E107" s="2">
        <v>1488126.6</v>
      </c>
      <c r="F107" s="2">
        <v>2976253.2</v>
      </c>
      <c r="G107" s="2">
        <v>90929.78</v>
      </c>
      <c r="H107" s="2">
        <v>90929.78</v>
      </c>
      <c r="I107" s="2">
        <v>181859.55</v>
      </c>
      <c r="J107" s="2">
        <v>171994.42</v>
      </c>
      <c r="K107" s="2">
        <v>85997.21</v>
      </c>
      <c r="L107" s="2">
        <v>257991.63</v>
      </c>
      <c r="M107" s="2">
        <v>0</v>
      </c>
      <c r="N107" s="2">
        <v>0</v>
      </c>
      <c r="O107" s="2">
        <v>0</v>
      </c>
      <c r="P107" s="2">
        <f t="shared" si="1"/>
        <v>3416104.38</v>
      </c>
    </row>
    <row r="108" spans="1:16" x14ac:dyDescent="0.3">
      <c r="A108">
        <v>50534</v>
      </c>
      <c r="B108" t="s">
        <v>165</v>
      </c>
      <c r="C108" t="s">
        <v>166</v>
      </c>
      <c r="D108" s="2">
        <v>7150.25</v>
      </c>
      <c r="E108" s="2">
        <v>7150.25</v>
      </c>
      <c r="F108" s="2">
        <v>14300.5</v>
      </c>
      <c r="G108" s="2">
        <v>4415.18</v>
      </c>
      <c r="H108" s="2">
        <v>4415.18</v>
      </c>
      <c r="I108" s="2">
        <v>8830.35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f t="shared" si="1"/>
        <v>23130.85</v>
      </c>
    </row>
    <row r="109" spans="1:16" x14ac:dyDescent="0.3">
      <c r="A109">
        <v>43752</v>
      </c>
      <c r="B109" t="s">
        <v>167</v>
      </c>
      <c r="C109" t="s">
        <v>168</v>
      </c>
      <c r="D109" s="2">
        <v>8947739.8599999994</v>
      </c>
      <c r="E109" s="2">
        <v>8947739.8599999994</v>
      </c>
      <c r="F109" s="2">
        <v>17895479.719999999</v>
      </c>
      <c r="G109" s="2">
        <v>0</v>
      </c>
      <c r="H109" s="2">
        <v>0</v>
      </c>
      <c r="I109" s="2">
        <v>0</v>
      </c>
      <c r="J109" s="2">
        <v>4091326.31</v>
      </c>
      <c r="K109" s="2">
        <v>2045663.15</v>
      </c>
      <c r="L109" s="2">
        <v>6136989.46</v>
      </c>
      <c r="M109" s="2">
        <v>0</v>
      </c>
      <c r="N109" s="2">
        <v>0</v>
      </c>
      <c r="O109" s="2">
        <v>0</v>
      </c>
      <c r="P109" s="2">
        <f t="shared" si="1"/>
        <v>24032469.18</v>
      </c>
    </row>
    <row r="110" spans="1:16" x14ac:dyDescent="0.3">
      <c r="A110">
        <v>43760</v>
      </c>
      <c r="B110" t="s">
        <v>169</v>
      </c>
      <c r="C110" t="s">
        <v>170</v>
      </c>
      <c r="D110" s="2">
        <v>417796.41</v>
      </c>
      <c r="E110" s="2">
        <v>417796.41</v>
      </c>
      <c r="F110" s="2">
        <v>835592.82</v>
      </c>
      <c r="G110" s="2">
        <v>49473.87</v>
      </c>
      <c r="H110" s="2">
        <v>49473.87</v>
      </c>
      <c r="I110" s="2">
        <v>98947.74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f t="shared" si="1"/>
        <v>934540.55999999994</v>
      </c>
    </row>
    <row r="111" spans="1:16" x14ac:dyDescent="0.3">
      <c r="A111">
        <v>46284</v>
      </c>
      <c r="B111" t="s">
        <v>171</v>
      </c>
      <c r="C111" t="s">
        <v>172</v>
      </c>
      <c r="D111" s="2">
        <v>526987.63</v>
      </c>
      <c r="E111" s="2">
        <v>526987.63</v>
      </c>
      <c r="F111" s="2">
        <v>1053975.26</v>
      </c>
      <c r="G111" s="2">
        <v>30907.13</v>
      </c>
      <c r="H111" s="2">
        <v>30907.13</v>
      </c>
      <c r="I111" s="2">
        <v>61814.26</v>
      </c>
      <c r="J111" s="2">
        <v>8989.75</v>
      </c>
      <c r="K111" s="2">
        <v>4494.88</v>
      </c>
      <c r="L111" s="2">
        <v>13484.63</v>
      </c>
      <c r="M111" s="2">
        <v>0</v>
      </c>
      <c r="N111" s="2">
        <v>0</v>
      </c>
      <c r="O111" s="2">
        <v>0</v>
      </c>
      <c r="P111" s="2">
        <f t="shared" si="1"/>
        <v>1129274.1499999999</v>
      </c>
    </row>
    <row r="112" spans="1:16" x14ac:dyDescent="0.3">
      <c r="A112">
        <v>49601</v>
      </c>
      <c r="B112" t="s">
        <v>173</v>
      </c>
      <c r="C112" t="s">
        <v>106</v>
      </c>
      <c r="D112" s="2">
        <v>0</v>
      </c>
      <c r="E112" s="2">
        <v>0</v>
      </c>
      <c r="F112" s="2">
        <v>0</v>
      </c>
      <c r="G112" s="2">
        <v>786.76</v>
      </c>
      <c r="H112" s="2">
        <v>786.76</v>
      </c>
      <c r="I112" s="2">
        <v>1573.52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f t="shared" si="1"/>
        <v>1573.52</v>
      </c>
    </row>
    <row r="113" spans="1:16" x14ac:dyDescent="0.3">
      <c r="A113">
        <v>43778</v>
      </c>
      <c r="B113" t="s">
        <v>174</v>
      </c>
      <c r="C113" t="s">
        <v>175</v>
      </c>
      <c r="D113" s="2">
        <v>0</v>
      </c>
      <c r="E113" s="2">
        <v>0</v>
      </c>
      <c r="F113" s="2">
        <v>0</v>
      </c>
      <c r="G113" s="2">
        <v>3807.93</v>
      </c>
      <c r="H113" s="2">
        <v>3807.93</v>
      </c>
      <c r="I113" s="2">
        <v>7615.86</v>
      </c>
      <c r="J113" s="2">
        <v>37667.129999999997</v>
      </c>
      <c r="K113" s="2">
        <v>18833.57</v>
      </c>
      <c r="L113" s="2">
        <v>56500.7</v>
      </c>
      <c r="M113" s="2">
        <v>0</v>
      </c>
      <c r="N113" s="2">
        <v>0</v>
      </c>
      <c r="O113" s="2">
        <v>0</v>
      </c>
      <c r="P113" s="2">
        <f t="shared" si="1"/>
        <v>64116.56</v>
      </c>
    </row>
    <row r="114" spans="1:16" x14ac:dyDescent="0.3">
      <c r="A114">
        <v>49411</v>
      </c>
      <c r="B114" t="s">
        <v>176</v>
      </c>
      <c r="C114" t="s">
        <v>177</v>
      </c>
      <c r="D114" s="2">
        <v>0</v>
      </c>
      <c r="E114" s="2">
        <v>0</v>
      </c>
      <c r="F114" s="2">
        <v>0</v>
      </c>
      <c r="G114" s="2">
        <v>4326.4799999999996</v>
      </c>
      <c r="H114" s="2">
        <v>4326.4799999999996</v>
      </c>
      <c r="I114" s="2">
        <v>8652.9500000000007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f t="shared" si="1"/>
        <v>8652.9500000000007</v>
      </c>
    </row>
    <row r="115" spans="1:16" x14ac:dyDescent="0.3">
      <c r="A115">
        <v>48132</v>
      </c>
      <c r="B115" t="s">
        <v>178</v>
      </c>
      <c r="C115" t="s">
        <v>33</v>
      </c>
      <c r="D115" s="2">
        <v>0</v>
      </c>
      <c r="E115" s="2">
        <v>0</v>
      </c>
      <c r="F115" s="2">
        <v>0</v>
      </c>
      <c r="G115" s="2">
        <v>3978.36</v>
      </c>
      <c r="H115" s="2">
        <v>3978.36</v>
      </c>
      <c r="I115" s="2">
        <v>7956.72</v>
      </c>
      <c r="J115" s="2">
        <v>13690.8</v>
      </c>
      <c r="K115" s="2">
        <v>6845.4</v>
      </c>
      <c r="L115" s="2">
        <v>20536.2</v>
      </c>
      <c r="M115" s="2">
        <v>0</v>
      </c>
      <c r="N115" s="2">
        <v>0</v>
      </c>
      <c r="O115" s="2">
        <v>0</v>
      </c>
      <c r="P115" s="2">
        <f t="shared" si="1"/>
        <v>28492.920000000002</v>
      </c>
    </row>
    <row r="116" spans="1:16" x14ac:dyDescent="0.3">
      <c r="A116">
        <v>46326</v>
      </c>
      <c r="B116" t="s">
        <v>179</v>
      </c>
      <c r="C116" t="s">
        <v>65</v>
      </c>
      <c r="D116" s="2">
        <v>104313.71</v>
      </c>
      <c r="E116" s="2">
        <v>104313.71</v>
      </c>
      <c r="F116" s="2">
        <v>208627.42</v>
      </c>
      <c r="G116" s="2">
        <v>18554.84</v>
      </c>
      <c r="H116" s="2">
        <v>18554.84</v>
      </c>
      <c r="I116" s="2">
        <v>37109.68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f t="shared" si="1"/>
        <v>245737.1</v>
      </c>
    </row>
    <row r="117" spans="1:16" x14ac:dyDescent="0.3">
      <c r="A117">
        <v>43794</v>
      </c>
      <c r="B117" t="s">
        <v>180</v>
      </c>
      <c r="C117" t="s">
        <v>68</v>
      </c>
      <c r="D117" s="2">
        <v>1068775.43</v>
      </c>
      <c r="E117" s="2">
        <v>1068775.43</v>
      </c>
      <c r="F117" s="2">
        <v>2137550.86</v>
      </c>
      <c r="G117" s="2">
        <v>46189.53</v>
      </c>
      <c r="H117" s="2">
        <v>46189.53</v>
      </c>
      <c r="I117" s="2">
        <v>92379.05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f t="shared" si="1"/>
        <v>2229929.9099999997</v>
      </c>
    </row>
    <row r="118" spans="1:16" x14ac:dyDescent="0.3">
      <c r="A118">
        <v>43786</v>
      </c>
      <c r="B118" t="s">
        <v>181</v>
      </c>
      <c r="C118" t="s">
        <v>68</v>
      </c>
      <c r="D118" s="2">
        <v>13429746.300000001</v>
      </c>
      <c r="E118" s="2">
        <v>13429746.300000001</v>
      </c>
      <c r="F118" s="2">
        <v>26859492.600000001</v>
      </c>
      <c r="G118" s="2">
        <v>128135.66</v>
      </c>
      <c r="H118" s="2">
        <v>128135.66</v>
      </c>
      <c r="I118" s="2">
        <v>256271.31</v>
      </c>
      <c r="J118" s="2">
        <v>940157.71</v>
      </c>
      <c r="K118" s="2">
        <v>470078.86</v>
      </c>
      <c r="L118" s="2">
        <v>1410236.57</v>
      </c>
      <c r="M118" s="2">
        <v>0</v>
      </c>
      <c r="N118" s="2">
        <v>0</v>
      </c>
      <c r="O118" s="2">
        <v>0</v>
      </c>
      <c r="P118" s="2">
        <f t="shared" si="1"/>
        <v>28526000.48</v>
      </c>
    </row>
    <row r="119" spans="1:16" x14ac:dyDescent="0.3">
      <c r="A119">
        <v>46391</v>
      </c>
      <c r="B119" t="s">
        <v>182</v>
      </c>
      <c r="C119" t="s">
        <v>103</v>
      </c>
      <c r="D119" s="2">
        <v>0</v>
      </c>
      <c r="E119" s="2">
        <v>0</v>
      </c>
      <c r="F119" s="2">
        <v>0</v>
      </c>
      <c r="G119" s="2">
        <v>607.38</v>
      </c>
      <c r="H119" s="2">
        <v>607.38</v>
      </c>
      <c r="I119" s="2">
        <v>1214.75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f t="shared" si="1"/>
        <v>1214.75</v>
      </c>
    </row>
    <row r="120" spans="1:16" x14ac:dyDescent="0.3">
      <c r="A120">
        <v>48488</v>
      </c>
      <c r="B120" t="s">
        <v>183</v>
      </c>
      <c r="C120" t="s">
        <v>101</v>
      </c>
      <c r="D120" s="2">
        <v>234495.43</v>
      </c>
      <c r="E120" s="2">
        <v>234495.43</v>
      </c>
      <c r="F120" s="2">
        <v>468990.86</v>
      </c>
      <c r="G120" s="2">
        <v>15535.05</v>
      </c>
      <c r="H120" s="2">
        <v>15535.05</v>
      </c>
      <c r="I120" s="2">
        <v>31070.09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f t="shared" si="1"/>
        <v>500060.95</v>
      </c>
    </row>
    <row r="121" spans="1:16" x14ac:dyDescent="0.3">
      <c r="A121">
        <v>45302</v>
      </c>
      <c r="B121" t="s">
        <v>184</v>
      </c>
      <c r="C121" t="s">
        <v>185</v>
      </c>
      <c r="D121" s="2">
        <v>280072.92</v>
      </c>
      <c r="E121" s="2">
        <v>280072.92</v>
      </c>
      <c r="F121" s="2">
        <v>560145.84</v>
      </c>
      <c r="G121" s="2">
        <v>19567.12</v>
      </c>
      <c r="H121" s="2">
        <v>19567.12</v>
      </c>
      <c r="I121" s="2">
        <v>39134.239999999998</v>
      </c>
      <c r="J121" s="2">
        <v>189015.99</v>
      </c>
      <c r="K121" s="2">
        <v>94508</v>
      </c>
      <c r="L121" s="2">
        <v>283523.99</v>
      </c>
      <c r="M121" s="2">
        <v>0</v>
      </c>
      <c r="N121" s="2">
        <v>0</v>
      </c>
      <c r="O121" s="2">
        <v>0</v>
      </c>
      <c r="P121" s="2">
        <f t="shared" si="1"/>
        <v>882804.07</v>
      </c>
    </row>
    <row r="122" spans="1:16" x14ac:dyDescent="0.3">
      <c r="A122">
        <v>45310</v>
      </c>
      <c r="B122" t="s">
        <v>186</v>
      </c>
      <c r="C122" t="s">
        <v>154</v>
      </c>
      <c r="D122" s="2">
        <v>91780.19</v>
      </c>
      <c r="E122" s="2">
        <v>91780.19</v>
      </c>
      <c r="F122" s="2">
        <v>183560.38</v>
      </c>
      <c r="G122" s="2">
        <v>1721.79</v>
      </c>
      <c r="H122" s="2">
        <v>1721.79</v>
      </c>
      <c r="I122" s="2">
        <v>3443.58</v>
      </c>
      <c r="J122" s="2">
        <v>31720.35</v>
      </c>
      <c r="K122" s="2">
        <v>15860.17</v>
      </c>
      <c r="L122" s="2">
        <v>47580.52</v>
      </c>
      <c r="M122" s="2">
        <v>0</v>
      </c>
      <c r="N122" s="2">
        <v>0</v>
      </c>
      <c r="O122" s="2">
        <v>0</v>
      </c>
      <c r="P122" s="2">
        <f t="shared" si="1"/>
        <v>234584.47999999998</v>
      </c>
    </row>
    <row r="123" spans="1:16" x14ac:dyDescent="0.3">
      <c r="A123">
        <v>64964</v>
      </c>
      <c r="B123" t="s">
        <v>187</v>
      </c>
      <c r="C123" t="s">
        <v>188</v>
      </c>
      <c r="D123" s="2">
        <v>0</v>
      </c>
      <c r="E123" s="2">
        <v>0</v>
      </c>
      <c r="F123" s="2">
        <v>0</v>
      </c>
      <c r="G123" s="2">
        <v>1070.5999999999999</v>
      </c>
      <c r="H123" s="2">
        <v>1070.5999999999999</v>
      </c>
      <c r="I123" s="2">
        <v>2141.1999999999998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f t="shared" si="1"/>
        <v>2141.1999999999998</v>
      </c>
    </row>
    <row r="124" spans="1:16" x14ac:dyDescent="0.3">
      <c r="A124">
        <v>46516</v>
      </c>
      <c r="B124" t="s">
        <v>189</v>
      </c>
      <c r="C124" t="s">
        <v>130</v>
      </c>
      <c r="D124" s="2">
        <v>486926.03</v>
      </c>
      <c r="E124" s="2">
        <v>486926.03</v>
      </c>
      <c r="F124" s="2">
        <v>973852.06</v>
      </c>
      <c r="G124" s="2">
        <v>0</v>
      </c>
      <c r="H124" s="2">
        <v>0</v>
      </c>
      <c r="I124" s="2">
        <v>0</v>
      </c>
      <c r="J124" s="2">
        <v>114115.57</v>
      </c>
      <c r="K124" s="2">
        <v>57057.78</v>
      </c>
      <c r="L124" s="2">
        <v>171173.35</v>
      </c>
      <c r="M124" s="2">
        <v>0</v>
      </c>
      <c r="N124" s="2">
        <v>0</v>
      </c>
      <c r="O124" s="2">
        <v>0</v>
      </c>
      <c r="P124" s="2">
        <f t="shared" si="1"/>
        <v>1145025.4100000001</v>
      </c>
    </row>
    <row r="125" spans="1:16" x14ac:dyDescent="0.3">
      <c r="A125">
        <v>48140</v>
      </c>
      <c r="B125" t="s">
        <v>190</v>
      </c>
      <c r="C125" t="s">
        <v>33</v>
      </c>
      <c r="D125" s="2">
        <v>0</v>
      </c>
      <c r="E125" s="2">
        <v>0</v>
      </c>
      <c r="F125" s="2">
        <v>0</v>
      </c>
      <c r="G125" s="2">
        <v>2902.59</v>
      </c>
      <c r="H125" s="2">
        <v>2902.59</v>
      </c>
      <c r="I125" s="2">
        <v>5805.18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f t="shared" si="1"/>
        <v>5805.18</v>
      </c>
    </row>
    <row r="126" spans="1:16" x14ac:dyDescent="0.3">
      <c r="A126">
        <v>45328</v>
      </c>
      <c r="B126" t="s">
        <v>191</v>
      </c>
      <c r="C126" t="s">
        <v>71</v>
      </c>
      <c r="D126" s="2">
        <v>115784.02</v>
      </c>
      <c r="E126" s="2">
        <v>115784.02</v>
      </c>
      <c r="F126" s="2">
        <v>231568.04</v>
      </c>
      <c r="G126" s="2">
        <v>25643.9</v>
      </c>
      <c r="H126" s="2">
        <v>30661.19</v>
      </c>
      <c r="I126" s="2">
        <v>56305.1</v>
      </c>
      <c r="J126" s="2">
        <v>0</v>
      </c>
      <c r="K126" s="2">
        <v>0</v>
      </c>
      <c r="L126" s="2">
        <v>0</v>
      </c>
      <c r="M126" s="2">
        <v>6689.72</v>
      </c>
      <c r="N126" s="2">
        <v>0</v>
      </c>
      <c r="O126" s="2">
        <v>6689.72</v>
      </c>
      <c r="P126" s="2">
        <f t="shared" si="1"/>
        <v>294562.86</v>
      </c>
    </row>
    <row r="127" spans="1:16" x14ac:dyDescent="0.3">
      <c r="A127">
        <v>43802</v>
      </c>
      <c r="B127" t="s">
        <v>192</v>
      </c>
      <c r="C127" t="s">
        <v>97</v>
      </c>
      <c r="D127" s="2">
        <v>21801620.579999998</v>
      </c>
      <c r="E127" s="2">
        <v>21801620.579999998</v>
      </c>
      <c r="F127" s="2">
        <v>43603241.159999996</v>
      </c>
      <c r="G127" s="2">
        <v>170857.60000000001</v>
      </c>
      <c r="H127" s="2">
        <v>170857.60000000001</v>
      </c>
      <c r="I127" s="2">
        <v>341715.20000000001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f t="shared" si="1"/>
        <v>43944956.359999999</v>
      </c>
    </row>
    <row r="128" spans="1:16" x14ac:dyDescent="0.3">
      <c r="A128">
        <v>49312</v>
      </c>
      <c r="B128" t="s">
        <v>193</v>
      </c>
      <c r="C128" t="s">
        <v>194</v>
      </c>
      <c r="D128" s="2">
        <v>0</v>
      </c>
      <c r="E128" s="2">
        <v>0</v>
      </c>
      <c r="F128" s="2">
        <v>0</v>
      </c>
      <c r="G128" s="2">
        <v>1261.2</v>
      </c>
      <c r="H128" s="2">
        <v>1261.2</v>
      </c>
      <c r="I128" s="2">
        <v>2522.4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f t="shared" si="1"/>
        <v>2522.4</v>
      </c>
    </row>
    <row r="129" spans="1:16" x14ac:dyDescent="0.3">
      <c r="A129">
        <v>43810</v>
      </c>
      <c r="B129" t="s">
        <v>195</v>
      </c>
      <c r="C129" t="s">
        <v>51</v>
      </c>
      <c r="D129" s="2">
        <v>30495.08</v>
      </c>
      <c r="E129" s="2">
        <v>30495.08</v>
      </c>
      <c r="F129" s="2">
        <v>60990.16</v>
      </c>
      <c r="G129" s="2">
        <v>17418.22</v>
      </c>
      <c r="H129" s="2">
        <v>17418.22</v>
      </c>
      <c r="I129" s="2">
        <v>34836.44</v>
      </c>
      <c r="J129" s="2">
        <v>11464.08</v>
      </c>
      <c r="K129" s="2">
        <v>5732.04</v>
      </c>
      <c r="L129" s="2">
        <v>17196.12</v>
      </c>
      <c r="M129" s="2">
        <v>0</v>
      </c>
      <c r="N129" s="2">
        <v>0</v>
      </c>
      <c r="O129" s="2">
        <v>0</v>
      </c>
      <c r="P129" s="2">
        <f t="shared" si="1"/>
        <v>113022.72</v>
      </c>
    </row>
    <row r="130" spans="1:16" x14ac:dyDescent="0.3">
      <c r="A130">
        <v>47548</v>
      </c>
      <c r="B130" t="s">
        <v>196</v>
      </c>
      <c r="C130" t="s">
        <v>197</v>
      </c>
      <c r="D130" s="2">
        <v>22951.26</v>
      </c>
      <c r="E130" s="2">
        <v>22951.26</v>
      </c>
      <c r="F130" s="2">
        <v>45902.52</v>
      </c>
      <c r="G130" s="2">
        <v>2808.8</v>
      </c>
      <c r="H130" s="2">
        <v>2808.8</v>
      </c>
      <c r="I130" s="2">
        <v>5617.61</v>
      </c>
      <c r="J130" s="2">
        <v>10042.030000000001</v>
      </c>
      <c r="K130" s="2">
        <v>5021.01</v>
      </c>
      <c r="L130" s="2">
        <v>15063.04</v>
      </c>
      <c r="M130" s="2">
        <v>0</v>
      </c>
      <c r="N130" s="2">
        <v>0</v>
      </c>
      <c r="O130" s="2">
        <v>0</v>
      </c>
      <c r="P130" s="2">
        <f t="shared" si="1"/>
        <v>66583.17</v>
      </c>
    </row>
    <row r="131" spans="1:16" x14ac:dyDescent="0.3">
      <c r="A131">
        <v>49320</v>
      </c>
      <c r="B131" t="s">
        <v>198</v>
      </c>
      <c r="C131" t="s">
        <v>194</v>
      </c>
      <c r="D131" s="2">
        <v>0</v>
      </c>
      <c r="E131" s="2">
        <v>0</v>
      </c>
      <c r="F131" s="2">
        <v>0</v>
      </c>
      <c r="G131" s="2">
        <v>2111.0100000000002</v>
      </c>
      <c r="H131" s="2">
        <v>2111.0100000000002</v>
      </c>
      <c r="I131" s="2">
        <v>4222.01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f t="shared" si="1"/>
        <v>4222.01</v>
      </c>
    </row>
    <row r="132" spans="1:16" x14ac:dyDescent="0.3">
      <c r="A132">
        <v>49981</v>
      </c>
      <c r="B132" t="s">
        <v>199</v>
      </c>
      <c r="C132" t="s">
        <v>23</v>
      </c>
      <c r="D132" s="2">
        <v>1158491.45</v>
      </c>
      <c r="E132" s="2">
        <v>1158491.45</v>
      </c>
      <c r="F132" s="2">
        <v>2316982.9</v>
      </c>
      <c r="G132" s="2">
        <v>39442.15</v>
      </c>
      <c r="H132" s="2">
        <v>39442.15</v>
      </c>
      <c r="I132" s="2">
        <v>78884.3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f t="shared" si="1"/>
        <v>2395867.1999999997</v>
      </c>
    </row>
    <row r="133" spans="1:16" x14ac:dyDescent="0.3">
      <c r="A133">
        <v>47431</v>
      </c>
      <c r="B133" t="s">
        <v>200</v>
      </c>
      <c r="C133" t="s">
        <v>43</v>
      </c>
      <c r="D133" s="2">
        <v>73031.66</v>
      </c>
      <c r="E133" s="2">
        <v>73031.66</v>
      </c>
      <c r="F133" s="2">
        <v>146063.32</v>
      </c>
      <c r="G133" s="2">
        <v>5145.91</v>
      </c>
      <c r="H133" s="2">
        <v>5145.91</v>
      </c>
      <c r="I133" s="2">
        <v>10291.82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f t="shared" si="1"/>
        <v>156355.14000000001</v>
      </c>
    </row>
    <row r="134" spans="1:16" x14ac:dyDescent="0.3">
      <c r="A134">
        <v>43828</v>
      </c>
      <c r="B134" t="s">
        <v>201</v>
      </c>
      <c r="C134" t="s">
        <v>202</v>
      </c>
      <c r="D134" s="2">
        <v>295738.84999999998</v>
      </c>
      <c r="E134" s="2">
        <v>295738.84999999998</v>
      </c>
      <c r="F134" s="2">
        <v>591477.69999999995</v>
      </c>
      <c r="G134" s="2">
        <v>9612.6200000000008</v>
      </c>
      <c r="H134" s="2">
        <v>9612.6200000000008</v>
      </c>
      <c r="I134" s="2">
        <v>19225.23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f t="shared" si="1"/>
        <v>610702.92999999993</v>
      </c>
    </row>
    <row r="135" spans="1:16" x14ac:dyDescent="0.3">
      <c r="A135">
        <v>49999</v>
      </c>
      <c r="B135" t="s">
        <v>203</v>
      </c>
      <c r="C135" t="s">
        <v>23</v>
      </c>
      <c r="D135" s="2">
        <v>118048</v>
      </c>
      <c r="E135" s="2">
        <v>118048</v>
      </c>
      <c r="F135" s="2">
        <v>236096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f t="shared" si="1"/>
        <v>236096</v>
      </c>
    </row>
    <row r="136" spans="1:16" x14ac:dyDescent="0.3">
      <c r="A136">
        <v>45336</v>
      </c>
      <c r="B136" t="s">
        <v>204</v>
      </c>
      <c r="C136" t="s">
        <v>92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f t="shared" si="1"/>
        <v>0</v>
      </c>
    </row>
    <row r="137" spans="1:16" x14ac:dyDescent="0.3">
      <c r="A137">
        <v>45344</v>
      </c>
      <c r="B137" t="s">
        <v>205</v>
      </c>
      <c r="C137" t="s">
        <v>130</v>
      </c>
      <c r="D137" s="2">
        <v>229905.05</v>
      </c>
      <c r="E137" s="2">
        <v>229905.05</v>
      </c>
      <c r="F137" s="2">
        <v>459810.1</v>
      </c>
      <c r="G137" s="2">
        <v>18381.82</v>
      </c>
      <c r="H137" s="2">
        <v>18381.82</v>
      </c>
      <c r="I137" s="2">
        <v>36763.64</v>
      </c>
      <c r="J137" s="2">
        <v>88214.41</v>
      </c>
      <c r="K137" s="2">
        <v>44107.199999999997</v>
      </c>
      <c r="L137" s="2">
        <v>132321.60999999999</v>
      </c>
      <c r="M137" s="2">
        <v>0</v>
      </c>
      <c r="N137" s="2">
        <v>0</v>
      </c>
      <c r="O137" s="2">
        <v>0</v>
      </c>
      <c r="P137" s="2">
        <f t="shared" si="1"/>
        <v>628895.35</v>
      </c>
    </row>
    <row r="138" spans="1:16" x14ac:dyDescent="0.3">
      <c r="A138">
        <v>46433</v>
      </c>
      <c r="B138" t="s">
        <v>206</v>
      </c>
      <c r="C138" t="s">
        <v>71</v>
      </c>
      <c r="D138" s="2">
        <v>226.25</v>
      </c>
      <c r="E138" s="2">
        <v>226.25</v>
      </c>
      <c r="F138" s="2">
        <v>452.5</v>
      </c>
      <c r="G138" s="2">
        <v>4983.82</v>
      </c>
      <c r="H138" s="2">
        <v>4983.82</v>
      </c>
      <c r="I138" s="2">
        <v>9967.64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f t="shared" si="1"/>
        <v>10420.14</v>
      </c>
    </row>
    <row r="139" spans="1:16" x14ac:dyDescent="0.3">
      <c r="A139">
        <v>49429</v>
      </c>
      <c r="B139" t="s">
        <v>206</v>
      </c>
      <c r="C139" t="s">
        <v>177</v>
      </c>
      <c r="D139" s="2">
        <v>0</v>
      </c>
      <c r="E139" s="2">
        <v>0</v>
      </c>
      <c r="F139" s="2">
        <v>0</v>
      </c>
      <c r="G139" s="2">
        <v>524.12</v>
      </c>
      <c r="H139" s="2">
        <v>524.12</v>
      </c>
      <c r="I139" s="2">
        <v>1048.25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f t="shared" si="1"/>
        <v>1048.25</v>
      </c>
    </row>
    <row r="140" spans="1:16" x14ac:dyDescent="0.3">
      <c r="A140">
        <v>50351</v>
      </c>
      <c r="B140" t="s">
        <v>206</v>
      </c>
      <c r="C140" t="s">
        <v>207</v>
      </c>
      <c r="D140" s="2">
        <v>0</v>
      </c>
      <c r="E140" s="2">
        <v>0</v>
      </c>
      <c r="F140" s="2">
        <v>0</v>
      </c>
      <c r="G140" s="2">
        <v>1756.85</v>
      </c>
      <c r="H140" s="2">
        <v>1756.85</v>
      </c>
      <c r="I140" s="2">
        <v>3513.71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f t="shared" si="1"/>
        <v>3513.71</v>
      </c>
    </row>
    <row r="141" spans="1:16" x14ac:dyDescent="0.3">
      <c r="A141">
        <v>49189</v>
      </c>
      <c r="B141" t="s">
        <v>208</v>
      </c>
      <c r="C141" t="s">
        <v>54</v>
      </c>
      <c r="D141" s="2">
        <v>118982.11</v>
      </c>
      <c r="E141" s="2">
        <v>118982.11</v>
      </c>
      <c r="F141" s="2">
        <v>237964.22</v>
      </c>
      <c r="G141" s="2">
        <v>21997.26</v>
      </c>
      <c r="H141" s="2">
        <v>21997.26</v>
      </c>
      <c r="I141" s="2">
        <v>43994.53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f t="shared" ref="P141:P204" si="2">F141+I141+L141+O141</f>
        <v>281958.75</v>
      </c>
    </row>
    <row r="142" spans="1:16" x14ac:dyDescent="0.3">
      <c r="A142">
        <v>45351</v>
      </c>
      <c r="B142" t="s">
        <v>209</v>
      </c>
      <c r="C142" t="s">
        <v>210</v>
      </c>
      <c r="D142" s="2">
        <v>0</v>
      </c>
      <c r="E142" s="2">
        <v>0</v>
      </c>
      <c r="F142" s="2">
        <v>0</v>
      </c>
      <c r="G142" s="2">
        <v>634.88</v>
      </c>
      <c r="H142" s="2">
        <v>634.88</v>
      </c>
      <c r="I142" s="2">
        <v>1269.75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f t="shared" si="2"/>
        <v>1269.75</v>
      </c>
    </row>
    <row r="143" spans="1:16" x14ac:dyDescent="0.3">
      <c r="A143">
        <v>43836</v>
      </c>
      <c r="B143" t="s">
        <v>211</v>
      </c>
      <c r="C143" t="s">
        <v>23</v>
      </c>
      <c r="D143" s="2">
        <v>797039.35</v>
      </c>
      <c r="E143" s="2">
        <v>797039.35</v>
      </c>
      <c r="F143" s="2">
        <v>1594078.7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f t="shared" si="2"/>
        <v>1594078.7</v>
      </c>
    </row>
    <row r="144" spans="1:16" x14ac:dyDescent="0.3">
      <c r="A144">
        <v>46557</v>
      </c>
      <c r="B144" t="s">
        <v>212</v>
      </c>
      <c r="C144" t="s">
        <v>68</v>
      </c>
      <c r="D144" s="2">
        <v>1820221.26</v>
      </c>
      <c r="E144" s="2">
        <v>1820221.26</v>
      </c>
      <c r="F144" s="2">
        <v>3640442.52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f t="shared" si="2"/>
        <v>3640442.52</v>
      </c>
    </row>
    <row r="145" spans="1:16" x14ac:dyDescent="0.3">
      <c r="A145">
        <v>50542</v>
      </c>
      <c r="B145" t="s">
        <v>213</v>
      </c>
      <c r="C145" t="s">
        <v>166</v>
      </c>
      <c r="D145" s="2">
        <v>172786.72</v>
      </c>
      <c r="E145" s="2">
        <v>172786.72</v>
      </c>
      <c r="F145" s="2">
        <v>345573.44</v>
      </c>
      <c r="G145" s="2">
        <v>8835.5</v>
      </c>
      <c r="H145" s="2">
        <v>8835.5</v>
      </c>
      <c r="I145" s="2">
        <v>17670.990000000002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f t="shared" si="2"/>
        <v>363244.43</v>
      </c>
    </row>
    <row r="146" spans="1:16" x14ac:dyDescent="0.3">
      <c r="A146">
        <v>48934</v>
      </c>
      <c r="B146" t="s">
        <v>214</v>
      </c>
      <c r="C146" t="s">
        <v>84</v>
      </c>
      <c r="D146" s="2">
        <v>71399.42</v>
      </c>
      <c r="E146" s="2">
        <v>71399.42</v>
      </c>
      <c r="F146" s="2">
        <v>142798.84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f t="shared" si="2"/>
        <v>142798.84</v>
      </c>
    </row>
    <row r="147" spans="1:16" x14ac:dyDescent="0.3">
      <c r="A147">
        <v>47837</v>
      </c>
      <c r="B147" t="s">
        <v>215</v>
      </c>
      <c r="C147" t="s">
        <v>156</v>
      </c>
      <c r="D147" s="2">
        <v>0</v>
      </c>
      <c r="E147" s="2">
        <v>0</v>
      </c>
      <c r="F147" s="2">
        <v>0</v>
      </c>
      <c r="G147" s="2">
        <v>263.3</v>
      </c>
      <c r="H147" s="2">
        <v>263.3</v>
      </c>
      <c r="I147" s="2">
        <v>526.6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f t="shared" si="2"/>
        <v>526.6</v>
      </c>
    </row>
    <row r="148" spans="1:16" x14ac:dyDescent="0.3">
      <c r="A148">
        <v>47928</v>
      </c>
      <c r="B148" t="s">
        <v>216</v>
      </c>
      <c r="C148" t="s">
        <v>163</v>
      </c>
      <c r="D148" s="2">
        <v>0</v>
      </c>
      <c r="E148" s="2">
        <v>0</v>
      </c>
      <c r="F148" s="2">
        <v>0</v>
      </c>
      <c r="G148" s="2">
        <v>644.03</v>
      </c>
      <c r="H148" s="2">
        <v>644.03</v>
      </c>
      <c r="I148" s="2">
        <v>1288.06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f t="shared" si="2"/>
        <v>1288.06</v>
      </c>
    </row>
    <row r="149" spans="1:16" x14ac:dyDescent="0.3">
      <c r="A149">
        <v>43844</v>
      </c>
      <c r="B149" t="s">
        <v>217</v>
      </c>
      <c r="C149" t="s">
        <v>123</v>
      </c>
      <c r="D149" s="2">
        <v>4712279.13</v>
      </c>
      <c r="E149" s="2">
        <v>4712279.13</v>
      </c>
      <c r="F149" s="2">
        <v>9424558.2599999998</v>
      </c>
      <c r="G149" s="2">
        <v>108567.03</v>
      </c>
      <c r="H149" s="2">
        <v>108567.03</v>
      </c>
      <c r="I149" s="2">
        <v>217134.06</v>
      </c>
      <c r="J149" s="2">
        <v>824036.93</v>
      </c>
      <c r="K149" s="2">
        <v>412018.46</v>
      </c>
      <c r="L149" s="2">
        <v>1236055.3899999999</v>
      </c>
      <c r="M149" s="2">
        <v>0</v>
      </c>
      <c r="N149" s="2">
        <v>0</v>
      </c>
      <c r="O149" s="2">
        <v>0</v>
      </c>
      <c r="P149" s="2">
        <f t="shared" si="2"/>
        <v>10877747.710000001</v>
      </c>
    </row>
    <row r="150" spans="1:16" x14ac:dyDescent="0.3">
      <c r="A150">
        <v>43851</v>
      </c>
      <c r="B150" t="s">
        <v>218</v>
      </c>
      <c r="C150" t="s">
        <v>168</v>
      </c>
      <c r="D150" s="2">
        <v>220482.44</v>
      </c>
      <c r="E150" s="2">
        <v>220482.44</v>
      </c>
      <c r="F150" s="2">
        <v>440964.88</v>
      </c>
      <c r="G150" s="2">
        <v>7959.82</v>
      </c>
      <c r="H150" s="2">
        <v>7959.82</v>
      </c>
      <c r="I150" s="2">
        <v>15919.64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f t="shared" si="2"/>
        <v>456884.52</v>
      </c>
    </row>
    <row r="151" spans="1:16" x14ac:dyDescent="0.3">
      <c r="A151">
        <v>43869</v>
      </c>
      <c r="B151" t="s">
        <v>219</v>
      </c>
      <c r="C151" t="s">
        <v>60</v>
      </c>
      <c r="D151" s="2">
        <v>107102.6</v>
      </c>
      <c r="E151" s="2">
        <v>107102.6</v>
      </c>
      <c r="F151" s="2">
        <v>214205.2</v>
      </c>
      <c r="G151" s="2">
        <v>0</v>
      </c>
      <c r="H151" s="2">
        <v>0</v>
      </c>
      <c r="I151" s="2">
        <v>0</v>
      </c>
      <c r="J151" s="2">
        <v>47562.76</v>
      </c>
      <c r="K151" s="2">
        <v>23781.38</v>
      </c>
      <c r="L151" s="2">
        <v>71344.14</v>
      </c>
      <c r="M151" s="2">
        <v>0</v>
      </c>
      <c r="N151" s="2">
        <v>0</v>
      </c>
      <c r="O151" s="2">
        <v>0</v>
      </c>
      <c r="P151" s="2">
        <f t="shared" si="2"/>
        <v>285549.34000000003</v>
      </c>
    </row>
    <row r="152" spans="1:16" x14ac:dyDescent="0.3">
      <c r="A152">
        <v>43877</v>
      </c>
      <c r="B152" t="s">
        <v>220</v>
      </c>
      <c r="C152" t="s">
        <v>99</v>
      </c>
      <c r="D152" s="2">
        <v>1054025.07</v>
      </c>
      <c r="E152" s="2">
        <v>1054025.07</v>
      </c>
      <c r="F152" s="2">
        <v>2108050.14</v>
      </c>
      <c r="G152" s="2">
        <v>69680.600000000006</v>
      </c>
      <c r="H152" s="2">
        <v>69680.600000000006</v>
      </c>
      <c r="I152" s="2">
        <v>139361.19</v>
      </c>
      <c r="J152" s="2">
        <v>204946.52</v>
      </c>
      <c r="K152" s="2">
        <v>102473.25</v>
      </c>
      <c r="L152" s="2">
        <v>307419.77</v>
      </c>
      <c r="M152" s="2">
        <v>0</v>
      </c>
      <c r="N152" s="2">
        <v>0</v>
      </c>
      <c r="O152" s="2">
        <v>0</v>
      </c>
      <c r="P152" s="2">
        <f t="shared" si="2"/>
        <v>2554831.1</v>
      </c>
    </row>
    <row r="153" spans="1:16" x14ac:dyDescent="0.3">
      <c r="A153">
        <v>43885</v>
      </c>
      <c r="B153" t="s">
        <v>221</v>
      </c>
      <c r="C153" t="s">
        <v>27</v>
      </c>
      <c r="D153" s="2">
        <v>326764.21999999997</v>
      </c>
      <c r="E153" s="2">
        <v>326764.21999999997</v>
      </c>
      <c r="F153" s="2">
        <v>653528.43999999994</v>
      </c>
      <c r="G153" s="2">
        <v>20943.41</v>
      </c>
      <c r="H153" s="2">
        <v>20943.41</v>
      </c>
      <c r="I153" s="2">
        <v>41886.81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f t="shared" si="2"/>
        <v>695415.25</v>
      </c>
    </row>
    <row r="154" spans="1:16" x14ac:dyDescent="0.3">
      <c r="A154">
        <v>43893</v>
      </c>
      <c r="B154" t="s">
        <v>222</v>
      </c>
      <c r="C154" t="s">
        <v>175</v>
      </c>
      <c r="D154" s="2">
        <v>878802.43</v>
      </c>
      <c r="E154" s="2">
        <v>878802.43</v>
      </c>
      <c r="F154" s="2">
        <v>1757604.86</v>
      </c>
      <c r="G154" s="2">
        <v>9518.83</v>
      </c>
      <c r="H154" s="2">
        <v>9518.83</v>
      </c>
      <c r="I154" s="2">
        <v>19037.66</v>
      </c>
      <c r="J154" s="2">
        <v>248854.94</v>
      </c>
      <c r="K154" s="2">
        <v>124427.47</v>
      </c>
      <c r="L154" s="2">
        <v>373282.41</v>
      </c>
      <c r="M154" s="2">
        <v>0</v>
      </c>
      <c r="N154" s="2">
        <v>0</v>
      </c>
      <c r="O154" s="2">
        <v>0</v>
      </c>
      <c r="P154" s="2">
        <f t="shared" si="2"/>
        <v>2149924.9300000002</v>
      </c>
    </row>
    <row r="155" spans="1:16" x14ac:dyDescent="0.3">
      <c r="A155">
        <v>47027</v>
      </c>
      <c r="B155" t="s">
        <v>223</v>
      </c>
      <c r="C155" t="s">
        <v>97</v>
      </c>
      <c r="D155" s="2">
        <v>3590043.42</v>
      </c>
      <c r="E155" s="2">
        <v>3590043.42</v>
      </c>
      <c r="F155" s="2">
        <v>7180086.8399999999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f t="shared" si="2"/>
        <v>7180086.8399999999</v>
      </c>
    </row>
    <row r="156" spans="1:16" x14ac:dyDescent="0.3">
      <c r="A156">
        <v>43901</v>
      </c>
      <c r="B156" t="s">
        <v>224</v>
      </c>
      <c r="C156" t="s">
        <v>68</v>
      </c>
      <c r="D156" s="2">
        <v>273686.7</v>
      </c>
      <c r="E156" s="2">
        <v>273686.7</v>
      </c>
      <c r="F156" s="2">
        <v>547373.4</v>
      </c>
      <c r="G156" s="2">
        <v>3159.94</v>
      </c>
      <c r="H156" s="2">
        <v>3159.94</v>
      </c>
      <c r="I156" s="2">
        <v>6319.88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f t="shared" si="2"/>
        <v>553693.28</v>
      </c>
    </row>
    <row r="157" spans="1:16" x14ac:dyDescent="0.3">
      <c r="A157">
        <v>46409</v>
      </c>
      <c r="B157" t="s">
        <v>225</v>
      </c>
      <c r="C157" t="s">
        <v>103</v>
      </c>
      <c r="D157" s="2">
        <v>46259.4</v>
      </c>
      <c r="E157" s="2">
        <v>46259.4</v>
      </c>
      <c r="F157" s="2">
        <v>92518.8</v>
      </c>
      <c r="G157" s="2">
        <v>32438.36</v>
      </c>
      <c r="H157" s="2">
        <v>32438.36</v>
      </c>
      <c r="I157" s="2">
        <v>64876.72</v>
      </c>
      <c r="J157" s="2">
        <v>4840.2</v>
      </c>
      <c r="K157" s="2">
        <v>2420.1</v>
      </c>
      <c r="L157" s="2">
        <v>7260.3</v>
      </c>
      <c r="M157" s="2">
        <v>0</v>
      </c>
      <c r="N157" s="2">
        <v>0</v>
      </c>
      <c r="O157" s="2">
        <v>0</v>
      </c>
      <c r="P157" s="2">
        <f t="shared" si="2"/>
        <v>164655.82</v>
      </c>
    </row>
    <row r="158" spans="1:16" x14ac:dyDescent="0.3">
      <c r="A158">
        <v>69682</v>
      </c>
      <c r="B158" t="s">
        <v>226</v>
      </c>
      <c r="C158" t="s">
        <v>138</v>
      </c>
      <c r="D158" s="2">
        <v>0</v>
      </c>
      <c r="E158" s="2">
        <v>0</v>
      </c>
      <c r="F158" s="2">
        <v>0</v>
      </c>
      <c r="G158" s="2">
        <v>741.87</v>
      </c>
      <c r="H158" s="2">
        <v>741.87</v>
      </c>
      <c r="I158" s="2">
        <v>1483.73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f t="shared" si="2"/>
        <v>1483.73</v>
      </c>
    </row>
    <row r="159" spans="1:16" x14ac:dyDescent="0.3">
      <c r="A159">
        <v>47688</v>
      </c>
      <c r="B159" t="s">
        <v>227</v>
      </c>
      <c r="C159" t="s">
        <v>228</v>
      </c>
      <c r="D159" s="2">
        <v>478088.91</v>
      </c>
      <c r="E159" s="2">
        <v>478088.91</v>
      </c>
      <c r="F159" s="2">
        <v>956177.82</v>
      </c>
      <c r="G159" s="2">
        <v>20461.43</v>
      </c>
      <c r="H159" s="2">
        <v>20461.43</v>
      </c>
      <c r="I159" s="2">
        <v>40922.85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f t="shared" si="2"/>
        <v>997100.66999999993</v>
      </c>
    </row>
    <row r="160" spans="1:16" x14ac:dyDescent="0.3">
      <c r="A160">
        <v>47845</v>
      </c>
      <c r="B160" t="s">
        <v>229</v>
      </c>
      <c r="C160" t="s">
        <v>156</v>
      </c>
      <c r="D160" s="2">
        <v>0</v>
      </c>
      <c r="E160" s="2">
        <v>0</v>
      </c>
      <c r="F160" s="2">
        <v>0</v>
      </c>
      <c r="G160" s="2">
        <v>1148.3699999999999</v>
      </c>
      <c r="H160" s="2">
        <v>1148.3699999999999</v>
      </c>
      <c r="I160" s="2">
        <v>2296.75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f t="shared" si="2"/>
        <v>2296.75</v>
      </c>
    </row>
    <row r="161" spans="1:16" x14ac:dyDescent="0.3">
      <c r="A161">
        <v>43919</v>
      </c>
      <c r="B161" t="s">
        <v>230</v>
      </c>
      <c r="C161" t="s">
        <v>71</v>
      </c>
      <c r="D161" s="2">
        <v>0</v>
      </c>
      <c r="E161" s="2">
        <v>0</v>
      </c>
      <c r="F161" s="2">
        <v>0</v>
      </c>
      <c r="G161" s="2">
        <v>3067.03</v>
      </c>
      <c r="H161" s="2">
        <v>3067.03</v>
      </c>
      <c r="I161" s="2">
        <v>6134.06</v>
      </c>
      <c r="J161" s="2">
        <v>52193.65</v>
      </c>
      <c r="K161" s="2">
        <v>26096.82</v>
      </c>
      <c r="L161" s="2">
        <v>78290.47</v>
      </c>
      <c r="M161" s="2">
        <v>0</v>
      </c>
      <c r="N161" s="2">
        <v>0</v>
      </c>
      <c r="O161" s="2">
        <v>0</v>
      </c>
      <c r="P161" s="2">
        <f t="shared" si="2"/>
        <v>84424.53</v>
      </c>
    </row>
    <row r="162" spans="1:16" x14ac:dyDescent="0.3">
      <c r="A162">
        <v>48835</v>
      </c>
      <c r="B162" t="s">
        <v>231</v>
      </c>
      <c r="C162" t="s">
        <v>232</v>
      </c>
      <c r="D162" s="2">
        <v>28411.119999999999</v>
      </c>
      <c r="E162" s="2">
        <v>28411.119999999999</v>
      </c>
      <c r="F162" s="2">
        <v>56822.239999999998</v>
      </c>
      <c r="G162" s="2">
        <v>19021.22</v>
      </c>
      <c r="H162" s="2">
        <v>19021.22</v>
      </c>
      <c r="I162" s="2">
        <v>38042.449999999997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f t="shared" si="2"/>
        <v>94864.69</v>
      </c>
    </row>
    <row r="163" spans="1:16" x14ac:dyDescent="0.3">
      <c r="A163">
        <v>43927</v>
      </c>
      <c r="B163" t="s">
        <v>233</v>
      </c>
      <c r="C163" t="s">
        <v>71</v>
      </c>
      <c r="D163" s="2">
        <v>0</v>
      </c>
      <c r="E163" s="2">
        <v>0</v>
      </c>
      <c r="F163" s="2">
        <v>0</v>
      </c>
      <c r="G163" s="2">
        <v>14615.51</v>
      </c>
      <c r="H163" s="2">
        <v>14615.51</v>
      </c>
      <c r="I163" s="2">
        <v>29231.03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f t="shared" si="2"/>
        <v>29231.03</v>
      </c>
    </row>
    <row r="164" spans="1:16" x14ac:dyDescent="0.3">
      <c r="A164">
        <v>46037</v>
      </c>
      <c r="B164" t="s">
        <v>234</v>
      </c>
      <c r="C164" t="s">
        <v>235</v>
      </c>
      <c r="D164" s="2">
        <v>0</v>
      </c>
      <c r="E164" s="2">
        <v>0</v>
      </c>
      <c r="F164" s="2">
        <v>0</v>
      </c>
      <c r="G164" s="2">
        <v>2677.11</v>
      </c>
      <c r="H164" s="2">
        <v>2677.11</v>
      </c>
      <c r="I164" s="2">
        <v>5354.22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f t="shared" si="2"/>
        <v>5354.22</v>
      </c>
    </row>
    <row r="165" spans="1:16" x14ac:dyDescent="0.3">
      <c r="A165">
        <v>48512</v>
      </c>
      <c r="B165" t="s">
        <v>234</v>
      </c>
      <c r="C165" t="s">
        <v>236</v>
      </c>
      <c r="D165" s="2">
        <v>0</v>
      </c>
      <c r="E165" s="2">
        <v>0</v>
      </c>
      <c r="F165" s="2">
        <v>0</v>
      </c>
      <c r="G165" s="2">
        <v>504.45</v>
      </c>
      <c r="H165" s="2">
        <v>504.45</v>
      </c>
      <c r="I165" s="2">
        <v>1008.9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f t="shared" si="2"/>
        <v>1008.9</v>
      </c>
    </row>
    <row r="166" spans="1:16" x14ac:dyDescent="0.3">
      <c r="A166">
        <v>49122</v>
      </c>
      <c r="B166" t="s">
        <v>234</v>
      </c>
      <c r="C166" t="s">
        <v>237</v>
      </c>
      <c r="D166" s="2">
        <v>0</v>
      </c>
      <c r="E166" s="2">
        <v>0</v>
      </c>
      <c r="F166" s="2">
        <v>0</v>
      </c>
      <c r="G166" s="2">
        <v>491.03</v>
      </c>
      <c r="H166" s="2">
        <v>491.03</v>
      </c>
      <c r="I166" s="2">
        <v>982.05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f t="shared" si="2"/>
        <v>982.05</v>
      </c>
    </row>
    <row r="167" spans="1:16" x14ac:dyDescent="0.3">
      <c r="A167">
        <v>50674</v>
      </c>
      <c r="B167" t="s">
        <v>238</v>
      </c>
      <c r="C167" t="s">
        <v>113</v>
      </c>
      <c r="D167" s="2">
        <v>90545.11</v>
      </c>
      <c r="E167" s="2">
        <v>90545.11</v>
      </c>
      <c r="F167" s="2">
        <v>181090.22</v>
      </c>
      <c r="G167" s="2">
        <v>10667.95</v>
      </c>
      <c r="H167" s="2">
        <v>10667.95</v>
      </c>
      <c r="I167" s="2">
        <v>21335.9</v>
      </c>
      <c r="J167" s="2">
        <v>2148.16</v>
      </c>
      <c r="K167" s="2">
        <v>1074.08</v>
      </c>
      <c r="L167" s="2">
        <v>3222.24</v>
      </c>
      <c r="M167" s="2">
        <v>0</v>
      </c>
      <c r="N167" s="2">
        <v>0</v>
      </c>
      <c r="O167" s="2">
        <v>0</v>
      </c>
      <c r="P167" s="2">
        <f t="shared" si="2"/>
        <v>205648.36</v>
      </c>
    </row>
    <row r="168" spans="1:16" x14ac:dyDescent="0.3">
      <c r="A168">
        <v>43935</v>
      </c>
      <c r="B168" t="s">
        <v>239</v>
      </c>
      <c r="C168" t="s">
        <v>188</v>
      </c>
      <c r="D168" s="2">
        <v>152742.47</v>
      </c>
      <c r="E168" s="2">
        <v>152742.47</v>
      </c>
      <c r="F168" s="2">
        <v>305484.94</v>
      </c>
      <c r="G168" s="2">
        <v>0</v>
      </c>
      <c r="H168" s="2">
        <v>0</v>
      </c>
      <c r="I168" s="2">
        <v>0</v>
      </c>
      <c r="J168" s="2">
        <v>71318.850000000006</v>
      </c>
      <c r="K168" s="2">
        <v>35659.43</v>
      </c>
      <c r="L168" s="2">
        <v>106978.28</v>
      </c>
      <c r="M168" s="2">
        <v>0</v>
      </c>
      <c r="N168" s="2">
        <v>0</v>
      </c>
      <c r="O168" s="2">
        <v>0</v>
      </c>
      <c r="P168" s="2">
        <f t="shared" si="2"/>
        <v>412463.22</v>
      </c>
    </row>
    <row r="169" spans="1:16" x14ac:dyDescent="0.3">
      <c r="A169">
        <v>50617</v>
      </c>
      <c r="B169" t="s">
        <v>240</v>
      </c>
      <c r="C169" t="s">
        <v>128</v>
      </c>
      <c r="D169" s="2">
        <v>129113.16</v>
      </c>
      <c r="E169" s="2">
        <v>129113.16</v>
      </c>
      <c r="F169" s="2">
        <v>258226.32</v>
      </c>
      <c r="G169" s="2">
        <v>10455.32</v>
      </c>
      <c r="H169" s="2">
        <v>10455.32</v>
      </c>
      <c r="I169" s="2">
        <v>20910.650000000001</v>
      </c>
      <c r="J169" s="2">
        <v>48104.31</v>
      </c>
      <c r="K169" s="2">
        <v>24052.15</v>
      </c>
      <c r="L169" s="2">
        <v>72156.460000000006</v>
      </c>
      <c r="M169" s="2">
        <v>0</v>
      </c>
      <c r="N169" s="2">
        <v>0</v>
      </c>
      <c r="O169" s="2">
        <v>0</v>
      </c>
      <c r="P169" s="2">
        <f t="shared" si="2"/>
        <v>351293.43000000005</v>
      </c>
    </row>
    <row r="170" spans="1:16" x14ac:dyDescent="0.3">
      <c r="A170">
        <v>46094</v>
      </c>
      <c r="B170" t="s">
        <v>241</v>
      </c>
      <c r="C170" t="s">
        <v>242</v>
      </c>
      <c r="D170" s="2">
        <v>319362.73</v>
      </c>
      <c r="E170" s="2">
        <v>319362.73</v>
      </c>
      <c r="F170" s="2">
        <v>638725.46</v>
      </c>
      <c r="G170" s="2">
        <v>45387.6</v>
      </c>
      <c r="H170" s="2">
        <v>45387.6</v>
      </c>
      <c r="I170" s="2">
        <v>90775.21</v>
      </c>
      <c r="J170" s="2">
        <v>333644.46999999997</v>
      </c>
      <c r="K170" s="2">
        <v>166822.24</v>
      </c>
      <c r="L170" s="2">
        <v>500466.71</v>
      </c>
      <c r="M170" s="2">
        <v>0</v>
      </c>
      <c r="N170" s="2">
        <v>0</v>
      </c>
      <c r="O170" s="2">
        <v>0</v>
      </c>
      <c r="P170" s="2">
        <f t="shared" si="2"/>
        <v>1229967.3799999999</v>
      </c>
    </row>
    <row r="171" spans="1:16" x14ac:dyDescent="0.3">
      <c r="A171">
        <v>47795</v>
      </c>
      <c r="B171" t="s">
        <v>243</v>
      </c>
      <c r="C171" t="s">
        <v>132</v>
      </c>
      <c r="D171" s="2">
        <v>3816.91</v>
      </c>
      <c r="E171" s="2">
        <v>3816.91</v>
      </c>
      <c r="F171" s="2">
        <v>7633.82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f t="shared" si="2"/>
        <v>7633.82</v>
      </c>
    </row>
    <row r="172" spans="1:16" x14ac:dyDescent="0.3">
      <c r="A172">
        <v>50625</v>
      </c>
      <c r="B172" t="s">
        <v>244</v>
      </c>
      <c r="C172" t="s">
        <v>128</v>
      </c>
      <c r="D172" s="2">
        <v>54369.73</v>
      </c>
      <c r="E172" s="2">
        <v>54369.73</v>
      </c>
      <c r="F172" s="2">
        <v>108739.46</v>
      </c>
      <c r="G172" s="2">
        <v>12038.01</v>
      </c>
      <c r="H172" s="2">
        <v>12038.01</v>
      </c>
      <c r="I172" s="2">
        <v>24076.03</v>
      </c>
      <c r="J172" s="2">
        <v>22574.1</v>
      </c>
      <c r="K172" s="2">
        <v>11287.05</v>
      </c>
      <c r="L172" s="2">
        <v>33861.15</v>
      </c>
      <c r="M172" s="2">
        <v>0</v>
      </c>
      <c r="N172" s="2">
        <v>0</v>
      </c>
      <c r="O172" s="2">
        <v>0</v>
      </c>
      <c r="P172" s="2">
        <f t="shared" si="2"/>
        <v>166676.63999999998</v>
      </c>
    </row>
    <row r="173" spans="1:16" x14ac:dyDescent="0.3">
      <c r="A173">
        <v>48413</v>
      </c>
      <c r="B173" t="s">
        <v>245</v>
      </c>
      <c r="C173" t="s">
        <v>246</v>
      </c>
      <c r="D173" s="2">
        <v>231326.29</v>
      </c>
      <c r="E173" s="2">
        <v>231326.29</v>
      </c>
      <c r="F173" s="2">
        <v>462652.58</v>
      </c>
      <c r="G173" s="2">
        <v>0</v>
      </c>
      <c r="H173" s="2">
        <v>0</v>
      </c>
      <c r="I173" s="2">
        <v>0</v>
      </c>
      <c r="J173" s="2">
        <v>72269.05</v>
      </c>
      <c r="K173" s="2">
        <v>36134.519999999997</v>
      </c>
      <c r="L173" s="2">
        <v>108403.57</v>
      </c>
      <c r="M173" s="2">
        <v>0</v>
      </c>
      <c r="N173" s="2">
        <v>0</v>
      </c>
      <c r="O173" s="2">
        <v>0</v>
      </c>
      <c r="P173" s="2">
        <f t="shared" si="2"/>
        <v>571056.15</v>
      </c>
    </row>
    <row r="174" spans="1:16" x14ac:dyDescent="0.3">
      <c r="A174">
        <v>45773</v>
      </c>
      <c r="B174" t="s">
        <v>247</v>
      </c>
      <c r="C174" t="s">
        <v>27</v>
      </c>
      <c r="D174" s="2">
        <v>244705.56</v>
      </c>
      <c r="E174" s="2">
        <v>244705.56</v>
      </c>
      <c r="F174" s="2">
        <v>489411.12</v>
      </c>
      <c r="G174" s="2">
        <v>0</v>
      </c>
      <c r="H174" s="2">
        <v>0</v>
      </c>
      <c r="I174" s="2">
        <v>0</v>
      </c>
      <c r="J174" s="2">
        <v>69337.710000000006</v>
      </c>
      <c r="K174" s="2">
        <v>34668.85</v>
      </c>
      <c r="L174" s="2">
        <v>104006.56</v>
      </c>
      <c r="M174" s="2">
        <v>0</v>
      </c>
      <c r="N174" s="2">
        <v>0</v>
      </c>
      <c r="O174" s="2">
        <v>0</v>
      </c>
      <c r="P174" s="2">
        <f t="shared" si="2"/>
        <v>593417.67999999993</v>
      </c>
    </row>
    <row r="175" spans="1:16" x14ac:dyDescent="0.3">
      <c r="A175">
        <v>50682</v>
      </c>
      <c r="B175" t="s">
        <v>248</v>
      </c>
      <c r="C175" t="s">
        <v>113</v>
      </c>
      <c r="D175" s="2">
        <v>0</v>
      </c>
      <c r="E175" s="2">
        <v>0</v>
      </c>
      <c r="F175" s="2">
        <v>0</v>
      </c>
      <c r="G175" s="2">
        <v>1198.56</v>
      </c>
      <c r="H175" s="2">
        <v>1198.56</v>
      </c>
      <c r="I175" s="2">
        <v>2397.12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f t="shared" si="2"/>
        <v>2397.12</v>
      </c>
    </row>
    <row r="176" spans="1:16" x14ac:dyDescent="0.3">
      <c r="A176">
        <v>43943</v>
      </c>
      <c r="B176" t="s">
        <v>249</v>
      </c>
      <c r="C176" t="s">
        <v>33</v>
      </c>
      <c r="D176" s="2">
        <v>1801348.97</v>
      </c>
      <c r="E176" s="2">
        <v>1801348.97</v>
      </c>
      <c r="F176" s="2">
        <v>3602697.94</v>
      </c>
      <c r="G176" s="2">
        <v>0</v>
      </c>
      <c r="H176" s="2">
        <v>0</v>
      </c>
      <c r="I176" s="2">
        <v>0</v>
      </c>
      <c r="J176" s="2">
        <v>482949.97</v>
      </c>
      <c r="K176" s="2">
        <v>241474.98</v>
      </c>
      <c r="L176" s="2">
        <v>724424.95</v>
      </c>
      <c r="M176" s="2">
        <v>0</v>
      </c>
      <c r="N176" s="2">
        <v>0</v>
      </c>
      <c r="O176" s="2">
        <v>0</v>
      </c>
      <c r="P176" s="2">
        <f t="shared" si="2"/>
        <v>4327122.8899999997</v>
      </c>
    </row>
    <row r="177" spans="1:16" x14ac:dyDescent="0.3">
      <c r="A177">
        <v>43950</v>
      </c>
      <c r="B177" t="s">
        <v>250</v>
      </c>
      <c r="C177" t="s">
        <v>68</v>
      </c>
      <c r="D177" s="2">
        <v>1273830.52</v>
      </c>
      <c r="E177" s="2">
        <v>1273830.52</v>
      </c>
      <c r="F177" s="2">
        <v>2547661.04</v>
      </c>
      <c r="G177" s="2">
        <v>70599.820000000007</v>
      </c>
      <c r="H177" s="2">
        <v>70599.820000000007</v>
      </c>
      <c r="I177" s="2">
        <v>141199.64000000001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f t="shared" si="2"/>
        <v>2688860.68</v>
      </c>
    </row>
    <row r="178" spans="1:16" x14ac:dyDescent="0.3">
      <c r="A178">
        <v>47050</v>
      </c>
      <c r="B178" t="s">
        <v>251</v>
      </c>
      <c r="C178" t="s">
        <v>46</v>
      </c>
      <c r="D178" s="2">
        <v>21191.35</v>
      </c>
      <c r="E178" s="2">
        <v>21191.35</v>
      </c>
      <c r="F178" s="2">
        <v>42382.7</v>
      </c>
      <c r="G178" s="2">
        <v>6375.76</v>
      </c>
      <c r="H178" s="2">
        <v>6110.1</v>
      </c>
      <c r="I178" s="2">
        <v>12485.86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f t="shared" si="2"/>
        <v>54868.56</v>
      </c>
    </row>
    <row r="179" spans="1:16" x14ac:dyDescent="0.3">
      <c r="A179">
        <v>50328</v>
      </c>
      <c r="B179" t="s">
        <v>252</v>
      </c>
      <c r="C179" t="s">
        <v>253</v>
      </c>
      <c r="D179" s="2">
        <v>146087.23000000001</v>
      </c>
      <c r="E179" s="2">
        <v>146087.23000000001</v>
      </c>
      <c r="F179" s="2">
        <v>292174.46000000002</v>
      </c>
      <c r="G179" s="2">
        <v>0</v>
      </c>
      <c r="H179" s="2">
        <v>0</v>
      </c>
      <c r="I179" s="2">
        <v>0</v>
      </c>
      <c r="J179" s="2">
        <v>48413.67</v>
      </c>
      <c r="K179" s="2">
        <v>24206.83</v>
      </c>
      <c r="L179" s="2">
        <v>72620.5</v>
      </c>
      <c r="M179" s="2">
        <v>0</v>
      </c>
      <c r="N179" s="2">
        <v>0</v>
      </c>
      <c r="O179" s="2">
        <v>0</v>
      </c>
      <c r="P179" s="2">
        <f t="shared" si="2"/>
        <v>364794.96</v>
      </c>
    </row>
    <row r="180" spans="1:16" x14ac:dyDescent="0.3">
      <c r="A180">
        <v>43968</v>
      </c>
      <c r="B180" t="s">
        <v>254</v>
      </c>
      <c r="C180" t="s">
        <v>73</v>
      </c>
      <c r="D180" s="2">
        <v>433361.13</v>
      </c>
      <c r="E180" s="2">
        <v>433361.13</v>
      </c>
      <c r="F180" s="2">
        <v>866722.26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f t="shared" si="2"/>
        <v>866722.26</v>
      </c>
    </row>
    <row r="181" spans="1:16" x14ac:dyDescent="0.3">
      <c r="A181">
        <v>46102</v>
      </c>
      <c r="B181" t="s">
        <v>255</v>
      </c>
      <c r="C181" t="s">
        <v>242</v>
      </c>
      <c r="D181" s="2">
        <v>1401410.96</v>
      </c>
      <c r="E181" s="2">
        <v>1401410.96</v>
      </c>
      <c r="F181" s="2">
        <v>2802821.92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f t="shared" si="2"/>
        <v>2802821.92</v>
      </c>
    </row>
    <row r="182" spans="1:16" x14ac:dyDescent="0.3">
      <c r="A182">
        <v>47621</v>
      </c>
      <c r="B182" t="s">
        <v>256</v>
      </c>
      <c r="C182" t="s">
        <v>118</v>
      </c>
      <c r="D182" s="2">
        <v>0</v>
      </c>
      <c r="E182" s="2">
        <v>0</v>
      </c>
      <c r="F182" s="2">
        <v>0</v>
      </c>
      <c r="G182" s="2">
        <v>1006.54</v>
      </c>
      <c r="H182" s="2">
        <v>1006.54</v>
      </c>
      <c r="I182" s="2">
        <v>2013.08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f t="shared" si="2"/>
        <v>2013.08</v>
      </c>
    </row>
    <row r="183" spans="1:16" x14ac:dyDescent="0.3">
      <c r="A183">
        <v>46870</v>
      </c>
      <c r="B183" t="s">
        <v>257</v>
      </c>
      <c r="C183" t="s">
        <v>31</v>
      </c>
      <c r="D183" s="2">
        <v>0</v>
      </c>
      <c r="E183" s="2">
        <v>0</v>
      </c>
      <c r="F183" s="2">
        <v>0</v>
      </c>
      <c r="G183" s="2">
        <v>5758.56</v>
      </c>
      <c r="H183" s="2">
        <v>5758.56</v>
      </c>
      <c r="I183" s="2">
        <v>11517.11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f t="shared" si="2"/>
        <v>11517.11</v>
      </c>
    </row>
    <row r="184" spans="1:16" x14ac:dyDescent="0.3">
      <c r="A184">
        <v>47936</v>
      </c>
      <c r="B184" t="s">
        <v>258</v>
      </c>
      <c r="C184" t="s">
        <v>163</v>
      </c>
      <c r="D184" s="2">
        <v>0</v>
      </c>
      <c r="E184" s="2">
        <v>0</v>
      </c>
      <c r="F184" s="2">
        <v>0</v>
      </c>
      <c r="G184" s="2">
        <v>819.8</v>
      </c>
      <c r="H184" s="2">
        <v>819.8</v>
      </c>
      <c r="I184" s="2">
        <v>1639.59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f t="shared" si="2"/>
        <v>1639.59</v>
      </c>
    </row>
    <row r="185" spans="1:16" x14ac:dyDescent="0.3">
      <c r="A185">
        <v>49775</v>
      </c>
      <c r="B185" t="s">
        <v>259</v>
      </c>
      <c r="C185" t="s">
        <v>35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f t="shared" si="2"/>
        <v>0</v>
      </c>
    </row>
    <row r="186" spans="1:16" x14ac:dyDescent="0.3">
      <c r="A186">
        <v>49841</v>
      </c>
      <c r="B186" t="s">
        <v>260</v>
      </c>
      <c r="C186" t="s">
        <v>29</v>
      </c>
      <c r="D186" s="2">
        <v>91393.98</v>
      </c>
      <c r="E186" s="2">
        <v>91393.98</v>
      </c>
      <c r="F186" s="2">
        <v>182787.96</v>
      </c>
      <c r="G186" s="2">
        <v>3672.93</v>
      </c>
      <c r="H186" s="2">
        <v>3672.93</v>
      </c>
      <c r="I186" s="2">
        <v>7345.87</v>
      </c>
      <c r="J186" s="2">
        <v>138279.82999999999</v>
      </c>
      <c r="K186" s="2">
        <v>69139.91</v>
      </c>
      <c r="L186" s="2">
        <v>207419.74</v>
      </c>
      <c r="M186" s="2">
        <v>0</v>
      </c>
      <c r="N186" s="2">
        <v>0</v>
      </c>
      <c r="O186" s="2">
        <v>0</v>
      </c>
      <c r="P186" s="2">
        <f t="shared" si="2"/>
        <v>397553.56999999995</v>
      </c>
    </row>
    <row r="187" spans="1:16" x14ac:dyDescent="0.3">
      <c r="A187">
        <v>45369</v>
      </c>
      <c r="B187" t="s">
        <v>261</v>
      </c>
      <c r="C187" t="s">
        <v>262</v>
      </c>
      <c r="D187" s="2">
        <v>89547.8</v>
      </c>
      <c r="E187" s="2">
        <v>89547.8</v>
      </c>
      <c r="F187" s="2">
        <v>179095.6</v>
      </c>
      <c r="G187" s="2">
        <v>2836.52</v>
      </c>
      <c r="H187" s="2">
        <v>2836.52</v>
      </c>
      <c r="I187" s="2">
        <v>5673.04</v>
      </c>
      <c r="J187" s="2">
        <v>10656.53</v>
      </c>
      <c r="K187" s="2">
        <v>5328.27</v>
      </c>
      <c r="L187" s="2">
        <v>15984.8</v>
      </c>
      <c r="M187" s="2">
        <v>0</v>
      </c>
      <c r="N187" s="2">
        <v>0</v>
      </c>
      <c r="O187" s="2">
        <v>0</v>
      </c>
      <c r="P187" s="2">
        <f t="shared" si="2"/>
        <v>200753.44</v>
      </c>
    </row>
    <row r="188" spans="1:16" x14ac:dyDescent="0.3">
      <c r="A188">
        <v>43976</v>
      </c>
      <c r="B188" t="s">
        <v>263</v>
      </c>
      <c r="C188" t="s">
        <v>68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f t="shared" si="2"/>
        <v>0</v>
      </c>
    </row>
    <row r="189" spans="1:16" x14ac:dyDescent="0.3">
      <c r="A189">
        <v>47068</v>
      </c>
      <c r="B189" t="s">
        <v>264</v>
      </c>
      <c r="C189" t="s">
        <v>46</v>
      </c>
      <c r="D189" s="2">
        <v>81494.929999999993</v>
      </c>
      <c r="E189" s="2">
        <v>81494.929999999993</v>
      </c>
      <c r="F189" s="2">
        <v>162989.85999999999</v>
      </c>
      <c r="G189" s="2">
        <v>961.31</v>
      </c>
      <c r="H189" s="2">
        <v>961.31</v>
      </c>
      <c r="I189" s="2">
        <v>1922.61</v>
      </c>
      <c r="J189" s="2">
        <v>32368.400000000001</v>
      </c>
      <c r="K189" s="2">
        <v>8935.2900000000009</v>
      </c>
      <c r="L189" s="2">
        <v>41303.69</v>
      </c>
      <c r="M189" s="2">
        <v>0</v>
      </c>
      <c r="N189" s="2">
        <v>0</v>
      </c>
      <c r="O189" s="2">
        <v>0</v>
      </c>
      <c r="P189" s="2">
        <f t="shared" si="2"/>
        <v>206216.15999999997</v>
      </c>
    </row>
    <row r="190" spans="1:16" x14ac:dyDescent="0.3">
      <c r="A190">
        <v>46045</v>
      </c>
      <c r="B190" t="s">
        <v>265</v>
      </c>
      <c r="C190" t="s">
        <v>235</v>
      </c>
      <c r="D190" s="2">
        <v>0</v>
      </c>
      <c r="E190" s="2">
        <v>0</v>
      </c>
      <c r="F190" s="2">
        <v>0</v>
      </c>
      <c r="G190" s="2">
        <v>528.29999999999995</v>
      </c>
      <c r="H190" s="2">
        <v>528.29999999999995</v>
      </c>
      <c r="I190" s="2">
        <v>1056.5999999999999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f t="shared" si="2"/>
        <v>1056.5999999999999</v>
      </c>
    </row>
    <row r="191" spans="1:16" x14ac:dyDescent="0.3">
      <c r="A191">
        <v>45914</v>
      </c>
      <c r="B191" t="s">
        <v>266</v>
      </c>
      <c r="C191" t="s">
        <v>25</v>
      </c>
      <c r="D191" s="2">
        <v>0</v>
      </c>
      <c r="E191" s="2">
        <v>0</v>
      </c>
      <c r="F191" s="2">
        <v>0</v>
      </c>
      <c r="G191" s="2">
        <v>6558.38</v>
      </c>
      <c r="H191" s="2">
        <v>6558.38</v>
      </c>
      <c r="I191" s="2">
        <v>13116.76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f t="shared" si="2"/>
        <v>13116.76</v>
      </c>
    </row>
    <row r="192" spans="1:16" x14ac:dyDescent="0.3">
      <c r="A192">
        <v>46334</v>
      </c>
      <c r="B192" t="s">
        <v>267</v>
      </c>
      <c r="C192" t="s">
        <v>65</v>
      </c>
      <c r="D192" s="2">
        <v>0</v>
      </c>
      <c r="E192" s="2">
        <v>0</v>
      </c>
      <c r="F192" s="2">
        <v>0</v>
      </c>
      <c r="G192" s="2">
        <v>172.41</v>
      </c>
      <c r="H192" s="2">
        <v>172.41</v>
      </c>
      <c r="I192" s="2">
        <v>344.82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f t="shared" si="2"/>
        <v>344.82</v>
      </c>
    </row>
    <row r="193" spans="1:16" x14ac:dyDescent="0.3">
      <c r="A193">
        <v>49197</v>
      </c>
      <c r="B193" t="s">
        <v>268</v>
      </c>
      <c r="C193" t="s">
        <v>54</v>
      </c>
      <c r="D193" s="2">
        <v>488243.46</v>
      </c>
      <c r="E193" s="2">
        <v>488243.46</v>
      </c>
      <c r="F193" s="2">
        <v>976486.92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f t="shared" si="2"/>
        <v>976486.92</v>
      </c>
    </row>
    <row r="194" spans="1:16" x14ac:dyDescent="0.3">
      <c r="A194">
        <v>43984</v>
      </c>
      <c r="B194" t="s">
        <v>269</v>
      </c>
      <c r="C194" t="s">
        <v>43</v>
      </c>
      <c r="D194" s="2">
        <v>2625670.4300000002</v>
      </c>
      <c r="E194" s="2">
        <v>2625670.4300000002</v>
      </c>
      <c r="F194" s="2">
        <v>5251340.8600000003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f t="shared" si="2"/>
        <v>5251340.8600000003</v>
      </c>
    </row>
    <row r="195" spans="1:16" x14ac:dyDescent="0.3">
      <c r="A195">
        <v>47332</v>
      </c>
      <c r="B195" t="s">
        <v>270</v>
      </c>
      <c r="C195" t="s">
        <v>168</v>
      </c>
      <c r="D195" s="2">
        <v>0</v>
      </c>
      <c r="E195" s="2">
        <v>0</v>
      </c>
      <c r="F195" s="2">
        <v>0</v>
      </c>
      <c r="G195" s="2">
        <v>1775.7</v>
      </c>
      <c r="H195" s="2">
        <v>1775.7</v>
      </c>
      <c r="I195" s="2">
        <v>3551.41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f t="shared" si="2"/>
        <v>3551.41</v>
      </c>
    </row>
    <row r="196" spans="1:16" x14ac:dyDescent="0.3">
      <c r="A196">
        <v>48157</v>
      </c>
      <c r="B196" t="s">
        <v>271</v>
      </c>
      <c r="C196" t="s">
        <v>33</v>
      </c>
      <c r="D196" s="2">
        <v>75172.63</v>
      </c>
      <c r="E196" s="2">
        <v>75172.63</v>
      </c>
      <c r="F196" s="2">
        <v>150345.26</v>
      </c>
      <c r="G196" s="2">
        <v>5574.89</v>
      </c>
      <c r="H196" s="2">
        <v>5574.89</v>
      </c>
      <c r="I196" s="2">
        <v>11149.77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f t="shared" si="2"/>
        <v>161495.03</v>
      </c>
    </row>
    <row r="197" spans="1:16" x14ac:dyDescent="0.3">
      <c r="A197">
        <v>47340</v>
      </c>
      <c r="B197" t="s">
        <v>272</v>
      </c>
      <c r="C197" t="s">
        <v>168</v>
      </c>
      <c r="D197" s="2">
        <v>788620.36</v>
      </c>
      <c r="E197" s="2">
        <v>788620.36</v>
      </c>
      <c r="F197" s="2">
        <v>1577240.72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f t="shared" si="2"/>
        <v>1577240.72</v>
      </c>
    </row>
    <row r="198" spans="1:16" x14ac:dyDescent="0.3">
      <c r="A198">
        <v>50484</v>
      </c>
      <c r="B198" t="s">
        <v>273</v>
      </c>
      <c r="C198" t="s">
        <v>81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f t="shared" si="2"/>
        <v>0</v>
      </c>
    </row>
    <row r="199" spans="1:16" x14ac:dyDescent="0.3">
      <c r="A199">
        <v>49783</v>
      </c>
      <c r="B199" t="s">
        <v>274</v>
      </c>
      <c r="C199" t="s">
        <v>35</v>
      </c>
      <c r="D199" s="2">
        <v>2038.88</v>
      </c>
      <c r="E199" s="2">
        <v>2038.88</v>
      </c>
      <c r="F199" s="2">
        <v>4077.76</v>
      </c>
      <c r="G199" s="2">
        <v>0</v>
      </c>
      <c r="H199" s="2">
        <v>0</v>
      </c>
      <c r="I199" s="2">
        <v>0</v>
      </c>
      <c r="J199" s="2">
        <v>2672.29</v>
      </c>
      <c r="K199" s="2">
        <v>1336.15</v>
      </c>
      <c r="L199" s="2">
        <v>4008.44</v>
      </c>
      <c r="M199" s="2">
        <v>0</v>
      </c>
      <c r="N199" s="2">
        <v>0</v>
      </c>
      <c r="O199" s="2">
        <v>0</v>
      </c>
      <c r="P199" s="2">
        <f t="shared" si="2"/>
        <v>8086.2000000000007</v>
      </c>
    </row>
    <row r="200" spans="1:16" x14ac:dyDescent="0.3">
      <c r="A200">
        <v>48595</v>
      </c>
      <c r="B200" t="s">
        <v>275</v>
      </c>
      <c r="C200" t="s">
        <v>154</v>
      </c>
      <c r="D200" s="2">
        <v>0</v>
      </c>
      <c r="E200" s="2">
        <v>0</v>
      </c>
      <c r="F200" s="2">
        <v>0</v>
      </c>
      <c r="G200" s="2">
        <v>1503.24</v>
      </c>
      <c r="H200" s="2">
        <v>1503.24</v>
      </c>
      <c r="I200" s="2">
        <v>3006.49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f t="shared" si="2"/>
        <v>3006.49</v>
      </c>
    </row>
    <row r="201" spans="1:16" x14ac:dyDescent="0.3">
      <c r="A201">
        <v>43992</v>
      </c>
      <c r="B201" t="s">
        <v>276</v>
      </c>
      <c r="C201" t="s">
        <v>95</v>
      </c>
      <c r="D201" s="2">
        <v>294720.32</v>
      </c>
      <c r="E201" s="2">
        <v>294720.32</v>
      </c>
      <c r="F201" s="2">
        <v>589440.64</v>
      </c>
      <c r="G201" s="2">
        <v>27749.75</v>
      </c>
      <c r="H201" s="2">
        <v>27749.75</v>
      </c>
      <c r="I201" s="2">
        <v>55499.5</v>
      </c>
      <c r="J201" s="2">
        <v>545500.54</v>
      </c>
      <c r="K201" s="2">
        <v>272750.27</v>
      </c>
      <c r="L201" s="2">
        <v>818250.81</v>
      </c>
      <c r="M201" s="2">
        <v>0</v>
      </c>
      <c r="N201" s="2">
        <v>0</v>
      </c>
      <c r="O201" s="2">
        <v>0</v>
      </c>
      <c r="P201" s="2">
        <f t="shared" si="2"/>
        <v>1463190.9500000002</v>
      </c>
    </row>
    <row r="202" spans="1:16" x14ac:dyDescent="0.3">
      <c r="A202">
        <v>44008</v>
      </c>
      <c r="B202" t="s">
        <v>277</v>
      </c>
      <c r="C202" t="s">
        <v>150</v>
      </c>
      <c r="D202" s="2">
        <v>1477853.94</v>
      </c>
      <c r="E202" s="2">
        <v>1477853.94</v>
      </c>
      <c r="F202" s="2">
        <v>2955707.88</v>
      </c>
      <c r="G202" s="2">
        <v>28443.21</v>
      </c>
      <c r="H202" s="2">
        <v>28443.21</v>
      </c>
      <c r="I202" s="2">
        <v>56886.42</v>
      </c>
      <c r="J202" s="2">
        <v>447284.94</v>
      </c>
      <c r="K202" s="2">
        <v>223642.47</v>
      </c>
      <c r="L202" s="2">
        <v>670927.41</v>
      </c>
      <c r="M202" s="2">
        <v>0</v>
      </c>
      <c r="N202" s="2">
        <v>0</v>
      </c>
      <c r="O202" s="2">
        <v>0</v>
      </c>
      <c r="P202" s="2">
        <f t="shared" si="2"/>
        <v>3683521.71</v>
      </c>
    </row>
    <row r="203" spans="1:16" x14ac:dyDescent="0.3">
      <c r="A203">
        <v>48843</v>
      </c>
      <c r="B203" t="s">
        <v>278</v>
      </c>
      <c r="C203" t="s">
        <v>232</v>
      </c>
      <c r="D203" s="2">
        <v>0</v>
      </c>
      <c r="E203" s="2">
        <v>0</v>
      </c>
      <c r="F203" s="2">
        <v>0</v>
      </c>
      <c r="G203" s="2">
        <v>6645.57</v>
      </c>
      <c r="H203" s="2">
        <v>6645.57</v>
      </c>
      <c r="I203" s="2">
        <v>13291.15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f t="shared" si="2"/>
        <v>13291.15</v>
      </c>
    </row>
    <row r="204" spans="1:16" x14ac:dyDescent="0.3">
      <c r="A204">
        <v>46649</v>
      </c>
      <c r="B204" t="s">
        <v>279</v>
      </c>
      <c r="C204" t="s">
        <v>37</v>
      </c>
      <c r="D204" s="2">
        <v>0</v>
      </c>
      <c r="E204" s="2">
        <v>0</v>
      </c>
      <c r="F204" s="2">
        <v>0</v>
      </c>
      <c r="G204" s="2">
        <v>500.32</v>
      </c>
      <c r="H204" s="2">
        <v>500.32</v>
      </c>
      <c r="I204" s="2">
        <v>1000.64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f t="shared" si="2"/>
        <v>1000.64</v>
      </c>
    </row>
    <row r="205" spans="1:16" x14ac:dyDescent="0.3">
      <c r="A205">
        <v>47852</v>
      </c>
      <c r="B205" t="s">
        <v>280</v>
      </c>
      <c r="C205" t="s">
        <v>156</v>
      </c>
      <c r="D205" s="2">
        <v>158117.82</v>
      </c>
      <c r="E205" s="2">
        <v>158117.82</v>
      </c>
      <c r="F205" s="2">
        <v>316235.64</v>
      </c>
      <c r="G205" s="2">
        <v>14332.82</v>
      </c>
      <c r="H205" s="2">
        <v>14332.82</v>
      </c>
      <c r="I205" s="2">
        <v>28665.63</v>
      </c>
      <c r="J205" s="2">
        <v>61754.07</v>
      </c>
      <c r="K205" s="2">
        <v>30877.03</v>
      </c>
      <c r="L205" s="2">
        <v>92631.1</v>
      </c>
      <c r="M205" s="2">
        <v>0</v>
      </c>
      <c r="N205" s="2">
        <v>0</v>
      </c>
      <c r="O205" s="2">
        <v>0</v>
      </c>
      <c r="P205" s="2">
        <f t="shared" ref="P205:P268" si="3">F205+I205+L205+O205</f>
        <v>437532.37</v>
      </c>
    </row>
    <row r="206" spans="1:16" x14ac:dyDescent="0.3">
      <c r="A206">
        <v>44016</v>
      </c>
      <c r="B206" t="s">
        <v>281</v>
      </c>
      <c r="C206" t="s">
        <v>185</v>
      </c>
      <c r="D206" s="2">
        <v>1192898.5900000001</v>
      </c>
      <c r="E206" s="2">
        <v>1192898.5900000001</v>
      </c>
      <c r="F206" s="2">
        <v>2385797.1800000002</v>
      </c>
      <c r="G206" s="2">
        <v>47844.44</v>
      </c>
      <c r="H206" s="2">
        <v>47844.44</v>
      </c>
      <c r="I206" s="2">
        <v>95688.89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f t="shared" si="3"/>
        <v>2481486.0700000003</v>
      </c>
    </row>
    <row r="207" spans="1:16" x14ac:dyDescent="0.3">
      <c r="A207">
        <v>50492</v>
      </c>
      <c r="B207" t="s">
        <v>282</v>
      </c>
      <c r="C207" t="s">
        <v>81</v>
      </c>
      <c r="D207" s="2">
        <v>0</v>
      </c>
      <c r="E207" s="2">
        <v>0</v>
      </c>
      <c r="F207" s="2">
        <v>0</v>
      </c>
      <c r="G207" s="2">
        <v>583.95000000000005</v>
      </c>
      <c r="H207" s="2">
        <v>583.95000000000005</v>
      </c>
      <c r="I207" s="2">
        <v>1167.9000000000001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f t="shared" si="3"/>
        <v>1167.9000000000001</v>
      </c>
    </row>
    <row r="208" spans="1:16" x14ac:dyDescent="0.3">
      <c r="A208">
        <v>46961</v>
      </c>
      <c r="B208" t="s">
        <v>283</v>
      </c>
      <c r="C208" t="s">
        <v>97</v>
      </c>
      <c r="D208" s="2">
        <v>1840163.03</v>
      </c>
      <c r="E208" s="2">
        <v>1840163.03</v>
      </c>
      <c r="F208" s="2">
        <v>3680326.06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f t="shared" si="3"/>
        <v>3680326.06</v>
      </c>
    </row>
    <row r="209" spans="1:16" x14ac:dyDescent="0.3">
      <c r="A209">
        <v>44024</v>
      </c>
      <c r="B209" t="s">
        <v>284</v>
      </c>
      <c r="C209" t="s">
        <v>130</v>
      </c>
      <c r="D209" s="2">
        <v>320720.89</v>
      </c>
      <c r="E209" s="2">
        <v>320720.89</v>
      </c>
      <c r="F209" s="2">
        <v>641441.78</v>
      </c>
      <c r="G209" s="2">
        <v>0</v>
      </c>
      <c r="H209" s="2">
        <v>0</v>
      </c>
      <c r="I209" s="2">
        <v>0</v>
      </c>
      <c r="J209" s="2">
        <v>64590.82</v>
      </c>
      <c r="K209" s="2">
        <v>30095.45</v>
      </c>
      <c r="L209" s="2">
        <v>94686.27</v>
      </c>
      <c r="M209" s="2">
        <v>0</v>
      </c>
      <c r="N209" s="2">
        <v>0</v>
      </c>
      <c r="O209" s="2">
        <v>0</v>
      </c>
      <c r="P209" s="2">
        <f t="shared" si="3"/>
        <v>736128.05</v>
      </c>
    </row>
    <row r="210" spans="1:16" x14ac:dyDescent="0.3">
      <c r="A210">
        <v>65680</v>
      </c>
      <c r="B210" t="s">
        <v>285</v>
      </c>
      <c r="C210" t="s">
        <v>286</v>
      </c>
      <c r="D210" s="2">
        <v>0</v>
      </c>
      <c r="E210" s="2">
        <v>0</v>
      </c>
      <c r="F210" s="2">
        <v>0</v>
      </c>
      <c r="G210" s="2">
        <v>9123.39</v>
      </c>
      <c r="H210" s="2">
        <v>9123.39</v>
      </c>
      <c r="I210" s="2">
        <v>18246.79</v>
      </c>
      <c r="J210" s="2">
        <v>0</v>
      </c>
      <c r="K210" s="2">
        <v>0</v>
      </c>
      <c r="L210" s="2">
        <v>0</v>
      </c>
      <c r="M210" s="2">
        <v>4257.59</v>
      </c>
      <c r="N210" s="2">
        <v>4257.59</v>
      </c>
      <c r="O210" s="2">
        <v>8515.17</v>
      </c>
      <c r="P210" s="2">
        <f t="shared" si="3"/>
        <v>26761.96</v>
      </c>
    </row>
    <row r="211" spans="1:16" x14ac:dyDescent="0.3">
      <c r="A211">
        <v>44032</v>
      </c>
      <c r="B211" t="s">
        <v>287</v>
      </c>
      <c r="C211" t="s">
        <v>286</v>
      </c>
      <c r="D211" s="2">
        <v>20945.36</v>
      </c>
      <c r="E211" s="2">
        <v>20945.36</v>
      </c>
      <c r="F211" s="2">
        <v>41890.720000000001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f t="shared" si="3"/>
        <v>41890.720000000001</v>
      </c>
    </row>
    <row r="212" spans="1:16" x14ac:dyDescent="0.3">
      <c r="A212">
        <v>50278</v>
      </c>
      <c r="B212" t="s">
        <v>288</v>
      </c>
      <c r="C212" t="s">
        <v>175</v>
      </c>
      <c r="D212" s="2">
        <v>371951.18</v>
      </c>
      <c r="E212" s="2">
        <v>371951.18</v>
      </c>
      <c r="F212" s="2">
        <v>743902.36</v>
      </c>
      <c r="G212" s="2">
        <v>18185.04</v>
      </c>
      <c r="H212" s="2">
        <v>18185.04</v>
      </c>
      <c r="I212" s="2">
        <v>36370.089999999997</v>
      </c>
      <c r="J212" s="2">
        <v>98743.83</v>
      </c>
      <c r="K212" s="2">
        <v>49371.91</v>
      </c>
      <c r="L212" s="2">
        <v>148115.74</v>
      </c>
      <c r="M212" s="2">
        <v>0</v>
      </c>
      <c r="N212" s="2">
        <v>0</v>
      </c>
      <c r="O212" s="2">
        <v>0</v>
      </c>
      <c r="P212" s="2">
        <f t="shared" si="3"/>
        <v>928388.19</v>
      </c>
    </row>
    <row r="213" spans="1:16" x14ac:dyDescent="0.3">
      <c r="A213">
        <v>44040</v>
      </c>
      <c r="B213" t="s">
        <v>289</v>
      </c>
      <c r="C213" t="s">
        <v>68</v>
      </c>
      <c r="D213" s="2">
        <v>60875.81</v>
      </c>
      <c r="E213" s="2">
        <v>60875.81</v>
      </c>
      <c r="F213" s="2">
        <v>121751.62</v>
      </c>
      <c r="G213" s="2">
        <v>16991.57</v>
      </c>
      <c r="H213" s="2">
        <v>16991.57</v>
      </c>
      <c r="I213" s="2">
        <v>33983.15</v>
      </c>
      <c r="J213" s="2">
        <v>282546.45</v>
      </c>
      <c r="K213" s="2">
        <v>141273.22</v>
      </c>
      <c r="L213" s="2">
        <v>423819.67</v>
      </c>
      <c r="M213" s="2">
        <v>0</v>
      </c>
      <c r="N213" s="2">
        <v>0</v>
      </c>
      <c r="O213" s="2">
        <v>0</v>
      </c>
      <c r="P213" s="2">
        <f t="shared" si="3"/>
        <v>579554.43999999994</v>
      </c>
    </row>
    <row r="214" spans="1:16" x14ac:dyDescent="0.3">
      <c r="A214">
        <v>44057</v>
      </c>
      <c r="B214" t="s">
        <v>290</v>
      </c>
      <c r="C214" t="s">
        <v>51</v>
      </c>
      <c r="D214" s="2">
        <v>165910.37</v>
      </c>
      <c r="E214" s="2">
        <v>165910.37</v>
      </c>
      <c r="F214" s="2">
        <v>331820.74</v>
      </c>
      <c r="G214" s="2">
        <v>5152.3100000000004</v>
      </c>
      <c r="H214" s="2">
        <v>5152.3100000000004</v>
      </c>
      <c r="I214" s="2">
        <v>10304.620000000001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f t="shared" si="3"/>
        <v>342125.36</v>
      </c>
    </row>
    <row r="215" spans="1:16" x14ac:dyDescent="0.3">
      <c r="A215">
        <v>48942</v>
      </c>
      <c r="B215" t="s">
        <v>291</v>
      </c>
      <c r="C215" t="s">
        <v>84</v>
      </c>
      <c r="D215" s="2">
        <v>197966.01</v>
      </c>
      <c r="E215" s="2">
        <v>197966.01</v>
      </c>
      <c r="F215" s="2">
        <v>395932.02</v>
      </c>
      <c r="G215" s="2">
        <v>13273.34</v>
      </c>
      <c r="H215" s="2">
        <v>13273.34</v>
      </c>
      <c r="I215" s="2">
        <v>26546.68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f t="shared" si="3"/>
        <v>422478.7</v>
      </c>
    </row>
    <row r="216" spans="1:16" x14ac:dyDescent="0.3">
      <c r="A216">
        <v>45377</v>
      </c>
      <c r="B216" t="s">
        <v>292</v>
      </c>
      <c r="C216" t="s">
        <v>235</v>
      </c>
      <c r="D216" s="2">
        <v>0</v>
      </c>
      <c r="E216" s="2">
        <v>0</v>
      </c>
      <c r="F216" s="2">
        <v>0</v>
      </c>
      <c r="G216" s="2">
        <v>902.57</v>
      </c>
      <c r="H216" s="2">
        <v>902.57</v>
      </c>
      <c r="I216" s="2">
        <v>1805.14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f t="shared" si="3"/>
        <v>1805.14</v>
      </c>
    </row>
    <row r="217" spans="1:16" x14ac:dyDescent="0.3">
      <c r="A217">
        <v>45385</v>
      </c>
      <c r="B217" t="s">
        <v>293</v>
      </c>
      <c r="C217" t="s">
        <v>185</v>
      </c>
      <c r="D217" s="2">
        <v>0</v>
      </c>
      <c r="E217" s="2">
        <v>0</v>
      </c>
      <c r="F217" s="2">
        <v>0</v>
      </c>
      <c r="G217" s="2">
        <v>2471.0700000000002</v>
      </c>
      <c r="H217" s="2">
        <v>2471.0700000000002</v>
      </c>
      <c r="I217" s="2">
        <v>4942.13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f t="shared" si="3"/>
        <v>4942.13</v>
      </c>
    </row>
    <row r="218" spans="1:16" x14ac:dyDescent="0.3">
      <c r="A218">
        <v>44065</v>
      </c>
      <c r="B218" t="s">
        <v>294</v>
      </c>
      <c r="C218" t="s">
        <v>108</v>
      </c>
      <c r="D218" s="2">
        <v>90651.67</v>
      </c>
      <c r="E218" s="2">
        <v>90651.67</v>
      </c>
      <c r="F218" s="2">
        <v>181303.34</v>
      </c>
      <c r="G218" s="2">
        <v>5061.6899999999996</v>
      </c>
      <c r="H218" s="2">
        <v>5061.6899999999996</v>
      </c>
      <c r="I218" s="2">
        <v>10123.379999999999</v>
      </c>
      <c r="J218" s="2">
        <v>23907.17</v>
      </c>
      <c r="K218" s="2">
        <v>11953.58</v>
      </c>
      <c r="L218" s="2">
        <v>35860.75</v>
      </c>
      <c r="M218" s="2">
        <v>0</v>
      </c>
      <c r="N218" s="2">
        <v>0</v>
      </c>
      <c r="O218" s="2">
        <v>0</v>
      </c>
      <c r="P218" s="2">
        <f t="shared" si="3"/>
        <v>227287.47</v>
      </c>
    </row>
    <row r="219" spans="1:16" x14ac:dyDescent="0.3">
      <c r="A219">
        <v>46342</v>
      </c>
      <c r="B219" t="s">
        <v>295</v>
      </c>
      <c r="C219" t="s">
        <v>65</v>
      </c>
      <c r="D219" s="2">
        <v>0</v>
      </c>
      <c r="E219" s="2">
        <v>0</v>
      </c>
      <c r="F219" s="2">
        <v>0</v>
      </c>
      <c r="G219" s="2">
        <v>1707.86</v>
      </c>
      <c r="H219" s="2">
        <v>1707.86</v>
      </c>
      <c r="I219" s="2">
        <v>3415.71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f t="shared" si="3"/>
        <v>3415.71</v>
      </c>
    </row>
    <row r="220" spans="1:16" x14ac:dyDescent="0.3">
      <c r="A220">
        <v>46193</v>
      </c>
      <c r="B220" t="s">
        <v>296</v>
      </c>
      <c r="C220" t="s">
        <v>297</v>
      </c>
      <c r="D220" s="2">
        <v>0</v>
      </c>
      <c r="E220" s="2">
        <v>0</v>
      </c>
      <c r="F220" s="2">
        <v>0</v>
      </c>
      <c r="G220" s="2">
        <v>29360.59</v>
      </c>
      <c r="H220" s="2">
        <v>29360.59</v>
      </c>
      <c r="I220" s="2">
        <v>58721.18</v>
      </c>
      <c r="J220" s="2">
        <v>54022.57</v>
      </c>
      <c r="K220" s="2">
        <v>27011.279999999999</v>
      </c>
      <c r="L220" s="2">
        <v>81033.850000000006</v>
      </c>
      <c r="M220" s="2">
        <v>0</v>
      </c>
      <c r="N220" s="2">
        <v>0</v>
      </c>
      <c r="O220" s="2">
        <v>0</v>
      </c>
      <c r="P220" s="2">
        <f t="shared" si="3"/>
        <v>139755.03</v>
      </c>
    </row>
    <row r="221" spans="1:16" x14ac:dyDescent="0.3">
      <c r="A221">
        <v>45864</v>
      </c>
      <c r="B221" t="s">
        <v>298</v>
      </c>
      <c r="C221" t="s">
        <v>51</v>
      </c>
      <c r="D221" s="2">
        <v>77839.72</v>
      </c>
      <c r="E221" s="2">
        <v>77839.72</v>
      </c>
      <c r="F221" s="2">
        <v>155679.44</v>
      </c>
      <c r="G221" s="2">
        <v>13115.19</v>
      </c>
      <c r="H221" s="2">
        <v>13115.19</v>
      </c>
      <c r="I221" s="2">
        <v>26230.39</v>
      </c>
      <c r="J221" s="2">
        <v>42869.62</v>
      </c>
      <c r="K221" s="2">
        <v>21434.81</v>
      </c>
      <c r="L221" s="2">
        <v>64304.43</v>
      </c>
      <c r="M221" s="2">
        <v>0</v>
      </c>
      <c r="N221" s="2">
        <v>0</v>
      </c>
      <c r="O221" s="2">
        <v>0</v>
      </c>
      <c r="P221" s="2">
        <f t="shared" si="3"/>
        <v>246214.26</v>
      </c>
    </row>
    <row r="222" spans="1:16" x14ac:dyDescent="0.3">
      <c r="A222">
        <v>44073</v>
      </c>
      <c r="B222" t="s">
        <v>299</v>
      </c>
      <c r="C222" t="s">
        <v>97</v>
      </c>
      <c r="D222" s="2">
        <v>573692.78</v>
      </c>
      <c r="E222" s="2">
        <v>573692.78</v>
      </c>
      <c r="F222" s="2">
        <v>1147385.56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f t="shared" si="3"/>
        <v>1147385.56</v>
      </c>
    </row>
    <row r="223" spans="1:16" x14ac:dyDescent="0.3">
      <c r="A223">
        <v>45393</v>
      </c>
      <c r="B223" t="s">
        <v>300</v>
      </c>
      <c r="C223" t="s">
        <v>301</v>
      </c>
      <c r="D223" s="2">
        <v>177637.41</v>
      </c>
      <c r="E223" s="2">
        <v>177637.41</v>
      </c>
      <c r="F223" s="2">
        <v>355274.82</v>
      </c>
      <c r="G223" s="2">
        <v>10359.09</v>
      </c>
      <c r="H223" s="2">
        <v>10359.09</v>
      </c>
      <c r="I223" s="2">
        <v>20718.169999999998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f t="shared" si="3"/>
        <v>375992.99</v>
      </c>
    </row>
    <row r="224" spans="1:16" x14ac:dyDescent="0.3">
      <c r="A224">
        <v>49619</v>
      </c>
      <c r="B224" t="s">
        <v>302</v>
      </c>
      <c r="C224" t="s">
        <v>106</v>
      </c>
      <c r="D224" s="2">
        <v>53884.23</v>
      </c>
      <c r="E224" s="2">
        <v>53884.23</v>
      </c>
      <c r="F224" s="2">
        <v>107768.46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f t="shared" si="3"/>
        <v>107768.46</v>
      </c>
    </row>
    <row r="225" spans="1:16" x14ac:dyDescent="0.3">
      <c r="A225">
        <v>50013</v>
      </c>
      <c r="B225" t="s">
        <v>302</v>
      </c>
      <c r="C225" t="s">
        <v>23</v>
      </c>
      <c r="D225" s="2">
        <v>228819.56</v>
      </c>
      <c r="E225" s="2">
        <v>228819.56</v>
      </c>
      <c r="F225" s="2">
        <v>457639.12</v>
      </c>
      <c r="G225" s="2">
        <v>73912.02</v>
      </c>
      <c r="H225" s="2">
        <v>73912.02</v>
      </c>
      <c r="I225" s="2">
        <v>147824.04999999999</v>
      </c>
      <c r="J225" s="2">
        <v>70775.97</v>
      </c>
      <c r="K225" s="2">
        <v>35387.980000000003</v>
      </c>
      <c r="L225" s="2">
        <v>106163.95</v>
      </c>
      <c r="M225" s="2">
        <v>0</v>
      </c>
      <c r="N225" s="2">
        <v>0</v>
      </c>
      <c r="O225" s="2">
        <v>0</v>
      </c>
      <c r="P225" s="2">
        <f t="shared" si="3"/>
        <v>711627.11999999988</v>
      </c>
    </row>
    <row r="226" spans="1:16" x14ac:dyDescent="0.3">
      <c r="A226">
        <v>50559</v>
      </c>
      <c r="B226" t="s">
        <v>302</v>
      </c>
      <c r="C226" t="s">
        <v>166</v>
      </c>
      <c r="D226" s="2">
        <v>39322.300000000003</v>
      </c>
      <c r="E226" s="2">
        <v>39322.300000000003</v>
      </c>
      <c r="F226" s="2">
        <v>78644.600000000006</v>
      </c>
      <c r="G226" s="2">
        <v>4586</v>
      </c>
      <c r="H226" s="2">
        <v>4586</v>
      </c>
      <c r="I226" s="2">
        <v>9172.01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f t="shared" si="3"/>
        <v>87816.61</v>
      </c>
    </row>
    <row r="227" spans="1:16" x14ac:dyDescent="0.3">
      <c r="A227">
        <v>47266</v>
      </c>
      <c r="B227" t="s">
        <v>303</v>
      </c>
      <c r="C227" t="s">
        <v>73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f t="shared" si="3"/>
        <v>0</v>
      </c>
    </row>
    <row r="228" spans="1:16" x14ac:dyDescent="0.3">
      <c r="A228">
        <v>45401</v>
      </c>
      <c r="B228" t="s">
        <v>304</v>
      </c>
      <c r="C228" t="s">
        <v>118</v>
      </c>
      <c r="D228" s="2">
        <v>0</v>
      </c>
      <c r="E228" s="2">
        <v>0</v>
      </c>
      <c r="F228" s="2">
        <v>0</v>
      </c>
      <c r="G228" s="2">
        <v>1623.02</v>
      </c>
      <c r="H228" s="2">
        <v>1623.02</v>
      </c>
      <c r="I228" s="2">
        <v>3246.03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f t="shared" si="3"/>
        <v>3246.03</v>
      </c>
    </row>
    <row r="229" spans="1:16" x14ac:dyDescent="0.3">
      <c r="A229">
        <v>46235</v>
      </c>
      <c r="B229" t="s">
        <v>305</v>
      </c>
      <c r="C229" t="s">
        <v>172</v>
      </c>
      <c r="D229" s="2">
        <v>106157.2</v>
      </c>
      <c r="E229" s="2">
        <v>89331.24</v>
      </c>
      <c r="F229" s="2">
        <v>195488.44</v>
      </c>
      <c r="G229" s="2">
        <v>15524.79</v>
      </c>
      <c r="H229" s="2">
        <v>15524.79</v>
      </c>
      <c r="I229" s="2">
        <v>31049.57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f t="shared" si="3"/>
        <v>226538.01</v>
      </c>
    </row>
    <row r="230" spans="1:16" x14ac:dyDescent="0.3">
      <c r="A230">
        <v>44099</v>
      </c>
      <c r="B230" t="s">
        <v>306</v>
      </c>
      <c r="C230" t="s">
        <v>37</v>
      </c>
      <c r="D230" s="2">
        <v>522990.24</v>
      </c>
      <c r="E230" s="2">
        <v>522990.24</v>
      </c>
      <c r="F230" s="2">
        <v>1045980.48</v>
      </c>
      <c r="G230" s="2">
        <v>41854.6</v>
      </c>
      <c r="H230" s="2">
        <v>41854.6</v>
      </c>
      <c r="I230" s="2">
        <v>83709.2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f t="shared" si="3"/>
        <v>1129689.68</v>
      </c>
    </row>
    <row r="231" spans="1:16" x14ac:dyDescent="0.3">
      <c r="A231">
        <v>46979</v>
      </c>
      <c r="B231" t="s">
        <v>307</v>
      </c>
      <c r="C231" t="s">
        <v>97</v>
      </c>
      <c r="D231" s="2">
        <v>964242.68</v>
      </c>
      <c r="E231" s="2">
        <v>964242.68</v>
      </c>
      <c r="F231" s="2">
        <v>1928485.36</v>
      </c>
      <c r="G231" s="2">
        <v>53951.9</v>
      </c>
      <c r="H231" s="2">
        <v>53951.9</v>
      </c>
      <c r="I231" s="2">
        <v>107903.81</v>
      </c>
      <c r="J231" s="2">
        <v>171802.35</v>
      </c>
      <c r="K231" s="2">
        <v>85901.18</v>
      </c>
      <c r="L231" s="2">
        <v>257703.53</v>
      </c>
      <c r="M231" s="2">
        <v>0</v>
      </c>
      <c r="N231" s="2">
        <v>0</v>
      </c>
      <c r="O231" s="2">
        <v>0</v>
      </c>
      <c r="P231" s="2">
        <f t="shared" si="3"/>
        <v>2294092.7000000002</v>
      </c>
    </row>
    <row r="232" spans="1:16" x14ac:dyDescent="0.3">
      <c r="A232">
        <v>44107</v>
      </c>
      <c r="B232" t="s">
        <v>308</v>
      </c>
      <c r="C232" t="s">
        <v>242</v>
      </c>
      <c r="D232" s="2">
        <v>0</v>
      </c>
      <c r="E232" s="2">
        <v>0</v>
      </c>
      <c r="F232" s="2">
        <v>0</v>
      </c>
      <c r="G232" s="2">
        <v>73030.880000000005</v>
      </c>
      <c r="H232" s="2">
        <v>73030.880000000005</v>
      </c>
      <c r="I232" s="2">
        <v>146061.76999999999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f t="shared" si="3"/>
        <v>146061.76999999999</v>
      </c>
    </row>
    <row r="233" spans="1:16" x14ac:dyDescent="0.3">
      <c r="A233">
        <v>46953</v>
      </c>
      <c r="B233" t="s">
        <v>309</v>
      </c>
      <c r="C233" t="s">
        <v>97</v>
      </c>
      <c r="D233" s="2">
        <v>498025.17</v>
      </c>
      <c r="E233" s="2">
        <v>498025.17</v>
      </c>
      <c r="F233" s="2">
        <v>996050.34</v>
      </c>
      <c r="G233" s="2">
        <v>37966.129999999997</v>
      </c>
      <c r="H233" s="2">
        <v>37966.129999999997</v>
      </c>
      <c r="I233" s="2">
        <v>75932.27</v>
      </c>
      <c r="J233" s="2">
        <v>104408.6</v>
      </c>
      <c r="K233" s="2">
        <v>52204.3</v>
      </c>
      <c r="L233" s="2">
        <v>156612.9</v>
      </c>
      <c r="M233" s="2">
        <v>0</v>
      </c>
      <c r="N233" s="2">
        <v>0</v>
      </c>
      <c r="O233" s="2">
        <v>0</v>
      </c>
      <c r="P233" s="2">
        <f t="shared" si="3"/>
        <v>1228595.5099999998</v>
      </c>
    </row>
    <row r="234" spans="1:16" x14ac:dyDescent="0.3">
      <c r="A234">
        <v>47498</v>
      </c>
      <c r="B234" t="s">
        <v>310</v>
      </c>
      <c r="C234" t="s">
        <v>19</v>
      </c>
      <c r="D234" s="2">
        <v>0</v>
      </c>
      <c r="E234" s="2">
        <v>0</v>
      </c>
      <c r="F234" s="2">
        <v>0</v>
      </c>
      <c r="G234" s="2">
        <v>2325.5</v>
      </c>
      <c r="H234" s="2">
        <v>2325.5</v>
      </c>
      <c r="I234" s="2">
        <v>4651.01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f t="shared" si="3"/>
        <v>4651.01</v>
      </c>
    </row>
    <row r="235" spans="1:16" x14ac:dyDescent="0.3">
      <c r="A235">
        <v>49791</v>
      </c>
      <c r="B235" t="s">
        <v>311</v>
      </c>
      <c r="C235" t="s">
        <v>35</v>
      </c>
      <c r="D235" s="2">
        <v>4596.0600000000004</v>
      </c>
      <c r="E235" s="2">
        <v>4596.0600000000004</v>
      </c>
      <c r="F235" s="2">
        <v>9192.1200000000008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f t="shared" si="3"/>
        <v>9192.1200000000008</v>
      </c>
    </row>
    <row r="236" spans="1:16" x14ac:dyDescent="0.3">
      <c r="A236">
        <v>45245</v>
      </c>
      <c r="B236" t="s">
        <v>312</v>
      </c>
      <c r="C236" t="s">
        <v>197</v>
      </c>
      <c r="D236" s="2">
        <v>133639.35</v>
      </c>
      <c r="E236" s="2">
        <v>133639.35</v>
      </c>
      <c r="F236" s="2">
        <v>267278.7</v>
      </c>
      <c r="G236" s="2">
        <v>18786.689999999999</v>
      </c>
      <c r="H236" s="2">
        <v>18786.689999999999</v>
      </c>
      <c r="I236" s="2">
        <v>37573.379999999997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f t="shared" si="3"/>
        <v>304852.08</v>
      </c>
    </row>
    <row r="237" spans="1:16" x14ac:dyDescent="0.3">
      <c r="A237">
        <v>44115</v>
      </c>
      <c r="B237" t="s">
        <v>313</v>
      </c>
      <c r="C237" t="s">
        <v>301</v>
      </c>
      <c r="D237" s="2">
        <v>377477.93</v>
      </c>
      <c r="E237" s="2">
        <v>377477.93</v>
      </c>
      <c r="F237" s="2">
        <v>754955.86</v>
      </c>
      <c r="G237" s="2">
        <v>14889.86</v>
      </c>
      <c r="H237" s="2">
        <v>14889.86</v>
      </c>
      <c r="I237" s="2">
        <v>29779.71</v>
      </c>
      <c r="J237" s="2">
        <v>154565.89000000001</v>
      </c>
      <c r="K237" s="2">
        <v>77282.94</v>
      </c>
      <c r="L237" s="2">
        <v>231848.83</v>
      </c>
      <c r="M237" s="2">
        <v>0</v>
      </c>
      <c r="N237" s="2">
        <v>0</v>
      </c>
      <c r="O237" s="2">
        <v>0</v>
      </c>
      <c r="P237" s="2">
        <f t="shared" si="3"/>
        <v>1016584.3999999999</v>
      </c>
    </row>
    <row r="238" spans="1:16" x14ac:dyDescent="0.3">
      <c r="A238">
        <v>45419</v>
      </c>
      <c r="B238" t="s">
        <v>314</v>
      </c>
      <c r="C238" t="s">
        <v>60</v>
      </c>
      <c r="D238" s="2">
        <v>25642.97</v>
      </c>
      <c r="E238" s="2">
        <v>25642.97</v>
      </c>
      <c r="F238" s="2">
        <v>51285.94</v>
      </c>
      <c r="G238" s="2">
        <v>10472.06</v>
      </c>
      <c r="H238" s="2">
        <v>10472.06</v>
      </c>
      <c r="I238" s="2">
        <v>20944.12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f t="shared" si="3"/>
        <v>72230.06</v>
      </c>
    </row>
    <row r="239" spans="1:16" x14ac:dyDescent="0.3">
      <c r="A239">
        <v>48496</v>
      </c>
      <c r="B239" t="s">
        <v>315</v>
      </c>
      <c r="C239" t="s">
        <v>101</v>
      </c>
      <c r="D239" s="2">
        <v>381883.69</v>
      </c>
      <c r="E239" s="2">
        <v>381883.69</v>
      </c>
      <c r="F239" s="2">
        <v>763767.38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f t="shared" si="3"/>
        <v>763767.38</v>
      </c>
    </row>
    <row r="240" spans="1:16" x14ac:dyDescent="0.3">
      <c r="A240">
        <v>48801</v>
      </c>
      <c r="B240" t="s">
        <v>315</v>
      </c>
      <c r="C240" t="s">
        <v>146</v>
      </c>
      <c r="D240" s="2">
        <v>0</v>
      </c>
      <c r="E240" s="2">
        <v>0</v>
      </c>
      <c r="F240" s="2">
        <v>0</v>
      </c>
      <c r="G240" s="2">
        <v>1680.06</v>
      </c>
      <c r="H240" s="2">
        <v>1680.06</v>
      </c>
      <c r="I240" s="2">
        <v>3360.13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f t="shared" si="3"/>
        <v>3360.13</v>
      </c>
    </row>
    <row r="241" spans="1:16" x14ac:dyDescent="0.3">
      <c r="A241">
        <v>47019</v>
      </c>
      <c r="B241" t="s">
        <v>316</v>
      </c>
      <c r="C241" t="s">
        <v>97</v>
      </c>
      <c r="D241" s="2">
        <v>4519368.8899999997</v>
      </c>
      <c r="E241" s="2">
        <v>4519368.8899999997</v>
      </c>
      <c r="F241" s="2">
        <v>9038737.7799999993</v>
      </c>
      <c r="G241" s="2">
        <v>0</v>
      </c>
      <c r="H241" s="2">
        <v>0</v>
      </c>
      <c r="I241" s="2">
        <v>0</v>
      </c>
      <c r="J241" s="2">
        <v>138657.76999999999</v>
      </c>
      <c r="K241" s="2">
        <v>69328.88</v>
      </c>
      <c r="L241" s="2">
        <v>207986.65</v>
      </c>
      <c r="M241" s="2">
        <v>0</v>
      </c>
      <c r="N241" s="2">
        <v>0</v>
      </c>
      <c r="O241" s="2">
        <v>0</v>
      </c>
      <c r="P241" s="2">
        <f t="shared" si="3"/>
        <v>9246724.4299999997</v>
      </c>
    </row>
    <row r="242" spans="1:16" x14ac:dyDescent="0.3">
      <c r="A242">
        <v>44123</v>
      </c>
      <c r="B242" t="s">
        <v>317</v>
      </c>
      <c r="C242" t="s">
        <v>118</v>
      </c>
      <c r="D242" s="2">
        <v>0</v>
      </c>
      <c r="E242" s="2">
        <v>0</v>
      </c>
      <c r="F242" s="2">
        <v>0</v>
      </c>
      <c r="G242" s="2">
        <v>5074.3999999999996</v>
      </c>
      <c r="H242" s="2">
        <v>5074.3999999999996</v>
      </c>
      <c r="I242" s="2">
        <v>10148.790000000001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f t="shared" si="3"/>
        <v>10148.790000000001</v>
      </c>
    </row>
    <row r="243" spans="1:16" x14ac:dyDescent="0.3">
      <c r="A243">
        <v>45823</v>
      </c>
      <c r="B243" t="s">
        <v>318</v>
      </c>
      <c r="C243" t="s">
        <v>49</v>
      </c>
      <c r="D243" s="2">
        <v>65061.32</v>
      </c>
      <c r="E243" s="2">
        <v>65061.32</v>
      </c>
      <c r="F243" s="2">
        <v>130122.64</v>
      </c>
      <c r="G243" s="2">
        <v>5837.89</v>
      </c>
      <c r="H243" s="2">
        <v>5837.89</v>
      </c>
      <c r="I243" s="2">
        <v>11675.78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f t="shared" si="3"/>
        <v>141798.42000000001</v>
      </c>
    </row>
    <row r="244" spans="1:16" x14ac:dyDescent="0.3">
      <c r="A244">
        <v>47571</v>
      </c>
      <c r="B244" t="s">
        <v>319</v>
      </c>
      <c r="C244" t="s">
        <v>320</v>
      </c>
      <c r="D244" s="2">
        <v>0</v>
      </c>
      <c r="E244" s="2">
        <v>0</v>
      </c>
      <c r="F244" s="2">
        <v>0</v>
      </c>
      <c r="G244" s="2">
        <v>1893.54</v>
      </c>
      <c r="H244" s="2">
        <v>1893.54</v>
      </c>
      <c r="I244" s="2">
        <v>3787.09</v>
      </c>
      <c r="J244" s="2">
        <v>6153.43</v>
      </c>
      <c r="K244" s="2">
        <v>3076.71</v>
      </c>
      <c r="L244" s="2">
        <v>9230.14</v>
      </c>
      <c r="M244" s="2">
        <v>0</v>
      </c>
      <c r="N244" s="2">
        <v>0</v>
      </c>
      <c r="O244" s="2">
        <v>0</v>
      </c>
      <c r="P244" s="2">
        <f t="shared" si="3"/>
        <v>13017.23</v>
      </c>
    </row>
    <row r="245" spans="1:16" x14ac:dyDescent="0.3">
      <c r="A245">
        <v>49700</v>
      </c>
      <c r="B245" t="s">
        <v>321</v>
      </c>
      <c r="C245" t="s">
        <v>95</v>
      </c>
      <c r="D245" s="2">
        <v>179304.92</v>
      </c>
      <c r="E245" s="2">
        <v>179304.92</v>
      </c>
      <c r="F245" s="2">
        <v>358609.84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f t="shared" si="3"/>
        <v>358609.84</v>
      </c>
    </row>
    <row r="246" spans="1:16" x14ac:dyDescent="0.3">
      <c r="A246">
        <v>50161</v>
      </c>
      <c r="B246" t="s">
        <v>322</v>
      </c>
      <c r="C246" t="s">
        <v>108</v>
      </c>
      <c r="D246" s="2">
        <v>1227714.28</v>
      </c>
      <c r="E246" s="2">
        <v>1227714.28</v>
      </c>
      <c r="F246" s="2">
        <v>2455428.56</v>
      </c>
      <c r="G246" s="2">
        <v>37650.57</v>
      </c>
      <c r="H246" s="2">
        <v>37650.57</v>
      </c>
      <c r="I246" s="2">
        <v>75301.13</v>
      </c>
      <c r="J246" s="2">
        <v>698550.71</v>
      </c>
      <c r="K246" s="2">
        <v>349275.36</v>
      </c>
      <c r="L246" s="2">
        <v>1047826.07</v>
      </c>
      <c r="M246" s="2">
        <v>0</v>
      </c>
      <c r="N246" s="2">
        <v>0</v>
      </c>
      <c r="O246" s="2">
        <v>0</v>
      </c>
      <c r="P246" s="2">
        <f t="shared" si="3"/>
        <v>3578555.76</v>
      </c>
    </row>
    <row r="247" spans="1:16" x14ac:dyDescent="0.3">
      <c r="A247">
        <v>45427</v>
      </c>
      <c r="B247" t="s">
        <v>323</v>
      </c>
      <c r="C247" t="s">
        <v>108</v>
      </c>
      <c r="D247" s="2">
        <v>193334.8</v>
      </c>
      <c r="E247" s="2">
        <v>193334.8</v>
      </c>
      <c r="F247" s="2">
        <v>386669.6</v>
      </c>
      <c r="G247" s="2">
        <v>0</v>
      </c>
      <c r="H247" s="2">
        <v>0</v>
      </c>
      <c r="I247" s="2">
        <v>0</v>
      </c>
      <c r="J247" s="2">
        <v>77292.83</v>
      </c>
      <c r="K247" s="2">
        <v>38646.410000000003</v>
      </c>
      <c r="L247" s="2">
        <v>115939.24</v>
      </c>
      <c r="M247" s="2">
        <v>0</v>
      </c>
      <c r="N247" s="2">
        <v>0</v>
      </c>
      <c r="O247" s="2">
        <v>0</v>
      </c>
      <c r="P247" s="2">
        <f t="shared" si="3"/>
        <v>502608.83999999997</v>
      </c>
    </row>
    <row r="248" spans="1:16" x14ac:dyDescent="0.3">
      <c r="A248">
        <v>48751</v>
      </c>
      <c r="B248" t="s">
        <v>324</v>
      </c>
      <c r="C248" t="s">
        <v>123</v>
      </c>
      <c r="D248" s="2">
        <v>335861.11</v>
      </c>
      <c r="E248" s="2">
        <v>335861.11</v>
      </c>
      <c r="F248" s="2">
        <v>671722.22</v>
      </c>
      <c r="G248" s="2">
        <v>14340.49</v>
      </c>
      <c r="H248" s="2">
        <v>14340.49</v>
      </c>
      <c r="I248" s="2">
        <v>28680.98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f t="shared" si="3"/>
        <v>700403.19999999995</v>
      </c>
    </row>
    <row r="249" spans="1:16" x14ac:dyDescent="0.3">
      <c r="A249">
        <v>50021</v>
      </c>
      <c r="B249" t="s">
        <v>325</v>
      </c>
      <c r="C249" t="s">
        <v>23</v>
      </c>
      <c r="D249" s="2">
        <v>1478358.86</v>
      </c>
      <c r="E249" s="2">
        <v>1478358.86</v>
      </c>
      <c r="F249" s="2">
        <v>2956717.72</v>
      </c>
      <c r="G249" s="2">
        <v>29969.95</v>
      </c>
      <c r="H249" s="2">
        <v>29969.95</v>
      </c>
      <c r="I249" s="2">
        <v>59939.9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f t="shared" si="3"/>
        <v>3016657.62</v>
      </c>
    </row>
    <row r="250" spans="1:16" x14ac:dyDescent="0.3">
      <c r="A250">
        <v>49502</v>
      </c>
      <c r="B250" t="s">
        <v>326</v>
      </c>
      <c r="C250" t="s">
        <v>21</v>
      </c>
      <c r="D250" s="2">
        <v>0</v>
      </c>
      <c r="E250" s="2">
        <v>0</v>
      </c>
      <c r="F250" s="2">
        <v>0</v>
      </c>
      <c r="G250" s="2">
        <v>275.42</v>
      </c>
      <c r="H250" s="2">
        <v>275.42</v>
      </c>
      <c r="I250" s="2">
        <v>550.83000000000004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f t="shared" si="3"/>
        <v>550.83000000000004</v>
      </c>
    </row>
    <row r="251" spans="1:16" x14ac:dyDescent="0.3">
      <c r="A251">
        <v>44131</v>
      </c>
      <c r="B251" t="s">
        <v>327</v>
      </c>
      <c r="C251" t="s">
        <v>89</v>
      </c>
      <c r="D251" s="2">
        <v>587597.80000000005</v>
      </c>
      <c r="E251" s="2">
        <v>587597.80000000005</v>
      </c>
      <c r="F251" s="2">
        <v>1175195.6000000001</v>
      </c>
      <c r="G251" s="2">
        <v>27986.13</v>
      </c>
      <c r="H251" s="2">
        <v>27986.13</v>
      </c>
      <c r="I251" s="2">
        <v>55972.26</v>
      </c>
      <c r="J251" s="2">
        <v>91655.87</v>
      </c>
      <c r="K251" s="2">
        <v>45827.93</v>
      </c>
      <c r="L251" s="2">
        <v>137483.79999999999</v>
      </c>
      <c r="M251" s="2">
        <v>0</v>
      </c>
      <c r="N251" s="2">
        <v>0</v>
      </c>
      <c r="O251" s="2">
        <v>0</v>
      </c>
      <c r="P251" s="2">
        <f t="shared" si="3"/>
        <v>1368651.6600000001</v>
      </c>
    </row>
    <row r="252" spans="1:16" x14ac:dyDescent="0.3">
      <c r="A252">
        <v>46565</v>
      </c>
      <c r="B252" t="s">
        <v>328</v>
      </c>
      <c r="C252" t="s">
        <v>68</v>
      </c>
      <c r="D252" s="2">
        <v>408177.56</v>
      </c>
      <c r="E252" s="2">
        <v>408177.56</v>
      </c>
      <c r="F252" s="2">
        <v>816355.12</v>
      </c>
      <c r="G252" s="2">
        <v>23372.14</v>
      </c>
      <c r="H252" s="2">
        <v>23372.14</v>
      </c>
      <c r="I252" s="2">
        <v>46744.27</v>
      </c>
      <c r="J252" s="2">
        <v>107583.15</v>
      </c>
      <c r="K252" s="2">
        <v>53791.57</v>
      </c>
      <c r="L252" s="2">
        <v>161374.72</v>
      </c>
      <c r="M252" s="2">
        <v>0</v>
      </c>
      <c r="N252" s="2">
        <v>0</v>
      </c>
      <c r="O252" s="2">
        <v>0</v>
      </c>
      <c r="P252" s="2">
        <f t="shared" si="3"/>
        <v>1024474.11</v>
      </c>
    </row>
    <row r="253" spans="1:16" x14ac:dyDescent="0.3">
      <c r="A253">
        <v>47803</v>
      </c>
      <c r="B253" t="s">
        <v>329</v>
      </c>
      <c r="C253" t="s">
        <v>132</v>
      </c>
      <c r="D253" s="2">
        <v>196371.4</v>
      </c>
      <c r="E253" s="2">
        <v>196371.4</v>
      </c>
      <c r="F253" s="2">
        <v>392742.8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7146.19</v>
      </c>
      <c r="N253" s="2">
        <v>7146.19</v>
      </c>
      <c r="O253" s="2">
        <v>14292.37</v>
      </c>
      <c r="P253" s="2">
        <f t="shared" si="3"/>
        <v>407035.17</v>
      </c>
    </row>
    <row r="254" spans="1:16" x14ac:dyDescent="0.3">
      <c r="A254">
        <v>45435</v>
      </c>
      <c r="B254" t="s">
        <v>330</v>
      </c>
      <c r="C254" t="s">
        <v>168</v>
      </c>
      <c r="D254" s="2">
        <v>224140.69</v>
      </c>
      <c r="E254" s="2">
        <v>224140.69</v>
      </c>
      <c r="F254" s="2">
        <v>448281.38</v>
      </c>
      <c r="G254" s="2">
        <v>11739.01</v>
      </c>
      <c r="H254" s="2">
        <v>11739.01</v>
      </c>
      <c r="I254" s="2">
        <v>23478.02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f t="shared" si="3"/>
        <v>471759.4</v>
      </c>
    </row>
    <row r="255" spans="1:16" x14ac:dyDescent="0.3">
      <c r="A255">
        <v>48082</v>
      </c>
      <c r="B255" t="s">
        <v>331</v>
      </c>
      <c r="C255" t="s">
        <v>77</v>
      </c>
      <c r="D255" s="2">
        <v>316483.21000000002</v>
      </c>
      <c r="E255" s="2">
        <v>316483.21000000002</v>
      </c>
      <c r="F255" s="2">
        <v>632966.42000000004</v>
      </c>
      <c r="G255" s="2">
        <v>0</v>
      </c>
      <c r="H255" s="2">
        <v>0</v>
      </c>
      <c r="I255" s="2">
        <v>0</v>
      </c>
      <c r="J255" s="2">
        <v>79752.17</v>
      </c>
      <c r="K255" s="2">
        <v>39876.089999999997</v>
      </c>
      <c r="L255" s="2">
        <v>119628.26</v>
      </c>
      <c r="M255" s="2">
        <v>0</v>
      </c>
      <c r="N255" s="2">
        <v>0</v>
      </c>
      <c r="O255" s="2">
        <v>0</v>
      </c>
      <c r="P255" s="2">
        <f t="shared" si="3"/>
        <v>752594.68</v>
      </c>
    </row>
    <row r="256" spans="1:16" x14ac:dyDescent="0.3">
      <c r="A256">
        <v>50286</v>
      </c>
      <c r="B256" t="s">
        <v>332</v>
      </c>
      <c r="C256" t="s">
        <v>175</v>
      </c>
      <c r="D256" s="2">
        <v>0</v>
      </c>
      <c r="E256" s="2">
        <v>0</v>
      </c>
      <c r="F256" s="2">
        <v>0</v>
      </c>
      <c r="G256" s="2">
        <v>1706.05</v>
      </c>
      <c r="H256" s="2">
        <v>1706.05</v>
      </c>
      <c r="I256" s="2">
        <v>3412.1</v>
      </c>
      <c r="J256" s="2">
        <v>28736.93</v>
      </c>
      <c r="K256" s="2">
        <v>14368.47</v>
      </c>
      <c r="L256" s="2">
        <v>43105.4</v>
      </c>
      <c r="M256" s="2">
        <v>0</v>
      </c>
      <c r="N256" s="2">
        <v>0</v>
      </c>
      <c r="O256" s="2">
        <v>0</v>
      </c>
      <c r="P256" s="2">
        <f t="shared" si="3"/>
        <v>46517.5</v>
      </c>
    </row>
    <row r="257" spans="1:16" x14ac:dyDescent="0.3">
      <c r="A257">
        <v>44149</v>
      </c>
      <c r="B257" t="s">
        <v>333</v>
      </c>
      <c r="C257" t="s">
        <v>163</v>
      </c>
      <c r="D257" s="2">
        <v>6815</v>
      </c>
      <c r="E257" s="2">
        <v>6815</v>
      </c>
      <c r="F257" s="2">
        <v>13630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f t="shared" si="3"/>
        <v>13630</v>
      </c>
    </row>
    <row r="258" spans="1:16" x14ac:dyDescent="0.3">
      <c r="A258">
        <v>49809</v>
      </c>
      <c r="B258" t="s">
        <v>334</v>
      </c>
      <c r="C258" t="s">
        <v>35</v>
      </c>
      <c r="D258" s="2">
        <v>189444.37</v>
      </c>
      <c r="E258" s="2">
        <v>189444.37</v>
      </c>
      <c r="F258" s="2">
        <v>378888.74</v>
      </c>
      <c r="G258" s="2">
        <v>5222.33</v>
      </c>
      <c r="H258" s="2">
        <v>5222.33</v>
      </c>
      <c r="I258" s="2">
        <v>10444.66</v>
      </c>
      <c r="J258" s="2">
        <v>36512.78</v>
      </c>
      <c r="K258" s="2">
        <v>18256.39</v>
      </c>
      <c r="L258" s="2">
        <v>54769.17</v>
      </c>
      <c r="M258" s="2">
        <v>0</v>
      </c>
      <c r="N258" s="2">
        <v>0</v>
      </c>
      <c r="O258" s="2">
        <v>0</v>
      </c>
      <c r="P258" s="2">
        <f t="shared" si="3"/>
        <v>444102.56999999995</v>
      </c>
    </row>
    <row r="259" spans="1:16" x14ac:dyDescent="0.3">
      <c r="A259">
        <v>44156</v>
      </c>
      <c r="B259" t="s">
        <v>335</v>
      </c>
      <c r="C259" t="s">
        <v>336</v>
      </c>
      <c r="D259" s="2">
        <v>0</v>
      </c>
      <c r="E259" s="2">
        <v>0</v>
      </c>
      <c r="F259" s="2">
        <v>0</v>
      </c>
      <c r="G259" s="2">
        <v>31771.759999999998</v>
      </c>
      <c r="H259" s="2">
        <v>31771.759999999998</v>
      </c>
      <c r="I259" s="2">
        <v>63543.53</v>
      </c>
      <c r="J259" s="2">
        <v>19046.310000000001</v>
      </c>
      <c r="K259" s="2">
        <v>9523.16</v>
      </c>
      <c r="L259" s="2">
        <v>28569.47</v>
      </c>
      <c r="M259" s="2">
        <v>0</v>
      </c>
      <c r="N259" s="2">
        <v>0</v>
      </c>
      <c r="O259" s="2">
        <v>0</v>
      </c>
      <c r="P259" s="2">
        <f t="shared" si="3"/>
        <v>92113</v>
      </c>
    </row>
    <row r="260" spans="1:16" x14ac:dyDescent="0.3">
      <c r="A260">
        <v>49858</v>
      </c>
      <c r="B260" t="s">
        <v>337</v>
      </c>
      <c r="C260" t="s">
        <v>29</v>
      </c>
      <c r="D260" s="2">
        <v>1286119.95</v>
      </c>
      <c r="E260" s="2">
        <v>1286119.95</v>
      </c>
      <c r="F260" s="2">
        <v>2572239.9</v>
      </c>
      <c r="G260" s="2">
        <v>37128.43</v>
      </c>
      <c r="H260" s="2">
        <v>37128.43</v>
      </c>
      <c r="I260" s="2">
        <v>74256.86</v>
      </c>
      <c r="J260" s="2">
        <v>471170.99</v>
      </c>
      <c r="K260" s="2">
        <v>235585.49</v>
      </c>
      <c r="L260" s="2">
        <v>706756.48</v>
      </c>
      <c r="M260" s="2">
        <v>0</v>
      </c>
      <c r="N260" s="2">
        <v>0</v>
      </c>
      <c r="O260" s="2">
        <v>0</v>
      </c>
      <c r="P260" s="2">
        <f t="shared" si="3"/>
        <v>3353253.2399999998</v>
      </c>
    </row>
    <row r="261" spans="1:16" x14ac:dyDescent="0.3">
      <c r="A261">
        <v>48322</v>
      </c>
      <c r="B261" t="s">
        <v>338</v>
      </c>
      <c r="C261" t="s">
        <v>56</v>
      </c>
      <c r="D261" s="2">
        <v>161048.15</v>
      </c>
      <c r="E261" s="2">
        <v>161048.15</v>
      </c>
      <c r="F261" s="2">
        <v>322096.3</v>
      </c>
      <c r="G261" s="2">
        <v>35717.4</v>
      </c>
      <c r="H261" s="2">
        <v>35717.4</v>
      </c>
      <c r="I261" s="2">
        <v>71434.81</v>
      </c>
      <c r="J261" s="2">
        <v>59285.25</v>
      </c>
      <c r="K261" s="2">
        <v>29642.62</v>
      </c>
      <c r="L261" s="2">
        <v>88927.87</v>
      </c>
      <c r="M261" s="2">
        <v>0</v>
      </c>
      <c r="N261" s="2">
        <v>0</v>
      </c>
      <c r="O261" s="2">
        <v>0</v>
      </c>
      <c r="P261" s="2">
        <f t="shared" si="3"/>
        <v>482458.98</v>
      </c>
    </row>
    <row r="262" spans="1:16" x14ac:dyDescent="0.3">
      <c r="A262">
        <v>49205</v>
      </c>
      <c r="B262" t="s">
        <v>339</v>
      </c>
      <c r="C262" t="s">
        <v>54</v>
      </c>
      <c r="D262" s="2">
        <v>169988.15</v>
      </c>
      <c r="E262" s="2">
        <v>169988.15</v>
      </c>
      <c r="F262" s="2">
        <v>339976.3</v>
      </c>
      <c r="G262" s="2">
        <v>0</v>
      </c>
      <c r="H262" s="2">
        <v>0</v>
      </c>
      <c r="I262" s="2">
        <v>0</v>
      </c>
      <c r="J262" s="2">
        <v>13649.71</v>
      </c>
      <c r="K262" s="2">
        <v>6824.86</v>
      </c>
      <c r="L262" s="2">
        <v>20474.57</v>
      </c>
      <c r="M262" s="2">
        <v>0</v>
      </c>
      <c r="N262" s="2">
        <v>0</v>
      </c>
      <c r="O262" s="2">
        <v>0</v>
      </c>
      <c r="P262" s="2">
        <f t="shared" si="3"/>
        <v>360450.87</v>
      </c>
    </row>
    <row r="263" spans="1:16" x14ac:dyDescent="0.3">
      <c r="A263">
        <v>45872</v>
      </c>
      <c r="B263" t="s">
        <v>340</v>
      </c>
      <c r="C263" t="s">
        <v>51</v>
      </c>
      <c r="D263" s="2">
        <v>266579.23</v>
      </c>
      <c r="E263" s="2">
        <v>266579.23</v>
      </c>
      <c r="F263" s="2">
        <v>533158.46</v>
      </c>
      <c r="G263" s="2">
        <v>22333.279999999999</v>
      </c>
      <c r="H263" s="2">
        <v>22333.279999999999</v>
      </c>
      <c r="I263" s="2">
        <v>44666.559999999998</v>
      </c>
      <c r="J263" s="2">
        <v>10354.620000000001</v>
      </c>
      <c r="K263" s="2">
        <v>5177.3100000000004</v>
      </c>
      <c r="L263" s="2">
        <v>15531.93</v>
      </c>
      <c r="M263" s="2">
        <v>0</v>
      </c>
      <c r="N263" s="2">
        <v>0</v>
      </c>
      <c r="O263" s="2">
        <v>0</v>
      </c>
      <c r="P263" s="2">
        <f t="shared" si="3"/>
        <v>593356.95000000007</v>
      </c>
    </row>
    <row r="264" spans="1:16" x14ac:dyDescent="0.3">
      <c r="A264">
        <v>48256</v>
      </c>
      <c r="B264" t="s">
        <v>341</v>
      </c>
      <c r="C264" t="s">
        <v>342</v>
      </c>
      <c r="D264" s="2">
        <v>71851.73</v>
      </c>
      <c r="E264" s="2">
        <v>71851.73</v>
      </c>
      <c r="F264" s="2">
        <v>143703.46</v>
      </c>
      <c r="G264" s="2">
        <v>3658.51</v>
      </c>
      <c r="H264" s="2">
        <v>3658.51</v>
      </c>
      <c r="I264" s="2">
        <v>7317.02</v>
      </c>
      <c r="J264" s="2">
        <v>173337.77</v>
      </c>
      <c r="K264" s="2">
        <v>86668.88</v>
      </c>
      <c r="L264" s="2">
        <v>260006.65</v>
      </c>
      <c r="M264" s="2">
        <v>0</v>
      </c>
      <c r="N264" s="2">
        <v>0</v>
      </c>
      <c r="O264" s="2">
        <v>0</v>
      </c>
      <c r="P264" s="2">
        <f t="shared" si="3"/>
        <v>411027.13</v>
      </c>
    </row>
    <row r="265" spans="1:16" x14ac:dyDescent="0.3">
      <c r="A265">
        <v>48686</v>
      </c>
      <c r="B265" t="s">
        <v>343</v>
      </c>
      <c r="C265" t="s">
        <v>123</v>
      </c>
      <c r="D265" s="2">
        <v>121466.47</v>
      </c>
      <c r="E265" s="2">
        <v>121466.47</v>
      </c>
      <c r="F265" s="2">
        <v>242932.94</v>
      </c>
      <c r="G265" s="2">
        <v>4924.9799999999996</v>
      </c>
      <c r="H265" s="2">
        <v>4924.9799999999996</v>
      </c>
      <c r="I265" s="2">
        <v>9849.9500000000007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f t="shared" si="3"/>
        <v>252782.89</v>
      </c>
    </row>
    <row r="266" spans="1:16" x14ac:dyDescent="0.3">
      <c r="A266">
        <v>49338</v>
      </c>
      <c r="B266" t="s">
        <v>344</v>
      </c>
      <c r="C266" t="s">
        <v>194</v>
      </c>
      <c r="D266" s="2">
        <v>0</v>
      </c>
      <c r="E266" s="2">
        <v>0</v>
      </c>
      <c r="F266" s="2">
        <v>0</v>
      </c>
      <c r="G266" s="2">
        <v>249.9</v>
      </c>
      <c r="H266" s="2">
        <v>249.9</v>
      </c>
      <c r="I266" s="2">
        <v>499.79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f t="shared" si="3"/>
        <v>499.79</v>
      </c>
    </row>
    <row r="267" spans="1:16" x14ac:dyDescent="0.3">
      <c r="A267">
        <v>47985</v>
      </c>
      <c r="B267" t="s">
        <v>345</v>
      </c>
      <c r="C267" t="s">
        <v>301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f t="shared" si="3"/>
        <v>0</v>
      </c>
    </row>
    <row r="268" spans="1:16" x14ac:dyDescent="0.3">
      <c r="A268">
        <v>48264</v>
      </c>
      <c r="B268" t="s">
        <v>346</v>
      </c>
      <c r="C268" t="s">
        <v>342</v>
      </c>
      <c r="D268" s="2">
        <v>30718.78</v>
      </c>
      <c r="E268" s="2">
        <v>30718.78</v>
      </c>
      <c r="F268" s="2">
        <v>61437.56</v>
      </c>
      <c r="G268" s="2">
        <v>15846.95</v>
      </c>
      <c r="H268" s="2">
        <v>15846.95</v>
      </c>
      <c r="I268" s="2">
        <v>31693.91</v>
      </c>
      <c r="J268" s="2">
        <v>27238.85</v>
      </c>
      <c r="K268" s="2">
        <v>13619.43</v>
      </c>
      <c r="L268" s="2">
        <v>40858.28</v>
      </c>
      <c r="M268" s="2">
        <v>0</v>
      </c>
      <c r="N268" s="2">
        <v>0</v>
      </c>
      <c r="O268" s="2">
        <v>0</v>
      </c>
      <c r="P268" s="2">
        <f t="shared" si="3"/>
        <v>133989.75</v>
      </c>
    </row>
    <row r="269" spans="1:16" x14ac:dyDescent="0.3">
      <c r="A269">
        <v>50179</v>
      </c>
      <c r="B269" t="s">
        <v>347</v>
      </c>
      <c r="C269" t="s">
        <v>108</v>
      </c>
      <c r="D269" s="2">
        <v>14430.62</v>
      </c>
      <c r="E269" s="2">
        <v>14430.62</v>
      </c>
      <c r="F269" s="2">
        <v>28861.24</v>
      </c>
      <c r="G269" s="2">
        <v>1318.56</v>
      </c>
      <c r="H269" s="2">
        <v>1318.56</v>
      </c>
      <c r="I269" s="2">
        <v>2637.11</v>
      </c>
      <c r="J269" s="2">
        <v>45494.05</v>
      </c>
      <c r="K269" s="2">
        <v>22747.03</v>
      </c>
      <c r="L269" s="2">
        <v>68241.08</v>
      </c>
      <c r="M269" s="2">
        <v>0</v>
      </c>
      <c r="N269" s="2">
        <v>0</v>
      </c>
      <c r="O269" s="2">
        <v>0</v>
      </c>
      <c r="P269" s="2">
        <f t="shared" ref="P269:P332" si="4">F269+I269+L269+O269</f>
        <v>99739.430000000008</v>
      </c>
    </row>
    <row r="270" spans="1:16" x14ac:dyDescent="0.3">
      <c r="A270">
        <v>49346</v>
      </c>
      <c r="B270" t="s">
        <v>348</v>
      </c>
      <c r="C270" t="s">
        <v>194</v>
      </c>
      <c r="D270" s="2">
        <v>37092.74</v>
      </c>
      <c r="E270" s="2">
        <v>37092.74</v>
      </c>
      <c r="F270" s="2">
        <v>74185.48</v>
      </c>
      <c r="G270" s="2">
        <v>0</v>
      </c>
      <c r="H270" s="2">
        <v>0</v>
      </c>
      <c r="I270" s="2">
        <v>0</v>
      </c>
      <c r="J270" s="2">
        <v>19988.2</v>
      </c>
      <c r="K270" s="2">
        <v>9994</v>
      </c>
      <c r="L270" s="2">
        <v>29982.2</v>
      </c>
      <c r="M270" s="2">
        <v>0</v>
      </c>
      <c r="N270" s="2">
        <v>0</v>
      </c>
      <c r="O270" s="2">
        <v>0</v>
      </c>
      <c r="P270" s="2">
        <f t="shared" si="4"/>
        <v>104167.67999999999</v>
      </c>
    </row>
    <row r="271" spans="1:16" x14ac:dyDescent="0.3">
      <c r="A271">
        <v>46797</v>
      </c>
      <c r="B271" t="s">
        <v>349</v>
      </c>
      <c r="C271" t="s">
        <v>89</v>
      </c>
      <c r="D271" s="2">
        <v>0</v>
      </c>
      <c r="E271" s="2">
        <v>0</v>
      </c>
      <c r="F271" s="2">
        <v>0</v>
      </c>
      <c r="G271" s="2">
        <v>629.61</v>
      </c>
      <c r="H271" s="2">
        <v>629.61</v>
      </c>
      <c r="I271" s="2">
        <v>1259.21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f t="shared" si="4"/>
        <v>1259.21</v>
      </c>
    </row>
    <row r="272" spans="1:16" x14ac:dyDescent="0.3">
      <c r="A272">
        <v>47191</v>
      </c>
      <c r="B272" t="s">
        <v>350</v>
      </c>
      <c r="C272" t="s">
        <v>87</v>
      </c>
      <c r="D272" s="2">
        <v>1214254.99</v>
      </c>
      <c r="E272" s="2">
        <v>1214254.99</v>
      </c>
      <c r="F272" s="2">
        <v>2428509.98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f t="shared" si="4"/>
        <v>2428509.98</v>
      </c>
    </row>
    <row r="273" spans="1:16" x14ac:dyDescent="0.3">
      <c r="A273">
        <v>44164</v>
      </c>
      <c r="B273" t="s">
        <v>351</v>
      </c>
      <c r="C273" t="s">
        <v>54</v>
      </c>
      <c r="D273" s="2">
        <v>973327.97</v>
      </c>
      <c r="E273" s="2">
        <v>973327.97</v>
      </c>
      <c r="F273" s="2">
        <v>1946655.94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f t="shared" si="4"/>
        <v>1946655.94</v>
      </c>
    </row>
    <row r="274" spans="1:16" x14ac:dyDescent="0.3">
      <c r="A274">
        <v>44172</v>
      </c>
      <c r="B274" t="s">
        <v>352</v>
      </c>
      <c r="C274" t="s">
        <v>19</v>
      </c>
      <c r="D274" s="2">
        <v>512347.76</v>
      </c>
      <c r="E274" s="2">
        <v>512347.76</v>
      </c>
      <c r="F274" s="2">
        <v>1024695.52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f t="shared" si="4"/>
        <v>1024695.52</v>
      </c>
    </row>
    <row r="275" spans="1:16" x14ac:dyDescent="0.3">
      <c r="A275">
        <v>44180</v>
      </c>
      <c r="B275" t="s">
        <v>353</v>
      </c>
      <c r="C275" t="s">
        <v>123</v>
      </c>
      <c r="D275" s="2">
        <v>3727882.93</v>
      </c>
      <c r="E275" s="2">
        <v>3727882.93</v>
      </c>
      <c r="F275" s="2">
        <v>7455765.8600000003</v>
      </c>
      <c r="G275" s="2">
        <v>35268.410000000003</v>
      </c>
      <c r="H275" s="2">
        <v>35268.410000000003</v>
      </c>
      <c r="I275" s="2">
        <v>70536.820000000007</v>
      </c>
      <c r="J275" s="2">
        <v>179427.45</v>
      </c>
      <c r="K275" s="2">
        <v>89713.73</v>
      </c>
      <c r="L275" s="2">
        <v>269141.18</v>
      </c>
      <c r="M275" s="2">
        <v>0</v>
      </c>
      <c r="N275" s="2">
        <v>0</v>
      </c>
      <c r="O275" s="2">
        <v>0</v>
      </c>
      <c r="P275" s="2">
        <f t="shared" si="4"/>
        <v>7795443.8600000003</v>
      </c>
    </row>
    <row r="276" spans="1:16" x14ac:dyDescent="0.3">
      <c r="A276">
        <v>48165</v>
      </c>
      <c r="B276" t="s">
        <v>354</v>
      </c>
      <c r="C276" t="s">
        <v>33</v>
      </c>
      <c r="D276" s="2">
        <v>75735.58</v>
      </c>
      <c r="E276" s="2">
        <v>75735.58</v>
      </c>
      <c r="F276" s="2">
        <v>151471.16</v>
      </c>
      <c r="G276" s="2">
        <v>7153.35</v>
      </c>
      <c r="H276" s="2">
        <v>7153.35</v>
      </c>
      <c r="I276" s="2">
        <v>14306.7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f t="shared" si="4"/>
        <v>165777.86000000002</v>
      </c>
    </row>
    <row r="277" spans="1:16" x14ac:dyDescent="0.3">
      <c r="A277">
        <v>50435</v>
      </c>
      <c r="B277" t="s">
        <v>355</v>
      </c>
      <c r="C277" t="s">
        <v>150</v>
      </c>
      <c r="D277" s="2">
        <v>1881385.26</v>
      </c>
      <c r="E277" s="2">
        <v>1881385.26</v>
      </c>
      <c r="F277" s="2">
        <v>3762770.52</v>
      </c>
      <c r="G277" s="2">
        <v>88954.26</v>
      </c>
      <c r="H277" s="2">
        <v>88954.26</v>
      </c>
      <c r="I277" s="2">
        <v>177908.51</v>
      </c>
      <c r="J277" s="2">
        <v>48484.78</v>
      </c>
      <c r="K277" s="2">
        <v>24242.39</v>
      </c>
      <c r="L277" s="2">
        <v>72727.17</v>
      </c>
      <c r="M277" s="2">
        <v>0</v>
      </c>
      <c r="N277" s="2">
        <v>0</v>
      </c>
      <c r="O277" s="2">
        <v>0</v>
      </c>
      <c r="P277" s="2">
        <f t="shared" si="4"/>
        <v>4013406.2</v>
      </c>
    </row>
    <row r="278" spans="1:16" x14ac:dyDescent="0.3">
      <c r="A278">
        <v>47878</v>
      </c>
      <c r="B278" t="s">
        <v>356</v>
      </c>
      <c r="C278" t="s">
        <v>262</v>
      </c>
      <c r="D278" s="2">
        <v>42859.199999999997</v>
      </c>
      <c r="E278" s="2">
        <v>42859.199999999997</v>
      </c>
      <c r="F278" s="2">
        <v>85718.399999999994</v>
      </c>
      <c r="G278" s="2">
        <v>2434.86</v>
      </c>
      <c r="H278" s="2">
        <v>2434.86</v>
      </c>
      <c r="I278" s="2">
        <v>4869.71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f t="shared" si="4"/>
        <v>90588.11</v>
      </c>
    </row>
    <row r="279" spans="1:16" x14ac:dyDescent="0.3">
      <c r="A279">
        <v>50245</v>
      </c>
      <c r="B279" t="s">
        <v>357</v>
      </c>
      <c r="C279" t="s">
        <v>108</v>
      </c>
      <c r="D279" s="2">
        <v>89880.33</v>
      </c>
      <c r="E279" s="2">
        <v>89880.33</v>
      </c>
      <c r="F279" s="2">
        <v>179760.66</v>
      </c>
      <c r="G279" s="2">
        <v>19756.490000000002</v>
      </c>
      <c r="H279" s="2">
        <v>19756.490000000002</v>
      </c>
      <c r="I279" s="2">
        <v>39512.980000000003</v>
      </c>
      <c r="J279" s="2">
        <v>30106.61</v>
      </c>
      <c r="K279" s="2">
        <v>15053.3</v>
      </c>
      <c r="L279" s="2">
        <v>45159.91</v>
      </c>
      <c r="M279" s="2">
        <v>0</v>
      </c>
      <c r="N279" s="2">
        <v>0</v>
      </c>
      <c r="O279" s="2">
        <v>0</v>
      </c>
      <c r="P279" s="2">
        <f t="shared" si="4"/>
        <v>264433.55000000005</v>
      </c>
    </row>
    <row r="280" spans="1:16" x14ac:dyDescent="0.3">
      <c r="A280">
        <v>49866</v>
      </c>
      <c r="B280" t="s">
        <v>358</v>
      </c>
      <c r="C280" t="s">
        <v>29</v>
      </c>
      <c r="D280" s="2">
        <v>120200.37</v>
      </c>
      <c r="E280" s="2">
        <v>120200.37</v>
      </c>
      <c r="F280" s="2">
        <v>240400.74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f t="shared" si="4"/>
        <v>240400.74</v>
      </c>
    </row>
    <row r="281" spans="1:16" x14ac:dyDescent="0.3">
      <c r="A281">
        <v>50690</v>
      </c>
      <c r="B281" t="s">
        <v>358</v>
      </c>
      <c r="C281" t="s">
        <v>113</v>
      </c>
      <c r="D281" s="2">
        <v>590284.99</v>
      </c>
      <c r="E281" s="2">
        <v>590284.99</v>
      </c>
      <c r="F281" s="2">
        <v>1180569.98</v>
      </c>
      <c r="G281" s="2">
        <v>16669.759999999998</v>
      </c>
      <c r="H281" s="2">
        <v>16669.759999999998</v>
      </c>
      <c r="I281" s="2">
        <v>33339.51</v>
      </c>
      <c r="J281" s="2">
        <v>48412.38</v>
      </c>
      <c r="K281" s="2">
        <v>24206.19</v>
      </c>
      <c r="L281" s="2">
        <v>72618.570000000007</v>
      </c>
      <c r="M281" s="2">
        <v>0</v>
      </c>
      <c r="N281" s="2">
        <v>0</v>
      </c>
      <c r="O281" s="2">
        <v>0</v>
      </c>
      <c r="P281" s="2">
        <f t="shared" si="4"/>
        <v>1286528.06</v>
      </c>
    </row>
    <row r="282" spans="1:16" x14ac:dyDescent="0.3">
      <c r="A282">
        <v>50187</v>
      </c>
      <c r="B282" t="s">
        <v>359</v>
      </c>
      <c r="C282" t="s">
        <v>108</v>
      </c>
      <c r="D282" s="2">
        <v>229381.89</v>
      </c>
      <c r="E282" s="2">
        <v>229381.89</v>
      </c>
      <c r="F282" s="2">
        <v>458763.78</v>
      </c>
      <c r="G282" s="2">
        <v>11577.3</v>
      </c>
      <c r="H282" s="2">
        <v>11577.3</v>
      </c>
      <c r="I282" s="2">
        <v>23154.6</v>
      </c>
      <c r="J282" s="2">
        <v>38481.21</v>
      </c>
      <c r="K282" s="2">
        <v>19240.61</v>
      </c>
      <c r="L282" s="2">
        <v>57721.82</v>
      </c>
      <c r="M282" s="2">
        <v>0</v>
      </c>
      <c r="N282" s="2">
        <v>0</v>
      </c>
      <c r="O282" s="2">
        <v>0</v>
      </c>
      <c r="P282" s="2">
        <f t="shared" si="4"/>
        <v>539640.19999999995</v>
      </c>
    </row>
    <row r="283" spans="1:16" x14ac:dyDescent="0.3">
      <c r="A283">
        <v>44198</v>
      </c>
      <c r="B283" t="s">
        <v>360</v>
      </c>
      <c r="C283" t="s">
        <v>68</v>
      </c>
      <c r="D283" s="2">
        <v>578913.81999999995</v>
      </c>
      <c r="E283" s="2">
        <v>578913.81999999995</v>
      </c>
      <c r="F283" s="2">
        <v>1157827.6399999999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f t="shared" si="4"/>
        <v>1157827.6399999999</v>
      </c>
    </row>
    <row r="284" spans="1:16" x14ac:dyDescent="0.3">
      <c r="A284">
        <v>47993</v>
      </c>
      <c r="B284" t="s">
        <v>361</v>
      </c>
      <c r="C284" t="s">
        <v>301</v>
      </c>
      <c r="D284" s="2">
        <v>1071461.83</v>
      </c>
      <c r="E284" s="2">
        <v>1071461.83</v>
      </c>
      <c r="F284" s="2">
        <v>2142923.66</v>
      </c>
      <c r="G284" s="2">
        <v>0</v>
      </c>
      <c r="H284" s="2">
        <v>0</v>
      </c>
      <c r="I284" s="2">
        <v>0</v>
      </c>
      <c r="J284" s="2">
        <v>291226.2</v>
      </c>
      <c r="K284" s="2">
        <v>145613.1</v>
      </c>
      <c r="L284" s="2">
        <v>436839.3</v>
      </c>
      <c r="M284" s="2">
        <v>0</v>
      </c>
      <c r="N284" s="2">
        <v>0</v>
      </c>
      <c r="O284" s="2">
        <v>0</v>
      </c>
      <c r="P284" s="2">
        <f t="shared" si="4"/>
        <v>2579762.96</v>
      </c>
    </row>
    <row r="285" spans="1:16" x14ac:dyDescent="0.3">
      <c r="A285">
        <v>46110</v>
      </c>
      <c r="B285" t="s">
        <v>362</v>
      </c>
      <c r="C285" t="s">
        <v>242</v>
      </c>
      <c r="D285" s="2">
        <v>3002510.92</v>
      </c>
      <c r="E285" s="2">
        <v>3002510.92</v>
      </c>
      <c r="F285" s="2">
        <v>6005021.8399999999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f t="shared" si="4"/>
        <v>6005021.8399999999</v>
      </c>
    </row>
    <row r="286" spans="1:16" x14ac:dyDescent="0.3">
      <c r="A286">
        <v>49569</v>
      </c>
      <c r="B286" t="s">
        <v>362</v>
      </c>
      <c r="C286" t="s">
        <v>185</v>
      </c>
      <c r="D286" s="2">
        <v>43646.43</v>
      </c>
      <c r="E286" s="2">
        <v>43646.43</v>
      </c>
      <c r="F286" s="2">
        <v>87292.86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f t="shared" si="4"/>
        <v>87292.86</v>
      </c>
    </row>
    <row r="287" spans="1:16" x14ac:dyDescent="0.3">
      <c r="A287">
        <v>44206</v>
      </c>
      <c r="B287" t="s">
        <v>363</v>
      </c>
      <c r="C287" t="s">
        <v>31</v>
      </c>
      <c r="D287" s="2">
        <v>1439215.5</v>
      </c>
      <c r="E287" s="2">
        <v>1439215.5</v>
      </c>
      <c r="F287" s="2">
        <v>2878431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f t="shared" si="4"/>
        <v>2878431</v>
      </c>
    </row>
    <row r="288" spans="1:16" x14ac:dyDescent="0.3">
      <c r="A288">
        <v>44214</v>
      </c>
      <c r="B288" t="s">
        <v>364</v>
      </c>
      <c r="C288" t="s">
        <v>150</v>
      </c>
      <c r="D288" s="2">
        <v>529470.80000000005</v>
      </c>
      <c r="E288" s="2">
        <v>529470.80000000005</v>
      </c>
      <c r="F288" s="2">
        <v>1058941.6000000001</v>
      </c>
      <c r="G288" s="2">
        <v>30863.02</v>
      </c>
      <c r="H288" s="2">
        <v>30863.02</v>
      </c>
      <c r="I288" s="2">
        <v>61726.04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f t="shared" si="4"/>
        <v>1120667.6400000001</v>
      </c>
    </row>
    <row r="289" spans="1:16" x14ac:dyDescent="0.3">
      <c r="A289">
        <v>47209</v>
      </c>
      <c r="B289" t="s">
        <v>365</v>
      </c>
      <c r="C289" t="s">
        <v>87</v>
      </c>
      <c r="D289" s="2">
        <v>111810.68</v>
      </c>
      <c r="E289" s="2">
        <v>111810.68</v>
      </c>
      <c r="F289" s="2">
        <v>223621.36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f t="shared" si="4"/>
        <v>223621.36</v>
      </c>
    </row>
    <row r="290" spans="1:16" x14ac:dyDescent="0.3">
      <c r="A290">
        <v>45443</v>
      </c>
      <c r="B290" t="s">
        <v>366</v>
      </c>
      <c r="C290" t="s">
        <v>71</v>
      </c>
      <c r="D290" s="2">
        <v>0</v>
      </c>
      <c r="E290" s="2">
        <v>0</v>
      </c>
      <c r="F290" s="2">
        <v>0</v>
      </c>
      <c r="G290" s="2">
        <v>4315.22</v>
      </c>
      <c r="H290" s="2">
        <v>4315.22</v>
      </c>
      <c r="I290" s="2">
        <v>8630.44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f t="shared" si="4"/>
        <v>8630.44</v>
      </c>
    </row>
    <row r="291" spans="1:16" x14ac:dyDescent="0.3">
      <c r="A291">
        <v>49353</v>
      </c>
      <c r="B291" t="s">
        <v>367</v>
      </c>
      <c r="C291" t="s">
        <v>194</v>
      </c>
      <c r="D291" s="2">
        <v>101610.3</v>
      </c>
      <c r="E291" s="2">
        <v>101610.3</v>
      </c>
      <c r="F291" s="2">
        <v>203220.6</v>
      </c>
      <c r="G291" s="2">
        <v>0</v>
      </c>
      <c r="H291" s="2">
        <v>0</v>
      </c>
      <c r="I291" s="2">
        <v>0</v>
      </c>
      <c r="J291" s="2">
        <v>167227.97</v>
      </c>
      <c r="K291" s="2">
        <v>83613.990000000005</v>
      </c>
      <c r="L291" s="2">
        <v>250841.96</v>
      </c>
      <c r="M291" s="2">
        <v>0</v>
      </c>
      <c r="N291" s="2">
        <v>0</v>
      </c>
      <c r="O291" s="2">
        <v>0</v>
      </c>
      <c r="P291" s="2">
        <f t="shared" si="4"/>
        <v>454062.56</v>
      </c>
    </row>
    <row r="292" spans="1:16" x14ac:dyDescent="0.3">
      <c r="A292">
        <v>49437</v>
      </c>
      <c r="B292" t="s">
        <v>368</v>
      </c>
      <c r="C292" t="s">
        <v>177</v>
      </c>
      <c r="D292" s="2">
        <v>41357.72</v>
      </c>
      <c r="E292" s="2">
        <v>41357.72</v>
      </c>
      <c r="F292" s="2">
        <v>82715.44</v>
      </c>
      <c r="G292" s="2">
        <v>16560.87</v>
      </c>
      <c r="H292" s="2">
        <v>16560.87</v>
      </c>
      <c r="I292" s="2">
        <v>33121.75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f t="shared" si="4"/>
        <v>115837.19</v>
      </c>
    </row>
    <row r="293" spans="1:16" x14ac:dyDescent="0.3">
      <c r="A293">
        <v>47449</v>
      </c>
      <c r="B293" t="s">
        <v>369</v>
      </c>
      <c r="C293" t="s">
        <v>43</v>
      </c>
      <c r="D293" s="2">
        <v>49342.6</v>
      </c>
      <c r="E293" s="2">
        <v>49342.6</v>
      </c>
      <c r="F293" s="2">
        <v>98685.2</v>
      </c>
      <c r="G293" s="2">
        <v>0</v>
      </c>
      <c r="H293" s="2">
        <v>0</v>
      </c>
      <c r="I293" s="2">
        <v>0</v>
      </c>
      <c r="J293" s="2">
        <v>77024.14</v>
      </c>
      <c r="K293" s="2">
        <v>38512.07</v>
      </c>
      <c r="L293" s="2">
        <v>115536.21</v>
      </c>
      <c r="M293" s="2">
        <v>0</v>
      </c>
      <c r="N293" s="2">
        <v>0</v>
      </c>
      <c r="O293" s="2">
        <v>0</v>
      </c>
      <c r="P293" s="2">
        <f t="shared" si="4"/>
        <v>214221.41</v>
      </c>
    </row>
    <row r="294" spans="1:16" x14ac:dyDescent="0.3">
      <c r="A294">
        <v>47589</v>
      </c>
      <c r="B294" t="s">
        <v>370</v>
      </c>
      <c r="C294" t="s">
        <v>320</v>
      </c>
      <c r="D294" s="2">
        <v>17662.68</v>
      </c>
      <c r="E294" s="2">
        <v>17662.68</v>
      </c>
      <c r="F294" s="2">
        <v>35325.360000000001</v>
      </c>
      <c r="G294" s="2">
        <v>3651.69</v>
      </c>
      <c r="H294" s="2">
        <v>3651.69</v>
      </c>
      <c r="I294" s="2">
        <v>7303.37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f t="shared" si="4"/>
        <v>42628.73</v>
      </c>
    </row>
    <row r="295" spans="1:16" x14ac:dyDescent="0.3">
      <c r="A295">
        <v>50195</v>
      </c>
      <c r="B295" t="s">
        <v>371</v>
      </c>
      <c r="C295" t="s">
        <v>108</v>
      </c>
      <c r="D295" s="2">
        <v>61908.38</v>
      </c>
      <c r="E295" s="2">
        <v>61908.38</v>
      </c>
      <c r="F295" s="2">
        <v>123816.76</v>
      </c>
      <c r="G295" s="2">
        <v>4342.1400000000003</v>
      </c>
      <c r="H295" s="2">
        <v>4342.1400000000003</v>
      </c>
      <c r="I295" s="2">
        <v>8684.2800000000007</v>
      </c>
      <c r="J295" s="2">
        <v>100571.41</v>
      </c>
      <c r="K295" s="2">
        <v>50285.71</v>
      </c>
      <c r="L295" s="2">
        <v>150857.12</v>
      </c>
      <c r="M295" s="2">
        <v>0</v>
      </c>
      <c r="N295" s="2">
        <v>0</v>
      </c>
      <c r="O295" s="2">
        <v>0</v>
      </c>
      <c r="P295" s="2">
        <f t="shared" si="4"/>
        <v>283358.16000000003</v>
      </c>
    </row>
    <row r="296" spans="1:16" x14ac:dyDescent="0.3">
      <c r="A296">
        <v>46888</v>
      </c>
      <c r="B296" t="s">
        <v>372</v>
      </c>
      <c r="C296" t="s">
        <v>31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f t="shared" si="4"/>
        <v>0</v>
      </c>
    </row>
    <row r="297" spans="1:16" x14ac:dyDescent="0.3">
      <c r="A297">
        <v>48009</v>
      </c>
      <c r="B297" t="s">
        <v>373</v>
      </c>
      <c r="C297" t="s">
        <v>301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37292.370000000003</v>
      </c>
      <c r="K297" s="2">
        <v>18646.189999999999</v>
      </c>
      <c r="L297" s="2">
        <v>55938.559999999998</v>
      </c>
      <c r="M297" s="2">
        <v>0</v>
      </c>
      <c r="N297" s="2">
        <v>0</v>
      </c>
      <c r="O297" s="2">
        <v>0</v>
      </c>
      <c r="P297" s="2">
        <f t="shared" si="4"/>
        <v>55938.559999999998</v>
      </c>
    </row>
    <row r="298" spans="1:16" x14ac:dyDescent="0.3">
      <c r="A298">
        <v>48017</v>
      </c>
      <c r="B298" t="s">
        <v>374</v>
      </c>
      <c r="C298" t="s">
        <v>301</v>
      </c>
      <c r="D298" s="2">
        <v>15093.28</v>
      </c>
      <c r="E298" s="2">
        <v>14604.62</v>
      </c>
      <c r="F298" s="2">
        <v>29697.9</v>
      </c>
      <c r="G298" s="2">
        <v>0</v>
      </c>
      <c r="H298" s="2">
        <v>488.66</v>
      </c>
      <c r="I298" s="2">
        <v>488.66</v>
      </c>
      <c r="J298" s="2">
        <v>5002.51</v>
      </c>
      <c r="K298" s="2">
        <v>2501.25</v>
      </c>
      <c r="L298" s="2">
        <v>7503.76</v>
      </c>
      <c r="M298" s="2">
        <v>0</v>
      </c>
      <c r="N298" s="2">
        <v>0</v>
      </c>
      <c r="O298" s="2">
        <v>0</v>
      </c>
      <c r="P298" s="2">
        <f t="shared" si="4"/>
        <v>37690.32</v>
      </c>
    </row>
    <row r="299" spans="1:16" x14ac:dyDescent="0.3">
      <c r="A299">
        <v>44222</v>
      </c>
      <c r="B299" t="s">
        <v>375</v>
      </c>
      <c r="C299" t="s">
        <v>27</v>
      </c>
      <c r="D299" s="2">
        <v>0</v>
      </c>
      <c r="E299" s="2">
        <v>0</v>
      </c>
      <c r="F299" s="2">
        <v>0</v>
      </c>
      <c r="G299" s="2">
        <v>7385.56</v>
      </c>
      <c r="H299" s="2">
        <v>7385.56</v>
      </c>
      <c r="I299" s="2">
        <v>14771.12</v>
      </c>
      <c r="J299" s="2">
        <v>112306.85</v>
      </c>
      <c r="K299" s="2">
        <v>56153.43</v>
      </c>
      <c r="L299" s="2">
        <v>168460.28</v>
      </c>
      <c r="M299" s="2">
        <v>0</v>
      </c>
      <c r="N299" s="2">
        <v>0</v>
      </c>
      <c r="O299" s="2">
        <v>0</v>
      </c>
      <c r="P299" s="2">
        <f t="shared" si="4"/>
        <v>183231.4</v>
      </c>
    </row>
    <row r="300" spans="1:16" x14ac:dyDescent="0.3">
      <c r="A300">
        <v>50369</v>
      </c>
      <c r="B300" t="s">
        <v>376</v>
      </c>
      <c r="C300" t="s">
        <v>207</v>
      </c>
      <c r="D300" s="2">
        <v>21631.53</v>
      </c>
      <c r="E300" s="2">
        <v>21631.53</v>
      </c>
      <c r="F300" s="2">
        <v>43263.06</v>
      </c>
      <c r="G300" s="2">
        <v>3874.37</v>
      </c>
      <c r="H300" s="2">
        <v>3874.37</v>
      </c>
      <c r="I300" s="2">
        <v>7748.73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f t="shared" si="4"/>
        <v>51011.789999999994</v>
      </c>
    </row>
    <row r="301" spans="1:16" x14ac:dyDescent="0.3">
      <c r="A301">
        <v>45450</v>
      </c>
      <c r="B301" t="s">
        <v>377</v>
      </c>
      <c r="C301" t="s">
        <v>71</v>
      </c>
      <c r="D301" s="2">
        <v>0</v>
      </c>
      <c r="E301" s="2">
        <v>0</v>
      </c>
      <c r="F301" s="2">
        <v>0</v>
      </c>
      <c r="G301" s="2">
        <v>9869.32</v>
      </c>
      <c r="H301" s="2">
        <v>9869.32</v>
      </c>
      <c r="I301" s="2">
        <v>19738.64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f t="shared" si="4"/>
        <v>19738.64</v>
      </c>
    </row>
    <row r="302" spans="1:16" x14ac:dyDescent="0.3">
      <c r="A302">
        <v>50443</v>
      </c>
      <c r="B302" t="s">
        <v>378</v>
      </c>
      <c r="C302" t="s">
        <v>150</v>
      </c>
      <c r="D302" s="2">
        <v>0</v>
      </c>
      <c r="E302" s="2">
        <v>0</v>
      </c>
      <c r="F302" s="2">
        <v>0</v>
      </c>
      <c r="G302" s="2">
        <v>35651.599999999999</v>
      </c>
      <c r="H302" s="2">
        <v>35651.599999999999</v>
      </c>
      <c r="I302" s="2">
        <v>71303.199999999997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f t="shared" si="4"/>
        <v>71303.199999999997</v>
      </c>
    </row>
    <row r="303" spans="1:16" x14ac:dyDescent="0.3">
      <c r="A303">
        <v>44230</v>
      </c>
      <c r="B303" t="s">
        <v>379</v>
      </c>
      <c r="C303" t="s">
        <v>168</v>
      </c>
      <c r="D303" s="2">
        <v>626505.17000000004</v>
      </c>
      <c r="E303" s="2">
        <v>626505.17000000004</v>
      </c>
      <c r="F303" s="2">
        <v>1253010.3400000001</v>
      </c>
      <c r="G303" s="2">
        <v>0</v>
      </c>
      <c r="H303" s="2">
        <v>0</v>
      </c>
      <c r="I303" s="2">
        <v>0</v>
      </c>
      <c r="J303" s="2">
        <v>92416.28</v>
      </c>
      <c r="K303" s="2">
        <v>46208.14</v>
      </c>
      <c r="L303" s="2">
        <v>138624.42000000001</v>
      </c>
      <c r="M303" s="2">
        <v>0</v>
      </c>
      <c r="N303" s="2">
        <v>0</v>
      </c>
      <c r="O303" s="2">
        <v>0</v>
      </c>
      <c r="P303" s="2">
        <f t="shared" si="4"/>
        <v>1391634.76</v>
      </c>
    </row>
    <row r="304" spans="1:16" x14ac:dyDescent="0.3">
      <c r="A304">
        <v>49080</v>
      </c>
      <c r="B304" t="s">
        <v>380</v>
      </c>
      <c r="C304" t="s">
        <v>170</v>
      </c>
      <c r="D304" s="2">
        <v>498216.33</v>
      </c>
      <c r="E304" s="2">
        <v>498216.33</v>
      </c>
      <c r="F304" s="2">
        <v>996432.66</v>
      </c>
      <c r="G304" s="2">
        <v>16975.689999999999</v>
      </c>
      <c r="H304" s="2">
        <v>16975.689999999999</v>
      </c>
      <c r="I304" s="2">
        <v>33951.379999999997</v>
      </c>
      <c r="J304" s="2">
        <v>3857.62</v>
      </c>
      <c r="K304" s="2">
        <v>1928.81</v>
      </c>
      <c r="L304" s="2">
        <v>5786.43</v>
      </c>
      <c r="M304" s="2">
        <v>0</v>
      </c>
      <c r="N304" s="2">
        <v>0</v>
      </c>
      <c r="O304" s="2">
        <v>0</v>
      </c>
      <c r="P304" s="2">
        <f t="shared" si="4"/>
        <v>1036170.4700000001</v>
      </c>
    </row>
    <row r="305" spans="1:16" x14ac:dyDescent="0.3">
      <c r="A305">
        <v>44248</v>
      </c>
      <c r="B305" t="s">
        <v>381</v>
      </c>
      <c r="C305" t="s">
        <v>382</v>
      </c>
      <c r="D305" s="2">
        <v>24789.71</v>
      </c>
      <c r="E305" s="2">
        <v>24789.71</v>
      </c>
      <c r="F305" s="2">
        <v>49579.42</v>
      </c>
      <c r="G305" s="2">
        <v>22803.97</v>
      </c>
      <c r="H305" s="2">
        <v>22803.97</v>
      </c>
      <c r="I305" s="2">
        <v>45607.94</v>
      </c>
      <c r="J305" s="2">
        <v>11087.04</v>
      </c>
      <c r="K305" s="2">
        <v>5543.52</v>
      </c>
      <c r="L305" s="2">
        <v>16630.560000000001</v>
      </c>
      <c r="M305" s="2">
        <v>0</v>
      </c>
      <c r="N305" s="2">
        <v>0</v>
      </c>
      <c r="O305" s="2">
        <v>0</v>
      </c>
      <c r="P305" s="2">
        <f t="shared" si="4"/>
        <v>111817.92</v>
      </c>
    </row>
    <row r="306" spans="1:16" x14ac:dyDescent="0.3">
      <c r="A306">
        <v>44255</v>
      </c>
      <c r="B306" t="s">
        <v>383</v>
      </c>
      <c r="C306" t="s">
        <v>342</v>
      </c>
      <c r="D306" s="2">
        <v>247744.57</v>
      </c>
      <c r="E306" s="2">
        <v>247744.57</v>
      </c>
      <c r="F306" s="2">
        <v>495489.14</v>
      </c>
      <c r="G306" s="2">
        <v>0</v>
      </c>
      <c r="H306" s="2">
        <v>0</v>
      </c>
      <c r="I306" s="2">
        <v>0</v>
      </c>
      <c r="J306" s="2">
        <v>63159</v>
      </c>
      <c r="K306" s="2">
        <v>31579.5</v>
      </c>
      <c r="L306" s="2">
        <v>94738.5</v>
      </c>
      <c r="M306" s="2">
        <v>0</v>
      </c>
      <c r="N306" s="2">
        <v>0</v>
      </c>
      <c r="O306" s="2">
        <v>0</v>
      </c>
      <c r="P306" s="2">
        <f t="shared" si="4"/>
        <v>590227.64</v>
      </c>
    </row>
    <row r="307" spans="1:16" x14ac:dyDescent="0.3">
      <c r="A307">
        <v>44263</v>
      </c>
      <c r="B307" t="s">
        <v>384</v>
      </c>
      <c r="C307" t="s">
        <v>33</v>
      </c>
      <c r="D307" s="2">
        <v>650920.49</v>
      </c>
      <c r="E307" s="2">
        <v>650920.49</v>
      </c>
      <c r="F307" s="2">
        <v>1301840.98</v>
      </c>
      <c r="G307" s="2">
        <v>13101.81</v>
      </c>
      <c r="H307" s="2">
        <v>13101.81</v>
      </c>
      <c r="I307" s="2">
        <v>26203.62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f t="shared" si="4"/>
        <v>1328044.6000000001</v>
      </c>
    </row>
    <row r="308" spans="1:16" x14ac:dyDescent="0.3">
      <c r="A308">
        <v>50203</v>
      </c>
      <c r="B308" t="s">
        <v>385</v>
      </c>
      <c r="C308" t="s">
        <v>108</v>
      </c>
      <c r="D308" s="2">
        <v>622327.1</v>
      </c>
      <c r="E308" s="2">
        <v>622327.1</v>
      </c>
      <c r="F308" s="2">
        <v>1244654.2</v>
      </c>
      <c r="G308" s="2">
        <v>0</v>
      </c>
      <c r="H308" s="2">
        <v>0</v>
      </c>
      <c r="I308" s="2">
        <v>0</v>
      </c>
      <c r="J308" s="2">
        <v>324497.2</v>
      </c>
      <c r="K308" s="2">
        <v>162248.6</v>
      </c>
      <c r="L308" s="2">
        <v>486745.8</v>
      </c>
      <c r="M308" s="2">
        <v>0</v>
      </c>
      <c r="N308" s="2">
        <v>0</v>
      </c>
      <c r="O308" s="2">
        <v>0</v>
      </c>
      <c r="P308" s="2">
        <f t="shared" si="4"/>
        <v>1731400</v>
      </c>
    </row>
    <row r="309" spans="1:16" x14ac:dyDescent="0.3">
      <c r="A309">
        <v>45468</v>
      </c>
      <c r="B309" t="s">
        <v>386</v>
      </c>
      <c r="C309" t="s">
        <v>49</v>
      </c>
      <c r="D309" s="2">
        <v>29744.69</v>
      </c>
      <c r="E309" s="2">
        <v>29744.69</v>
      </c>
      <c r="F309" s="2">
        <v>59489.38</v>
      </c>
      <c r="G309" s="2">
        <v>6245.25</v>
      </c>
      <c r="H309" s="2">
        <v>6245.25</v>
      </c>
      <c r="I309" s="2">
        <v>12490.5</v>
      </c>
      <c r="J309" s="2">
        <v>58665.29</v>
      </c>
      <c r="K309" s="2">
        <v>29332.65</v>
      </c>
      <c r="L309" s="2">
        <v>87997.94</v>
      </c>
      <c r="M309" s="2">
        <v>0</v>
      </c>
      <c r="N309" s="2">
        <v>0</v>
      </c>
      <c r="O309" s="2">
        <v>0</v>
      </c>
      <c r="P309" s="2">
        <f t="shared" si="4"/>
        <v>159977.82</v>
      </c>
    </row>
    <row r="310" spans="1:16" x14ac:dyDescent="0.3">
      <c r="A310">
        <v>49874</v>
      </c>
      <c r="B310" t="s">
        <v>387</v>
      </c>
      <c r="C310" t="s">
        <v>29</v>
      </c>
      <c r="D310" s="2">
        <v>42711.73</v>
      </c>
      <c r="E310" s="2">
        <v>42711.73</v>
      </c>
      <c r="F310" s="2">
        <v>85423.46</v>
      </c>
      <c r="G310" s="2">
        <v>10274.799999999999</v>
      </c>
      <c r="H310" s="2">
        <v>10274.799999999999</v>
      </c>
      <c r="I310" s="2">
        <v>20549.599999999999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f t="shared" si="4"/>
        <v>105973.06</v>
      </c>
    </row>
    <row r="311" spans="1:16" x14ac:dyDescent="0.3">
      <c r="A311">
        <v>44271</v>
      </c>
      <c r="B311" t="s">
        <v>388</v>
      </c>
      <c r="C311" t="s">
        <v>168</v>
      </c>
      <c r="D311" s="2">
        <v>84528.33</v>
      </c>
      <c r="E311" s="2">
        <v>84528.33</v>
      </c>
      <c r="F311" s="2">
        <v>169056.66</v>
      </c>
      <c r="G311" s="2">
        <v>27733.35</v>
      </c>
      <c r="H311" s="2">
        <v>27733.35</v>
      </c>
      <c r="I311" s="2">
        <v>55466.71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f t="shared" si="4"/>
        <v>224523.37</v>
      </c>
    </row>
    <row r="312" spans="1:16" x14ac:dyDescent="0.3">
      <c r="A312">
        <v>48330</v>
      </c>
      <c r="B312" t="s">
        <v>389</v>
      </c>
      <c r="C312" t="s">
        <v>56</v>
      </c>
      <c r="D312" s="2">
        <v>34894.400000000001</v>
      </c>
      <c r="E312" s="2">
        <v>34894.400000000001</v>
      </c>
      <c r="F312" s="2">
        <v>69788.800000000003</v>
      </c>
      <c r="G312" s="2">
        <v>462.57</v>
      </c>
      <c r="H312" s="2">
        <v>462.57</v>
      </c>
      <c r="I312" s="2">
        <v>925.14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f t="shared" si="4"/>
        <v>70713.94</v>
      </c>
    </row>
    <row r="313" spans="1:16" x14ac:dyDescent="0.3">
      <c r="A313">
        <v>49445</v>
      </c>
      <c r="B313" t="s">
        <v>390</v>
      </c>
      <c r="C313" t="s">
        <v>177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f t="shared" si="4"/>
        <v>0</v>
      </c>
    </row>
    <row r="314" spans="1:16" x14ac:dyDescent="0.3">
      <c r="A314">
        <v>47639</v>
      </c>
      <c r="B314" t="s">
        <v>391</v>
      </c>
      <c r="C314" t="s">
        <v>118</v>
      </c>
      <c r="D314" s="2">
        <v>0</v>
      </c>
      <c r="E314" s="2">
        <v>0</v>
      </c>
      <c r="F314" s="2">
        <v>0</v>
      </c>
      <c r="G314" s="2">
        <v>896.47</v>
      </c>
      <c r="H314" s="2">
        <v>896.47</v>
      </c>
      <c r="I314" s="2">
        <v>1792.94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f t="shared" si="4"/>
        <v>1792.94</v>
      </c>
    </row>
    <row r="315" spans="1:16" x14ac:dyDescent="0.3">
      <c r="A315">
        <v>48702</v>
      </c>
      <c r="B315" t="s">
        <v>392</v>
      </c>
      <c r="C315" t="s">
        <v>123</v>
      </c>
      <c r="D315" s="2">
        <v>130107.04</v>
      </c>
      <c r="E315" s="2">
        <v>130107.04</v>
      </c>
      <c r="F315" s="2">
        <v>260214.08</v>
      </c>
      <c r="G315" s="2">
        <v>3223.1</v>
      </c>
      <c r="H315" s="2">
        <v>3223.1</v>
      </c>
      <c r="I315" s="2">
        <v>6446.2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f t="shared" si="4"/>
        <v>266660.27999999997</v>
      </c>
    </row>
    <row r="316" spans="1:16" x14ac:dyDescent="0.3">
      <c r="A316">
        <v>44289</v>
      </c>
      <c r="B316" t="s">
        <v>393</v>
      </c>
      <c r="C316" t="s">
        <v>168</v>
      </c>
      <c r="D316" s="2">
        <v>11633.48</v>
      </c>
      <c r="E316" s="2">
        <v>11633.48</v>
      </c>
      <c r="F316" s="2">
        <v>23266.959999999999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f t="shared" si="4"/>
        <v>23266.959999999999</v>
      </c>
    </row>
    <row r="317" spans="1:16" x14ac:dyDescent="0.3">
      <c r="A317">
        <v>46128</v>
      </c>
      <c r="B317" t="s">
        <v>394</v>
      </c>
      <c r="C317" t="s">
        <v>242</v>
      </c>
      <c r="D317" s="2">
        <v>0</v>
      </c>
      <c r="E317" s="2">
        <v>0</v>
      </c>
      <c r="F317" s="2">
        <v>0</v>
      </c>
      <c r="G317" s="2">
        <v>5315.15</v>
      </c>
      <c r="H317" s="2">
        <v>5315.15</v>
      </c>
      <c r="I317" s="2">
        <v>10630.3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f t="shared" si="4"/>
        <v>10630.3</v>
      </c>
    </row>
    <row r="318" spans="1:16" x14ac:dyDescent="0.3">
      <c r="A318">
        <v>47886</v>
      </c>
      <c r="B318" t="s">
        <v>394</v>
      </c>
      <c r="C318" t="s">
        <v>262</v>
      </c>
      <c r="D318" s="2">
        <v>89117.67</v>
      </c>
      <c r="E318" s="2">
        <v>89117.67</v>
      </c>
      <c r="F318" s="2">
        <v>178235.34</v>
      </c>
      <c r="G318" s="2">
        <v>5019.21</v>
      </c>
      <c r="H318" s="2">
        <v>5019.21</v>
      </c>
      <c r="I318" s="2">
        <v>10038.41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f t="shared" si="4"/>
        <v>188273.75</v>
      </c>
    </row>
    <row r="319" spans="1:16" x14ac:dyDescent="0.3">
      <c r="A319">
        <v>49452</v>
      </c>
      <c r="B319" t="s">
        <v>394</v>
      </c>
      <c r="C319" t="s">
        <v>177</v>
      </c>
      <c r="D319" s="2">
        <v>1430260.41</v>
      </c>
      <c r="E319" s="2">
        <v>1430260.41</v>
      </c>
      <c r="F319" s="2">
        <v>2860520.82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f t="shared" si="4"/>
        <v>2860520.82</v>
      </c>
    </row>
    <row r="320" spans="1:16" x14ac:dyDescent="0.3">
      <c r="A320">
        <v>48272</v>
      </c>
      <c r="B320" t="s">
        <v>395</v>
      </c>
      <c r="C320" t="s">
        <v>342</v>
      </c>
      <c r="D320" s="2">
        <v>338980.45</v>
      </c>
      <c r="E320" s="2">
        <v>338980.45</v>
      </c>
      <c r="F320" s="2">
        <v>677960.9</v>
      </c>
      <c r="G320" s="2">
        <v>18812.03</v>
      </c>
      <c r="H320" s="2">
        <v>18812.03</v>
      </c>
      <c r="I320" s="2">
        <v>37624.050000000003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f t="shared" si="4"/>
        <v>715584.95000000007</v>
      </c>
    </row>
    <row r="321" spans="1:16" x14ac:dyDescent="0.3">
      <c r="A321">
        <v>442</v>
      </c>
      <c r="B321" t="s">
        <v>396</v>
      </c>
      <c r="C321" t="s">
        <v>397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f t="shared" si="4"/>
        <v>0</v>
      </c>
    </row>
    <row r="322" spans="1:16" x14ac:dyDescent="0.3">
      <c r="A322">
        <v>50005</v>
      </c>
      <c r="B322" t="s">
        <v>396</v>
      </c>
      <c r="C322" t="s">
        <v>23</v>
      </c>
      <c r="D322" s="2">
        <v>25921.34</v>
      </c>
      <c r="E322" s="2">
        <v>25921.34</v>
      </c>
      <c r="F322" s="2">
        <v>51842.68</v>
      </c>
      <c r="G322" s="2">
        <v>2057.91</v>
      </c>
      <c r="H322" s="2">
        <v>2057.91</v>
      </c>
      <c r="I322" s="2">
        <v>4115.8100000000004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f t="shared" si="4"/>
        <v>55958.49</v>
      </c>
    </row>
    <row r="323" spans="1:16" x14ac:dyDescent="0.3">
      <c r="A323">
        <v>44297</v>
      </c>
      <c r="B323" t="s">
        <v>398</v>
      </c>
      <c r="C323" t="s">
        <v>177</v>
      </c>
      <c r="D323" s="2">
        <v>967084.07</v>
      </c>
      <c r="E323" s="2">
        <v>967084.07</v>
      </c>
      <c r="F323" s="2">
        <v>1934168.14</v>
      </c>
      <c r="G323" s="2">
        <v>88530.52</v>
      </c>
      <c r="H323" s="2">
        <v>88530.52</v>
      </c>
      <c r="I323" s="2">
        <v>177061.04</v>
      </c>
      <c r="J323" s="2">
        <v>613342.77</v>
      </c>
      <c r="K323" s="2">
        <v>302931.49</v>
      </c>
      <c r="L323" s="2">
        <v>916274.26</v>
      </c>
      <c r="M323" s="2">
        <v>0</v>
      </c>
      <c r="N323" s="2">
        <v>0</v>
      </c>
      <c r="O323" s="2">
        <v>0</v>
      </c>
      <c r="P323" s="2">
        <f t="shared" si="4"/>
        <v>3027503.4399999995</v>
      </c>
    </row>
    <row r="324" spans="1:16" x14ac:dyDescent="0.3">
      <c r="A324">
        <v>44305</v>
      </c>
      <c r="B324" t="s">
        <v>399</v>
      </c>
      <c r="C324" t="s">
        <v>68</v>
      </c>
      <c r="D324" s="2">
        <v>242334</v>
      </c>
      <c r="E324" s="2">
        <v>242334</v>
      </c>
      <c r="F324" s="2">
        <v>484668</v>
      </c>
      <c r="G324" s="2">
        <v>19239.2</v>
      </c>
      <c r="H324" s="2">
        <v>19239.2</v>
      </c>
      <c r="I324" s="2">
        <v>38478.39</v>
      </c>
      <c r="J324" s="2">
        <v>264530.01</v>
      </c>
      <c r="K324" s="2">
        <v>132265</v>
      </c>
      <c r="L324" s="2">
        <v>396795.01</v>
      </c>
      <c r="M324" s="2">
        <v>0</v>
      </c>
      <c r="N324" s="2">
        <v>0</v>
      </c>
      <c r="O324" s="2">
        <v>0</v>
      </c>
      <c r="P324" s="2">
        <f t="shared" si="4"/>
        <v>919941.4</v>
      </c>
    </row>
    <row r="325" spans="1:16" x14ac:dyDescent="0.3">
      <c r="A325">
        <v>45831</v>
      </c>
      <c r="B325" t="s">
        <v>400</v>
      </c>
      <c r="C325" t="s">
        <v>49</v>
      </c>
      <c r="D325" s="2">
        <v>0</v>
      </c>
      <c r="E325" s="2">
        <v>0</v>
      </c>
      <c r="F325" s="2">
        <v>0</v>
      </c>
      <c r="G325" s="2">
        <v>7207.86</v>
      </c>
      <c r="H325" s="2">
        <v>7207.86</v>
      </c>
      <c r="I325" s="2">
        <v>14415.71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f t="shared" si="4"/>
        <v>14415.71</v>
      </c>
    </row>
    <row r="326" spans="1:16" x14ac:dyDescent="0.3">
      <c r="A326">
        <v>50211</v>
      </c>
      <c r="B326" t="s">
        <v>401</v>
      </c>
      <c r="C326" t="s">
        <v>108</v>
      </c>
      <c r="D326" s="2">
        <v>0</v>
      </c>
      <c r="E326" s="2">
        <v>0</v>
      </c>
      <c r="F326" s="2">
        <v>0</v>
      </c>
      <c r="G326" s="2">
        <v>3210.08</v>
      </c>
      <c r="H326" s="2">
        <v>3210.08</v>
      </c>
      <c r="I326" s="2">
        <v>6420.15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f t="shared" si="4"/>
        <v>6420.15</v>
      </c>
    </row>
    <row r="327" spans="1:16" x14ac:dyDescent="0.3">
      <c r="A327">
        <v>46805</v>
      </c>
      <c r="B327" t="s">
        <v>402</v>
      </c>
      <c r="C327" t="s">
        <v>89</v>
      </c>
      <c r="D327" s="2">
        <v>762086.52</v>
      </c>
      <c r="E327" s="2">
        <v>762086.52</v>
      </c>
      <c r="F327" s="2">
        <v>1524173.04</v>
      </c>
      <c r="G327" s="2">
        <v>17690.349999999999</v>
      </c>
      <c r="H327" s="2">
        <v>17690.349999999999</v>
      </c>
      <c r="I327" s="2">
        <v>35380.699999999997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f t="shared" si="4"/>
        <v>1559553.74</v>
      </c>
    </row>
    <row r="328" spans="1:16" x14ac:dyDescent="0.3">
      <c r="A328">
        <v>44313</v>
      </c>
      <c r="B328" t="s">
        <v>403</v>
      </c>
      <c r="C328" t="s">
        <v>168</v>
      </c>
      <c r="D328" s="2">
        <v>658560.49</v>
      </c>
      <c r="E328" s="2">
        <v>658560.49</v>
      </c>
      <c r="F328" s="2">
        <v>1317120.98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f t="shared" si="4"/>
        <v>1317120.98</v>
      </c>
    </row>
    <row r="329" spans="1:16" x14ac:dyDescent="0.3">
      <c r="A329">
        <v>44321</v>
      </c>
      <c r="B329" t="s">
        <v>404</v>
      </c>
      <c r="C329" t="s">
        <v>81</v>
      </c>
      <c r="D329" s="2">
        <v>615911.21</v>
      </c>
      <c r="E329" s="2">
        <v>615911.21</v>
      </c>
      <c r="F329" s="2">
        <v>1231822.42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f t="shared" si="4"/>
        <v>1231822.42</v>
      </c>
    </row>
    <row r="330" spans="1:16" x14ac:dyDescent="0.3">
      <c r="A330">
        <v>44339</v>
      </c>
      <c r="B330" t="s">
        <v>405</v>
      </c>
      <c r="C330" t="s">
        <v>246</v>
      </c>
      <c r="D330" s="2">
        <v>0</v>
      </c>
      <c r="E330" s="2">
        <v>0</v>
      </c>
      <c r="F330" s="2">
        <v>0</v>
      </c>
      <c r="G330" s="2">
        <v>7499.45</v>
      </c>
      <c r="H330" s="2">
        <v>7499.45</v>
      </c>
      <c r="I330" s="2">
        <v>14998.89</v>
      </c>
      <c r="J330" s="2">
        <v>156349.89000000001</v>
      </c>
      <c r="K330" s="2">
        <v>78174.95</v>
      </c>
      <c r="L330" s="2">
        <v>234524.84</v>
      </c>
      <c r="M330" s="2">
        <v>0</v>
      </c>
      <c r="N330" s="2">
        <v>0</v>
      </c>
      <c r="O330" s="2">
        <v>0</v>
      </c>
      <c r="P330" s="2">
        <f t="shared" si="4"/>
        <v>249523.72999999998</v>
      </c>
    </row>
    <row r="331" spans="1:16" x14ac:dyDescent="0.3">
      <c r="A331">
        <v>48553</v>
      </c>
      <c r="B331" t="s">
        <v>406</v>
      </c>
      <c r="C331" t="s">
        <v>154</v>
      </c>
      <c r="D331" s="2">
        <v>0</v>
      </c>
      <c r="E331" s="2">
        <v>0</v>
      </c>
      <c r="F331" s="2">
        <v>0</v>
      </c>
      <c r="G331" s="2">
        <v>1647.47</v>
      </c>
      <c r="H331" s="2">
        <v>1647.47</v>
      </c>
      <c r="I331" s="2">
        <v>3294.93</v>
      </c>
      <c r="J331" s="2">
        <v>7295.38</v>
      </c>
      <c r="K331" s="2">
        <v>3647.69</v>
      </c>
      <c r="L331" s="2">
        <v>10943.07</v>
      </c>
      <c r="M331" s="2">
        <v>0</v>
      </c>
      <c r="N331" s="2">
        <v>0</v>
      </c>
      <c r="O331" s="2">
        <v>0</v>
      </c>
      <c r="P331" s="2">
        <f t="shared" si="4"/>
        <v>14238</v>
      </c>
    </row>
    <row r="332" spans="1:16" x14ac:dyDescent="0.3">
      <c r="A332">
        <v>49882</v>
      </c>
      <c r="B332" t="s">
        <v>407</v>
      </c>
      <c r="C332" t="s">
        <v>29</v>
      </c>
      <c r="D332" s="2">
        <v>510608.55</v>
      </c>
      <c r="E332" s="2">
        <v>510608.55</v>
      </c>
      <c r="F332" s="2">
        <v>1021217.1</v>
      </c>
      <c r="G332" s="2">
        <v>19477.900000000001</v>
      </c>
      <c r="H332" s="2">
        <v>19477.900000000001</v>
      </c>
      <c r="I332" s="2">
        <v>38955.800000000003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f t="shared" si="4"/>
        <v>1060172.8999999999</v>
      </c>
    </row>
    <row r="333" spans="1:16" x14ac:dyDescent="0.3">
      <c r="A333">
        <v>44347</v>
      </c>
      <c r="B333" t="s">
        <v>408</v>
      </c>
      <c r="C333" t="s">
        <v>63</v>
      </c>
      <c r="D333" s="2">
        <v>31683.24</v>
      </c>
      <c r="E333" s="2">
        <v>31683.24</v>
      </c>
      <c r="F333" s="2">
        <v>63366.48</v>
      </c>
      <c r="G333" s="2">
        <v>13019.25</v>
      </c>
      <c r="H333" s="2">
        <v>13019.25</v>
      </c>
      <c r="I333" s="2">
        <v>26038.51</v>
      </c>
      <c r="J333" s="2">
        <v>33263.550000000003</v>
      </c>
      <c r="K333" s="2">
        <v>16631.77</v>
      </c>
      <c r="L333" s="2">
        <v>49895.32</v>
      </c>
      <c r="M333" s="2">
        <v>0</v>
      </c>
      <c r="N333" s="2">
        <v>0</v>
      </c>
      <c r="O333" s="2">
        <v>0</v>
      </c>
      <c r="P333" s="2">
        <f t="shared" ref="P333:P396" si="5">F333+I333+L333+O333</f>
        <v>139300.31</v>
      </c>
    </row>
    <row r="334" spans="1:16" x14ac:dyDescent="0.3">
      <c r="A334">
        <v>45476</v>
      </c>
      <c r="B334" t="s">
        <v>409</v>
      </c>
      <c r="C334" t="s">
        <v>253</v>
      </c>
      <c r="D334" s="2">
        <v>3276711.25</v>
      </c>
      <c r="E334" s="2">
        <v>3276711.25</v>
      </c>
      <c r="F334" s="2">
        <v>6553422.5</v>
      </c>
      <c r="G334" s="2">
        <v>381345.47</v>
      </c>
      <c r="H334" s="2">
        <v>381345.47</v>
      </c>
      <c r="I334" s="2">
        <v>762690.94</v>
      </c>
      <c r="J334" s="2">
        <v>1018260.11</v>
      </c>
      <c r="K334" s="2">
        <v>509130.06</v>
      </c>
      <c r="L334" s="2">
        <v>1527390.17</v>
      </c>
      <c r="M334" s="2">
        <v>0</v>
      </c>
      <c r="N334" s="2">
        <v>0</v>
      </c>
      <c r="O334" s="2">
        <v>0</v>
      </c>
      <c r="P334" s="2">
        <f t="shared" si="5"/>
        <v>8843503.6099999994</v>
      </c>
    </row>
    <row r="335" spans="1:16" x14ac:dyDescent="0.3">
      <c r="A335">
        <v>50450</v>
      </c>
      <c r="B335" t="s">
        <v>410</v>
      </c>
      <c r="C335" t="s">
        <v>150</v>
      </c>
      <c r="D335" s="2">
        <v>4429194.3499999996</v>
      </c>
      <c r="E335" s="2">
        <v>4429194.3499999996</v>
      </c>
      <c r="F335" s="2">
        <v>8858388.6999999993</v>
      </c>
      <c r="G335" s="2">
        <v>23286.86</v>
      </c>
      <c r="H335" s="2">
        <v>23286.86</v>
      </c>
      <c r="I335" s="2">
        <v>46573.71</v>
      </c>
      <c r="J335" s="2">
        <v>478743.97</v>
      </c>
      <c r="K335" s="2">
        <v>239371.99</v>
      </c>
      <c r="L335" s="2">
        <v>718115.96</v>
      </c>
      <c r="M335" s="2">
        <v>0</v>
      </c>
      <c r="N335" s="2">
        <v>0</v>
      </c>
      <c r="O335" s="2">
        <v>0</v>
      </c>
      <c r="P335" s="2">
        <f t="shared" si="5"/>
        <v>9623078.370000001</v>
      </c>
    </row>
    <row r="336" spans="1:16" x14ac:dyDescent="0.3">
      <c r="A336">
        <v>44354</v>
      </c>
      <c r="B336" t="s">
        <v>411</v>
      </c>
      <c r="C336" t="s">
        <v>29</v>
      </c>
      <c r="D336" s="2">
        <v>401883.97</v>
      </c>
      <c r="E336" s="2">
        <v>350231.14</v>
      </c>
      <c r="F336" s="2">
        <v>752115.11</v>
      </c>
      <c r="G336" s="2">
        <v>11162.03</v>
      </c>
      <c r="H336" s="2">
        <v>62814.83</v>
      </c>
      <c r="I336" s="2">
        <v>73976.87</v>
      </c>
      <c r="J336" s="2">
        <v>625578.47</v>
      </c>
      <c r="K336" s="2">
        <v>244209.79</v>
      </c>
      <c r="L336" s="2">
        <v>869788.26</v>
      </c>
      <c r="M336" s="2">
        <v>0</v>
      </c>
      <c r="N336" s="2">
        <v>0</v>
      </c>
      <c r="O336" s="2">
        <v>0</v>
      </c>
      <c r="P336" s="2">
        <f t="shared" si="5"/>
        <v>1695880.24</v>
      </c>
    </row>
    <row r="337" spans="1:16" x14ac:dyDescent="0.3">
      <c r="A337">
        <v>50153</v>
      </c>
      <c r="B337" t="s">
        <v>412</v>
      </c>
      <c r="C337" t="s">
        <v>108</v>
      </c>
      <c r="D337" s="2">
        <v>164705.38</v>
      </c>
      <c r="E337" s="2">
        <v>164705.38</v>
      </c>
      <c r="F337" s="2">
        <v>329410.76</v>
      </c>
      <c r="G337" s="2">
        <v>7392.06</v>
      </c>
      <c r="H337" s="2">
        <v>7392.06</v>
      </c>
      <c r="I337" s="2">
        <v>14784.11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f t="shared" si="5"/>
        <v>344194.87</v>
      </c>
    </row>
    <row r="338" spans="1:16" x14ac:dyDescent="0.3">
      <c r="A338">
        <v>44362</v>
      </c>
      <c r="B338" t="s">
        <v>413</v>
      </c>
      <c r="C338" t="s">
        <v>39</v>
      </c>
      <c r="D338" s="2">
        <v>1862843.87</v>
      </c>
      <c r="E338" s="2">
        <v>1862843.87</v>
      </c>
      <c r="F338" s="2">
        <v>3725687.74</v>
      </c>
      <c r="G338" s="2">
        <v>20703.84</v>
      </c>
      <c r="H338" s="2">
        <v>20703.84</v>
      </c>
      <c r="I338" s="2">
        <v>41407.69</v>
      </c>
      <c r="J338" s="2">
        <v>145749.89000000001</v>
      </c>
      <c r="K338" s="2">
        <v>72874.95</v>
      </c>
      <c r="L338" s="2">
        <v>218624.84</v>
      </c>
      <c r="M338" s="2">
        <v>0</v>
      </c>
      <c r="N338" s="2">
        <v>0</v>
      </c>
      <c r="O338" s="2">
        <v>0</v>
      </c>
      <c r="P338" s="2">
        <f t="shared" si="5"/>
        <v>3985720.27</v>
      </c>
    </row>
    <row r="339" spans="1:16" x14ac:dyDescent="0.3">
      <c r="A339">
        <v>44370</v>
      </c>
      <c r="B339" t="s">
        <v>414</v>
      </c>
      <c r="C339" t="s">
        <v>68</v>
      </c>
      <c r="D339" s="2">
        <v>2473277.4</v>
      </c>
      <c r="E339" s="2">
        <v>2473277.4</v>
      </c>
      <c r="F339" s="2">
        <v>4946554.8</v>
      </c>
      <c r="G339" s="2">
        <v>22923.15</v>
      </c>
      <c r="H339" s="2">
        <v>22923.15</v>
      </c>
      <c r="I339" s="2">
        <v>45846.3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f t="shared" si="5"/>
        <v>4992401.0999999996</v>
      </c>
    </row>
    <row r="340" spans="1:16" x14ac:dyDescent="0.3">
      <c r="A340">
        <v>48850</v>
      </c>
      <c r="B340" t="s">
        <v>415</v>
      </c>
      <c r="C340" t="s">
        <v>232</v>
      </c>
      <c r="D340" s="2">
        <v>0</v>
      </c>
      <c r="E340" s="2">
        <v>0</v>
      </c>
      <c r="F340" s="2">
        <v>0</v>
      </c>
      <c r="G340" s="2">
        <v>2908.75</v>
      </c>
      <c r="H340" s="2">
        <v>2908.75</v>
      </c>
      <c r="I340" s="2">
        <v>5817.5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f t="shared" si="5"/>
        <v>5817.5</v>
      </c>
    </row>
    <row r="341" spans="1:16" x14ac:dyDescent="0.3">
      <c r="A341">
        <v>47456</v>
      </c>
      <c r="B341" t="s">
        <v>416</v>
      </c>
      <c r="C341" t="s">
        <v>43</v>
      </c>
      <c r="D341" s="2">
        <v>51431.77</v>
      </c>
      <c r="E341" s="2">
        <v>51431.77</v>
      </c>
      <c r="F341" s="2">
        <v>102863.54</v>
      </c>
      <c r="G341" s="2">
        <v>20731.63</v>
      </c>
      <c r="H341" s="2">
        <v>20731.63</v>
      </c>
      <c r="I341" s="2">
        <v>41463.26</v>
      </c>
      <c r="J341" s="2">
        <v>17000.77</v>
      </c>
      <c r="K341" s="2">
        <v>8500.3799999999992</v>
      </c>
      <c r="L341" s="2">
        <v>25501.15</v>
      </c>
      <c r="M341" s="2">
        <v>0</v>
      </c>
      <c r="N341" s="2">
        <v>0</v>
      </c>
      <c r="O341" s="2">
        <v>0</v>
      </c>
      <c r="P341" s="2">
        <f t="shared" si="5"/>
        <v>169827.94999999998</v>
      </c>
    </row>
    <row r="342" spans="1:16" x14ac:dyDescent="0.3">
      <c r="A342">
        <v>50229</v>
      </c>
      <c r="B342" t="s">
        <v>417</v>
      </c>
      <c r="C342" t="s">
        <v>108</v>
      </c>
      <c r="D342" s="2">
        <v>0</v>
      </c>
      <c r="E342" s="2">
        <v>0</v>
      </c>
      <c r="F342" s="2">
        <v>0</v>
      </c>
      <c r="G342" s="2">
        <v>2791.37</v>
      </c>
      <c r="H342" s="2">
        <v>558.27</v>
      </c>
      <c r="I342" s="2">
        <v>3349.65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f t="shared" si="5"/>
        <v>3349.65</v>
      </c>
    </row>
    <row r="343" spans="1:16" x14ac:dyDescent="0.3">
      <c r="A343">
        <v>45484</v>
      </c>
      <c r="B343" t="s">
        <v>418</v>
      </c>
      <c r="C343" t="s">
        <v>297</v>
      </c>
      <c r="D343" s="2">
        <v>0</v>
      </c>
      <c r="E343" s="2">
        <v>0</v>
      </c>
      <c r="F343" s="2">
        <v>0</v>
      </c>
      <c r="G343" s="2">
        <v>6176.79</v>
      </c>
      <c r="H343" s="2">
        <v>6176.79</v>
      </c>
      <c r="I343" s="2">
        <v>12353.58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f t="shared" si="5"/>
        <v>12353.58</v>
      </c>
    </row>
    <row r="344" spans="1:16" x14ac:dyDescent="0.3">
      <c r="A344">
        <v>44388</v>
      </c>
      <c r="B344" t="s">
        <v>419</v>
      </c>
      <c r="C344" t="s">
        <v>101</v>
      </c>
      <c r="D344" s="2">
        <v>2465058.2999999998</v>
      </c>
      <c r="E344" s="2">
        <v>2465058.2999999998</v>
      </c>
      <c r="F344" s="2">
        <v>4930116.5999999996</v>
      </c>
      <c r="G344" s="2">
        <v>58064.14</v>
      </c>
      <c r="H344" s="2">
        <v>0</v>
      </c>
      <c r="I344" s="2">
        <v>58064.14</v>
      </c>
      <c r="J344" s="2">
        <v>22918.38</v>
      </c>
      <c r="K344" s="2">
        <v>11459.19</v>
      </c>
      <c r="L344" s="2">
        <v>34377.57</v>
      </c>
      <c r="M344" s="2">
        <v>0</v>
      </c>
      <c r="N344" s="2">
        <v>0</v>
      </c>
      <c r="O344" s="2">
        <v>0</v>
      </c>
      <c r="P344" s="2">
        <f t="shared" si="5"/>
        <v>5022558.3099999996</v>
      </c>
    </row>
    <row r="345" spans="1:16" x14ac:dyDescent="0.3">
      <c r="A345">
        <v>48520</v>
      </c>
      <c r="B345" t="s">
        <v>420</v>
      </c>
      <c r="C345" t="s">
        <v>236</v>
      </c>
      <c r="D345" s="2">
        <v>0</v>
      </c>
      <c r="E345" s="2">
        <v>0</v>
      </c>
      <c r="F345" s="2">
        <v>0</v>
      </c>
      <c r="G345" s="2">
        <v>1728.77</v>
      </c>
      <c r="H345" s="2">
        <v>1728.77</v>
      </c>
      <c r="I345" s="2">
        <v>3457.54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f t="shared" si="5"/>
        <v>3457.54</v>
      </c>
    </row>
    <row r="346" spans="1:16" x14ac:dyDescent="0.3">
      <c r="A346">
        <v>45492</v>
      </c>
      <c r="B346" t="s">
        <v>421</v>
      </c>
      <c r="C346" t="s">
        <v>262</v>
      </c>
      <c r="D346" s="2">
        <v>4078649.97</v>
      </c>
      <c r="E346" s="2">
        <v>4078649.97</v>
      </c>
      <c r="F346" s="2">
        <v>8157299.9400000004</v>
      </c>
      <c r="G346" s="2">
        <v>55708.57</v>
      </c>
      <c r="H346" s="2">
        <v>55708.57</v>
      </c>
      <c r="I346" s="2">
        <v>111417.14</v>
      </c>
      <c r="J346" s="2">
        <v>285683.52</v>
      </c>
      <c r="K346" s="2">
        <v>134841.29</v>
      </c>
      <c r="L346" s="2">
        <v>420524.81</v>
      </c>
      <c r="M346" s="2">
        <v>0</v>
      </c>
      <c r="N346" s="2">
        <v>0</v>
      </c>
      <c r="O346" s="2">
        <v>0</v>
      </c>
      <c r="P346" s="2">
        <f t="shared" si="5"/>
        <v>8689241.8900000006</v>
      </c>
    </row>
    <row r="347" spans="1:16" x14ac:dyDescent="0.3">
      <c r="A347">
        <v>48629</v>
      </c>
      <c r="B347" t="s">
        <v>422</v>
      </c>
      <c r="C347" t="s">
        <v>92</v>
      </c>
      <c r="D347" s="2">
        <v>14338.39</v>
      </c>
      <c r="E347" s="2">
        <v>14338.39</v>
      </c>
      <c r="F347" s="2">
        <v>28676.78</v>
      </c>
      <c r="G347" s="2">
        <v>1801.73</v>
      </c>
      <c r="H347" s="2">
        <v>1801.73</v>
      </c>
      <c r="I347" s="2">
        <v>3603.47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f t="shared" si="5"/>
        <v>32280.25</v>
      </c>
    </row>
    <row r="348" spans="1:16" x14ac:dyDescent="0.3">
      <c r="A348">
        <v>46920</v>
      </c>
      <c r="B348" t="s">
        <v>423</v>
      </c>
      <c r="C348" t="s">
        <v>424</v>
      </c>
      <c r="D348" s="2">
        <v>179273.44</v>
      </c>
      <c r="E348" s="2">
        <v>179273.44</v>
      </c>
      <c r="F348" s="2">
        <v>358546.88</v>
      </c>
      <c r="G348" s="2">
        <v>12903.52</v>
      </c>
      <c r="H348" s="2">
        <v>12903.52</v>
      </c>
      <c r="I348" s="2">
        <v>25807.040000000001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f t="shared" si="5"/>
        <v>384353.92</v>
      </c>
    </row>
    <row r="349" spans="1:16" x14ac:dyDescent="0.3">
      <c r="A349">
        <v>44396</v>
      </c>
      <c r="B349" t="s">
        <v>425</v>
      </c>
      <c r="C349" t="s">
        <v>123</v>
      </c>
      <c r="D349" s="2">
        <v>1038434.09</v>
      </c>
      <c r="E349" s="2">
        <v>1038434.09</v>
      </c>
      <c r="F349" s="2">
        <v>2076868.18</v>
      </c>
      <c r="G349" s="2">
        <v>163051.95000000001</v>
      </c>
      <c r="H349" s="2">
        <v>163051.95000000001</v>
      </c>
      <c r="I349" s="2">
        <v>326103.90000000002</v>
      </c>
      <c r="J349" s="2">
        <v>453655.42</v>
      </c>
      <c r="K349" s="2">
        <v>226827.71</v>
      </c>
      <c r="L349" s="2">
        <v>680483.13</v>
      </c>
      <c r="M349" s="2">
        <v>0</v>
      </c>
      <c r="N349" s="2">
        <v>0</v>
      </c>
      <c r="O349" s="2">
        <v>0</v>
      </c>
      <c r="P349" s="2">
        <f t="shared" si="5"/>
        <v>3083455.21</v>
      </c>
    </row>
    <row r="350" spans="1:16" x14ac:dyDescent="0.3">
      <c r="A350">
        <v>48959</v>
      </c>
      <c r="B350" t="s">
        <v>426</v>
      </c>
      <c r="C350" t="s">
        <v>84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f t="shared" si="5"/>
        <v>0</v>
      </c>
    </row>
    <row r="351" spans="1:16" x14ac:dyDescent="0.3">
      <c r="A351">
        <v>44404</v>
      </c>
      <c r="B351" t="s">
        <v>427</v>
      </c>
      <c r="C351" t="s">
        <v>242</v>
      </c>
      <c r="D351" s="2">
        <v>0</v>
      </c>
      <c r="E351" s="2">
        <v>0</v>
      </c>
      <c r="F351" s="2">
        <v>0</v>
      </c>
      <c r="G351" s="2">
        <v>21710.86</v>
      </c>
      <c r="H351" s="2">
        <v>21710.86</v>
      </c>
      <c r="I351" s="2">
        <v>43421.72</v>
      </c>
      <c r="J351" s="2">
        <v>2958651.11</v>
      </c>
      <c r="K351" s="2">
        <v>1479325.55</v>
      </c>
      <c r="L351" s="2">
        <v>4437976.66</v>
      </c>
      <c r="M351" s="2">
        <v>28947.81</v>
      </c>
      <c r="N351" s="2">
        <v>0</v>
      </c>
      <c r="O351" s="2">
        <v>28947.81</v>
      </c>
      <c r="P351" s="2">
        <f t="shared" si="5"/>
        <v>4510346.1899999995</v>
      </c>
    </row>
    <row r="352" spans="1:16" x14ac:dyDescent="0.3">
      <c r="A352">
        <v>48173</v>
      </c>
      <c r="B352" t="s">
        <v>428</v>
      </c>
      <c r="C352" t="s">
        <v>33</v>
      </c>
      <c r="D352" s="2">
        <v>112426.21</v>
      </c>
      <c r="E352" s="2">
        <v>112426.21</v>
      </c>
      <c r="F352" s="2">
        <v>224852.42</v>
      </c>
      <c r="G352" s="2">
        <v>24364.33</v>
      </c>
      <c r="H352" s="2">
        <v>24364.33</v>
      </c>
      <c r="I352" s="2">
        <v>48728.66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f t="shared" si="5"/>
        <v>273581.08</v>
      </c>
    </row>
    <row r="353" spans="1:16" x14ac:dyDescent="0.3">
      <c r="A353">
        <v>45500</v>
      </c>
      <c r="B353" t="s">
        <v>429</v>
      </c>
      <c r="C353" t="s">
        <v>65</v>
      </c>
      <c r="D353" s="2">
        <v>781372.32</v>
      </c>
      <c r="E353" s="2">
        <v>781372.32</v>
      </c>
      <c r="F353" s="2">
        <v>1562744.64</v>
      </c>
      <c r="G353" s="2">
        <v>7795.54</v>
      </c>
      <c r="H353" s="2">
        <v>7795.54</v>
      </c>
      <c r="I353" s="2">
        <v>15591.08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f t="shared" si="5"/>
        <v>1578335.72</v>
      </c>
    </row>
    <row r="354" spans="1:16" x14ac:dyDescent="0.3">
      <c r="A354">
        <v>50633</v>
      </c>
      <c r="B354" t="s">
        <v>430</v>
      </c>
      <c r="C354" t="s">
        <v>128</v>
      </c>
      <c r="D354" s="2">
        <v>76730.5</v>
      </c>
      <c r="E354" s="2">
        <v>76730.5</v>
      </c>
      <c r="F354" s="2">
        <v>153461</v>
      </c>
      <c r="G354" s="2">
        <v>0</v>
      </c>
      <c r="H354" s="2">
        <v>0</v>
      </c>
      <c r="I354" s="2">
        <v>0</v>
      </c>
      <c r="J354" s="2">
        <v>15035.98</v>
      </c>
      <c r="K354" s="2">
        <v>7517.99</v>
      </c>
      <c r="L354" s="2">
        <v>22553.97</v>
      </c>
      <c r="M354" s="2">
        <v>0</v>
      </c>
      <c r="N354" s="2">
        <v>0</v>
      </c>
      <c r="O354" s="2">
        <v>0</v>
      </c>
      <c r="P354" s="2">
        <f t="shared" si="5"/>
        <v>176014.97</v>
      </c>
    </row>
    <row r="355" spans="1:16" x14ac:dyDescent="0.3">
      <c r="A355">
        <v>49361</v>
      </c>
      <c r="B355" t="s">
        <v>431</v>
      </c>
      <c r="C355" t="s">
        <v>194</v>
      </c>
      <c r="D355" s="2">
        <v>1183.69</v>
      </c>
      <c r="E355" s="2">
        <v>1183.69</v>
      </c>
      <c r="F355" s="2">
        <v>2367.38</v>
      </c>
      <c r="G355" s="2">
        <v>432.57</v>
      </c>
      <c r="H355" s="2">
        <v>432.57</v>
      </c>
      <c r="I355" s="2">
        <v>865.14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f t="shared" si="5"/>
        <v>3232.52</v>
      </c>
    </row>
    <row r="356" spans="1:16" x14ac:dyDescent="0.3">
      <c r="A356">
        <v>45518</v>
      </c>
      <c r="B356" t="s">
        <v>432</v>
      </c>
      <c r="C356" t="s">
        <v>92</v>
      </c>
      <c r="D356" s="2">
        <v>31974.75</v>
      </c>
      <c r="E356" s="2">
        <v>31974.75</v>
      </c>
      <c r="F356" s="2">
        <v>63949.5</v>
      </c>
      <c r="G356" s="2">
        <v>7488.45</v>
      </c>
      <c r="H356" s="2">
        <v>7488.45</v>
      </c>
      <c r="I356" s="2">
        <v>14976.9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f t="shared" si="5"/>
        <v>78926.399999999994</v>
      </c>
    </row>
    <row r="357" spans="1:16" x14ac:dyDescent="0.3">
      <c r="A357">
        <v>49890</v>
      </c>
      <c r="B357" t="s">
        <v>433</v>
      </c>
      <c r="C357" t="s">
        <v>29</v>
      </c>
      <c r="D357" s="2">
        <v>50606.58</v>
      </c>
      <c r="E357" s="2">
        <v>50606.58</v>
      </c>
      <c r="F357" s="2">
        <v>101213.16</v>
      </c>
      <c r="G357" s="2">
        <v>0</v>
      </c>
      <c r="H357" s="2">
        <v>0</v>
      </c>
      <c r="I357" s="2">
        <v>0</v>
      </c>
      <c r="J357" s="2">
        <v>149344.42000000001</v>
      </c>
      <c r="K357" s="2">
        <v>74672.210000000006</v>
      </c>
      <c r="L357" s="2">
        <v>224016.63</v>
      </c>
      <c r="M357" s="2">
        <v>0</v>
      </c>
      <c r="N357" s="2">
        <v>0</v>
      </c>
      <c r="O357" s="2">
        <v>0</v>
      </c>
      <c r="P357" s="2">
        <f t="shared" si="5"/>
        <v>325229.79000000004</v>
      </c>
    </row>
    <row r="358" spans="1:16" x14ac:dyDescent="0.3">
      <c r="A358">
        <v>49627</v>
      </c>
      <c r="B358" t="s">
        <v>434</v>
      </c>
      <c r="C358" t="s">
        <v>106</v>
      </c>
      <c r="D358" s="2">
        <v>0</v>
      </c>
      <c r="E358" s="2">
        <v>0</v>
      </c>
      <c r="F358" s="2">
        <v>0</v>
      </c>
      <c r="G358" s="2">
        <v>648.48</v>
      </c>
      <c r="H358" s="2">
        <v>648.48</v>
      </c>
      <c r="I358" s="2">
        <v>1296.95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f t="shared" si="5"/>
        <v>1296.95</v>
      </c>
    </row>
    <row r="359" spans="1:16" x14ac:dyDescent="0.3">
      <c r="A359">
        <v>45948</v>
      </c>
      <c r="B359" t="s">
        <v>435</v>
      </c>
      <c r="C359" t="s">
        <v>436</v>
      </c>
      <c r="D359" s="2">
        <v>507335.11</v>
      </c>
      <c r="E359" s="2">
        <v>507335.11</v>
      </c>
      <c r="F359" s="2">
        <v>1014670.22</v>
      </c>
      <c r="G359" s="2">
        <v>13624.84</v>
      </c>
      <c r="H359" s="2">
        <v>13624.84</v>
      </c>
      <c r="I359" s="2">
        <v>27249.68</v>
      </c>
      <c r="J359" s="2">
        <v>157041.75</v>
      </c>
      <c r="K359" s="2">
        <v>78520.88</v>
      </c>
      <c r="L359" s="2">
        <v>235562.63</v>
      </c>
      <c r="M359" s="2">
        <v>0</v>
      </c>
      <c r="N359" s="2">
        <v>0</v>
      </c>
      <c r="O359" s="2">
        <v>0</v>
      </c>
      <c r="P359" s="2">
        <f t="shared" si="5"/>
        <v>1277482.53</v>
      </c>
    </row>
    <row r="360" spans="1:16" x14ac:dyDescent="0.3">
      <c r="A360">
        <v>46672</v>
      </c>
      <c r="B360" t="s">
        <v>437</v>
      </c>
      <c r="C360" t="s">
        <v>37</v>
      </c>
      <c r="D360" s="2">
        <v>0</v>
      </c>
      <c r="E360" s="2">
        <v>0</v>
      </c>
      <c r="F360" s="2">
        <v>0</v>
      </c>
      <c r="G360" s="2">
        <v>992.92</v>
      </c>
      <c r="H360" s="2">
        <v>992.92</v>
      </c>
      <c r="I360" s="2">
        <v>1985.84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f t="shared" si="5"/>
        <v>1985.84</v>
      </c>
    </row>
    <row r="361" spans="1:16" x14ac:dyDescent="0.3">
      <c r="A361">
        <v>50039</v>
      </c>
      <c r="B361" t="s">
        <v>438</v>
      </c>
      <c r="C361" t="s">
        <v>23</v>
      </c>
      <c r="D361" s="2">
        <v>720459.31</v>
      </c>
      <c r="E361" s="2">
        <v>720459.31</v>
      </c>
      <c r="F361" s="2">
        <v>1440918.62</v>
      </c>
      <c r="G361" s="2">
        <v>38054.879999999997</v>
      </c>
      <c r="H361" s="2">
        <v>38054.879999999997</v>
      </c>
      <c r="I361" s="2">
        <v>76109.759999999995</v>
      </c>
      <c r="J361" s="2">
        <v>104566.47</v>
      </c>
      <c r="K361" s="2">
        <v>52283.23</v>
      </c>
      <c r="L361" s="2">
        <v>156849.70000000001</v>
      </c>
      <c r="M361" s="2">
        <v>0</v>
      </c>
      <c r="N361" s="2">
        <v>0</v>
      </c>
      <c r="O361" s="2">
        <v>0</v>
      </c>
      <c r="P361" s="2">
        <f t="shared" si="5"/>
        <v>1673878.08</v>
      </c>
    </row>
    <row r="362" spans="1:16" x14ac:dyDescent="0.3">
      <c r="A362">
        <v>50740</v>
      </c>
      <c r="B362" t="s">
        <v>439</v>
      </c>
      <c r="C362" t="s">
        <v>148</v>
      </c>
      <c r="D362" s="2">
        <v>0</v>
      </c>
      <c r="E362" s="2">
        <v>0</v>
      </c>
      <c r="F362" s="2">
        <v>0</v>
      </c>
      <c r="G362" s="2">
        <v>469.94</v>
      </c>
      <c r="H362" s="2">
        <v>469.94</v>
      </c>
      <c r="I362" s="2">
        <v>939.89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f t="shared" si="5"/>
        <v>939.89</v>
      </c>
    </row>
    <row r="363" spans="1:16" x14ac:dyDescent="0.3">
      <c r="A363">
        <v>139303</v>
      </c>
      <c r="B363" t="s">
        <v>440</v>
      </c>
      <c r="C363" t="s">
        <v>242</v>
      </c>
      <c r="D363" s="2">
        <v>23056</v>
      </c>
      <c r="E363" s="2">
        <v>21058.47</v>
      </c>
      <c r="F363" s="2">
        <v>44114.47</v>
      </c>
      <c r="G363" s="2">
        <v>0</v>
      </c>
      <c r="H363" s="2">
        <v>1997.53</v>
      </c>
      <c r="I363" s="2">
        <v>1997.53</v>
      </c>
      <c r="J363" s="2">
        <v>347139.91</v>
      </c>
      <c r="K363" s="2">
        <v>173569.95</v>
      </c>
      <c r="L363" s="2">
        <v>520709.86</v>
      </c>
      <c r="M363" s="2">
        <v>0</v>
      </c>
      <c r="N363" s="2">
        <v>0</v>
      </c>
      <c r="O363" s="2">
        <v>0</v>
      </c>
      <c r="P363" s="2">
        <f t="shared" si="5"/>
        <v>566821.86</v>
      </c>
    </row>
    <row r="364" spans="1:16" x14ac:dyDescent="0.3">
      <c r="A364">
        <v>47712</v>
      </c>
      <c r="B364" t="s">
        <v>441</v>
      </c>
      <c r="C364" t="s">
        <v>79</v>
      </c>
      <c r="D364" s="2">
        <v>53585.47</v>
      </c>
      <c r="E364" s="2">
        <v>53585.47</v>
      </c>
      <c r="F364" s="2">
        <v>107170.94</v>
      </c>
      <c r="G364" s="2">
        <v>5083.01</v>
      </c>
      <c r="H364" s="2">
        <v>5083.01</v>
      </c>
      <c r="I364" s="2">
        <v>10166.02</v>
      </c>
      <c r="J364" s="2">
        <v>20609.34</v>
      </c>
      <c r="K364" s="2">
        <v>10304.67</v>
      </c>
      <c r="L364" s="2">
        <v>30914.01</v>
      </c>
      <c r="M364" s="2">
        <v>0</v>
      </c>
      <c r="N364" s="2">
        <v>0</v>
      </c>
      <c r="O364" s="2">
        <v>0</v>
      </c>
      <c r="P364" s="2">
        <f t="shared" si="5"/>
        <v>148250.97</v>
      </c>
    </row>
    <row r="365" spans="1:16" x14ac:dyDescent="0.3">
      <c r="A365">
        <v>45526</v>
      </c>
      <c r="B365" t="s">
        <v>442</v>
      </c>
      <c r="C365" t="s">
        <v>128</v>
      </c>
      <c r="D365" s="2">
        <v>155094.68</v>
      </c>
      <c r="E365" s="2">
        <v>155094.68</v>
      </c>
      <c r="F365" s="2">
        <v>310189.36</v>
      </c>
      <c r="G365" s="2">
        <v>21357.73</v>
      </c>
      <c r="H365" s="2">
        <v>21357.73</v>
      </c>
      <c r="I365" s="2">
        <v>42715.46</v>
      </c>
      <c r="J365" s="2">
        <v>12546.15</v>
      </c>
      <c r="K365" s="2">
        <v>6273.08</v>
      </c>
      <c r="L365" s="2">
        <v>18819.23</v>
      </c>
      <c r="M365" s="2">
        <v>0</v>
      </c>
      <c r="N365" s="2">
        <v>0</v>
      </c>
      <c r="O365" s="2">
        <v>0</v>
      </c>
      <c r="P365" s="2">
        <f t="shared" si="5"/>
        <v>371724.05</v>
      </c>
    </row>
    <row r="366" spans="1:16" x14ac:dyDescent="0.3">
      <c r="A366">
        <v>48777</v>
      </c>
      <c r="B366" t="s">
        <v>443</v>
      </c>
      <c r="C366" t="s">
        <v>444</v>
      </c>
      <c r="D366" s="2">
        <v>0</v>
      </c>
      <c r="E366" s="2">
        <v>0</v>
      </c>
      <c r="F366" s="2">
        <v>0</v>
      </c>
      <c r="G366" s="2">
        <v>1969.47</v>
      </c>
      <c r="H366" s="2">
        <v>1969.47</v>
      </c>
      <c r="I366" s="2">
        <v>3938.94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f t="shared" si="5"/>
        <v>3938.94</v>
      </c>
    </row>
    <row r="367" spans="1:16" x14ac:dyDescent="0.3">
      <c r="A367">
        <v>45534</v>
      </c>
      <c r="B367" t="s">
        <v>445</v>
      </c>
      <c r="C367" t="s">
        <v>146</v>
      </c>
      <c r="D367" s="2">
        <v>36095.050000000003</v>
      </c>
      <c r="E367" s="2">
        <v>36095.050000000003</v>
      </c>
      <c r="F367" s="2">
        <v>72190.100000000006</v>
      </c>
      <c r="G367" s="2">
        <v>2516.67</v>
      </c>
      <c r="H367" s="2">
        <v>2516.67</v>
      </c>
      <c r="I367" s="2">
        <v>5033.3500000000004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f t="shared" si="5"/>
        <v>77223.450000000012</v>
      </c>
    </row>
    <row r="368" spans="1:16" x14ac:dyDescent="0.3">
      <c r="A368">
        <v>44412</v>
      </c>
      <c r="B368" t="s">
        <v>446</v>
      </c>
      <c r="C368" t="s">
        <v>168</v>
      </c>
      <c r="D368" s="2">
        <v>35914.58</v>
      </c>
      <c r="E368" s="2">
        <v>35914.58</v>
      </c>
      <c r="F368" s="2">
        <v>71829.16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f t="shared" si="5"/>
        <v>71829.16</v>
      </c>
    </row>
    <row r="369" spans="1:16" x14ac:dyDescent="0.3">
      <c r="A369">
        <v>44420</v>
      </c>
      <c r="B369" t="s">
        <v>447</v>
      </c>
      <c r="C369" t="s">
        <v>156</v>
      </c>
      <c r="D369" s="2">
        <v>268990.15999999997</v>
      </c>
      <c r="E369" s="2">
        <v>268990.15999999997</v>
      </c>
      <c r="F369" s="2">
        <v>537980.31999999995</v>
      </c>
      <c r="G369" s="2">
        <v>53377.19</v>
      </c>
      <c r="H369" s="2">
        <v>53377.19</v>
      </c>
      <c r="I369" s="2">
        <v>106754.37</v>
      </c>
      <c r="J369" s="2">
        <v>301335.49</v>
      </c>
      <c r="K369" s="2">
        <v>150667.74</v>
      </c>
      <c r="L369" s="2">
        <v>452003.23</v>
      </c>
      <c r="M369" s="2">
        <v>0</v>
      </c>
      <c r="N369" s="2">
        <v>0</v>
      </c>
      <c r="O369" s="2">
        <v>0</v>
      </c>
      <c r="P369" s="2">
        <f t="shared" si="5"/>
        <v>1096737.92</v>
      </c>
    </row>
    <row r="370" spans="1:16" x14ac:dyDescent="0.3">
      <c r="A370">
        <v>44438</v>
      </c>
      <c r="B370" t="s">
        <v>448</v>
      </c>
      <c r="C370" t="s">
        <v>320</v>
      </c>
      <c r="D370" s="2">
        <v>1209867.74</v>
      </c>
      <c r="E370" s="2">
        <v>1209867.74</v>
      </c>
      <c r="F370" s="2">
        <v>2419735.48</v>
      </c>
      <c r="G370" s="2">
        <v>46248.26</v>
      </c>
      <c r="H370" s="2">
        <v>46248.26</v>
      </c>
      <c r="I370" s="2">
        <v>92496.52</v>
      </c>
      <c r="J370" s="2">
        <v>13261.64</v>
      </c>
      <c r="K370" s="2">
        <v>6630.82</v>
      </c>
      <c r="L370" s="2">
        <v>19892.46</v>
      </c>
      <c r="M370" s="2">
        <v>0</v>
      </c>
      <c r="N370" s="2">
        <v>0</v>
      </c>
      <c r="O370" s="2">
        <v>0</v>
      </c>
      <c r="P370" s="2">
        <f t="shared" si="5"/>
        <v>2532124.46</v>
      </c>
    </row>
    <row r="371" spans="1:16" x14ac:dyDescent="0.3">
      <c r="A371">
        <v>49270</v>
      </c>
      <c r="B371" t="s">
        <v>449</v>
      </c>
      <c r="C371" t="s">
        <v>188</v>
      </c>
      <c r="D371" s="2">
        <v>0</v>
      </c>
      <c r="E371" s="2">
        <v>0</v>
      </c>
      <c r="F371" s="2">
        <v>0</v>
      </c>
      <c r="G371" s="2">
        <v>986.85</v>
      </c>
      <c r="H371" s="2">
        <v>986.85</v>
      </c>
      <c r="I371" s="2">
        <v>1973.7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f t="shared" si="5"/>
        <v>1973.7</v>
      </c>
    </row>
    <row r="372" spans="1:16" x14ac:dyDescent="0.3">
      <c r="A372">
        <v>44446</v>
      </c>
      <c r="B372" t="s">
        <v>450</v>
      </c>
      <c r="C372" t="s">
        <v>25</v>
      </c>
      <c r="D372" s="2">
        <v>0</v>
      </c>
      <c r="E372" s="2">
        <v>0</v>
      </c>
      <c r="F372" s="2">
        <v>0</v>
      </c>
      <c r="G372" s="2">
        <v>814.97</v>
      </c>
      <c r="H372" s="2">
        <v>814.97</v>
      </c>
      <c r="I372" s="2">
        <v>1629.93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f t="shared" si="5"/>
        <v>1629.93</v>
      </c>
    </row>
    <row r="373" spans="1:16" x14ac:dyDescent="0.3">
      <c r="A373">
        <v>46995</v>
      </c>
      <c r="B373" t="s">
        <v>451</v>
      </c>
      <c r="C373" t="s">
        <v>97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37382.25</v>
      </c>
      <c r="K373" s="2">
        <v>18691.13</v>
      </c>
      <c r="L373" s="2">
        <v>56073.38</v>
      </c>
      <c r="M373" s="2">
        <v>0</v>
      </c>
      <c r="N373" s="2">
        <v>0</v>
      </c>
      <c r="O373" s="2">
        <v>0</v>
      </c>
      <c r="P373" s="2">
        <f t="shared" si="5"/>
        <v>56073.38</v>
      </c>
    </row>
    <row r="374" spans="1:16" x14ac:dyDescent="0.3">
      <c r="A374">
        <v>44461</v>
      </c>
      <c r="B374" t="s">
        <v>452</v>
      </c>
      <c r="C374" t="s">
        <v>106</v>
      </c>
      <c r="D374" s="2">
        <v>31869.81</v>
      </c>
      <c r="E374" s="2">
        <v>31869.81</v>
      </c>
      <c r="F374" s="2">
        <v>63739.62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f t="shared" si="5"/>
        <v>63739.62</v>
      </c>
    </row>
    <row r="375" spans="1:16" x14ac:dyDescent="0.3">
      <c r="A375">
        <v>45955</v>
      </c>
      <c r="B375" t="s">
        <v>453</v>
      </c>
      <c r="C375" t="s">
        <v>436</v>
      </c>
      <c r="D375" s="2">
        <v>335839.21</v>
      </c>
      <c r="E375" s="2">
        <v>335839.21</v>
      </c>
      <c r="F375" s="2">
        <v>671678.42</v>
      </c>
      <c r="G375" s="2">
        <v>7620.55</v>
      </c>
      <c r="H375" s="2">
        <v>7620.55</v>
      </c>
      <c r="I375" s="2">
        <v>15241.1</v>
      </c>
      <c r="J375" s="2">
        <v>87132.75</v>
      </c>
      <c r="K375" s="2">
        <v>43566.37</v>
      </c>
      <c r="L375" s="2">
        <v>130699.12</v>
      </c>
      <c r="M375" s="2">
        <v>0</v>
      </c>
      <c r="N375" s="2">
        <v>0</v>
      </c>
      <c r="O375" s="2">
        <v>0</v>
      </c>
      <c r="P375" s="2">
        <f t="shared" si="5"/>
        <v>817618.64</v>
      </c>
    </row>
    <row r="376" spans="1:16" x14ac:dyDescent="0.3">
      <c r="A376">
        <v>45963</v>
      </c>
      <c r="B376" t="s">
        <v>454</v>
      </c>
      <c r="C376" t="s">
        <v>436</v>
      </c>
      <c r="D376" s="2">
        <v>9703.15</v>
      </c>
      <c r="E376" s="2">
        <v>9703.15</v>
      </c>
      <c r="F376" s="2">
        <v>19406.3</v>
      </c>
      <c r="G376" s="2">
        <v>1453.04</v>
      </c>
      <c r="H376" s="2">
        <v>1453.04</v>
      </c>
      <c r="I376" s="2">
        <v>2906.07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f t="shared" si="5"/>
        <v>22312.37</v>
      </c>
    </row>
    <row r="377" spans="1:16" x14ac:dyDescent="0.3">
      <c r="A377">
        <v>48710</v>
      </c>
      <c r="B377" t="s">
        <v>455</v>
      </c>
      <c r="C377" t="s">
        <v>123</v>
      </c>
      <c r="D377" s="2">
        <v>0</v>
      </c>
      <c r="E377" s="2">
        <v>0</v>
      </c>
      <c r="F377" s="2">
        <v>0</v>
      </c>
      <c r="G377" s="2">
        <v>2209.48</v>
      </c>
      <c r="H377" s="2">
        <v>2209.48</v>
      </c>
      <c r="I377" s="2">
        <v>4418.96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f t="shared" si="5"/>
        <v>4418.96</v>
      </c>
    </row>
    <row r="378" spans="1:16" x14ac:dyDescent="0.3">
      <c r="A378">
        <v>44479</v>
      </c>
      <c r="B378" t="s">
        <v>456</v>
      </c>
      <c r="C378" t="s">
        <v>210</v>
      </c>
      <c r="D378" s="2">
        <v>0</v>
      </c>
      <c r="E378" s="2">
        <v>0</v>
      </c>
      <c r="F378" s="2">
        <v>0</v>
      </c>
      <c r="G378" s="2">
        <v>2974.01</v>
      </c>
      <c r="H378" s="2">
        <v>2974.01</v>
      </c>
      <c r="I378" s="2">
        <v>5948.01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f t="shared" si="5"/>
        <v>5948.01</v>
      </c>
    </row>
    <row r="379" spans="1:16" x14ac:dyDescent="0.3">
      <c r="A379">
        <v>47720</v>
      </c>
      <c r="B379" t="s">
        <v>457</v>
      </c>
      <c r="C379" t="s">
        <v>79</v>
      </c>
      <c r="D379" s="2">
        <v>0</v>
      </c>
      <c r="E379" s="2">
        <v>0</v>
      </c>
      <c r="F379" s="2">
        <v>0</v>
      </c>
      <c r="G379" s="2">
        <v>1031.6099999999999</v>
      </c>
      <c r="H379" s="2">
        <v>1031.6099999999999</v>
      </c>
      <c r="I379" s="2">
        <v>2063.23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f t="shared" si="5"/>
        <v>2063.23</v>
      </c>
    </row>
    <row r="380" spans="1:16" x14ac:dyDescent="0.3">
      <c r="A380">
        <v>46136</v>
      </c>
      <c r="B380" t="s">
        <v>458</v>
      </c>
      <c r="C380" t="s">
        <v>242</v>
      </c>
      <c r="D380" s="2">
        <v>0</v>
      </c>
      <c r="E380" s="2">
        <v>0</v>
      </c>
      <c r="F380" s="2">
        <v>0</v>
      </c>
      <c r="G380" s="2">
        <v>1326.45</v>
      </c>
      <c r="H380" s="2">
        <v>1326.45</v>
      </c>
      <c r="I380" s="2">
        <v>2652.91</v>
      </c>
      <c r="J380" s="2">
        <v>4207.45</v>
      </c>
      <c r="K380" s="2">
        <v>2103.7199999999998</v>
      </c>
      <c r="L380" s="2">
        <v>6311.17</v>
      </c>
      <c r="M380" s="2">
        <v>0</v>
      </c>
      <c r="N380" s="2">
        <v>0</v>
      </c>
      <c r="O380" s="2">
        <v>0</v>
      </c>
      <c r="P380" s="2">
        <f t="shared" si="5"/>
        <v>8964.08</v>
      </c>
    </row>
    <row r="381" spans="1:16" x14ac:dyDescent="0.3">
      <c r="A381">
        <v>44487</v>
      </c>
      <c r="B381" t="s">
        <v>459</v>
      </c>
      <c r="C381" t="s">
        <v>175</v>
      </c>
      <c r="D381" s="2">
        <v>390713.16</v>
      </c>
      <c r="E381" s="2">
        <v>390713.16</v>
      </c>
      <c r="F381" s="2">
        <v>781426.32</v>
      </c>
      <c r="G381" s="2">
        <v>13299.6</v>
      </c>
      <c r="H381" s="2">
        <v>13299.6</v>
      </c>
      <c r="I381" s="2">
        <v>26599.21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f t="shared" si="5"/>
        <v>808025.52999999991</v>
      </c>
    </row>
    <row r="382" spans="1:16" x14ac:dyDescent="0.3">
      <c r="A382">
        <v>45559</v>
      </c>
      <c r="B382" t="s">
        <v>460</v>
      </c>
      <c r="C382" t="s">
        <v>65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f t="shared" si="5"/>
        <v>0</v>
      </c>
    </row>
    <row r="383" spans="1:16" x14ac:dyDescent="0.3">
      <c r="A383">
        <v>49718</v>
      </c>
      <c r="B383" t="s">
        <v>461</v>
      </c>
      <c r="C383" t="s">
        <v>95</v>
      </c>
      <c r="D383" s="2">
        <v>0</v>
      </c>
      <c r="E383" s="2">
        <v>0</v>
      </c>
      <c r="F383" s="2">
        <v>0</v>
      </c>
      <c r="G383" s="2">
        <v>282.36</v>
      </c>
      <c r="H383" s="2">
        <v>282.36</v>
      </c>
      <c r="I383" s="2">
        <v>564.72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f t="shared" si="5"/>
        <v>564.72</v>
      </c>
    </row>
    <row r="384" spans="1:16" x14ac:dyDescent="0.3">
      <c r="A384">
        <v>44453</v>
      </c>
      <c r="B384" t="s">
        <v>462</v>
      </c>
      <c r="C384" t="s">
        <v>301</v>
      </c>
      <c r="D384" s="2">
        <v>0</v>
      </c>
      <c r="E384" s="2">
        <v>0</v>
      </c>
      <c r="F384" s="2">
        <v>0</v>
      </c>
      <c r="G384" s="2">
        <v>66502.509999999995</v>
      </c>
      <c r="H384" s="2">
        <v>66502.509999999995</v>
      </c>
      <c r="I384" s="2">
        <v>133005.01999999999</v>
      </c>
      <c r="J384" s="2">
        <v>45225.66</v>
      </c>
      <c r="K384" s="2">
        <v>22612.83</v>
      </c>
      <c r="L384" s="2">
        <v>67838.490000000005</v>
      </c>
      <c r="M384" s="2">
        <v>0</v>
      </c>
      <c r="N384" s="2">
        <v>0</v>
      </c>
      <c r="O384" s="2">
        <v>0</v>
      </c>
      <c r="P384" s="2">
        <f t="shared" si="5"/>
        <v>200843.51</v>
      </c>
    </row>
    <row r="385" spans="1:16" x14ac:dyDescent="0.3">
      <c r="A385">
        <v>47217</v>
      </c>
      <c r="B385" t="s">
        <v>463</v>
      </c>
      <c r="C385" t="s">
        <v>87</v>
      </c>
      <c r="D385" s="2">
        <v>165130.65</v>
      </c>
      <c r="E385" s="2">
        <v>165130.65</v>
      </c>
      <c r="F385" s="2">
        <v>330261.3</v>
      </c>
      <c r="G385" s="2">
        <v>3320.82</v>
      </c>
      <c r="H385" s="2">
        <v>3320.82</v>
      </c>
      <c r="I385" s="2">
        <v>6641.64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f t="shared" si="5"/>
        <v>336902.94</v>
      </c>
    </row>
    <row r="386" spans="1:16" x14ac:dyDescent="0.3">
      <c r="A386">
        <v>45542</v>
      </c>
      <c r="B386" t="s">
        <v>464</v>
      </c>
      <c r="C386" t="s">
        <v>175</v>
      </c>
      <c r="D386" s="2">
        <v>80074.75</v>
      </c>
      <c r="E386" s="2">
        <v>80074.75</v>
      </c>
      <c r="F386" s="2">
        <v>160149.5</v>
      </c>
      <c r="G386" s="2">
        <v>2224.92</v>
      </c>
      <c r="H386" s="2">
        <v>2224.92</v>
      </c>
      <c r="I386" s="2">
        <v>4449.83</v>
      </c>
      <c r="J386" s="2">
        <v>63042.81</v>
      </c>
      <c r="K386" s="2">
        <v>30114.2</v>
      </c>
      <c r="L386" s="2">
        <v>93157.01</v>
      </c>
      <c r="M386" s="2">
        <v>0</v>
      </c>
      <c r="N386" s="2">
        <v>0</v>
      </c>
      <c r="O386" s="2">
        <v>0</v>
      </c>
      <c r="P386" s="2">
        <f t="shared" si="5"/>
        <v>257756.33999999997</v>
      </c>
    </row>
    <row r="387" spans="1:16" x14ac:dyDescent="0.3">
      <c r="A387">
        <v>45567</v>
      </c>
      <c r="B387" t="s">
        <v>465</v>
      </c>
      <c r="C387" t="s">
        <v>108</v>
      </c>
      <c r="D387" s="2">
        <v>0</v>
      </c>
      <c r="E387" s="2">
        <v>0</v>
      </c>
      <c r="F387" s="2">
        <v>0</v>
      </c>
      <c r="G387" s="2">
        <v>1642.02</v>
      </c>
      <c r="H387" s="2">
        <v>1642.02</v>
      </c>
      <c r="I387" s="2">
        <v>3284.03</v>
      </c>
      <c r="J387" s="2">
        <v>26155.09</v>
      </c>
      <c r="K387" s="2">
        <v>13077.54</v>
      </c>
      <c r="L387" s="2">
        <v>39232.629999999997</v>
      </c>
      <c r="M387" s="2">
        <v>0</v>
      </c>
      <c r="N387" s="2">
        <v>0</v>
      </c>
      <c r="O387" s="2">
        <v>0</v>
      </c>
      <c r="P387" s="2">
        <f t="shared" si="5"/>
        <v>42516.659999999996</v>
      </c>
    </row>
    <row r="388" spans="1:16" x14ac:dyDescent="0.3">
      <c r="A388">
        <v>48637</v>
      </c>
      <c r="B388" t="s">
        <v>466</v>
      </c>
      <c r="C388" t="s">
        <v>92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f t="shared" si="5"/>
        <v>0</v>
      </c>
    </row>
    <row r="389" spans="1:16" x14ac:dyDescent="0.3">
      <c r="A389">
        <v>44495</v>
      </c>
      <c r="B389" t="s">
        <v>467</v>
      </c>
      <c r="C389" t="s">
        <v>108</v>
      </c>
      <c r="D389" s="2">
        <v>121925.16</v>
      </c>
      <c r="E389" s="2">
        <v>121925.16</v>
      </c>
      <c r="F389" s="2">
        <v>243850.32</v>
      </c>
      <c r="G389" s="2">
        <v>5415.74</v>
      </c>
      <c r="H389" s="2">
        <v>5415.74</v>
      </c>
      <c r="I389" s="2">
        <v>10831.47</v>
      </c>
      <c r="J389" s="2">
        <v>147562.78</v>
      </c>
      <c r="K389" s="2">
        <v>73781.39</v>
      </c>
      <c r="L389" s="2">
        <v>221344.17</v>
      </c>
      <c r="M389" s="2">
        <v>0</v>
      </c>
      <c r="N389" s="2">
        <v>0</v>
      </c>
      <c r="O389" s="2">
        <v>0</v>
      </c>
      <c r="P389" s="2">
        <f t="shared" si="5"/>
        <v>476025.96</v>
      </c>
    </row>
    <row r="390" spans="1:16" x14ac:dyDescent="0.3">
      <c r="A390">
        <v>48900</v>
      </c>
      <c r="B390" t="s">
        <v>468</v>
      </c>
      <c r="C390" t="s">
        <v>136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f t="shared" si="5"/>
        <v>0</v>
      </c>
    </row>
    <row r="391" spans="1:16" x14ac:dyDescent="0.3">
      <c r="A391">
        <v>50047</v>
      </c>
      <c r="B391" t="s">
        <v>469</v>
      </c>
      <c r="C391" t="s">
        <v>23</v>
      </c>
      <c r="D391" s="2">
        <v>1240395.22</v>
      </c>
      <c r="E391" s="2">
        <v>1240395.22</v>
      </c>
      <c r="F391" s="2">
        <v>2480790.44</v>
      </c>
      <c r="G391" s="2">
        <v>30078.03</v>
      </c>
      <c r="H391" s="2">
        <v>0</v>
      </c>
      <c r="I391" s="2">
        <v>30078.04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f t="shared" si="5"/>
        <v>2510868.48</v>
      </c>
    </row>
    <row r="392" spans="1:16" x14ac:dyDescent="0.3">
      <c r="A392">
        <v>50708</v>
      </c>
      <c r="B392" t="s">
        <v>470</v>
      </c>
      <c r="C392" t="s">
        <v>113</v>
      </c>
      <c r="D392" s="2">
        <v>153363.18</v>
      </c>
      <c r="E392" s="2">
        <v>153363.18</v>
      </c>
      <c r="F392" s="2">
        <v>306726.36</v>
      </c>
      <c r="G392" s="2">
        <v>11114.42</v>
      </c>
      <c r="H392" s="2">
        <v>11114.42</v>
      </c>
      <c r="I392" s="2">
        <v>22228.83</v>
      </c>
      <c r="J392" s="2">
        <v>39076.32</v>
      </c>
      <c r="K392" s="2">
        <v>19538.16</v>
      </c>
      <c r="L392" s="2">
        <v>58614.48</v>
      </c>
      <c r="M392" s="2">
        <v>0</v>
      </c>
      <c r="N392" s="2">
        <v>0</v>
      </c>
      <c r="O392" s="2">
        <v>0</v>
      </c>
      <c r="P392" s="2">
        <f t="shared" si="5"/>
        <v>387569.67</v>
      </c>
    </row>
    <row r="393" spans="1:16" x14ac:dyDescent="0.3">
      <c r="A393">
        <v>48967</v>
      </c>
      <c r="B393" t="s">
        <v>471</v>
      </c>
      <c r="C393" t="s">
        <v>84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f t="shared" si="5"/>
        <v>0</v>
      </c>
    </row>
    <row r="394" spans="1:16" x14ac:dyDescent="0.3">
      <c r="A394">
        <v>44503</v>
      </c>
      <c r="B394" t="s">
        <v>472</v>
      </c>
      <c r="C394" t="s">
        <v>29</v>
      </c>
      <c r="D394" s="2">
        <v>936677.02</v>
      </c>
      <c r="E394" s="2">
        <v>936677.02</v>
      </c>
      <c r="F394" s="2">
        <v>1873354.04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f t="shared" si="5"/>
        <v>1873354.04</v>
      </c>
    </row>
    <row r="395" spans="1:16" x14ac:dyDescent="0.3">
      <c r="A395">
        <v>50567</v>
      </c>
      <c r="B395" t="s">
        <v>473</v>
      </c>
      <c r="C395" t="s">
        <v>166</v>
      </c>
      <c r="D395" s="2">
        <v>0</v>
      </c>
      <c r="E395" s="2">
        <v>0</v>
      </c>
      <c r="F395" s="2">
        <v>0</v>
      </c>
      <c r="G395" s="2">
        <v>5613.69</v>
      </c>
      <c r="H395" s="2">
        <v>5613.69</v>
      </c>
      <c r="I395" s="2">
        <v>11227.38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f t="shared" si="5"/>
        <v>11227.38</v>
      </c>
    </row>
    <row r="396" spans="1:16" x14ac:dyDescent="0.3">
      <c r="A396">
        <v>50641</v>
      </c>
      <c r="B396" t="s">
        <v>473</v>
      </c>
      <c r="C396" t="s">
        <v>128</v>
      </c>
      <c r="D396" s="2">
        <v>216223.97</v>
      </c>
      <c r="E396" s="2">
        <v>216223.97</v>
      </c>
      <c r="F396" s="2">
        <v>432447.94</v>
      </c>
      <c r="G396" s="2">
        <v>20417.580000000002</v>
      </c>
      <c r="H396" s="2">
        <v>20417.580000000002</v>
      </c>
      <c r="I396" s="2">
        <v>40835.160000000003</v>
      </c>
      <c r="J396" s="2">
        <v>20812.53</v>
      </c>
      <c r="K396" s="2">
        <v>37809.42</v>
      </c>
      <c r="L396" s="2">
        <v>58621.95</v>
      </c>
      <c r="M396" s="2">
        <v>0</v>
      </c>
      <c r="N396" s="2">
        <v>0</v>
      </c>
      <c r="O396" s="2">
        <v>0</v>
      </c>
      <c r="P396" s="2">
        <f t="shared" si="5"/>
        <v>531905.04999999993</v>
      </c>
    </row>
    <row r="397" spans="1:16" x14ac:dyDescent="0.3">
      <c r="A397">
        <v>44511</v>
      </c>
      <c r="B397" t="s">
        <v>474</v>
      </c>
      <c r="C397" t="s">
        <v>168</v>
      </c>
      <c r="D397" s="2">
        <v>1477.95</v>
      </c>
      <c r="E397" s="2">
        <v>1477.95</v>
      </c>
      <c r="F397" s="2">
        <v>2955.9</v>
      </c>
      <c r="G397" s="2">
        <v>6082.5</v>
      </c>
      <c r="H397" s="2">
        <v>6082.5</v>
      </c>
      <c r="I397" s="2">
        <v>12165.01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f t="shared" ref="P397:P460" si="6">F397+I397+L397+O397</f>
        <v>15120.91</v>
      </c>
    </row>
    <row r="398" spans="1:16" x14ac:dyDescent="0.3">
      <c r="A398">
        <v>48025</v>
      </c>
      <c r="B398" t="s">
        <v>475</v>
      </c>
      <c r="C398" t="s">
        <v>301</v>
      </c>
      <c r="D398" s="2">
        <v>0</v>
      </c>
      <c r="E398" s="2">
        <v>0</v>
      </c>
      <c r="F398" s="2">
        <v>0</v>
      </c>
      <c r="G398" s="2">
        <v>2950.64</v>
      </c>
      <c r="H398" s="2">
        <v>2950.64</v>
      </c>
      <c r="I398" s="2">
        <v>5901.29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f t="shared" si="6"/>
        <v>5901.29</v>
      </c>
    </row>
    <row r="399" spans="1:16" x14ac:dyDescent="0.3">
      <c r="A399">
        <v>44529</v>
      </c>
      <c r="B399" t="s">
        <v>476</v>
      </c>
      <c r="C399" t="s">
        <v>68</v>
      </c>
      <c r="D399" s="2">
        <v>1142763.6299999999</v>
      </c>
      <c r="E399" s="2">
        <v>1142763.6299999999</v>
      </c>
      <c r="F399" s="2">
        <v>2285527.2599999998</v>
      </c>
      <c r="G399" s="2">
        <v>30653.75</v>
      </c>
      <c r="H399" s="2">
        <v>30653.75</v>
      </c>
      <c r="I399" s="2">
        <v>61307.49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f t="shared" si="6"/>
        <v>2346834.75</v>
      </c>
    </row>
    <row r="400" spans="1:16" x14ac:dyDescent="0.3">
      <c r="A400">
        <v>44537</v>
      </c>
      <c r="B400" t="s">
        <v>477</v>
      </c>
      <c r="C400" t="s">
        <v>33</v>
      </c>
      <c r="D400" s="2">
        <v>156992.46</v>
      </c>
      <c r="E400" s="2">
        <v>156992.46</v>
      </c>
      <c r="F400" s="2">
        <v>313984.92</v>
      </c>
      <c r="G400" s="2">
        <v>25071.23</v>
      </c>
      <c r="H400" s="2">
        <v>25071.23</v>
      </c>
      <c r="I400" s="2">
        <v>50142.47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f t="shared" si="6"/>
        <v>364127.39</v>
      </c>
    </row>
    <row r="401" spans="1:16" x14ac:dyDescent="0.3">
      <c r="A401">
        <v>44545</v>
      </c>
      <c r="B401" t="s">
        <v>478</v>
      </c>
      <c r="C401" t="s">
        <v>68</v>
      </c>
      <c r="D401" s="2">
        <v>145151.22</v>
      </c>
      <c r="E401" s="2">
        <v>145151.22</v>
      </c>
      <c r="F401" s="2">
        <v>290302.44</v>
      </c>
      <c r="G401" s="2">
        <v>9638.49</v>
      </c>
      <c r="H401" s="2">
        <v>9638.49</v>
      </c>
      <c r="I401" s="2">
        <v>19276.98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f t="shared" si="6"/>
        <v>309579.42</v>
      </c>
    </row>
    <row r="402" spans="1:16" x14ac:dyDescent="0.3">
      <c r="A402">
        <v>50336</v>
      </c>
      <c r="B402" t="s">
        <v>479</v>
      </c>
      <c r="C402" t="s">
        <v>253</v>
      </c>
      <c r="D402" s="2">
        <v>0</v>
      </c>
      <c r="E402" s="2">
        <v>0</v>
      </c>
      <c r="F402" s="2">
        <v>0</v>
      </c>
      <c r="G402" s="2">
        <v>1488.82</v>
      </c>
      <c r="H402" s="2">
        <v>1488.82</v>
      </c>
      <c r="I402" s="2">
        <v>2977.64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f t="shared" si="6"/>
        <v>2977.64</v>
      </c>
    </row>
    <row r="403" spans="1:16" x14ac:dyDescent="0.3">
      <c r="A403">
        <v>46250</v>
      </c>
      <c r="B403" t="s">
        <v>480</v>
      </c>
      <c r="C403" t="s">
        <v>172</v>
      </c>
      <c r="D403" s="2">
        <v>362965.84</v>
      </c>
      <c r="E403" s="2">
        <v>362965.84</v>
      </c>
      <c r="F403" s="2">
        <v>725931.68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f t="shared" si="6"/>
        <v>725931.68</v>
      </c>
    </row>
    <row r="404" spans="1:16" x14ac:dyDescent="0.3">
      <c r="A404">
        <v>46722</v>
      </c>
      <c r="B404" t="s">
        <v>480</v>
      </c>
      <c r="C404" t="s">
        <v>60</v>
      </c>
      <c r="D404" s="2">
        <v>317138.99</v>
      </c>
      <c r="E404" s="2">
        <v>317138.99</v>
      </c>
      <c r="F404" s="2">
        <v>634277.98</v>
      </c>
      <c r="G404" s="2">
        <v>3650.82</v>
      </c>
      <c r="H404" s="2">
        <v>3650.82</v>
      </c>
      <c r="I404" s="2">
        <v>7301.64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f t="shared" si="6"/>
        <v>641579.62</v>
      </c>
    </row>
    <row r="405" spans="1:16" x14ac:dyDescent="0.3">
      <c r="A405">
        <v>49056</v>
      </c>
      <c r="B405" t="s">
        <v>481</v>
      </c>
      <c r="C405" t="s">
        <v>210</v>
      </c>
      <c r="D405" s="2">
        <v>0</v>
      </c>
      <c r="E405" s="2">
        <v>0</v>
      </c>
      <c r="F405" s="2">
        <v>0</v>
      </c>
      <c r="G405" s="2">
        <v>9575.2999999999993</v>
      </c>
      <c r="H405" s="2">
        <v>9575.2999999999993</v>
      </c>
      <c r="I405" s="2">
        <v>19150.61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f t="shared" si="6"/>
        <v>19150.61</v>
      </c>
    </row>
    <row r="406" spans="1:16" x14ac:dyDescent="0.3">
      <c r="A406">
        <v>48728</v>
      </c>
      <c r="B406" t="s">
        <v>482</v>
      </c>
      <c r="C406" t="s">
        <v>123</v>
      </c>
      <c r="D406" s="2">
        <v>326168.56</v>
      </c>
      <c r="E406" s="2">
        <v>326168.56</v>
      </c>
      <c r="F406" s="2">
        <v>652337.12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f t="shared" si="6"/>
        <v>652337.12</v>
      </c>
    </row>
    <row r="407" spans="1:16" x14ac:dyDescent="0.3">
      <c r="A407">
        <v>48819</v>
      </c>
      <c r="B407" t="s">
        <v>483</v>
      </c>
      <c r="C407" t="s">
        <v>146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f t="shared" si="6"/>
        <v>0</v>
      </c>
    </row>
    <row r="408" spans="1:16" x14ac:dyDescent="0.3">
      <c r="A408">
        <v>48033</v>
      </c>
      <c r="B408" t="s">
        <v>484</v>
      </c>
      <c r="C408" t="s">
        <v>301</v>
      </c>
      <c r="D408" s="2">
        <v>0</v>
      </c>
      <c r="E408" s="2">
        <v>0</v>
      </c>
      <c r="F408" s="2">
        <v>0</v>
      </c>
      <c r="G408" s="2">
        <v>59534.080000000002</v>
      </c>
      <c r="H408" s="2">
        <v>59534.080000000002</v>
      </c>
      <c r="I408" s="2">
        <v>119068.16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f t="shared" si="6"/>
        <v>119068.16</v>
      </c>
    </row>
    <row r="409" spans="1:16" x14ac:dyDescent="0.3">
      <c r="A409">
        <v>48736</v>
      </c>
      <c r="B409" t="s">
        <v>484</v>
      </c>
      <c r="C409" t="s">
        <v>123</v>
      </c>
      <c r="D409" s="2">
        <v>1225718.96</v>
      </c>
      <c r="E409" s="2">
        <v>1225718.96</v>
      </c>
      <c r="F409" s="2">
        <v>2451437.92</v>
      </c>
      <c r="G409" s="2">
        <v>59003.8</v>
      </c>
      <c r="H409" s="2">
        <v>0</v>
      </c>
      <c r="I409" s="2">
        <v>59003.8</v>
      </c>
      <c r="J409" s="2">
        <v>37728.480000000003</v>
      </c>
      <c r="K409" s="2">
        <v>18864.240000000002</v>
      </c>
      <c r="L409" s="2">
        <v>56592.72</v>
      </c>
      <c r="M409" s="2">
        <v>0</v>
      </c>
      <c r="N409" s="2">
        <v>0</v>
      </c>
      <c r="O409" s="2">
        <v>0</v>
      </c>
      <c r="P409" s="2">
        <f t="shared" si="6"/>
        <v>2567034.44</v>
      </c>
    </row>
    <row r="410" spans="1:16" x14ac:dyDescent="0.3">
      <c r="A410">
        <v>47365</v>
      </c>
      <c r="B410" t="s">
        <v>485</v>
      </c>
      <c r="C410" t="s">
        <v>168</v>
      </c>
      <c r="D410" s="2">
        <v>1078851.1200000001</v>
      </c>
      <c r="E410" s="2">
        <v>1078851.1200000001</v>
      </c>
      <c r="F410" s="2">
        <v>2157702.2400000002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f t="shared" si="6"/>
        <v>2157702.2400000002</v>
      </c>
    </row>
    <row r="411" spans="1:16" x14ac:dyDescent="0.3">
      <c r="A411">
        <v>49635</v>
      </c>
      <c r="B411" t="s">
        <v>485</v>
      </c>
      <c r="C411" t="s">
        <v>106</v>
      </c>
      <c r="D411" s="2">
        <v>0</v>
      </c>
      <c r="E411" s="2">
        <v>0</v>
      </c>
      <c r="F411" s="2">
        <v>0</v>
      </c>
      <c r="G411" s="2">
        <v>800.09</v>
      </c>
      <c r="H411" s="2">
        <v>800.09</v>
      </c>
      <c r="I411" s="2">
        <v>1600.19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f t="shared" si="6"/>
        <v>1600.19</v>
      </c>
    </row>
    <row r="412" spans="1:16" x14ac:dyDescent="0.3">
      <c r="A412">
        <v>49908</v>
      </c>
      <c r="B412" t="s">
        <v>485</v>
      </c>
      <c r="C412" t="s">
        <v>29</v>
      </c>
      <c r="D412" s="2">
        <v>72616.289999999994</v>
      </c>
      <c r="E412" s="2">
        <v>72616.289999999994</v>
      </c>
      <c r="F412" s="2">
        <v>145232.57999999999</v>
      </c>
      <c r="G412" s="2">
        <v>13936.13</v>
      </c>
      <c r="H412" s="2">
        <v>13936.13</v>
      </c>
      <c r="I412" s="2">
        <v>27872.27</v>
      </c>
      <c r="J412" s="2">
        <v>32113.31</v>
      </c>
      <c r="K412" s="2">
        <v>16056.65</v>
      </c>
      <c r="L412" s="2">
        <v>48169.96</v>
      </c>
      <c r="M412" s="2">
        <v>0</v>
      </c>
      <c r="N412" s="2">
        <v>0</v>
      </c>
      <c r="O412" s="2">
        <v>0</v>
      </c>
      <c r="P412" s="2">
        <f t="shared" si="6"/>
        <v>221274.80999999997</v>
      </c>
    </row>
    <row r="413" spans="1:16" x14ac:dyDescent="0.3">
      <c r="A413">
        <v>46268</v>
      </c>
      <c r="B413" t="s">
        <v>486</v>
      </c>
      <c r="C413" t="s">
        <v>172</v>
      </c>
      <c r="D413" s="2">
        <v>0</v>
      </c>
      <c r="E413" s="2">
        <v>0</v>
      </c>
      <c r="F413" s="2">
        <v>0</v>
      </c>
      <c r="G413" s="2">
        <v>5394.44</v>
      </c>
      <c r="H413" s="2">
        <v>5394.44</v>
      </c>
      <c r="I413" s="2">
        <v>10788.87</v>
      </c>
      <c r="J413" s="2">
        <v>17745.509999999998</v>
      </c>
      <c r="K413" s="2">
        <v>8872.76</v>
      </c>
      <c r="L413" s="2">
        <v>26618.27</v>
      </c>
      <c r="M413" s="2">
        <v>0</v>
      </c>
      <c r="N413" s="2">
        <v>0</v>
      </c>
      <c r="O413" s="2">
        <v>0</v>
      </c>
      <c r="P413" s="2">
        <f t="shared" si="6"/>
        <v>37407.14</v>
      </c>
    </row>
    <row r="414" spans="1:16" x14ac:dyDescent="0.3">
      <c r="A414">
        <v>50575</v>
      </c>
      <c r="B414" t="s">
        <v>486</v>
      </c>
      <c r="C414" t="s">
        <v>166</v>
      </c>
      <c r="D414" s="2">
        <v>0</v>
      </c>
      <c r="E414" s="2">
        <v>0</v>
      </c>
      <c r="F414" s="2">
        <v>0</v>
      </c>
      <c r="G414" s="2">
        <v>9723.41</v>
      </c>
      <c r="H414" s="2">
        <v>9723.41</v>
      </c>
      <c r="I414" s="2">
        <v>19446.82</v>
      </c>
      <c r="J414" s="2">
        <v>7971.29</v>
      </c>
      <c r="K414" s="2">
        <v>3985.65</v>
      </c>
      <c r="L414" s="2">
        <v>11956.94</v>
      </c>
      <c r="M414" s="2">
        <v>0</v>
      </c>
      <c r="N414" s="2">
        <v>0</v>
      </c>
      <c r="O414" s="2">
        <v>0</v>
      </c>
      <c r="P414" s="2">
        <f t="shared" si="6"/>
        <v>31403.760000000002</v>
      </c>
    </row>
    <row r="415" spans="1:16" x14ac:dyDescent="0.3">
      <c r="A415">
        <v>50716</v>
      </c>
      <c r="B415" t="s">
        <v>487</v>
      </c>
      <c r="C415" t="s">
        <v>113</v>
      </c>
      <c r="D415" s="2">
        <v>306007.99</v>
      </c>
      <c r="E415" s="2">
        <v>306007.99</v>
      </c>
      <c r="F415" s="2">
        <v>612015.98</v>
      </c>
      <c r="G415" s="2">
        <v>6825.45</v>
      </c>
      <c r="H415" s="2">
        <v>6825.45</v>
      </c>
      <c r="I415" s="2">
        <v>13650.9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f t="shared" si="6"/>
        <v>625666.88</v>
      </c>
    </row>
    <row r="416" spans="1:16" x14ac:dyDescent="0.3">
      <c r="A416">
        <v>44552</v>
      </c>
      <c r="B416" t="s">
        <v>488</v>
      </c>
      <c r="C416" t="s">
        <v>23</v>
      </c>
      <c r="D416" s="2">
        <v>398664.85</v>
      </c>
      <c r="E416" s="2">
        <v>398664.85</v>
      </c>
      <c r="F416" s="2">
        <v>797329.7</v>
      </c>
      <c r="G416" s="2">
        <v>22458.38</v>
      </c>
      <c r="H416" s="2">
        <v>22458.38</v>
      </c>
      <c r="I416" s="2">
        <v>44916.77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f t="shared" si="6"/>
        <v>842246.47</v>
      </c>
    </row>
    <row r="417" spans="1:16" x14ac:dyDescent="0.3">
      <c r="A417">
        <v>44560</v>
      </c>
      <c r="B417" t="s">
        <v>489</v>
      </c>
      <c r="C417" t="s">
        <v>79</v>
      </c>
      <c r="D417" s="2">
        <v>213131.02</v>
      </c>
      <c r="E417" s="2">
        <v>213131.02</v>
      </c>
      <c r="F417" s="2">
        <v>426262.04</v>
      </c>
      <c r="G417" s="2">
        <v>36131.050000000003</v>
      </c>
      <c r="H417" s="2">
        <v>36131.050000000003</v>
      </c>
      <c r="I417" s="2">
        <v>72262.100000000006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f t="shared" si="6"/>
        <v>498524.14</v>
      </c>
    </row>
    <row r="418" spans="1:16" x14ac:dyDescent="0.3">
      <c r="A418">
        <v>44578</v>
      </c>
      <c r="B418" t="s">
        <v>490</v>
      </c>
      <c r="C418" t="s">
        <v>168</v>
      </c>
      <c r="D418" s="2">
        <v>869234.55</v>
      </c>
      <c r="E418" s="2">
        <v>869234.55</v>
      </c>
      <c r="F418" s="2">
        <v>1738469.1</v>
      </c>
      <c r="G418" s="2">
        <v>0</v>
      </c>
      <c r="H418" s="2">
        <v>0</v>
      </c>
      <c r="I418" s="2">
        <v>0</v>
      </c>
      <c r="J418" s="2">
        <v>334943.37</v>
      </c>
      <c r="K418" s="2">
        <v>167471.69</v>
      </c>
      <c r="L418" s="2">
        <v>502415.06</v>
      </c>
      <c r="M418" s="2">
        <v>0</v>
      </c>
      <c r="N418" s="2">
        <v>0</v>
      </c>
      <c r="O418" s="2">
        <v>0</v>
      </c>
      <c r="P418" s="2">
        <f t="shared" si="6"/>
        <v>2240884.16</v>
      </c>
    </row>
    <row r="419" spans="1:16" x14ac:dyDescent="0.3">
      <c r="A419">
        <v>47761</v>
      </c>
      <c r="B419" t="s">
        <v>491</v>
      </c>
      <c r="C419" t="s">
        <v>336</v>
      </c>
      <c r="D419" s="2">
        <v>0</v>
      </c>
      <c r="E419" s="2">
        <v>0</v>
      </c>
      <c r="F419" s="2">
        <v>0</v>
      </c>
      <c r="G419" s="2">
        <v>1361.27</v>
      </c>
      <c r="H419" s="2">
        <v>1361.27</v>
      </c>
      <c r="I419" s="2">
        <v>2722.54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f t="shared" si="6"/>
        <v>2722.54</v>
      </c>
    </row>
    <row r="420" spans="1:16" x14ac:dyDescent="0.3">
      <c r="A420">
        <v>47373</v>
      </c>
      <c r="B420" t="s">
        <v>492</v>
      </c>
      <c r="C420" t="s">
        <v>168</v>
      </c>
      <c r="D420" s="2">
        <v>0</v>
      </c>
      <c r="E420" s="2">
        <v>0</v>
      </c>
      <c r="F420" s="2">
        <v>0</v>
      </c>
      <c r="G420" s="2">
        <v>45030.559999999998</v>
      </c>
      <c r="H420" s="2">
        <v>45030.559999999998</v>
      </c>
      <c r="I420" s="2">
        <v>90061.119999999995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f t="shared" si="6"/>
        <v>90061.119999999995</v>
      </c>
    </row>
    <row r="421" spans="1:16" x14ac:dyDescent="0.3">
      <c r="A421">
        <v>44586</v>
      </c>
      <c r="B421" t="s">
        <v>493</v>
      </c>
      <c r="C421" t="s">
        <v>123</v>
      </c>
      <c r="D421" s="2">
        <v>0</v>
      </c>
      <c r="E421" s="2">
        <v>0</v>
      </c>
      <c r="F421" s="2">
        <v>0</v>
      </c>
      <c r="G421" s="2">
        <v>2004.5</v>
      </c>
      <c r="H421" s="2">
        <v>2004.5</v>
      </c>
      <c r="I421" s="2">
        <v>4009.01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f t="shared" si="6"/>
        <v>4009.01</v>
      </c>
    </row>
    <row r="422" spans="1:16" x14ac:dyDescent="0.3">
      <c r="A422">
        <v>44594</v>
      </c>
      <c r="B422" t="s">
        <v>494</v>
      </c>
      <c r="C422" t="s">
        <v>33</v>
      </c>
      <c r="D422" s="2">
        <v>68838.58</v>
      </c>
      <c r="E422" s="2">
        <v>68838.58</v>
      </c>
      <c r="F422" s="2">
        <v>137677.16</v>
      </c>
      <c r="G422" s="2">
        <v>9990.7000000000007</v>
      </c>
      <c r="H422" s="2">
        <v>9990.7000000000007</v>
      </c>
      <c r="I422" s="2">
        <v>19981.400000000001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f t="shared" si="6"/>
        <v>157658.56</v>
      </c>
    </row>
    <row r="423" spans="1:16" x14ac:dyDescent="0.3">
      <c r="A423">
        <v>61903</v>
      </c>
      <c r="B423" t="s">
        <v>495</v>
      </c>
      <c r="C423" t="s">
        <v>397</v>
      </c>
      <c r="D423" s="2">
        <v>0</v>
      </c>
      <c r="E423" s="2">
        <v>0</v>
      </c>
      <c r="F423" s="2">
        <v>0</v>
      </c>
      <c r="G423" s="2">
        <v>3934.28</v>
      </c>
      <c r="H423" s="2">
        <v>3934.28</v>
      </c>
      <c r="I423" s="2">
        <v>7868.57</v>
      </c>
      <c r="J423" s="2">
        <v>349.48</v>
      </c>
      <c r="K423" s="2">
        <v>174.74</v>
      </c>
      <c r="L423" s="2">
        <v>524.22</v>
      </c>
      <c r="M423" s="2">
        <v>0</v>
      </c>
      <c r="N423" s="2">
        <v>0</v>
      </c>
      <c r="O423" s="2">
        <v>0</v>
      </c>
      <c r="P423" s="2">
        <f t="shared" si="6"/>
        <v>8392.7899999999991</v>
      </c>
    </row>
    <row r="424" spans="1:16" x14ac:dyDescent="0.3">
      <c r="A424">
        <v>49726</v>
      </c>
      <c r="B424" t="s">
        <v>496</v>
      </c>
      <c r="C424" t="s">
        <v>95</v>
      </c>
      <c r="D424" s="2">
        <v>83267.960000000006</v>
      </c>
      <c r="E424" s="2">
        <v>83267.960000000006</v>
      </c>
      <c r="F424" s="2">
        <v>166535.92000000001</v>
      </c>
      <c r="G424" s="2">
        <v>3969</v>
      </c>
      <c r="H424" s="2">
        <v>3969</v>
      </c>
      <c r="I424" s="2">
        <v>7937.99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f t="shared" si="6"/>
        <v>174473.91</v>
      </c>
    </row>
    <row r="425" spans="1:16" x14ac:dyDescent="0.3">
      <c r="A425">
        <v>46763</v>
      </c>
      <c r="B425" t="s">
        <v>497</v>
      </c>
      <c r="C425" t="s">
        <v>99</v>
      </c>
      <c r="D425" s="2">
        <v>1060601.1599999999</v>
      </c>
      <c r="E425" s="2">
        <v>1060601.1599999999</v>
      </c>
      <c r="F425" s="2">
        <v>2121202.3199999998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f t="shared" si="6"/>
        <v>2121202.3199999998</v>
      </c>
    </row>
    <row r="426" spans="1:16" x14ac:dyDescent="0.3">
      <c r="A426">
        <v>46573</v>
      </c>
      <c r="B426" t="s">
        <v>498</v>
      </c>
      <c r="C426" t="s">
        <v>68</v>
      </c>
      <c r="D426" s="2">
        <v>302051.44</v>
      </c>
      <c r="E426" s="2">
        <v>302051.44</v>
      </c>
      <c r="F426" s="2">
        <v>604102.88</v>
      </c>
      <c r="G426" s="2">
        <v>2755.39</v>
      </c>
      <c r="H426" s="2">
        <v>2755.39</v>
      </c>
      <c r="I426" s="2">
        <v>5510.78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f t="shared" si="6"/>
        <v>609613.66</v>
      </c>
    </row>
    <row r="427" spans="1:16" x14ac:dyDescent="0.3">
      <c r="A427">
        <v>49478</v>
      </c>
      <c r="B427" t="s">
        <v>499</v>
      </c>
      <c r="C427" t="s">
        <v>177</v>
      </c>
      <c r="D427" s="2">
        <v>765449.12</v>
      </c>
      <c r="E427" s="2">
        <v>765449.12</v>
      </c>
      <c r="F427" s="2">
        <v>1530898.24</v>
      </c>
      <c r="G427" s="2">
        <v>27522.35</v>
      </c>
      <c r="H427" s="2">
        <v>27522.35</v>
      </c>
      <c r="I427" s="2">
        <v>55044.71</v>
      </c>
      <c r="J427" s="2">
        <v>336124.7</v>
      </c>
      <c r="K427" s="2">
        <v>168062.35</v>
      </c>
      <c r="L427" s="2">
        <v>504187.05</v>
      </c>
      <c r="M427" s="2">
        <v>0</v>
      </c>
      <c r="N427" s="2">
        <v>0</v>
      </c>
      <c r="O427" s="2">
        <v>0</v>
      </c>
      <c r="P427" s="2">
        <f t="shared" si="6"/>
        <v>2090130</v>
      </c>
    </row>
    <row r="428" spans="1:16" x14ac:dyDescent="0.3">
      <c r="A428">
        <v>46581</v>
      </c>
      <c r="B428" t="s">
        <v>500</v>
      </c>
      <c r="C428" t="s">
        <v>68</v>
      </c>
      <c r="D428" s="2">
        <v>1031288.68</v>
      </c>
      <c r="E428" s="2">
        <v>1031288.68</v>
      </c>
      <c r="F428" s="2">
        <v>2062577.36</v>
      </c>
      <c r="G428" s="2">
        <v>26296.41</v>
      </c>
      <c r="H428" s="2">
        <v>26296.41</v>
      </c>
      <c r="I428" s="2">
        <v>52592.81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f t="shared" si="6"/>
        <v>2115170.17</v>
      </c>
    </row>
    <row r="429" spans="1:16" x14ac:dyDescent="0.3">
      <c r="A429">
        <v>44602</v>
      </c>
      <c r="B429" t="s">
        <v>501</v>
      </c>
      <c r="C429" t="s">
        <v>39</v>
      </c>
      <c r="D429" s="2">
        <v>2793594.99</v>
      </c>
      <c r="E429" s="2">
        <v>2793594.99</v>
      </c>
      <c r="F429" s="2">
        <v>5587189.9800000004</v>
      </c>
      <c r="G429" s="2">
        <v>96358.59</v>
      </c>
      <c r="H429" s="2">
        <v>96358.59</v>
      </c>
      <c r="I429" s="2">
        <v>192717.18</v>
      </c>
      <c r="J429" s="2">
        <v>203154.35</v>
      </c>
      <c r="K429" s="2">
        <v>101577.17</v>
      </c>
      <c r="L429" s="2">
        <v>304731.52000000002</v>
      </c>
      <c r="M429" s="2">
        <v>0</v>
      </c>
      <c r="N429" s="2">
        <v>0</v>
      </c>
      <c r="O429" s="2">
        <v>0</v>
      </c>
      <c r="P429" s="2">
        <f t="shared" si="6"/>
        <v>6084638.6799999997</v>
      </c>
    </row>
    <row r="430" spans="1:16" x14ac:dyDescent="0.3">
      <c r="A430">
        <v>44610</v>
      </c>
      <c r="B430" t="s">
        <v>502</v>
      </c>
      <c r="C430" t="s">
        <v>166</v>
      </c>
      <c r="D430" s="2">
        <v>348702.02</v>
      </c>
      <c r="E430" s="2">
        <v>348702.02</v>
      </c>
      <c r="F430" s="2">
        <v>697404.04</v>
      </c>
      <c r="G430" s="2">
        <v>67873.64</v>
      </c>
      <c r="H430" s="2">
        <v>67873.64</v>
      </c>
      <c r="I430" s="2">
        <v>135747.26999999999</v>
      </c>
      <c r="J430" s="2">
        <v>166523.95000000001</v>
      </c>
      <c r="K430" s="2">
        <v>83261.97</v>
      </c>
      <c r="L430" s="2">
        <v>249785.92</v>
      </c>
      <c r="M430" s="2">
        <v>0</v>
      </c>
      <c r="N430" s="2">
        <v>0</v>
      </c>
      <c r="O430" s="2">
        <v>0</v>
      </c>
      <c r="P430" s="2">
        <f t="shared" si="6"/>
        <v>1082937.23</v>
      </c>
    </row>
    <row r="431" spans="1:16" x14ac:dyDescent="0.3">
      <c r="A431">
        <v>49916</v>
      </c>
      <c r="B431" t="s">
        <v>503</v>
      </c>
      <c r="C431" t="s">
        <v>29</v>
      </c>
      <c r="D431" s="2">
        <v>184645.52</v>
      </c>
      <c r="E431" s="2">
        <v>184645.52</v>
      </c>
      <c r="F431" s="2">
        <v>369291.04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f t="shared" si="6"/>
        <v>369291.04</v>
      </c>
    </row>
    <row r="432" spans="1:16" x14ac:dyDescent="0.3">
      <c r="A432">
        <v>50724</v>
      </c>
      <c r="B432" t="s">
        <v>504</v>
      </c>
      <c r="C432" t="s">
        <v>113</v>
      </c>
      <c r="D432" s="2">
        <v>0</v>
      </c>
      <c r="E432" s="2">
        <v>0</v>
      </c>
      <c r="F432" s="2">
        <v>0</v>
      </c>
      <c r="G432" s="2">
        <v>2284.44</v>
      </c>
      <c r="H432" s="2">
        <v>2284.44</v>
      </c>
      <c r="I432" s="2">
        <v>4568.87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f t="shared" si="6"/>
        <v>4568.87</v>
      </c>
    </row>
    <row r="433" spans="1:16" x14ac:dyDescent="0.3">
      <c r="A433">
        <v>48215</v>
      </c>
      <c r="B433" t="s">
        <v>505</v>
      </c>
      <c r="C433" t="s">
        <v>39</v>
      </c>
      <c r="D433" s="2">
        <v>0</v>
      </c>
      <c r="E433" s="2">
        <v>0</v>
      </c>
      <c r="F433" s="2">
        <v>0</v>
      </c>
      <c r="G433" s="2">
        <v>673.32</v>
      </c>
      <c r="H433" s="2">
        <v>673.32</v>
      </c>
      <c r="I433" s="2">
        <v>1346.65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f t="shared" si="6"/>
        <v>1346.65</v>
      </c>
    </row>
    <row r="434" spans="1:16" x14ac:dyDescent="0.3">
      <c r="A434">
        <v>49379</v>
      </c>
      <c r="B434" t="s">
        <v>506</v>
      </c>
      <c r="C434" t="s">
        <v>194</v>
      </c>
      <c r="D434" s="2">
        <v>33924.85</v>
      </c>
      <c r="E434" s="2">
        <v>33924.85</v>
      </c>
      <c r="F434" s="2">
        <v>67849.7</v>
      </c>
      <c r="G434" s="2">
        <v>7962.9</v>
      </c>
      <c r="H434" s="2">
        <v>7962.9</v>
      </c>
      <c r="I434" s="2">
        <v>15925.81</v>
      </c>
      <c r="J434" s="2">
        <v>34142.21</v>
      </c>
      <c r="K434" s="2">
        <v>17071.099999999999</v>
      </c>
      <c r="L434" s="2">
        <v>51213.31</v>
      </c>
      <c r="M434" s="2">
        <v>0</v>
      </c>
      <c r="N434" s="2">
        <v>0</v>
      </c>
      <c r="O434" s="2">
        <v>0</v>
      </c>
      <c r="P434" s="2">
        <f t="shared" si="6"/>
        <v>134988.82</v>
      </c>
    </row>
    <row r="435" spans="1:16" x14ac:dyDescent="0.3">
      <c r="A435">
        <v>49387</v>
      </c>
      <c r="B435" t="s">
        <v>507</v>
      </c>
      <c r="C435" t="s">
        <v>194</v>
      </c>
      <c r="D435" s="2">
        <v>15283.02</v>
      </c>
      <c r="E435" s="2">
        <v>15283.02</v>
      </c>
      <c r="F435" s="2">
        <v>30566.04</v>
      </c>
      <c r="G435" s="2">
        <v>896.1</v>
      </c>
      <c r="H435" s="2">
        <v>896.1</v>
      </c>
      <c r="I435" s="2">
        <v>1792.2</v>
      </c>
      <c r="J435" s="2">
        <v>19869.189999999999</v>
      </c>
      <c r="K435" s="2">
        <v>9934.59</v>
      </c>
      <c r="L435" s="2">
        <v>29803.78</v>
      </c>
      <c r="M435" s="2">
        <v>0</v>
      </c>
      <c r="N435" s="2">
        <v>0</v>
      </c>
      <c r="O435" s="2">
        <v>0</v>
      </c>
      <c r="P435" s="2">
        <f t="shared" si="6"/>
        <v>62162.020000000004</v>
      </c>
    </row>
    <row r="436" spans="1:16" x14ac:dyDescent="0.3">
      <c r="A436">
        <v>44628</v>
      </c>
      <c r="B436" t="s">
        <v>508</v>
      </c>
      <c r="C436" t="s">
        <v>262</v>
      </c>
      <c r="D436" s="2">
        <v>657290.07999999996</v>
      </c>
      <c r="E436" s="2">
        <v>657290.07999999996</v>
      </c>
      <c r="F436" s="2">
        <v>1314580.1599999999</v>
      </c>
      <c r="G436" s="2">
        <v>11153.35</v>
      </c>
      <c r="H436" s="2">
        <v>11153.35</v>
      </c>
      <c r="I436" s="2">
        <v>22306.7</v>
      </c>
      <c r="J436" s="2">
        <v>90115.92</v>
      </c>
      <c r="K436" s="2">
        <v>45057.96</v>
      </c>
      <c r="L436" s="2">
        <v>135173.88</v>
      </c>
      <c r="M436" s="2">
        <v>0</v>
      </c>
      <c r="N436" s="2">
        <v>0</v>
      </c>
      <c r="O436" s="2">
        <v>0</v>
      </c>
      <c r="P436" s="2">
        <f t="shared" si="6"/>
        <v>1472060.7399999998</v>
      </c>
    </row>
    <row r="437" spans="1:16" x14ac:dyDescent="0.3">
      <c r="A437">
        <v>49510</v>
      </c>
      <c r="B437" t="s">
        <v>509</v>
      </c>
      <c r="C437" t="s">
        <v>21</v>
      </c>
      <c r="D437" s="2">
        <v>0</v>
      </c>
      <c r="E437" s="2">
        <v>0</v>
      </c>
      <c r="F437" s="2">
        <v>0</v>
      </c>
      <c r="G437" s="2">
        <v>2843.05</v>
      </c>
      <c r="H437" s="2">
        <v>2843.05</v>
      </c>
      <c r="I437" s="2">
        <v>5686.1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f t="shared" si="6"/>
        <v>5686.1</v>
      </c>
    </row>
    <row r="438" spans="1:16" x14ac:dyDescent="0.3">
      <c r="A438">
        <v>49395</v>
      </c>
      <c r="B438" t="s">
        <v>510</v>
      </c>
      <c r="C438" t="s">
        <v>194</v>
      </c>
      <c r="D438" s="2">
        <v>291.10000000000002</v>
      </c>
      <c r="E438" s="2">
        <v>291.10000000000002</v>
      </c>
      <c r="F438" s="2">
        <v>582.20000000000005</v>
      </c>
      <c r="G438" s="2">
        <v>637.74</v>
      </c>
      <c r="H438" s="2">
        <v>637.74</v>
      </c>
      <c r="I438" s="2">
        <v>1275.47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f t="shared" si="6"/>
        <v>1857.67</v>
      </c>
    </row>
    <row r="439" spans="1:16" x14ac:dyDescent="0.3">
      <c r="A439">
        <v>48579</v>
      </c>
      <c r="B439" t="s">
        <v>511</v>
      </c>
      <c r="C439" t="s">
        <v>154</v>
      </c>
      <c r="D439" s="2">
        <v>0</v>
      </c>
      <c r="E439" s="2">
        <v>0</v>
      </c>
      <c r="F439" s="2">
        <v>0</v>
      </c>
      <c r="G439" s="2">
        <v>3026.66</v>
      </c>
      <c r="H439" s="2">
        <v>3026.66</v>
      </c>
      <c r="I439" s="2">
        <v>6053.31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f t="shared" si="6"/>
        <v>6053.31</v>
      </c>
    </row>
    <row r="440" spans="1:16" x14ac:dyDescent="0.3">
      <c r="A440">
        <v>44636</v>
      </c>
      <c r="B440" t="s">
        <v>512</v>
      </c>
      <c r="C440" t="s">
        <v>68</v>
      </c>
      <c r="D440" s="2">
        <v>1145119.1200000001</v>
      </c>
      <c r="E440" s="2">
        <v>1145119.1200000001</v>
      </c>
      <c r="F440" s="2">
        <v>2290238.2400000002</v>
      </c>
      <c r="G440" s="2">
        <v>118251.11</v>
      </c>
      <c r="H440" s="2">
        <v>118251.11</v>
      </c>
      <c r="I440" s="2">
        <v>236502.23</v>
      </c>
      <c r="J440" s="2">
        <v>9556.4</v>
      </c>
      <c r="K440" s="2">
        <v>4778.2</v>
      </c>
      <c r="L440" s="2">
        <v>14334.6</v>
      </c>
      <c r="M440" s="2">
        <v>0</v>
      </c>
      <c r="N440" s="2">
        <v>0</v>
      </c>
      <c r="O440" s="2">
        <v>0</v>
      </c>
      <c r="P440" s="2">
        <f t="shared" si="6"/>
        <v>2541075.0700000003</v>
      </c>
    </row>
    <row r="441" spans="1:16" x14ac:dyDescent="0.3">
      <c r="A441">
        <v>47597</v>
      </c>
      <c r="B441" t="s">
        <v>513</v>
      </c>
      <c r="C441" t="s">
        <v>320</v>
      </c>
      <c r="D441" s="2">
        <v>0</v>
      </c>
      <c r="E441" s="2">
        <v>0</v>
      </c>
      <c r="F441" s="2">
        <v>0</v>
      </c>
      <c r="G441" s="2">
        <v>8611.06</v>
      </c>
      <c r="H441" s="2">
        <v>8611.06</v>
      </c>
      <c r="I441" s="2">
        <v>17222.12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f t="shared" si="6"/>
        <v>17222.12</v>
      </c>
    </row>
    <row r="442" spans="1:16" x14ac:dyDescent="0.3">
      <c r="A442">
        <v>45575</v>
      </c>
      <c r="B442" t="s">
        <v>514</v>
      </c>
      <c r="C442" t="s">
        <v>41</v>
      </c>
      <c r="D442" s="2">
        <v>0</v>
      </c>
      <c r="E442" s="2">
        <v>0</v>
      </c>
      <c r="F442" s="2">
        <v>0</v>
      </c>
      <c r="G442" s="2">
        <v>9684.89</v>
      </c>
      <c r="H442" s="2">
        <v>9684.89</v>
      </c>
      <c r="I442" s="2">
        <v>19369.79</v>
      </c>
      <c r="J442" s="2">
        <v>32137.25</v>
      </c>
      <c r="K442" s="2">
        <v>16068.62</v>
      </c>
      <c r="L442" s="2">
        <v>48205.87</v>
      </c>
      <c r="M442" s="2">
        <v>0</v>
      </c>
      <c r="N442" s="2">
        <v>0</v>
      </c>
      <c r="O442" s="2">
        <v>0</v>
      </c>
      <c r="P442" s="2">
        <f t="shared" si="6"/>
        <v>67575.66</v>
      </c>
    </row>
    <row r="443" spans="1:16" x14ac:dyDescent="0.3">
      <c r="A443">
        <v>46813</v>
      </c>
      <c r="B443" t="s">
        <v>515</v>
      </c>
      <c r="C443" t="s">
        <v>89</v>
      </c>
      <c r="D443" s="2">
        <v>1284136.3500000001</v>
      </c>
      <c r="E443" s="2">
        <v>1170765.9099999999</v>
      </c>
      <c r="F443" s="2">
        <v>2454902.2599999998</v>
      </c>
      <c r="G443" s="2">
        <v>52731.29</v>
      </c>
      <c r="H443" s="2">
        <v>166101.73000000001</v>
      </c>
      <c r="I443" s="2">
        <v>218833.02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f t="shared" si="6"/>
        <v>2673735.2799999998</v>
      </c>
    </row>
    <row r="444" spans="1:16" x14ac:dyDescent="0.3">
      <c r="A444">
        <v>45781</v>
      </c>
      <c r="B444" t="s">
        <v>516</v>
      </c>
      <c r="C444" t="s">
        <v>27</v>
      </c>
      <c r="D444" s="2">
        <v>325090.32</v>
      </c>
      <c r="E444" s="2">
        <v>325090.32</v>
      </c>
      <c r="F444" s="2">
        <v>650180.64</v>
      </c>
      <c r="G444" s="2">
        <v>11784.27</v>
      </c>
      <c r="H444" s="2">
        <v>11784.27</v>
      </c>
      <c r="I444" s="2">
        <v>23568.54</v>
      </c>
      <c r="J444" s="2">
        <v>89389.23</v>
      </c>
      <c r="K444" s="2">
        <v>44694.61</v>
      </c>
      <c r="L444" s="2">
        <v>134083.84</v>
      </c>
      <c r="M444" s="2">
        <v>0</v>
      </c>
      <c r="N444" s="2">
        <v>0</v>
      </c>
      <c r="O444" s="2">
        <v>0</v>
      </c>
      <c r="P444" s="2">
        <f t="shared" si="6"/>
        <v>807833.02</v>
      </c>
    </row>
    <row r="445" spans="1:16" x14ac:dyDescent="0.3">
      <c r="A445">
        <v>47902</v>
      </c>
      <c r="B445" t="s">
        <v>516</v>
      </c>
      <c r="C445" t="s">
        <v>262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f t="shared" si="6"/>
        <v>0</v>
      </c>
    </row>
    <row r="446" spans="1:16" x14ac:dyDescent="0.3">
      <c r="A446">
        <v>49924</v>
      </c>
      <c r="B446" t="s">
        <v>516</v>
      </c>
      <c r="C446" t="s">
        <v>29</v>
      </c>
      <c r="D446" s="2">
        <v>674771.89</v>
      </c>
      <c r="E446" s="2">
        <v>674771.89</v>
      </c>
      <c r="F446" s="2">
        <v>1349543.78</v>
      </c>
      <c r="G446" s="2">
        <v>41192.5</v>
      </c>
      <c r="H446" s="2">
        <v>41192.5</v>
      </c>
      <c r="I446" s="2">
        <v>82385</v>
      </c>
      <c r="J446" s="2">
        <v>451469.95</v>
      </c>
      <c r="K446" s="2">
        <v>225734.97</v>
      </c>
      <c r="L446" s="2">
        <v>677204.92</v>
      </c>
      <c r="M446" s="2">
        <v>0</v>
      </c>
      <c r="N446" s="2">
        <v>0</v>
      </c>
      <c r="O446" s="2">
        <v>0</v>
      </c>
      <c r="P446" s="2">
        <f t="shared" si="6"/>
        <v>2109133.7000000002</v>
      </c>
    </row>
    <row r="447" spans="1:16" x14ac:dyDescent="0.3">
      <c r="A447">
        <v>45583</v>
      </c>
      <c r="B447" t="s">
        <v>517</v>
      </c>
      <c r="C447" t="s">
        <v>113</v>
      </c>
      <c r="D447" s="2">
        <v>670084.68000000005</v>
      </c>
      <c r="E447" s="2">
        <v>670084.68000000005</v>
      </c>
      <c r="F447" s="2">
        <v>1340169.3600000001</v>
      </c>
      <c r="G447" s="2">
        <v>37379.089999999997</v>
      </c>
      <c r="H447" s="2">
        <v>37379.089999999997</v>
      </c>
      <c r="I447" s="2">
        <v>74758.179999999993</v>
      </c>
      <c r="J447" s="2">
        <v>125958.53</v>
      </c>
      <c r="K447" s="2">
        <v>62979.27</v>
      </c>
      <c r="L447" s="2">
        <v>188937.8</v>
      </c>
      <c r="M447" s="2">
        <v>0</v>
      </c>
      <c r="N447" s="2">
        <v>0</v>
      </c>
      <c r="O447" s="2">
        <v>0</v>
      </c>
      <c r="P447" s="2">
        <f t="shared" si="6"/>
        <v>1603865.34</v>
      </c>
    </row>
    <row r="448" spans="1:16" x14ac:dyDescent="0.3">
      <c r="A448">
        <v>47076</v>
      </c>
      <c r="B448" t="s">
        <v>518</v>
      </c>
      <c r="C448" t="s">
        <v>46</v>
      </c>
      <c r="D448" s="2">
        <v>25690.53</v>
      </c>
      <c r="E448" s="2">
        <v>25690.53</v>
      </c>
      <c r="F448" s="2">
        <v>51381.06</v>
      </c>
      <c r="G448" s="2">
        <v>4237.26</v>
      </c>
      <c r="H448" s="2">
        <v>4237.26</v>
      </c>
      <c r="I448" s="2">
        <v>8474.51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f t="shared" si="6"/>
        <v>59855.57</v>
      </c>
    </row>
    <row r="449" spans="1:16" x14ac:dyDescent="0.3">
      <c r="A449">
        <v>46896</v>
      </c>
      <c r="B449" t="s">
        <v>519</v>
      </c>
      <c r="C449" t="s">
        <v>31</v>
      </c>
      <c r="D449" s="2">
        <v>0</v>
      </c>
      <c r="E449" s="2">
        <v>0</v>
      </c>
      <c r="F449" s="2">
        <v>0</v>
      </c>
      <c r="G449" s="2">
        <v>2834.05</v>
      </c>
      <c r="H449" s="2">
        <v>2834.05</v>
      </c>
      <c r="I449" s="2">
        <v>5668.1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f t="shared" si="6"/>
        <v>5668.1</v>
      </c>
    </row>
    <row r="450" spans="1:16" x14ac:dyDescent="0.3">
      <c r="A450">
        <v>47084</v>
      </c>
      <c r="B450" t="s">
        <v>520</v>
      </c>
      <c r="C450" t="s">
        <v>46</v>
      </c>
      <c r="D450" s="2">
        <v>308204.03999999998</v>
      </c>
      <c r="E450" s="2">
        <v>308204.03999999998</v>
      </c>
      <c r="F450" s="2">
        <v>616408.07999999996</v>
      </c>
      <c r="G450" s="2">
        <v>0</v>
      </c>
      <c r="H450" s="2">
        <v>0</v>
      </c>
      <c r="I450" s="2">
        <v>0</v>
      </c>
      <c r="J450" s="2">
        <v>61030.63</v>
      </c>
      <c r="K450" s="2">
        <v>30515.31</v>
      </c>
      <c r="L450" s="2">
        <v>91545.94</v>
      </c>
      <c r="M450" s="2">
        <v>0</v>
      </c>
      <c r="N450" s="2">
        <v>0</v>
      </c>
      <c r="O450" s="2">
        <v>0</v>
      </c>
      <c r="P450" s="2">
        <f t="shared" si="6"/>
        <v>707954.02</v>
      </c>
    </row>
    <row r="451" spans="1:16" x14ac:dyDescent="0.3">
      <c r="A451">
        <v>44644</v>
      </c>
      <c r="B451" t="s">
        <v>521</v>
      </c>
      <c r="C451" t="s">
        <v>92</v>
      </c>
      <c r="D451" s="2">
        <v>376179.54</v>
      </c>
      <c r="E451" s="2">
        <v>376179.54</v>
      </c>
      <c r="F451" s="2">
        <v>752359.08</v>
      </c>
      <c r="G451" s="2">
        <v>63119.38</v>
      </c>
      <c r="H451" s="2">
        <v>63119.38</v>
      </c>
      <c r="I451" s="2">
        <v>126238.76</v>
      </c>
      <c r="J451" s="2">
        <v>170340.94</v>
      </c>
      <c r="K451" s="2">
        <v>85170.47</v>
      </c>
      <c r="L451" s="2">
        <v>255511.41</v>
      </c>
      <c r="M451" s="2">
        <v>0</v>
      </c>
      <c r="N451" s="2">
        <v>0</v>
      </c>
      <c r="O451" s="2">
        <v>0</v>
      </c>
      <c r="P451" s="2">
        <f t="shared" si="6"/>
        <v>1134109.25</v>
      </c>
    </row>
    <row r="452" spans="1:16" x14ac:dyDescent="0.3">
      <c r="A452">
        <v>49932</v>
      </c>
      <c r="B452" t="s">
        <v>522</v>
      </c>
      <c r="C452" t="s">
        <v>29</v>
      </c>
      <c r="D452" s="2">
        <v>135359.74</v>
      </c>
      <c r="E452" s="2">
        <v>135359.74</v>
      </c>
      <c r="F452" s="2">
        <v>270719.48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f t="shared" si="6"/>
        <v>270719.48</v>
      </c>
    </row>
    <row r="453" spans="1:16" x14ac:dyDescent="0.3">
      <c r="A453">
        <v>48421</v>
      </c>
      <c r="B453" t="s">
        <v>523</v>
      </c>
      <c r="C453" t="s">
        <v>246</v>
      </c>
      <c r="D453" s="2">
        <v>40388.639999999999</v>
      </c>
      <c r="E453" s="2">
        <v>40388.639999999999</v>
      </c>
      <c r="F453" s="2">
        <v>80777.279999999999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f t="shared" si="6"/>
        <v>80777.279999999999</v>
      </c>
    </row>
    <row r="454" spans="1:16" x14ac:dyDescent="0.3">
      <c r="A454">
        <v>49460</v>
      </c>
      <c r="B454" t="s">
        <v>524</v>
      </c>
      <c r="C454" t="s">
        <v>177</v>
      </c>
      <c r="D454" s="2">
        <v>0</v>
      </c>
      <c r="E454" s="2">
        <v>0</v>
      </c>
      <c r="F454" s="2">
        <v>0</v>
      </c>
      <c r="G454" s="2">
        <v>548.14</v>
      </c>
      <c r="H454" s="2">
        <v>548.14</v>
      </c>
      <c r="I454" s="2">
        <v>1096.28</v>
      </c>
      <c r="J454" s="2">
        <v>1591.59</v>
      </c>
      <c r="K454" s="2">
        <v>795.8</v>
      </c>
      <c r="L454" s="2">
        <v>2387.39</v>
      </c>
      <c r="M454" s="2">
        <v>0</v>
      </c>
      <c r="N454" s="2">
        <v>0</v>
      </c>
      <c r="O454" s="2">
        <v>0</v>
      </c>
      <c r="P454" s="2">
        <f t="shared" si="6"/>
        <v>3483.67</v>
      </c>
    </row>
    <row r="455" spans="1:16" x14ac:dyDescent="0.3">
      <c r="A455">
        <v>48348</v>
      </c>
      <c r="B455" t="s">
        <v>525</v>
      </c>
      <c r="C455" t="s">
        <v>56</v>
      </c>
      <c r="D455" s="2">
        <v>2377.89</v>
      </c>
      <c r="E455" s="2">
        <v>2377.89</v>
      </c>
      <c r="F455" s="2">
        <v>4755.78</v>
      </c>
      <c r="G455" s="2">
        <v>4396.41</v>
      </c>
      <c r="H455" s="2">
        <v>4396.41</v>
      </c>
      <c r="I455" s="2">
        <v>8792.82</v>
      </c>
      <c r="J455" s="2">
        <v>14913.93</v>
      </c>
      <c r="K455" s="2">
        <v>7079.4</v>
      </c>
      <c r="L455" s="2">
        <v>21993.33</v>
      </c>
      <c r="M455" s="2">
        <v>0</v>
      </c>
      <c r="N455" s="2">
        <v>0</v>
      </c>
      <c r="O455" s="2">
        <v>0</v>
      </c>
      <c r="P455" s="2">
        <f t="shared" si="6"/>
        <v>35541.93</v>
      </c>
    </row>
    <row r="456" spans="1:16" x14ac:dyDescent="0.3">
      <c r="A456">
        <v>44651</v>
      </c>
      <c r="B456" t="s">
        <v>526</v>
      </c>
      <c r="C456" t="s">
        <v>84</v>
      </c>
      <c r="D456" s="2">
        <v>730551.67</v>
      </c>
      <c r="E456" s="2">
        <v>730551.67</v>
      </c>
      <c r="F456" s="2">
        <v>1461103.34</v>
      </c>
      <c r="G456" s="2">
        <v>12740.73</v>
      </c>
      <c r="H456" s="2">
        <v>12740.73</v>
      </c>
      <c r="I456" s="2">
        <v>25481.45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f t="shared" si="6"/>
        <v>1486584.79</v>
      </c>
    </row>
    <row r="457" spans="1:16" x14ac:dyDescent="0.3">
      <c r="A457">
        <v>44669</v>
      </c>
      <c r="B457" t="s">
        <v>527</v>
      </c>
      <c r="C457" t="s">
        <v>106</v>
      </c>
      <c r="D457" s="2">
        <v>0</v>
      </c>
      <c r="E457" s="2">
        <v>0</v>
      </c>
      <c r="F457" s="2">
        <v>0</v>
      </c>
      <c r="G457" s="2">
        <v>11172.48</v>
      </c>
      <c r="H457" s="2">
        <v>11172.48</v>
      </c>
      <c r="I457" s="2">
        <v>22344.959999999999</v>
      </c>
      <c r="J457" s="2">
        <v>11615.04</v>
      </c>
      <c r="K457" s="2">
        <v>5807.52</v>
      </c>
      <c r="L457" s="2">
        <v>17422.560000000001</v>
      </c>
      <c r="M457" s="2">
        <v>0</v>
      </c>
      <c r="N457" s="2">
        <v>0</v>
      </c>
      <c r="O457" s="2">
        <v>0</v>
      </c>
      <c r="P457" s="2">
        <f t="shared" si="6"/>
        <v>39767.520000000004</v>
      </c>
    </row>
    <row r="458" spans="1:16" x14ac:dyDescent="0.3">
      <c r="A458">
        <v>49288</v>
      </c>
      <c r="B458" t="s">
        <v>528</v>
      </c>
      <c r="C458" t="s">
        <v>188</v>
      </c>
      <c r="D458" s="2">
        <v>0</v>
      </c>
      <c r="E458" s="2">
        <v>0</v>
      </c>
      <c r="F458" s="2">
        <v>0</v>
      </c>
      <c r="G458" s="2">
        <v>1234.51</v>
      </c>
      <c r="H458" s="2">
        <v>1234.51</v>
      </c>
      <c r="I458" s="2">
        <v>2469.02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f t="shared" si="6"/>
        <v>2469.02</v>
      </c>
    </row>
    <row r="459" spans="1:16" x14ac:dyDescent="0.3">
      <c r="A459">
        <v>44677</v>
      </c>
      <c r="B459" t="s">
        <v>529</v>
      </c>
      <c r="C459" t="s">
        <v>168</v>
      </c>
      <c r="D459" s="2">
        <v>8687342.4399999995</v>
      </c>
      <c r="E459" s="2">
        <v>8687342.4399999995</v>
      </c>
      <c r="F459" s="2">
        <v>17374684.879999999</v>
      </c>
      <c r="G459" s="2">
        <v>0</v>
      </c>
      <c r="H459" s="2">
        <v>0</v>
      </c>
      <c r="I459" s="2">
        <v>0</v>
      </c>
      <c r="J459" s="2">
        <v>299046.31</v>
      </c>
      <c r="K459" s="2">
        <v>149523.15</v>
      </c>
      <c r="L459" s="2">
        <v>448569.46</v>
      </c>
      <c r="M459" s="2">
        <v>0</v>
      </c>
      <c r="N459" s="2">
        <v>0</v>
      </c>
      <c r="O459" s="2">
        <v>0</v>
      </c>
      <c r="P459" s="2">
        <f t="shared" si="6"/>
        <v>17823254.34</v>
      </c>
    </row>
    <row r="460" spans="1:16" x14ac:dyDescent="0.3">
      <c r="A460">
        <v>48975</v>
      </c>
      <c r="B460" t="s">
        <v>530</v>
      </c>
      <c r="C460" t="s">
        <v>84</v>
      </c>
      <c r="D460" s="2">
        <v>0</v>
      </c>
      <c r="E460" s="2">
        <v>0</v>
      </c>
      <c r="F460" s="2">
        <v>0</v>
      </c>
      <c r="G460" s="2">
        <v>629.75</v>
      </c>
      <c r="H460" s="2">
        <v>629.75</v>
      </c>
      <c r="I460" s="2">
        <v>1259.51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f t="shared" si="6"/>
        <v>1259.51</v>
      </c>
    </row>
    <row r="461" spans="1:16" x14ac:dyDescent="0.3">
      <c r="A461">
        <v>45880</v>
      </c>
      <c r="B461" t="s">
        <v>531</v>
      </c>
      <c r="C461" t="s">
        <v>51</v>
      </c>
      <c r="D461" s="2">
        <v>18947.05</v>
      </c>
      <c r="E461" s="2">
        <v>18947.05</v>
      </c>
      <c r="F461" s="2">
        <v>37894.1</v>
      </c>
      <c r="G461" s="2">
        <v>1833.08</v>
      </c>
      <c r="H461" s="2">
        <v>1833.08</v>
      </c>
      <c r="I461" s="2">
        <v>3666.15</v>
      </c>
      <c r="J461" s="2">
        <v>55778.54</v>
      </c>
      <c r="K461" s="2">
        <v>25240.91</v>
      </c>
      <c r="L461" s="2">
        <v>81019.45</v>
      </c>
      <c r="M461" s="2">
        <v>0</v>
      </c>
      <c r="N461" s="2">
        <v>0</v>
      </c>
      <c r="O461" s="2">
        <v>0</v>
      </c>
      <c r="P461" s="2">
        <f t="shared" ref="P461:P524" si="7">F461+I461+L461+O461</f>
        <v>122579.7</v>
      </c>
    </row>
    <row r="462" spans="1:16" x14ac:dyDescent="0.3">
      <c r="A462">
        <v>44685</v>
      </c>
      <c r="B462" t="s">
        <v>532</v>
      </c>
      <c r="C462" t="s">
        <v>54</v>
      </c>
      <c r="D462" s="2">
        <v>967579.4</v>
      </c>
      <c r="E462" s="2">
        <v>967579.4</v>
      </c>
      <c r="F462" s="2">
        <v>1935158.8</v>
      </c>
      <c r="G462" s="2">
        <v>24235.71</v>
      </c>
      <c r="H462" s="2">
        <v>24235.71</v>
      </c>
      <c r="I462" s="2">
        <v>48471.41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f t="shared" si="7"/>
        <v>1983630.21</v>
      </c>
    </row>
    <row r="463" spans="1:16" x14ac:dyDescent="0.3">
      <c r="A463">
        <v>44693</v>
      </c>
      <c r="B463" t="s">
        <v>533</v>
      </c>
      <c r="C463" t="s">
        <v>168</v>
      </c>
      <c r="D463" s="2">
        <v>714178.36</v>
      </c>
      <c r="E463" s="2">
        <v>714178.36</v>
      </c>
      <c r="F463" s="2">
        <v>1428356.72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f t="shared" si="7"/>
        <v>1428356.72</v>
      </c>
    </row>
    <row r="464" spans="1:16" x14ac:dyDescent="0.3">
      <c r="A464">
        <v>50054</v>
      </c>
      <c r="B464" t="s">
        <v>534</v>
      </c>
      <c r="C464" t="s">
        <v>23</v>
      </c>
      <c r="D464" s="2">
        <v>450239.59</v>
      </c>
      <c r="E464" s="2">
        <v>450239.59</v>
      </c>
      <c r="F464" s="2">
        <v>900479.18</v>
      </c>
      <c r="G464" s="2">
        <v>19730.63</v>
      </c>
      <c r="H464" s="2">
        <v>19730.63</v>
      </c>
      <c r="I464" s="2">
        <v>39461.25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f t="shared" si="7"/>
        <v>939940.43</v>
      </c>
    </row>
    <row r="465" spans="1:16" x14ac:dyDescent="0.3">
      <c r="A465">
        <v>47001</v>
      </c>
      <c r="B465" t="s">
        <v>535</v>
      </c>
      <c r="C465" t="s">
        <v>97</v>
      </c>
      <c r="D465" s="2">
        <v>20497.89</v>
      </c>
      <c r="E465" s="2">
        <v>20497.89</v>
      </c>
      <c r="F465" s="2">
        <v>40995.78</v>
      </c>
      <c r="G465" s="2">
        <v>15893.67</v>
      </c>
      <c r="H465" s="2">
        <v>3973.42</v>
      </c>
      <c r="I465" s="2">
        <v>19867.099999999999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f t="shared" si="7"/>
        <v>60862.879999999997</v>
      </c>
    </row>
    <row r="466" spans="1:16" x14ac:dyDescent="0.3">
      <c r="A466">
        <v>46599</v>
      </c>
      <c r="B466" t="s">
        <v>536</v>
      </c>
      <c r="C466" t="s">
        <v>68</v>
      </c>
      <c r="D466" s="2">
        <v>430264.89</v>
      </c>
      <c r="E466" s="2">
        <v>430264.89</v>
      </c>
      <c r="F466" s="2">
        <v>860529.78</v>
      </c>
      <c r="G466" s="2">
        <v>10758.6</v>
      </c>
      <c r="H466" s="2">
        <v>10758.6</v>
      </c>
      <c r="I466" s="2">
        <v>21517.19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f t="shared" si="7"/>
        <v>882046.97</v>
      </c>
    </row>
    <row r="467" spans="1:16" x14ac:dyDescent="0.3">
      <c r="A467">
        <v>48439</v>
      </c>
      <c r="B467" t="s">
        <v>537</v>
      </c>
      <c r="C467" t="s">
        <v>246</v>
      </c>
      <c r="D467" s="2">
        <v>88519.9</v>
      </c>
      <c r="E467" s="2">
        <v>88519.9</v>
      </c>
      <c r="F467" s="2">
        <v>177039.8</v>
      </c>
      <c r="G467" s="2">
        <v>0</v>
      </c>
      <c r="H467" s="2">
        <v>0</v>
      </c>
      <c r="I467" s="2">
        <v>0</v>
      </c>
      <c r="J467" s="2">
        <v>8014.27</v>
      </c>
      <c r="K467" s="2">
        <v>4007.14</v>
      </c>
      <c r="L467" s="2">
        <v>12021.41</v>
      </c>
      <c r="M467" s="2">
        <v>0</v>
      </c>
      <c r="N467" s="2">
        <v>0</v>
      </c>
      <c r="O467" s="2">
        <v>0</v>
      </c>
      <c r="P467" s="2">
        <f t="shared" si="7"/>
        <v>189061.21</v>
      </c>
    </row>
    <row r="468" spans="1:16" x14ac:dyDescent="0.3">
      <c r="A468">
        <v>47506</v>
      </c>
      <c r="B468" t="s">
        <v>538</v>
      </c>
      <c r="C468" t="s">
        <v>19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f t="shared" si="7"/>
        <v>0</v>
      </c>
    </row>
    <row r="469" spans="1:16" x14ac:dyDescent="0.3">
      <c r="A469">
        <v>46474</v>
      </c>
      <c r="B469" t="s">
        <v>539</v>
      </c>
      <c r="C469" t="s">
        <v>202</v>
      </c>
      <c r="D469" s="2">
        <v>0</v>
      </c>
      <c r="E469" s="2">
        <v>0</v>
      </c>
      <c r="F469" s="2">
        <v>0</v>
      </c>
      <c r="G469" s="2">
        <v>963.57</v>
      </c>
      <c r="H469" s="2">
        <v>963.57</v>
      </c>
      <c r="I469" s="2">
        <v>1927.13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f t="shared" si="7"/>
        <v>1927.13</v>
      </c>
    </row>
    <row r="470" spans="1:16" x14ac:dyDescent="0.3">
      <c r="A470">
        <v>46078</v>
      </c>
      <c r="B470" t="s">
        <v>540</v>
      </c>
      <c r="C470" t="s">
        <v>235</v>
      </c>
      <c r="D470" s="2">
        <v>0</v>
      </c>
      <c r="E470" s="2">
        <v>0</v>
      </c>
      <c r="F470" s="2">
        <v>0</v>
      </c>
      <c r="G470" s="2">
        <v>574.11</v>
      </c>
      <c r="H470" s="2">
        <v>574.11</v>
      </c>
      <c r="I470" s="2">
        <v>1148.23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f t="shared" si="7"/>
        <v>1148.23</v>
      </c>
    </row>
    <row r="471" spans="1:16" x14ac:dyDescent="0.3">
      <c r="A471">
        <v>45591</v>
      </c>
      <c r="B471" t="s">
        <v>541</v>
      </c>
      <c r="C471" t="s">
        <v>166</v>
      </c>
      <c r="D471" s="2">
        <v>174818.43</v>
      </c>
      <c r="E471" s="2">
        <v>174818.43</v>
      </c>
      <c r="F471" s="2">
        <v>349636.86</v>
      </c>
      <c r="G471" s="2">
        <v>22298.66</v>
      </c>
      <c r="H471" s="2">
        <v>22298.66</v>
      </c>
      <c r="I471" s="2">
        <v>44597.31</v>
      </c>
      <c r="J471" s="2">
        <v>32402.78</v>
      </c>
      <c r="K471" s="2">
        <v>16201.39</v>
      </c>
      <c r="L471" s="2">
        <v>48604.17</v>
      </c>
      <c r="M471" s="2">
        <v>0</v>
      </c>
      <c r="N471" s="2">
        <v>0</v>
      </c>
      <c r="O471" s="2">
        <v>0</v>
      </c>
      <c r="P471" s="2">
        <f t="shared" si="7"/>
        <v>442838.33999999997</v>
      </c>
    </row>
    <row r="472" spans="1:16" x14ac:dyDescent="0.3">
      <c r="A472">
        <v>48447</v>
      </c>
      <c r="B472" t="s">
        <v>542</v>
      </c>
      <c r="C472" t="s">
        <v>246</v>
      </c>
      <c r="D472" s="2">
        <v>212125.18</v>
      </c>
      <c r="E472" s="2">
        <v>212125.18</v>
      </c>
      <c r="F472" s="2">
        <v>424250.36</v>
      </c>
      <c r="G472" s="2">
        <v>8281.56</v>
      </c>
      <c r="H472" s="2">
        <v>8281.56</v>
      </c>
      <c r="I472" s="2">
        <v>16563.12</v>
      </c>
      <c r="J472" s="2">
        <v>191322.39</v>
      </c>
      <c r="K472" s="2">
        <v>95661.2</v>
      </c>
      <c r="L472" s="2">
        <v>286983.59000000003</v>
      </c>
      <c r="M472" s="2">
        <v>0</v>
      </c>
      <c r="N472" s="2">
        <v>0</v>
      </c>
      <c r="O472" s="2">
        <v>0</v>
      </c>
      <c r="P472" s="2">
        <f t="shared" si="7"/>
        <v>727797.07000000007</v>
      </c>
    </row>
    <row r="473" spans="1:16" x14ac:dyDescent="0.3">
      <c r="A473">
        <v>46482</v>
      </c>
      <c r="B473" t="s">
        <v>543</v>
      </c>
      <c r="C473" t="s">
        <v>202</v>
      </c>
      <c r="D473" s="2">
        <v>371240.82</v>
      </c>
      <c r="E473" s="2">
        <v>371240.82</v>
      </c>
      <c r="F473" s="2">
        <v>742481.64</v>
      </c>
      <c r="G473" s="2">
        <v>25067.43</v>
      </c>
      <c r="H473" s="2">
        <v>25067.43</v>
      </c>
      <c r="I473" s="2">
        <v>50134.86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f t="shared" si="7"/>
        <v>792616.5</v>
      </c>
    </row>
    <row r="474" spans="1:16" x14ac:dyDescent="0.3">
      <c r="A474">
        <v>47514</v>
      </c>
      <c r="B474" t="s">
        <v>544</v>
      </c>
      <c r="C474" t="s">
        <v>19</v>
      </c>
      <c r="D474" s="2">
        <v>0</v>
      </c>
      <c r="E474" s="2">
        <v>0</v>
      </c>
      <c r="F474" s="2">
        <v>0</v>
      </c>
      <c r="G474" s="2">
        <v>874.28</v>
      </c>
      <c r="H474" s="2">
        <v>874.28</v>
      </c>
      <c r="I474" s="2">
        <v>1748.56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f t="shared" si="7"/>
        <v>1748.56</v>
      </c>
    </row>
    <row r="475" spans="1:16" x14ac:dyDescent="0.3">
      <c r="A475">
        <v>47894</v>
      </c>
      <c r="B475" t="s">
        <v>545</v>
      </c>
      <c r="C475" t="s">
        <v>262</v>
      </c>
      <c r="D475" s="2">
        <v>1183458.43</v>
      </c>
      <c r="E475" s="2">
        <v>1183458.43</v>
      </c>
      <c r="F475" s="2">
        <v>2366916.86</v>
      </c>
      <c r="G475" s="2">
        <v>46127.040000000001</v>
      </c>
      <c r="H475" s="2">
        <v>46127.040000000001</v>
      </c>
      <c r="I475" s="2">
        <v>92254.07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f t="shared" si="7"/>
        <v>2459170.9299999997</v>
      </c>
    </row>
    <row r="476" spans="1:16" x14ac:dyDescent="0.3">
      <c r="A476">
        <v>48090</v>
      </c>
      <c r="B476" t="s">
        <v>545</v>
      </c>
      <c r="C476" t="s">
        <v>77</v>
      </c>
      <c r="D476" s="2">
        <v>0</v>
      </c>
      <c r="E476" s="2">
        <v>0</v>
      </c>
      <c r="F476" s="2">
        <v>0</v>
      </c>
      <c r="G476" s="2">
        <v>2710.63</v>
      </c>
      <c r="H476" s="2">
        <v>2710.63</v>
      </c>
      <c r="I476" s="2">
        <v>5421.26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f t="shared" si="7"/>
        <v>5421.26</v>
      </c>
    </row>
    <row r="477" spans="1:16" x14ac:dyDescent="0.3">
      <c r="A477">
        <v>47944</v>
      </c>
      <c r="B477" t="s">
        <v>546</v>
      </c>
      <c r="C477" t="s">
        <v>163</v>
      </c>
      <c r="D477" s="2">
        <v>26204.43</v>
      </c>
      <c r="E477" s="2">
        <v>26204.43</v>
      </c>
      <c r="F477" s="2">
        <v>52408.86</v>
      </c>
      <c r="G477" s="2">
        <v>2917.47</v>
      </c>
      <c r="H477" s="2">
        <v>2917.47</v>
      </c>
      <c r="I477" s="2">
        <v>5834.95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f t="shared" si="7"/>
        <v>58243.81</v>
      </c>
    </row>
    <row r="478" spans="1:16" x14ac:dyDescent="0.3">
      <c r="A478">
        <v>44701</v>
      </c>
      <c r="B478" t="s">
        <v>547</v>
      </c>
      <c r="C478" t="s">
        <v>68</v>
      </c>
      <c r="D478" s="2">
        <v>222841.77</v>
      </c>
      <c r="E478" s="2">
        <v>222841.77</v>
      </c>
      <c r="F478" s="2">
        <v>445683.54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f t="shared" si="7"/>
        <v>445683.54</v>
      </c>
    </row>
    <row r="479" spans="1:16" x14ac:dyDescent="0.3">
      <c r="A479">
        <v>47308</v>
      </c>
      <c r="B479" t="s">
        <v>548</v>
      </c>
      <c r="C479" t="s">
        <v>138</v>
      </c>
      <c r="D479" s="2">
        <v>0</v>
      </c>
      <c r="E479" s="2">
        <v>0</v>
      </c>
      <c r="F479" s="2">
        <v>0</v>
      </c>
      <c r="G479" s="2">
        <v>9661.67</v>
      </c>
      <c r="H479" s="2">
        <v>9661.67</v>
      </c>
      <c r="I479" s="2">
        <v>19323.349999999999</v>
      </c>
      <c r="J479" s="2">
        <v>192178.47</v>
      </c>
      <c r="K479" s="2">
        <v>96089.24</v>
      </c>
      <c r="L479" s="2">
        <v>288267.71000000002</v>
      </c>
      <c r="M479" s="2">
        <v>0</v>
      </c>
      <c r="N479" s="2">
        <v>0</v>
      </c>
      <c r="O479" s="2">
        <v>0</v>
      </c>
      <c r="P479" s="2">
        <f t="shared" si="7"/>
        <v>307591.06</v>
      </c>
    </row>
    <row r="480" spans="1:16" x14ac:dyDescent="0.3">
      <c r="A480">
        <v>49213</v>
      </c>
      <c r="B480" t="s">
        <v>549</v>
      </c>
      <c r="C480" t="s">
        <v>54</v>
      </c>
      <c r="D480" s="2">
        <v>86393.68</v>
      </c>
      <c r="E480" s="2">
        <v>86393.68</v>
      </c>
      <c r="F480" s="2">
        <v>172787.36</v>
      </c>
      <c r="G480" s="2">
        <v>7008.35</v>
      </c>
      <c r="H480" s="2">
        <v>7008.35</v>
      </c>
      <c r="I480" s="2">
        <v>14016.7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f t="shared" si="7"/>
        <v>186804.06</v>
      </c>
    </row>
    <row r="481" spans="1:16" x14ac:dyDescent="0.3">
      <c r="A481">
        <v>46144</v>
      </c>
      <c r="B481" t="s">
        <v>550</v>
      </c>
      <c r="C481" t="s">
        <v>242</v>
      </c>
      <c r="D481" s="2">
        <v>0</v>
      </c>
      <c r="E481" s="2">
        <v>0</v>
      </c>
      <c r="F481" s="2">
        <v>0</v>
      </c>
      <c r="G481" s="2">
        <v>2358.83</v>
      </c>
      <c r="H481" s="2">
        <v>2358.83</v>
      </c>
      <c r="I481" s="2">
        <v>4717.67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f t="shared" si="7"/>
        <v>4717.67</v>
      </c>
    </row>
    <row r="482" spans="1:16" x14ac:dyDescent="0.3">
      <c r="A482">
        <v>45609</v>
      </c>
      <c r="B482" t="s">
        <v>551</v>
      </c>
      <c r="C482" t="s">
        <v>113</v>
      </c>
      <c r="D482" s="2">
        <v>2528104.34</v>
      </c>
      <c r="E482" s="2">
        <v>2528104.34</v>
      </c>
      <c r="F482" s="2">
        <v>5056208.68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f t="shared" si="7"/>
        <v>5056208.68</v>
      </c>
    </row>
    <row r="483" spans="1:16" x14ac:dyDescent="0.3">
      <c r="A483">
        <v>49817</v>
      </c>
      <c r="B483" t="s">
        <v>552</v>
      </c>
      <c r="C483" t="s">
        <v>35</v>
      </c>
      <c r="D483" s="2">
        <v>23146.63</v>
      </c>
      <c r="E483" s="2">
        <v>23146.63</v>
      </c>
      <c r="F483" s="2">
        <v>46293.26</v>
      </c>
      <c r="G483" s="2">
        <v>0</v>
      </c>
      <c r="H483" s="2">
        <v>0</v>
      </c>
      <c r="I483" s="2">
        <v>0</v>
      </c>
      <c r="J483" s="2">
        <v>22713.69</v>
      </c>
      <c r="K483" s="2">
        <v>11356.85</v>
      </c>
      <c r="L483" s="2">
        <v>34070.54</v>
      </c>
      <c r="M483" s="2">
        <v>0</v>
      </c>
      <c r="N483" s="2">
        <v>0</v>
      </c>
      <c r="O483" s="2">
        <v>0</v>
      </c>
      <c r="P483" s="2">
        <f t="shared" si="7"/>
        <v>80363.8</v>
      </c>
    </row>
    <row r="484" spans="1:16" x14ac:dyDescent="0.3">
      <c r="A484">
        <v>44735</v>
      </c>
      <c r="B484" t="s">
        <v>553</v>
      </c>
      <c r="C484" t="s">
        <v>71</v>
      </c>
      <c r="D484" s="2">
        <v>632834.06000000006</v>
      </c>
      <c r="E484" s="2">
        <v>632834.06000000006</v>
      </c>
      <c r="F484" s="2">
        <v>1265668.1200000001</v>
      </c>
      <c r="G484" s="2">
        <v>54748.04</v>
      </c>
      <c r="H484" s="2">
        <v>54748.04</v>
      </c>
      <c r="I484" s="2">
        <v>109496.09</v>
      </c>
      <c r="J484" s="2">
        <v>129066.11</v>
      </c>
      <c r="K484" s="2">
        <v>64533.05</v>
      </c>
      <c r="L484" s="2">
        <v>193599.16</v>
      </c>
      <c r="M484" s="2">
        <v>0</v>
      </c>
      <c r="N484" s="2">
        <v>0</v>
      </c>
      <c r="O484" s="2">
        <v>0</v>
      </c>
      <c r="P484" s="2">
        <f t="shared" si="7"/>
        <v>1568763.37</v>
      </c>
    </row>
    <row r="485" spans="1:16" x14ac:dyDescent="0.3">
      <c r="A485">
        <v>44743</v>
      </c>
      <c r="B485" t="s">
        <v>554</v>
      </c>
      <c r="C485" t="s">
        <v>89</v>
      </c>
      <c r="D485" s="2">
        <v>1769815.26</v>
      </c>
      <c r="E485" s="2">
        <v>1769815.26</v>
      </c>
      <c r="F485" s="2">
        <v>3539630.52</v>
      </c>
      <c r="G485" s="2">
        <v>70413.75</v>
      </c>
      <c r="H485" s="2">
        <v>70413.75</v>
      </c>
      <c r="I485" s="2">
        <v>140827.5</v>
      </c>
      <c r="J485" s="2">
        <v>14616.65</v>
      </c>
      <c r="K485" s="2">
        <v>7308.33</v>
      </c>
      <c r="L485" s="2">
        <v>21924.98</v>
      </c>
      <c r="M485" s="2">
        <v>0</v>
      </c>
      <c r="N485" s="2">
        <v>0</v>
      </c>
      <c r="O485" s="2">
        <v>0</v>
      </c>
      <c r="P485" s="2">
        <f t="shared" si="7"/>
        <v>3702383</v>
      </c>
    </row>
    <row r="486" spans="1:16" x14ac:dyDescent="0.3">
      <c r="A486">
        <v>49940</v>
      </c>
      <c r="B486" t="s">
        <v>555</v>
      </c>
      <c r="C486" t="s">
        <v>29</v>
      </c>
      <c r="D486" s="2">
        <v>58809.85</v>
      </c>
      <c r="E486" s="2">
        <v>58809.85</v>
      </c>
      <c r="F486" s="2">
        <v>117619.7</v>
      </c>
      <c r="G486" s="2">
        <v>11567.66</v>
      </c>
      <c r="H486" s="2">
        <v>11567.66</v>
      </c>
      <c r="I486" s="2">
        <v>23135.32</v>
      </c>
      <c r="J486" s="2">
        <v>12490.59</v>
      </c>
      <c r="K486" s="2">
        <v>6245.29</v>
      </c>
      <c r="L486" s="2">
        <v>18735.88</v>
      </c>
      <c r="M486" s="2">
        <v>0</v>
      </c>
      <c r="N486" s="2">
        <v>0</v>
      </c>
      <c r="O486" s="2">
        <v>0</v>
      </c>
      <c r="P486" s="2">
        <f t="shared" si="7"/>
        <v>159490.9</v>
      </c>
    </row>
    <row r="487" spans="1:16" x14ac:dyDescent="0.3">
      <c r="A487">
        <v>49130</v>
      </c>
      <c r="B487" t="s">
        <v>556</v>
      </c>
      <c r="C487" t="s">
        <v>237</v>
      </c>
      <c r="D487" s="2">
        <v>427478.32</v>
      </c>
      <c r="E487" s="2">
        <v>427478.32</v>
      </c>
      <c r="F487" s="2">
        <v>854956.64</v>
      </c>
      <c r="G487" s="2">
        <v>16182.25</v>
      </c>
      <c r="H487" s="2">
        <v>16182.25</v>
      </c>
      <c r="I487" s="2">
        <v>32364.5</v>
      </c>
      <c r="J487" s="2">
        <v>128274.67</v>
      </c>
      <c r="K487" s="2">
        <v>0</v>
      </c>
      <c r="L487" s="2">
        <v>128274.67</v>
      </c>
      <c r="M487" s="2">
        <v>0</v>
      </c>
      <c r="N487" s="2">
        <v>0</v>
      </c>
      <c r="O487" s="2">
        <v>0</v>
      </c>
      <c r="P487" s="2">
        <f t="shared" si="7"/>
        <v>1015595.81</v>
      </c>
    </row>
    <row r="488" spans="1:16" x14ac:dyDescent="0.3">
      <c r="A488">
        <v>48355</v>
      </c>
      <c r="B488" t="s">
        <v>557</v>
      </c>
      <c r="C488" t="s">
        <v>56</v>
      </c>
      <c r="D488" s="2">
        <v>131469.51999999999</v>
      </c>
      <c r="E488" s="2">
        <v>131469.51999999999</v>
      </c>
      <c r="F488" s="2">
        <v>262939.03999999998</v>
      </c>
      <c r="G488" s="2">
        <v>9621.42</v>
      </c>
      <c r="H488" s="2">
        <v>9621.42</v>
      </c>
      <c r="I488" s="2">
        <v>19242.849999999999</v>
      </c>
      <c r="J488" s="2">
        <v>7828.81</v>
      </c>
      <c r="K488" s="2">
        <v>3914.4</v>
      </c>
      <c r="L488" s="2">
        <v>11743.21</v>
      </c>
      <c r="M488" s="2">
        <v>0</v>
      </c>
      <c r="N488" s="2">
        <v>0</v>
      </c>
      <c r="O488" s="2">
        <v>0</v>
      </c>
      <c r="P488" s="2">
        <f t="shared" si="7"/>
        <v>293925.09999999998</v>
      </c>
    </row>
    <row r="489" spans="1:16" x14ac:dyDescent="0.3">
      <c r="A489">
        <v>49684</v>
      </c>
      <c r="B489" t="s">
        <v>558</v>
      </c>
      <c r="C489" t="s">
        <v>95</v>
      </c>
      <c r="D489" s="2">
        <v>6149.42</v>
      </c>
      <c r="E489" s="2">
        <v>6149.42</v>
      </c>
      <c r="F489" s="2">
        <v>12298.84</v>
      </c>
      <c r="G489" s="2">
        <v>1297.5899999999999</v>
      </c>
      <c r="H489" s="2">
        <v>1297.5899999999999</v>
      </c>
      <c r="I489" s="2">
        <v>2595.17</v>
      </c>
      <c r="J489" s="2">
        <v>12290.81</v>
      </c>
      <c r="K489" s="2">
        <v>6145.41</v>
      </c>
      <c r="L489" s="2">
        <v>18436.22</v>
      </c>
      <c r="M489" s="2">
        <v>0</v>
      </c>
      <c r="N489" s="2">
        <v>0</v>
      </c>
      <c r="O489" s="2">
        <v>0</v>
      </c>
      <c r="P489" s="2">
        <f t="shared" si="7"/>
        <v>33330.230000000003</v>
      </c>
    </row>
    <row r="490" spans="1:16" x14ac:dyDescent="0.3">
      <c r="A490">
        <v>46003</v>
      </c>
      <c r="B490" t="s">
        <v>559</v>
      </c>
      <c r="C490" t="s">
        <v>63</v>
      </c>
      <c r="D490" s="2">
        <v>21215.24</v>
      </c>
      <c r="E490" s="2">
        <v>21215.24</v>
      </c>
      <c r="F490" s="2">
        <v>42430.48</v>
      </c>
      <c r="G490" s="2">
        <v>9649.7000000000007</v>
      </c>
      <c r="H490" s="2">
        <v>9649.7000000000007</v>
      </c>
      <c r="I490" s="2">
        <v>19299.400000000001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f t="shared" si="7"/>
        <v>61729.880000000005</v>
      </c>
    </row>
    <row r="491" spans="1:16" x14ac:dyDescent="0.3">
      <c r="A491">
        <v>44750</v>
      </c>
      <c r="B491" t="s">
        <v>560</v>
      </c>
      <c r="C491" t="s">
        <v>68</v>
      </c>
      <c r="D491" s="2">
        <v>239011.08</v>
      </c>
      <c r="E491" s="2">
        <v>239011.08</v>
      </c>
      <c r="F491" s="2">
        <v>478022.16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f t="shared" si="7"/>
        <v>478022.16</v>
      </c>
    </row>
    <row r="492" spans="1:16" x14ac:dyDescent="0.3">
      <c r="A492">
        <v>45799</v>
      </c>
      <c r="B492" t="s">
        <v>561</v>
      </c>
      <c r="C492" t="s">
        <v>27</v>
      </c>
      <c r="D492" s="2">
        <v>768274.58</v>
      </c>
      <c r="E492" s="2">
        <v>768274.58</v>
      </c>
      <c r="F492" s="2">
        <v>1536549.16</v>
      </c>
      <c r="G492" s="2">
        <v>100056.5</v>
      </c>
      <c r="H492" s="2">
        <v>100056.5</v>
      </c>
      <c r="I492" s="2">
        <v>200113</v>
      </c>
      <c r="J492" s="2">
        <v>702458.98</v>
      </c>
      <c r="K492" s="2">
        <v>351229.49</v>
      </c>
      <c r="L492" s="2">
        <v>1053688.47</v>
      </c>
      <c r="M492" s="2">
        <v>0</v>
      </c>
      <c r="N492" s="2">
        <v>0</v>
      </c>
      <c r="O492" s="2">
        <v>0</v>
      </c>
      <c r="P492" s="2">
        <f t="shared" si="7"/>
        <v>2790350.63</v>
      </c>
    </row>
    <row r="493" spans="1:16" x14ac:dyDescent="0.3">
      <c r="A493">
        <v>44768</v>
      </c>
      <c r="B493" t="s">
        <v>562</v>
      </c>
      <c r="C493" t="s">
        <v>33</v>
      </c>
      <c r="D493" s="2">
        <v>413774.05</v>
      </c>
      <c r="E493" s="2">
        <v>413774.05</v>
      </c>
      <c r="F493" s="2">
        <v>827548.1</v>
      </c>
      <c r="G493" s="2">
        <v>10269.51</v>
      </c>
      <c r="H493" s="2">
        <v>10269.51</v>
      </c>
      <c r="I493" s="2">
        <v>20539.03</v>
      </c>
      <c r="J493" s="2">
        <v>36911.199999999997</v>
      </c>
      <c r="K493" s="2">
        <v>18455.599999999999</v>
      </c>
      <c r="L493" s="2">
        <v>55366.8</v>
      </c>
      <c r="M493" s="2">
        <v>0</v>
      </c>
      <c r="N493" s="2">
        <v>0</v>
      </c>
      <c r="O493" s="2">
        <v>0</v>
      </c>
      <c r="P493" s="2">
        <f t="shared" si="7"/>
        <v>903453.93</v>
      </c>
    </row>
    <row r="494" spans="1:16" x14ac:dyDescent="0.3">
      <c r="A494">
        <v>44776</v>
      </c>
      <c r="B494" t="s">
        <v>563</v>
      </c>
      <c r="C494" t="s">
        <v>177</v>
      </c>
      <c r="D494" s="2">
        <v>382953.67</v>
      </c>
      <c r="E494" s="2">
        <v>382953.67</v>
      </c>
      <c r="F494" s="2">
        <v>765907.34</v>
      </c>
      <c r="G494" s="2">
        <v>22689.919999999998</v>
      </c>
      <c r="H494" s="2">
        <v>22689.919999999998</v>
      </c>
      <c r="I494" s="2">
        <v>45379.839999999997</v>
      </c>
      <c r="J494" s="2">
        <v>21038.94</v>
      </c>
      <c r="K494" s="2">
        <v>10519.47</v>
      </c>
      <c r="L494" s="2">
        <v>31558.41</v>
      </c>
      <c r="M494" s="2">
        <v>0</v>
      </c>
      <c r="N494" s="2">
        <v>0</v>
      </c>
      <c r="O494" s="2">
        <v>0</v>
      </c>
      <c r="P494" s="2">
        <f t="shared" si="7"/>
        <v>842845.59</v>
      </c>
    </row>
    <row r="495" spans="1:16" x14ac:dyDescent="0.3">
      <c r="A495">
        <v>44784</v>
      </c>
      <c r="B495" t="s">
        <v>564</v>
      </c>
      <c r="C495" t="s">
        <v>35</v>
      </c>
      <c r="D495" s="2">
        <v>689602.26</v>
      </c>
      <c r="E495" s="2">
        <v>689602.26</v>
      </c>
      <c r="F495" s="2">
        <v>1379204.52</v>
      </c>
      <c r="G495" s="2">
        <v>0</v>
      </c>
      <c r="H495" s="2">
        <v>0</v>
      </c>
      <c r="I495" s="2">
        <v>0</v>
      </c>
      <c r="J495" s="2">
        <v>575970.16</v>
      </c>
      <c r="K495" s="2">
        <v>287985.08</v>
      </c>
      <c r="L495" s="2">
        <v>863955.24</v>
      </c>
      <c r="M495" s="2">
        <v>0</v>
      </c>
      <c r="N495" s="2">
        <v>0</v>
      </c>
      <c r="O495" s="2">
        <v>0</v>
      </c>
      <c r="P495" s="2">
        <f t="shared" si="7"/>
        <v>2243159.7599999998</v>
      </c>
    </row>
    <row r="496" spans="1:16" x14ac:dyDescent="0.3">
      <c r="A496">
        <v>46607</v>
      </c>
      <c r="B496" t="s">
        <v>565</v>
      </c>
      <c r="C496" t="s">
        <v>68</v>
      </c>
      <c r="D496" s="2">
        <v>4744112.84</v>
      </c>
      <c r="E496" s="2">
        <v>4744112.84</v>
      </c>
      <c r="F496" s="2">
        <v>9488225.6799999997</v>
      </c>
      <c r="G496" s="2">
        <v>119737.01</v>
      </c>
      <c r="H496" s="2">
        <v>119737.01</v>
      </c>
      <c r="I496" s="2">
        <v>239474.01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f t="shared" si="7"/>
        <v>9727699.6899999995</v>
      </c>
    </row>
    <row r="497" spans="1:16" x14ac:dyDescent="0.3">
      <c r="A497">
        <v>47738</v>
      </c>
      <c r="B497" t="s">
        <v>566</v>
      </c>
      <c r="C497" t="s">
        <v>79</v>
      </c>
      <c r="D497" s="2">
        <v>20237.689999999999</v>
      </c>
      <c r="E497" s="2">
        <v>20237.689999999999</v>
      </c>
      <c r="F497" s="2">
        <v>40475.379999999997</v>
      </c>
      <c r="G497" s="2">
        <v>1192.52</v>
      </c>
      <c r="H497" s="2">
        <v>1192.52</v>
      </c>
      <c r="I497" s="2">
        <v>2385.0300000000002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f t="shared" si="7"/>
        <v>42860.409999999996</v>
      </c>
    </row>
    <row r="498" spans="1:16" x14ac:dyDescent="0.3">
      <c r="A498">
        <v>44792</v>
      </c>
      <c r="B498" t="s">
        <v>567</v>
      </c>
      <c r="C498" t="s">
        <v>68</v>
      </c>
      <c r="D498" s="2">
        <v>558756.4</v>
      </c>
      <c r="E498" s="2">
        <v>558756.4</v>
      </c>
      <c r="F498" s="2">
        <v>1117512.8</v>
      </c>
      <c r="G498" s="2">
        <v>23641.43</v>
      </c>
      <c r="H498" s="2">
        <v>23641.43</v>
      </c>
      <c r="I498" s="2">
        <v>47282.86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f t="shared" si="7"/>
        <v>1164795.6600000001</v>
      </c>
    </row>
    <row r="499" spans="1:16" x14ac:dyDescent="0.3">
      <c r="A499">
        <v>47951</v>
      </c>
      <c r="B499" t="s">
        <v>568</v>
      </c>
      <c r="C499" t="s">
        <v>163</v>
      </c>
      <c r="D499" s="2">
        <v>0</v>
      </c>
      <c r="E499" s="2">
        <v>0</v>
      </c>
      <c r="F499" s="2">
        <v>0</v>
      </c>
      <c r="G499" s="2">
        <v>2129.9699999999998</v>
      </c>
      <c r="H499" s="2">
        <v>2129.9699999999998</v>
      </c>
      <c r="I499" s="2">
        <v>4259.93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f t="shared" si="7"/>
        <v>4259.93</v>
      </c>
    </row>
    <row r="500" spans="1:16" x14ac:dyDescent="0.3">
      <c r="A500">
        <v>48363</v>
      </c>
      <c r="B500" t="s">
        <v>569</v>
      </c>
      <c r="C500" t="s">
        <v>56</v>
      </c>
      <c r="D500" s="2">
        <v>15714.98</v>
      </c>
      <c r="E500" s="2">
        <v>15714.98</v>
      </c>
      <c r="F500" s="2">
        <v>31429.96</v>
      </c>
      <c r="G500" s="2">
        <v>0</v>
      </c>
      <c r="H500" s="2">
        <v>0</v>
      </c>
      <c r="I500" s="2">
        <v>0</v>
      </c>
      <c r="J500" s="2">
        <v>26771.15</v>
      </c>
      <c r="K500" s="2">
        <v>17897.560000000001</v>
      </c>
      <c r="L500" s="2">
        <v>44668.71</v>
      </c>
      <c r="M500" s="2">
        <v>0</v>
      </c>
      <c r="N500" s="2">
        <v>0</v>
      </c>
      <c r="O500" s="2">
        <v>0</v>
      </c>
      <c r="P500" s="2">
        <f t="shared" si="7"/>
        <v>76098.67</v>
      </c>
    </row>
    <row r="501" spans="1:16" x14ac:dyDescent="0.3">
      <c r="A501">
        <v>44800</v>
      </c>
      <c r="B501" t="s">
        <v>570</v>
      </c>
      <c r="C501" t="s">
        <v>97</v>
      </c>
      <c r="D501" s="2">
        <v>4214295.12</v>
      </c>
      <c r="E501" s="2">
        <v>4214295.12</v>
      </c>
      <c r="F501" s="2">
        <v>8428590.2400000002</v>
      </c>
      <c r="G501" s="2">
        <v>209565.72</v>
      </c>
      <c r="H501" s="2">
        <v>209565.72</v>
      </c>
      <c r="I501" s="2">
        <v>419131.43</v>
      </c>
      <c r="J501" s="2">
        <v>267240.01</v>
      </c>
      <c r="K501" s="2">
        <v>133620.01</v>
      </c>
      <c r="L501" s="2">
        <v>400860.02</v>
      </c>
      <c r="M501" s="2">
        <v>0</v>
      </c>
      <c r="N501" s="2">
        <v>0</v>
      </c>
      <c r="O501" s="2">
        <v>0</v>
      </c>
      <c r="P501" s="2">
        <f t="shared" si="7"/>
        <v>9248581.6899999995</v>
      </c>
    </row>
    <row r="502" spans="1:16" x14ac:dyDescent="0.3">
      <c r="A502">
        <v>49221</v>
      </c>
      <c r="B502" t="s">
        <v>571</v>
      </c>
      <c r="C502" t="s">
        <v>54</v>
      </c>
      <c r="D502" s="2">
        <v>0</v>
      </c>
      <c r="E502" s="2">
        <v>0</v>
      </c>
      <c r="F502" s="2">
        <v>0</v>
      </c>
      <c r="G502" s="2">
        <v>1119.82</v>
      </c>
      <c r="H502" s="2">
        <v>1119.82</v>
      </c>
      <c r="I502" s="2">
        <v>2239.64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f t="shared" si="7"/>
        <v>2239.64</v>
      </c>
    </row>
    <row r="503" spans="1:16" x14ac:dyDescent="0.3">
      <c r="A503">
        <v>50583</v>
      </c>
      <c r="B503" t="s">
        <v>571</v>
      </c>
      <c r="C503" t="s">
        <v>166</v>
      </c>
      <c r="D503" s="2">
        <v>301371.46000000002</v>
      </c>
      <c r="E503" s="2">
        <v>301371.46000000002</v>
      </c>
      <c r="F503" s="2">
        <v>602742.92000000004</v>
      </c>
      <c r="G503" s="2">
        <v>17817.38</v>
      </c>
      <c r="H503" s="2">
        <v>17817.38</v>
      </c>
      <c r="I503" s="2">
        <v>35634.75</v>
      </c>
      <c r="J503" s="2">
        <v>7619.05</v>
      </c>
      <c r="K503" s="2">
        <v>3809.53</v>
      </c>
      <c r="L503" s="2">
        <v>11428.58</v>
      </c>
      <c r="M503" s="2">
        <v>0</v>
      </c>
      <c r="N503" s="2">
        <v>0</v>
      </c>
      <c r="O503" s="2">
        <v>0</v>
      </c>
      <c r="P503" s="2">
        <f t="shared" si="7"/>
        <v>649806.25</v>
      </c>
    </row>
    <row r="504" spans="1:16" x14ac:dyDescent="0.3">
      <c r="A504">
        <v>46276</v>
      </c>
      <c r="B504" t="s">
        <v>572</v>
      </c>
      <c r="C504" t="s">
        <v>172</v>
      </c>
      <c r="D504" s="2">
        <v>43792.47</v>
      </c>
      <c r="E504" s="2">
        <v>43792.47</v>
      </c>
      <c r="F504" s="2">
        <v>87584.94</v>
      </c>
      <c r="G504" s="2">
        <v>13169.42</v>
      </c>
      <c r="H504" s="2">
        <v>13169.42</v>
      </c>
      <c r="I504" s="2">
        <v>26338.84</v>
      </c>
      <c r="J504" s="2">
        <v>19387.09</v>
      </c>
      <c r="K504" s="2">
        <v>9693.5400000000009</v>
      </c>
      <c r="L504" s="2">
        <v>29080.63</v>
      </c>
      <c r="M504" s="2">
        <v>0</v>
      </c>
      <c r="N504" s="2">
        <v>0</v>
      </c>
      <c r="O504" s="2">
        <v>0</v>
      </c>
      <c r="P504" s="2">
        <f t="shared" si="7"/>
        <v>143004.41</v>
      </c>
    </row>
    <row r="505" spans="1:16" x14ac:dyDescent="0.3">
      <c r="A505">
        <v>49528</v>
      </c>
      <c r="B505" t="s">
        <v>572</v>
      </c>
      <c r="C505" t="s">
        <v>21</v>
      </c>
      <c r="D505" s="2">
        <v>0</v>
      </c>
      <c r="E505" s="2">
        <v>0</v>
      </c>
      <c r="F505" s="2">
        <v>0</v>
      </c>
      <c r="G505" s="2">
        <v>1673.8</v>
      </c>
      <c r="H505" s="2">
        <v>1673.8</v>
      </c>
      <c r="I505" s="2">
        <v>3347.6</v>
      </c>
      <c r="J505" s="2">
        <v>6741.98</v>
      </c>
      <c r="K505" s="2">
        <v>3370.99</v>
      </c>
      <c r="L505" s="2">
        <v>10112.969999999999</v>
      </c>
      <c r="M505" s="2">
        <v>0</v>
      </c>
      <c r="N505" s="2">
        <v>0</v>
      </c>
      <c r="O505" s="2">
        <v>0</v>
      </c>
      <c r="P505" s="2">
        <f t="shared" si="7"/>
        <v>13460.57</v>
      </c>
    </row>
    <row r="506" spans="1:16" x14ac:dyDescent="0.3">
      <c r="A506">
        <v>46441</v>
      </c>
      <c r="B506" t="s">
        <v>573</v>
      </c>
      <c r="C506" t="s">
        <v>71</v>
      </c>
      <c r="D506" s="2">
        <v>0</v>
      </c>
      <c r="E506" s="2">
        <v>0</v>
      </c>
      <c r="F506" s="2">
        <v>0</v>
      </c>
      <c r="G506" s="2">
        <v>662.15</v>
      </c>
      <c r="H506" s="2">
        <v>662.15</v>
      </c>
      <c r="I506" s="2">
        <v>1324.3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f t="shared" si="7"/>
        <v>1324.3</v>
      </c>
    </row>
    <row r="507" spans="1:16" x14ac:dyDescent="0.3">
      <c r="A507">
        <v>48538</v>
      </c>
      <c r="B507" t="s">
        <v>573</v>
      </c>
      <c r="C507" t="s">
        <v>236</v>
      </c>
      <c r="D507" s="2">
        <v>0</v>
      </c>
      <c r="E507" s="2">
        <v>0</v>
      </c>
      <c r="F507" s="2">
        <v>0</v>
      </c>
      <c r="G507" s="2">
        <v>457.83</v>
      </c>
      <c r="H507" s="2">
        <v>457.83</v>
      </c>
      <c r="I507" s="2">
        <v>915.67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f t="shared" si="7"/>
        <v>915.67</v>
      </c>
    </row>
    <row r="508" spans="1:16" x14ac:dyDescent="0.3">
      <c r="A508">
        <v>49064</v>
      </c>
      <c r="B508" t="s">
        <v>573</v>
      </c>
      <c r="C508" t="s">
        <v>210</v>
      </c>
      <c r="D508" s="2">
        <v>0</v>
      </c>
      <c r="E508" s="2">
        <v>0</v>
      </c>
      <c r="F508" s="2">
        <v>0</v>
      </c>
      <c r="G508" s="2">
        <v>776.18</v>
      </c>
      <c r="H508" s="2">
        <v>776.18</v>
      </c>
      <c r="I508" s="2">
        <v>1552.37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f t="shared" si="7"/>
        <v>1552.37</v>
      </c>
    </row>
    <row r="509" spans="1:16" x14ac:dyDescent="0.3">
      <c r="A509">
        <v>50237</v>
      </c>
      <c r="B509" t="s">
        <v>574</v>
      </c>
      <c r="C509" t="s">
        <v>108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f t="shared" si="7"/>
        <v>0</v>
      </c>
    </row>
    <row r="510" spans="1:16" x14ac:dyDescent="0.3">
      <c r="A510">
        <v>48041</v>
      </c>
      <c r="B510" t="s">
        <v>575</v>
      </c>
      <c r="C510" t="s">
        <v>301</v>
      </c>
      <c r="D510" s="2">
        <v>0</v>
      </c>
      <c r="E510" s="2">
        <v>0</v>
      </c>
      <c r="F510" s="2">
        <v>0</v>
      </c>
      <c r="G510" s="2">
        <v>11403.21</v>
      </c>
      <c r="H510" s="2">
        <v>11403.21</v>
      </c>
      <c r="I510" s="2">
        <v>22806.41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f t="shared" si="7"/>
        <v>22806.41</v>
      </c>
    </row>
    <row r="511" spans="1:16" x14ac:dyDescent="0.3">
      <c r="A511">
        <v>47381</v>
      </c>
      <c r="B511" t="s">
        <v>576</v>
      </c>
      <c r="C511" t="s">
        <v>168</v>
      </c>
      <c r="D511" s="2">
        <v>719045.36</v>
      </c>
      <c r="E511" s="2">
        <v>719045.36</v>
      </c>
      <c r="F511" s="2">
        <v>1438090.72</v>
      </c>
      <c r="G511" s="2">
        <v>0</v>
      </c>
      <c r="H511" s="2">
        <v>0</v>
      </c>
      <c r="I511" s="2">
        <v>0</v>
      </c>
      <c r="J511" s="2">
        <v>9679.31</v>
      </c>
      <c r="K511" s="2">
        <v>3354.76</v>
      </c>
      <c r="L511" s="2">
        <v>13034.07</v>
      </c>
      <c r="M511" s="2">
        <v>0</v>
      </c>
      <c r="N511" s="2">
        <v>0</v>
      </c>
      <c r="O511" s="2">
        <v>0</v>
      </c>
      <c r="P511" s="2">
        <f t="shared" si="7"/>
        <v>1451124.79</v>
      </c>
    </row>
    <row r="512" spans="1:16" x14ac:dyDescent="0.3">
      <c r="A512">
        <v>45807</v>
      </c>
      <c r="B512" t="s">
        <v>577</v>
      </c>
      <c r="C512" t="s">
        <v>27</v>
      </c>
      <c r="D512" s="2">
        <v>0</v>
      </c>
      <c r="E512" s="2">
        <v>0</v>
      </c>
      <c r="F512" s="2">
        <v>0</v>
      </c>
      <c r="G512" s="2">
        <v>4059.68</v>
      </c>
      <c r="H512" s="2">
        <v>4059.68</v>
      </c>
      <c r="I512" s="2">
        <v>8119.37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f t="shared" si="7"/>
        <v>8119.37</v>
      </c>
    </row>
    <row r="513" spans="1:16" x14ac:dyDescent="0.3">
      <c r="A513">
        <v>50427</v>
      </c>
      <c r="B513" t="s">
        <v>578</v>
      </c>
      <c r="C513" t="s">
        <v>150</v>
      </c>
      <c r="D513" s="2">
        <v>24100.2</v>
      </c>
      <c r="E513" s="2">
        <v>24100.2</v>
      </c>
      <c r="F513" s="2">
        <v>48200.4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f t="shared" si="7"/>
        <v>48200.4</v>
      </c>
    </row>
    <row r="514" spans="1:16" x14ac:dyDescent="0.3">
      <c r="A514">
        <v>44818</v>
      </c>
      <c r="B514" t="s">
        <v>579</v>
      </c>
      <c r="C514" t="s">
        <v>172</v>
      </c>
      <c r="D514" s="2">
        <v>342924.47</v>
      </c>
      <c r="E514" s="2">
        <v>342924.47</v>
      </c>
      <c r="F514" s="2">
        <v>685848.94</v>
      </c>
      <c r="G514" s="2">
        <v>46590.13</v>
      </c>
      <c r="H514" s="2">
        <v>46590.13</v>
      </c>
      <c r="I514" s="2">
        <v>93180.26</v>
      </c>
      <c r="J514" s="2">
        <v>86496.28</v>
      </c>
      <c r="K514" s="2">
        <v>43248.13</v>
      </c>
      <c r="L514" s="2">
        <v>129744.41</v>
      </c>
      <c r="M514" s="2">
        <v>0</v>
      </c>
      <c r="N514" s="2">
        <v>0</v>
      </c>
      <c r="O514" s="2">
        <v>0</v>
      </c>
      <c r="P514" s="2">
        <f t="shared" si="7"/>
        <v>908773.61</v>
      </c>
    </row>
    <row r="515" spans="1:16" x14ac:dyDescent="0.3">
      <c r="A515">
        <v>48223</v>
      </c>
      <c r="B515" t="s">
        <v>580</v>
      </c>
      <c r="C515" t="s">
        <v>39</v>
      </c>
      <c r="D515" s="2">
        <v>836068.26</v>
      </c>
      <c r="E515" s="2">
        <v>836068.26</v>
      </c>
      <c r="F515" s="2">
        <v>1672136.52</v>
      </c>
      <c r="G515" s="2">
        <v>23283.34</v>
      </c>
      <c r="H515" s="2">
        <v>23283.34</v>
      </c>
      <c r="I515" s="2">
        <v>46566.68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f t="shared" si="7"/>
        <v>1718703.2</v>
      </c>
    </row>
    <row r="516" spans="1:16" x14ac:dyDescent="0.3">
      <c r="A516">
        <v>48371</v>
      </c>
      <c r="B516" t="s">
        <v>580</v>
      </c>
      <c r="C516" t="s">
        <v>56</v>
      </c>
      <c r="D516" s="2">
        <v>0</v>
      </c>
      <c r="E516" s="2">
        <v>0</v>
      </c>
      <c r="F516" s="2">
        <v>0</v>
      </c>
      <c r="G516" s="2">
        <v>2195.7199999999998</v>
      </c>
      <c r="H516" s="2">
        <v>2195.7199999999998</v>
      </c>
      <c r="I516" s="2">
        <v>4391.45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f t="shared" si="7"/>
        <v>4391.45</v>
      </c>
    </row>
    <row r="517" spans="1:16" x14ac:dyDescent="0.3">
      <c r="A517">
        <v>50062</v>
      </c>
      <c r="B517" t="s">
        <v>580</v>
      </c>
      <c r="C517" t="s">
        <v>23</v>
      </c>
      <c r="D517" s="2">
        <v>696966.84</v>
      </c>
      <c r="E517" s="2">
        <v>696966.84</v>
      </c>
      <c r="F517" s="2">
        <v>1393933.68</v>
      </c>
      <c r="G517" s="2">
        <v>34154.11</v>
      </c>
      <c r="H517" s="2">
        <v>34154.11</v>
      </c>
      <c r="I517" s="2">
        <v>68308.22</v>
      </c>
      <c r="J517" s="2">
        <v>222216.57</v>
      </c>
      <c r="K517" s="2">
        <v>111108.29</v>
      </c>
      <c r="L517" s="2">
        <v>333324.86</v>
      </c>
      <c r="M517" s="2">
        <v>0</v>
      </c>
      <c r="N517" s="2">
        <v>0</v>
      </c>
      <c r="O517" s="2">
        <v>0</v>
      </c>
      <c r="P517" s="2">
        <f t="shared" si="7"/>
        <v>1795566.7599999998</v>
      </c>
    </row>
    <row r="518" spans="1:16" x14ac:dyDescent="0.3">
      <c r="A518">
        <v>44719</v>
      </c>
      <c r="B518" t="s">
        <v>581</v>
      </c>
      <c r="C518" t="s">
        <v>168</v>
      </c>
      <c r="D518" s="2">
        <v>831529.21</v>
      </c>
      <c r="E518" s="2">
        <v>831529.21</v>
      </c>
      <c r="F518" s="2">
        <v>1663058.42</v>
      </c>
      <c r="G518" s="2">
        <v>0</v>
      </c>
      <c r="H518" s="2">
        <v>0</v>
      </c>
      <c r="I518" s="2">
        <v>0</v>
      </c>
      <c r="J518" s="2">
        <v>858463.17</v>
      </c>
      <c r="K518" s="2">
        <v>429231.58</v>
      </c>
      <c r="L518" s="2">
        <v>1287694.75</v>
      </c>
      <c r="M518" s="2">
        <v>0</v>
      </c>
      <c r="N518" s="2">
        <v>0</v>
      </c>
      <c r="O518" s="2">
        <v>0</v>
      </c>
      <c r="P518" s="2">
        <f t="shared" si="7"/>
        <v>2950753.17</v>
      </c>
    </row>
    <row r="519" spans="1:16" x14ac:dyDescent="0.3">
      <c r="A519">
        <v>45997</v>
      </c>
      <c r="B519" t="s">
        <v>582</v>
      </c>
      <c r="C519" t="s">
        <v>63</v>
      </c>
      <c r="D519" s="2">
        <v>250354.57</v>
      </c>
      <c r="E519" s="2">
        <v>250354.57</v>
      </c>
      <c r="F519" s="2">
        <v>500709.14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f t="shared" si="7"/>
        <v>500709.14</v>
      </c>
    </row>
    <row r="520" spans="1:16" x14ac:dyDescent="0.3">
      <c r="A520">
        <v>48587</v>
      </c>
      <c r="B520" t="s">
        <v>583</v>
      </c>
      <c r="C520" t="s">
        <v>154</v>
      </c>
      <c r="D520" s="2">
        <v>5892.75</v>
      </c>
      <c r="E520" s="2">
        <v>5892.75</v>
      </c>
      <c r="F520" s="2">
        <v>11785.5</v>
      </c>
      <c r="G520" s="2">
        <v>4836.21</v>
      </c>
      <c r="H520" s="2">
        <v>4836.21</v>
      </c>
      <c r="I520" s="2">
        <v>9672.42</v>
      </c>
      <c r="J520" s="2">
        <v>48104.01</v>
      </c>
      <c r="K520" s="2">
        <v>24052.01</v>
      </c>
      <c r="L520" s="2">
        <v>72156.02</v>
      </c>
      <c r="M520" s="2">
        <v>0</v>
      </c>
      <c r="N520" s="2">
        <v>0</v>
      </c>
      <c r="O520" s="2">
        <v>0</v>
      </c>
      <c r="P520" s="2">
        <f t="shared" si="7"/>
        <v>93613.94</v>
      </c>
    </row>
    <row r="521" spans="1:16" x14ac:dyDescent="0.3">
      <c r="A521">
        <v>44727</v>
      </c>
      <c r="B521" t="s">
        <v>584</v>
      </c>
      <c r="C521" t="s">
        <v>436</v>
      </c>
      <c r="D521" s="2">
        <v>319676.76</v>
      </c>
      <c r="E521" s="2">
        <v>319676.76</v>
      </c>
      <c r="F521" s="2">
        <v>639353.52</v>
      </c>
      <c r="G521" s="2">
        <v>35063.67</v>
      </c>
      <c r="H521" s="2">
        <v>35063.67</v>
      </c>
      <c r="I521" s="2">
        <v>70127.350000000006</v>
      </c>
      <c r="J521" s="2">
        <v>155818.47</v>
      </c>
      <c r="K521" s="2">
        <v>77909.23</v>
      </c>
      <c r="L521" s="2">
        <v>233727.7</v>
      </c>
      <c r="M521" s="2">
        <v>0</v>
      </c>
      <c r="N521" s="2">
        <v>0</v>
      </c>
      <c r="O521" s="2">
        <v>0</v>
      </c>
      <c r="P521" s="2">
        <f t="shared" si="7"/>
        <v>943208.57000000007</v>
      </c>
    </row>
    <row r="522" spans="1:16" x14ac:dyDescent="0.3">
      <c r="A522">
        <v>44826</v>
      </c>
      <c r="B522" t="s">
        <v>585</v>
      </c>
      <c r="C522" t="s">
        <v>132</v>
      </c>
      <c r="D522" s="2">
        <v>21890.55</v>
      </c>
      <c r="E522" s="2">
        <v>21890.55</v>
      </c>
      <c r="F522" s="2">
        <v>43781.1</v>
      </c>
      <c r="G522" s="2">
        <v>4816.88</v>
      </c>
      <c r="H522" s="2">
        <v>4816.88</v>
      </c>
      <c r="I522" s="2">
        <v>9633.77</v>
      </c>
      <c r="J522" s="2">
        <v>55770.39</v>
      </c>
      <c r="K522" s="2">
        <v>27885.200000000001</v>
      </c>
      <c r="L522" s="2">
        <v>83655.59</v>
      </c>
      <c r="M522" s="2">
        <v>0</v>
      </c>
      <c r="N522" s="2">
        <v>0</v>
      </c>
      <c r="O522" s="2">
        <v>0</v>
      </c>
      <c r="P522" s="2">
        <f t="shared" si="7"/>
        <v>137070.46</v>
      </c>
    </row>
    <row r="523" spans="1:16" x14ac:dyDescent="0.3">
      <c r="A523">
        <v>44834</v>
      </c>
      <c r="B523" t="s">
        <v>586</v>
      </c>
      <c r="C523" t="s">
        <v>23</v>
      </c>
      <c r="D523" s="2">
        <v>319179.5</v>
      </c>
      <c r="E523" s="2">
        <v>319179.5</v>
      </c>
      <c r="F523" s="2">
        <v>638359</v>
      </c>
      <c r="G523" s="2">
        <v>12368.01</v>
      </c>
      <c r="H523" s="2">
        <v>12368.01</v>
      </c>
      <c r="I523" s="2">
        <v>24736.01</v>
      </c>
      <c r="J523" s="2">
        <v>202292.91</v>
      </c>
      <c r="K523" s="2">
        <v>101146.45</v>
      </c>
      <c r="L523" s="2">
        <v>303439.35999999999</v>
      </c>
      <c r="M523" s="2">
        <v>0</v>
      </c>
      <c r="N523" s="2">
        <v>0</v>
      </c>
      <c r="O523" s="2">
        <v>0</v>
      </c>
      <c r="P523" s="2">
        <f t="shared" si="7"/>
        <v>966534.37</v>
      </c>
    </row>
    <row r="524" spans="1:16" x14ac:dyDescent="0.3">
      <c r="A524">
        <v>50294</v>
      </c>
      <c r="B524" t="s">
        <v>587</v>
      </c>
      <c r="C524" t="s">
        <v>175</v>
      </c>
      <c r="D524" s="2">
        <v>22741.65</v>
      </c>
      <c r="E524" s="2">
        <v>22741.65</v>
      </c>
      <c r="F524" s="2">
        <v>45483.3</v>
      </c>
      <c r="G524" s="2">
        <v>3118.98</v>
      </c>
      <c r="H524" s="2">
        <v>3118.98</v>
      </c>
      <c r="I524" s="2">
        <v>6237.95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f t="shared" si="7"/>
        <v>51721.25</v>
      </c>
    </row>
    <row r="525" spans="1:16" x14ac:dyDescent="0.3">
      <c r="A525">
        <v>49239</v>
      </c>
      <c r="B525" t="s">
        <v>588</v>
      </c>
      <c r="C525" t="s">
        <v>54</v>
      </c>
      <c r="D525" s="2">
        <v>1277161.43</v>
      </c>
      <c r="E525" s="2">
        <v>1277161.43</v>
      </c>
      <c r="F525" s="2">
        <v>2554322.86</v>
      </c>
      <c r="G525" s="2">
        <v>0</v>
      </c>
      <c r="H525" s="2">
        <v>0</v>
      </c>
      <c r="I525" s="2">
        <v>0</v>
      </c>
      <c r="J525" s="2">
        <v>79182.75</v>
      </c>
      <c r="K525" s="2">
        <v>39591.370000000003</v>
      </c>
      <c r="L525" s="2">
        <v>118774.12</v>
      </c>
      <c r="M525" s="2">
        <v>14229.12</v>
      </c>
      <c r="N525" s="2">
        <v>14229.12</v>
      </c>
      <c r="O525" s="2">
        <v>28458.240000000002</v>
      </c>
      <c r="P525" s="2">
        <f t="shared" ref="P525:P588" si="8">F525+I525+L525+O525</f>
        <v>2701555.22</v>
      </c>
    </row>
    <row r="526" spans="1:16" x14ac:dyDescent="0.3">
      <c r="A526">
        <v>44842</v>
      </c>
      <c r="B526" t="s">
        <v>589</v>
      </c>
      <c r="C526" t="s">
        <v>68</v>
      </c>
      <c r="D526" s="2">
        <v>2522563.9</v>
      </c>
      <c r="E526" s="2">
        <v>2522563.9</v>
      </c>
      <c r="F526" s="2">
        <v>5045127.8</v>
      </c>
      <c r="G526" s="2">
        <v>33983.54</v>
      </c>
      <c r="H526" s="2">
        <v>33983.54</v>
      </c>
      <c r="I526" s="2">
        <v>67967.070000000007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f t="shared" si="8"/>
        <v>5113094.87</v>
      </c>
    </row>
    <row r="527" spans="1:16" x14ac:dyDescent="0.3">
      <c r="A527">
        <v>44859</v>
      </c>
      <c r="B527" t="s">
        <v>590</v>
      </c>
      <c r="C527" t="s">
        <v>56</v>
      </c>
      <c r="D527" s="2">
        <v>67089.09</v>
      </c>
      <c r="E527" s="2">
        <v>67089.09</v>
      </c>
      <c r="F527" s="2">
        <v>134178.18</v>
      </c>
      <c r="G527" s="2">
        <v>1876.69</v>
      </c>
      <c r="H527" s="2">
        <v>1876.69</v>
      </c>
      <c r="I527" s="2">
        <v>3753.38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f t="shared" si="8"/>
        <v>137931.56</v>
      </c>
    </row>
    <row r="528" spans="1:16" x14ac:dyDescent="0.3">
      <c r="A528">
        <v>50658</v>
      </c>
      <c r="B528" t="s">
        <v>591</v>
      </c>
      <c r="C528" t="s">
        <v>128</v>
      </c>
      <c r="D528" s="2">
        <v>63159.88</v>
      </c>
      <c r="E528" s="2">
        <v>63159.88</v>
      </c>
      <c r="F528" s="2">
        <v>126319.76</v>
      </c>
      <c r="G528" s="2">
        <v>11078.84</v>
      </c>
      <c r="H528" s="2">
        <v>11078.84</v>
      </c>
      <c r="I528" s="2">
        <v>22157.67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f t="shared" si="8"/>
        <v>148477.43</v>
      </c>
    </row>
    <row r="529" spans="1:16" x14ac:dyDescent="0.3">
      <c r="A529">
        <v>47274</v>
      </c>
      <c r="B529" t="s">
        <v>592</v>
      </c>
      <c r="C529" t="s">
        <v>73</v>
      </c>
      <c r="D529" s="2">
        <v>120179.29</v>
      </c>
      <c r="E529" s="2">
        <v>120179.29</v>
      </c>
      <c r="F529" s="2">
        <v>240358.58</v>
      </c>
      <c r="G529" s="2">
        <v>8665.7000000000007</v>
      </c>
      <c r="H529" s="2">
        <v>8665.7000000000007</v>
      </c>
      <c r="I529" s="2">
        <v>17331.41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f t="shared" si="8"/>
        <v>257689.99</v>
      </c>
    </row>
    <row r="530" spans="1:16" x14ac:dyDescent="0.3">
      <c r="A530">
        <v>47092</v>
      </c>
      <c r="B530" t="s">
        <v>593</v>
      </c>
      <c r="C530" t="s">
        <v>46</v>
      </c>
      <c r="D530" s="2">
        <v>242851.95</v>
      </c>
      <c r="E530" s="2">
        <v>242851.95</v>
      </c>
      <c r="F530" s="2">
        <v>485703.9</v>
      </c>
      <c r="G530" s="2">
        <v>12810.17</v>
      </c>
      <c r="H530" s="2">
        <v>12810.17</v>
      </c>
      <c r="I530" s="2">
        <v>25620.34</v>
      </c>
      <c r="J530" s="2">
        <v>56599.75</v>
      </c>
      <c r="K530" s="2">
        <v>28299.87</v>
      </c>
      <c r="L530" s="2">
        <v>84899.62</v>
      </c>
      <c r="M530" s="2">
        <v>0</v>
      </c>
      <c r="N530" s="2">
        <v>0</v>
      </c>
      <c r="O530" s="2">
        <v>0</v>
      </c>
      <c r="P530" s="2">
        <f t="shared" si="8"/>
        <v>596223.8600000001</v>
      </c>
    </row>
    <row r="531" spans="1:16" x14ac:dyDescent="0.3">
      <c r="A531">
        <v>48652</v>
      </c>
      <c r="B531" t="s">
        <v>594</v>
      </c>
      <c r="C531" t="s">
        <v>595</v>
      </c>
      <c r="D531" s="2">
        <v>501503.48</v>
      </c>
      <c r="E531" s="2">
        <v>501503.48</v>
      </c>
      <c r="F531" s="2">
        <v>1003006.96</v>
      </c>
      <c r="G531" s="2">
        <v>67111.89</v>
      </c>
      <c r="H531" s="2">
        <v>0</v>
      </c>
      <c r="I531" s="2">
        <v>67111.899999999994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f t="shared" si="8"/>
        <v>1070118.8599999999</v>
      </c>
    </row>
    <row r="532" spans="1:16" x14ac:dyDescent="0.3">
      <c r="A532">
        <v>44867</v>
      </c>
      <c r="B532" t="s">
        <v>596</v>
      </c>
      <c r="C532" t="s">
        <v>168</v>
      </c>
      <c r="D532" s="2">
        <v>5309624.5</v>
      </c>
      <c r="E532" s="2">
        <v>5309624.5</v>
      </c>
      <c r="F532" s="2">
        <v>10619249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f t="shared" si="8"/>
        <v>10619249</v>
      </c>
    </row>
    <row r="533" spans="1:16" x14ac:dyDescent="0.3">
      <c r="A533">
        <v>44875</v>
      </c>
      <c r="B533" t="s">
        <v>597</v>
      </c>
      <c r="C533" t="s">
        <v>39</v>
      </c>
      <c r="D533" s="2">
        <v>1549593.56</v>
      </c>
      <c r="E533" s="2">
        <v>1549593.56</v>
      </c>
      <c r="F533" s="2">
        <v>3099187.12</v>
      </c>
      <c r="G533" s="2">
        <v>7149.28</v>
      </c>
      <c r="H533" s="2">
        <v>7149.28</v>
      </c>
      <c r="I533" s="2">
        <v>14298.56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f t="shared" si="8"/>
        <v>3113485.68</v>
      </c>
    </row>
    <row r="534" spans="1:16" x14ac:dyDescent="0.3">
      <c r="A534">
        <v>47969</v>
      </c>
      <c r="B534" t="s">
        <v>598</v>
      </c>
      <c r="C534" t="s">
        <v>163</v>
      </c>
      <c r="D534" s="2">
        <v>0</v>
      </c>
      <c r="E534" s="2">
        <v>0</v>
      </c>
      <c r="F534" s="2">
        <v>0</v>
      </c>
      <c r="G534" s="2">
        <v>533.57000000000005</v>
      </c>
      <c r="H534" s="2">
        <v>533.57000000000005</v>
      </c>
      <c r="I534" s="2">
        <v>1067.1400000000001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f t="shared" si="8"/>
        <v>1067.1400000000001</v>
      </c>
    </row>
    <row r="535" spans="1:16" x14ac:dyDescent="0.3">
      <c r="A535">
        <v>46151</v>
      </c>
      <c r="B535" t="s">
        <v>599</v>
      </c>
      <c r="C535" t="s">
        <v>242</v>
      </c>
      <c r="D535" s="2">
        <v>187405.75</v>
      </c>
      <c r="E535" s="2">
        <v>187405.75</v>
      </c>
      <c r="F535" s="2">
        <v>374811.5</v>
      </c>
      <c r="G535" s="2">
        <v>14739.46</v>
      </c>
      <c r="H535" s="2">
        <v>14739.46</v>
      </c>
      <c r="I535" s="2">
        <v>29478.92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f t="shared" si="8"/>
        <v>404290.42</v>
      </c>
    </row>
    <row r="536" spans="1:16" x14ac:dyDescent="0.3">
      <c r="A536">
        <v>44883</v>
      </c>
      <c r="B536" t="s">
        <v>600</v>
      </c>
      <c r="C536" t="s">
        <v>23</v>
      </c>
      <c r="D536" s="2">
        <v>855664.74</v>
      </c>
      <c r="E536" s="2">
        <v>855664.74</v>
      </c>
      <c r="F536" s="2">
        <v>1711329.48</v>
      </c>
      <c r="G536" s="2">
        <v>17541.939999999999</v>
      </c>
      <c r="H536" s="2">
        <v>17541.939999999999</v>
      </c>
      <c r="I536" s="2">
        <v>35083.879999999997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f t="shared" si="8"/>
        <v>1746413.3599999999</v>
      </c>
    </row>
    <row r="537" spans="1:16" x14ac:dyDescent="0.3">
      <c r="A537">
        <v>49098</v>
      </c>
      <c r="B537" t="s">
        <v>601</v>
      </c>
      <c r="C537" t="s">
        <v>170</v>
      </c>
      <c r="D537" s="2">
        <v>0</v>
      </c>
      <c r="E537" s="2">
        <v>0</v>
      </c>
      <c r="F537" s="2">
        <v>0</v>
      </c>
      <c r="G537" s="2">
        <v>10589.36</v>
      </c>
      <c r="H537" s="2">
        <v>10589.36</v>
      </c>
      <c r="I537" s="2">
        <v>21178.71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f t="shared" si="8"/>
        <v>21178.71</v>
      </c>
    </row>
    <row r="538" spans="1:16" x14ac:dyDescent="0.3">
      <c r="A538">
        <v>46243</v>
      </c>
      <c r="B538" t="s">
        <v>602</v>
      </c>
      <c r="C538" t="s">
        <v>172</v>
      </c>
      <c r="D538" s="2">
        <v>0</v>
      </c>
      <c r="E538" s="2">
        <v>0</v>
      </c>
      <c r="F538" s="2">
        <v>0</v>
      </c>
      <c r="G538" s="2">
        <v>27251.02</v>
      </c>
      <c r="H538" s="2">
        <v>27251.02</v>
      </c>
      <c r="I538" s="2">
        <v>54502.04</v>
      </c>
      <c r="J538" s="2">
        <v>75137.67</v>
      </c>
      <c r="K538" s="2">
        <v>37568.83</v>
      </c>
      <c r="L538" s="2">
        <v>112706.5</v>
      </c>
      <c r="M538" s="2">
        <v>0</v>
      </c>
      <c r="N538" s="2">
        <v>0</v>
      </c>
      <c r="O538" s="2">
        <v>0</v>
      </c>
      <c r="P538" s="2">
        <f t="shared" si="8"/>
        <v>167208.54</v>
      </c>
    </row>
    <row r="539" spans="1:16" x14ac:dyDescent="0.3">
      <c r="A539">
        <v>47399</v>
      </c>
      <c r="B539" t="s">
        <v>603</v>
      </c>
      <c r="C539" t="s">
        <v>168</v>
      </c>
      <c r="D539" s="2">
        <v>876263.64</v>
      </c>
      <c r="E539" s="2">
        <v>876263.64</v>
      </c>
      <c r="F539" s="2">
        <v>1752527.28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f t="shared" si="8"/>
        <v>1752527.28</v>
      </c>
    </row>
    <row r="540" spans="1:16" x14ac:dyDescent="0.3">
      <c r="A540">
        <v>44891</v>
      </c>
      <c r="B540" t="s">
        <v>604</v>
      </c>
      <c r="C540" t="s">
        <v>95</v>
      </c>
      <c r="D540" s="2">
        <v>302210.46999999997</v>
      </c>
      <c r="E540" s="2">
        <v>302210.46999999997</v>
      </c>
      <c r="F540" s="2">
        <v>604420.93999999994</v>
      </c>
      <c r="G540" s="2">
        <v>18884.75</v>
      </c>
      <c r="H540" s="2">
        <v>18884.75</v>
      </c>
      <c r="I540" s="2">
        <v>37769.49</v>
      </c>
      <c r="J540" s="2">
        <v>65665.13</v>
      </c>
      <c r="K540" s="2">
        <v>32832.559999999998</v>
      </c>
      <c r="L540" s="2">
        <v>98497.69</v>
      </c>
      <c r="M540" s="2">
        <v>0</v>
      </c>
      <c r="N540" s="2">
        <v>0</v>
      </c>
      <c r="O540" s="2">
        <v>0</v>
      </c>
      <c r="P540" s="2">
        <f t="shared" si="8"/>
        <v>740688.11999999988</v>
      </c>
    </row>
    <row r="541" spans="1:16" x14ac:dyDescent="0.3">
      <c r="A541">
        <v>45617</v>
      </c>
      <c r="B541" t="s">
        <v>605</v>
      </c>
      <c r="C541" t="s">
        <v>92</v>
      </c>
      <c r="D541" s="2">
        <v>625137.46</v>
      </c>
      <c r="E541" s="2">
        <v>625137.46</v>
      </c>
      <c r="F541" s="2">
        <v>1250274.92</v>
      </c>
      <c r="G541" s="2">
        <v>37546.800000000003</v>
      </c>
      <c r="H541" s="2">
        <v>37546.800000000003</v>
      </c>
      <c r="I541" s="2">
        <v>75093.600000000006</v>
      </c>
      <c r="J541" s="2">
        <v>41714.29</v>
      </c>
      <c r="K541" s="2">
        <v>20857.14</v>
      </c>
      <c r="L541" s="2">
        <v>62571.43</v>
      </c>
      <c r="M541" s="2">
        <v>0</v>
      </c>
      <c r="N541" s="2">
        <v>0</v>
      </c>
      <c r="O541" s="2">
        <v>0</v>
      </c>
      <c r="P541" s="2">
        <f t="shared" si="8"/>
        <v>1387939.95</v>
      </c>
    </row>
    <row r="542" spans="1:16" x14ac:dyDescent="0.3">
      <c r="A542">
        <v>44909</v>
      </c>
      <c r="B542" t="s">
        <v>606</v>
      </c>
      <c r="C542" t="s">
        <v>39</v>
      </c>
      <c r="D542" s="2">
        <v>3122590.32</v>
      </c>
      <c r="E542" s="2">
        <v>3122590.32</v>
      </c>
      <c r="F542" s="2">
        <v>6245180.6399999997</v>
      </c>
      <c r="G542" s="2">
        <v>55015.63</v>
      </c>
      <c r="H542" s="2">
        <v>55015.63</v>
      </c>
      <c r="I542" s="2">
        <v>110031.26</v>
      </c>
      <c r="J542" s="2">
        <v>958134.12</v>
      </c>
      <c r="K542" s="2">
        <v>479067.05</v>
      </c>
      <c r="L542" s="2">
        <v>1437201.17</v>
      </c>
      <c r="M542" s="2">
        <v>0</v>
      </c>
      <c r="N542" s="2">
        <v>0</v>
      </c>
      <c r="O542" s="2">
        <v>0</v>
      </c>
      <c r="P542" s="2">
        <f t="shared" si="8"/>
        <v>7792413.0699999994</v>
      </c>
    </row>
    <row r="543" spans="1:16" x14ac:dyDescent="0.3">
      <c r="A543">
        <v>44917</v>
      </c>
      <c r="B543" t="s">
        <v>607</v>
      </c>
      <c r="C543" t="s">
        <v>132</v>
      </c>
      <c r="D543" s="2">
        <v>317238.71000000002</v>
      </c>
      <c r="E543" s="2">
        <v>317238.71000000002</v>
      </c>
      <c r="F543" s="2">
        <v>634477.42000000004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f t="shared" si="8"/>
        <v>634477.42000000004</v>
      </c>
    </row>
    <row r="544" spans="1:16" x14ac:dyDescent="0.3">
      <c r="A544">
        <v>91397</v>
      </c>
      <c r="B544" t="s">
        <v>608</v>
      </c>
      <c r="C544" t="s">
        <v>188</v>
      </c>
      <c r="D544" s="2">
        <v>197313.71</v>
      </c>
      <c r="E544" s="2">
        <v>197313.71</v>
      </c>
      <c r="F544" s="2">
        <v>394627.42</v>
      </c>
      <c r="G544" s="2">
        <v>15620.96</v>
      </c>
      <c r="H544" s="2">
        <v>15620.96</v>
      </c>
      <c r="I544" s="2">
        <v>31241.91</v>
      </c>
      <c r="J544" s="2">
        <v>114139.86</v>
      </c>
      <c r="K544" s="2">
        <v>57069.93</v>
      </c>
      <c r="L544" s="2">
        <v>171209.79</v>
      </c>
      <c r="M544" s="2">
        <v>0</v>
      </c>
      <c r="N544" s="2">
        <v>0</v>
      </c>
      <c r="O544" s="2">
        <v>0</v>
      </c>
      <c r="P544" s="2">
        <f t="shared" si="8"/>
        <v>597079.12</v>
      </c>
    </row>
    <row r="545" spans="1:16" x14ac:dyDescent="0.3">
      <c r="A545">
        <v>48876</v>
      </c>
      <c r="B545" t="s">
        <v>609</v>
      </c>
      <c r="C545" t="s">
        <v>232</v>
      </c>
      <c r="D545" s="2">
        <v>86139.1</v>
      </c>
      <c r="E545" s="2">
        <v>86139.1</v>
      </c>
      <c r="F545" s="2">
        <v>172278.2</v>
      </c>
      <c r="G545" s="2">
        <v>6650.1</v>
      </c>
      <c r="H545" s="2">
        <v>6650.1</v>
      </c>
      <c r="I545" s="2">
        <v>13300.21</v>
      </c>
      <c r="J545" s="2">
        <v>20032.53</v>
      </c>
      <c r="K545" s="2">
        <v>10016.26</v>
      </c>
      <c r="L545" s="2">
        <v>30048.79</v>
      </c>
      <c r="M545" s="2">
        <v>0</v>
      </c>
      <c r="N545" s="2">
        <v>0</v>
      </c>
      <c r="O545" s="2">
        <v>0</v>
      </c>
      <c r="P545" s="2">
        <f t="shared" si="8"/>
        <v>215627.2</v>
      </c>
    </row>
    <row r="546" spans="1:16" x14ac:dyDescent="0.3">
      <c r="A546">
        <v>46680</v>
      </c>
      <c r="B546" t="s">
        <v>610</v>
      </c>
      <c r="C546" t="s">
        <v>37</v>
      </c>
      <c r="D546" s="2">
        <v>0</v>
      </c>
      <c r="E546" s="2">
        <v>0</v>
      </c>
      <c r="F546" s="2">
        <v>0</v>
      </c>
      <c r="G546" s="2">
        <v>396.3</v>
      </c>
      <c r="H546" s="2">
        <v>396.3</v>
      </c>
      <c r="I546" s="2">
        <v>792.59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f t="shared" si="8"/>
        <v>792.59</v>
      </c>
    </row>
    <row r="547" spans="1:16" x14ac:dyDescent="0.3">
      <c r="A547">
        <v>46201</v>
      </c>
      <c r="B547" t="s">
        <v>611</v>
      </c>
      <c r="C547" t="s">
        <v>297</v>
      </c>
      <c r="D547" s="2">
        <v>0</v>
      </c>
      <c r="E547" s="2">
        <v>0</v>
      </c>
      <c r="F547" s="2">
        <v>0</v>
      </c>
      <c r="G547" s="2">
        <v>193.25</v>
      </c>
      <c r="H547" s="2">
        <v>193.25</v>
      </c>
      <c r="I547" s="2">
        <v>386.5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f t="shared" si="8"/>
        <v>386.5</v>
      </c>
    </row>
    <row r="548" spans="1:16" x14ac:dyDescent="0.3">
      <c r="A548">
        <v>45922</v>
      </c>
      <c r="B548" t="s">
        <v>612</v>
      </c>
      <c r="C548" t="s">
        <v>25</v>
      </c>
      <c r="D548" s="2">
        <v>0</v>
      </c>
      <c r="E548" s="2">
        <v>0</v>
      </c>
      <c r="F548" s="2">
        <v>0</v>
      </c>
      <c r="G548" s="2">
        <v>498.97</v>
      </c>
      <c r="H548" s="2">
        <v>498.97</v>
      </c>
      <c r="I548" s="2">
        <v>997.94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f t="shared" si="8"/>
        <v>997.94</v>
      </c>
    </row>
    <row r="549" spans="1:16" x14ac:dyDescent="0.3">
      <c r="A549">
        <v>50591</v>
      </c>
      <c r="B549" t="s">
        <v>613</v>
      </c>
      <c r="C549" t="s">
        <v>166</v>
      </c>
      <c r="D549" s="2">
        <v>264850.31</v>
      </c>
      <c r="E549" s="2">
        <v>264850.31</v>
      </c>
      <c r="F549" s="2">
        <v>529700.62</v>
      </c>
      <c r="G549" s="2">
        <v>22588.14</v>
      </c>
      <c r="H549" s="2">
        <v>22588.14</v>
      </c>
      <c r="I549" s="2">
        <v>45176.28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f t="shared" si="8"/>
        <v>574876.9</v>
      </c>
    </row>
    <row r="550" spans="1:16" x14ac:dyDescent="0.3">
      <c r="A550">
        <v>48694</v>
      </c>
      <c r="B550" t="s">
        <v>614</v>
      </c>
      <c r="C550" t="s">
        <v>123</v>
      </c>
      <c r="D550" s="2">
        <v>0</v>
      </c>
      <c r="E550" s="2">
        <v>0</v>
      </c>
      <c r="F550" s="2">
        <v>0</v>
      </c>
      <c r="G550" s="2">
        <v>17506.23</v>
      </c>
      <c r="H550" s="2">
        <v>17506.23</v>
      </c>
      <c r="I550" s="2">
        <v>35012.46</v>
      </c>
      <c r="J550" s="2">
        <v>79359.86</v>
      </c>
      <c r="K550" s="2">
        <v>39679.93</v>
      </c>
      <c r="L550" s="2">
        <v>119039.79</v>
      </c>
      <c r="M550" s="2">
        <v>0</v>
      </c>
      <c r="N550" s="2">
        <v>0</v>
      </c>
      <c r="O550" s="2">
        <v>0</v>
      </c>
      <c r="P550" s="2">
        <f t="shared" si="8"/>
        <v>154052.25</v>
      </c>
    </row>
    <row r="551" spans="1:16" x14ac:dyDescent="0.3">
      <c r="A551">
        <v>44925</v>
      </c>
      <c r="B551" t="s">
        <v>615</v>
      </c>
      <c r="C551" t="s">
        <v>92</v>
      </c>
      <c r="D551" s="2">
        <v>1730416.06</v>
      </c>
      <c r="E551" s="2">
        <v>1730416.06</v>
      </c>
      <c r="F551" s="2">
        <v>3460832.12</v>
      </c>
      <c r="G551" s="2">
        <v>49862.73</v>
      </c>
      <c r="H551" s="2">
        <v>49862.73</v>
      </c>
      <c r="I551" s="2">
        <v>99725.46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f t="shared" si="8"/>
        <v>3560557.58</v>
      </c>
    </row>
    <row r="552" spans="1:16" x14ac:dyDescent="0.3">
      <c r="A552">
        <v>50302</v>
      </c>
      <c r="B552" t="s">
        <v>616</v>
      </c>
      <c r="C552" t="s">
        <v>175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7234.27</v>
      </c>
      <c r="K552" s="2">
        <v>3617.14</v>
      </c>
      <c r="L552" s="2">
        <v>10851.41</v>
      </c>
      <c r="M552" s="2">
        <v>0</v>
      </c>
      <c r="N552" s="2">
        <v>0</v>
      </c>
      <c r="O552" s="2">
        <v>0</v>
      </c>
      <c r="P552" s="2">
        <f t="shared" si="8"/>
        <v>10851.41</v>
      </c>
    </row>
    <row r="553" spans="1:16" x14ac:dyDescent="0.3">
      <c r="A553">
        <v>49957</v>
      </c>
      <c r="B553" t="s">
        <v>617</v>
      </c>
      <c r="C553" t="s">
        <v>29</v>
      </c>
      <c r="D553" s="2">
        <v>56543.08</v>
      </c>
      <c r="E553" s="2">
        <v>56543.08</v>
      </c>
      <c r="F553" s="2">
        <v>113086.16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f t="shared" si="8"/>
        <v>113086.16</v>
      </c>
    </row>
    <row r="554" spans="1:16" x14ac:dyDescent="0.3">
      <c r="A554">
        <v>49296</v>
      </c>
      <c r="B554" t="s">
        <v>618</v>
      </c>
      <c r="C554" t="s">
        <v>188</v>
      </c>
      <c r="D554" s="2">
        <v>28952.81</v>
      </c>
      <c r="E554" s="2">
        <v>28952.81</v>
      </c>
      <c r="F554" s="2">
        <v>57905.62</v>
      </c>
      <c r="G554" s="2">
        <v>1153.54</v>
      </c>
      <c r="H554" s="2">
        <v>1153.54</v>
      </c>
      <c r="I554" s="2">
        <v>2307.08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f t="shared" si="8"/>
        <v>60212.700000000004</v>
      </c>
    </row>
    <row r="555" spans="1:16" x14ac:dyDescent="0.3">
      <c r="A555">
        <v>50070</v>
      </c>
      <c r="B555" t="s">
        <v>619</v>
      </c>
      <c r="C555" t="s">
        <v>23</v>
      </c>
      <c r="D555" s="2">
        <v>2698838.84</v>
      </c>
      <c r="E555" s="2">
        <v>2698838.84</v>
      </c>
      <c r="F555" s="2">
        <v>5397677.6799999997</v>
      </c>
      <c r="G555" s="2">
        <v>179934.57</v>
      </c>
      <c r="H555" s="2">
        <v>179934.57</v>
      </c>
      <c r="I555" s="2">
        <v>359869.15</v>
      </c>
      <c r="J555" s="2">
        <v>1359028.55</v>
      </c>
      <c r="K555" s="2">
        <v>679514.28</v>
      </c>
      <c r="L555" s="2">
        <v>2038542.83</v>
      </c>
      <c r="M555" s="2">
        <v>0</v>
      </c>
      <c r="N555" s="2">
        <v>0</v>
      </c>
      <c r="O555" s="2">
        <v>0</v>
      </c>
      <c r="P555" s="2">
        <f t="shared" si="8"/>
        <v>7796089.6600000001</v>
      </c>
    </row>
    <row r="556" spans="1:16" x14ac:dyDescent="0.3">
      <c r="A556">
        <v>46011</v>
      </c>
      <c r="B556" t="s">
        <v>620</v>
      </c>
      <c r="C556" t="s">
        <v>63</v>
      </c>
      <c r="D556" s="2">
        <v>0</v>
      </c>
      <c r="E556" s="2">
        <v>0</v>
      </c>
      <c r="F556" s="2">
        <v>0</v>
      </c>
      <c r="G556" s="2">
        <v>959.85</v>
      </c>
      <c r="H556" s="2">
        <v>959.85</v>
      </c>
      <c r="I556" s="2">
        <v>1919.71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f t="shared" si="8"/>
        <v>1919.71</v>
      </c>
    </row>
    <row r="557" spans="1:16" x14ac:dyDescent="0.3">
      <c r="A557">
        <v>49536</v>
      </c>
      <c r="B557" t="s">
        <v>621</v>
      </c>
      <c r="C557" t="s">
        <v>21</v>
      </c>
      <c r="D557" s="2">
        <v>0</v>
      </c>
      <c r="E557" s="2">
        <v>0</v>
      </c>
      <c r="F557" s="2">
        <v>0</v>
      </c>
      <c r="G557" s="2">
        <v>762.28</v>
      </c>
      <c r="H557" s="2">
        <v>762.28</v>
      </c>
      <c r="I557" s="2">
        <v>1524.56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f t="shared" si="8"/>
        <v>1524.56</v>
      </c>
    </row>
    <row r="558" spans="1:16" x14ac:dyDescent="0.3">
      <c r="A558">
        <v>46458</v>
      </c>
      <c r="B558" t="s">
        <v>622</v>
      </c>
      <c r="C558" t="s">
        <v>71</v>
      </c>
      <c r="D558" s="2">
        <v>0</v>
      </c>
      <c r="E558" s="2">
        <v>0</v>
      </c>
      <c r="F558" s="2">
        <v>0</v>
      </c>
      <c r="G558" s="2">
        <v>3634.26</v>
      </c>
      <c r="H558" s="2">
        <v>3634.26</v>
      </c>
      <c r="I558" s="2">
        <v>7268.53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f t="shared" si="8"/>
        <v>7268.53</v>
      </c>
    </row>
    <row r="559" spans="1:16" x14ac:dyDescent="0.3">
      <c r="A559">
        <v>44933</v>
      </c>
      <c r="B559" t="s">
        <v>623</v>
      </c>
      <c r="C559" t="s">
        <v>97</v>
      </c>
      <c r="D559" s="2">
        <v>269770.69</v>
      </c>
      <c r="E559" s="2">
        <v>269770.69</v>
      </c>
      <c r="F559" s="2">
        <v>539541.38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f t="shared" si="8"/>
        <v>539541.38</v>
      </c>
    </row>
    <row r="560" spans="1:16" x14ac:dyDescent="0.3">
      <c r="A560">
        <v>45625</v>
      </c>
      <c r="B560" t="s">
        <v>624</v>
      </c>
      <c r="C560" t="s">
        <v>148</v>
      </c>
      <c r="D560" s="2">
        <v>90894.21</v>
      </c>
      <c r="E560" s="2">
        <v>90894.21</v>
      </c>
      <c r="F560" s="2">
        <v>181788.42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f t="shared" si="8"/>
        <v>181788.42</v>
      </c>
    </row>
    <row r="561" spans="1:16" x14ac:dyDescent="0.3">
      <c r="A561">
        <v>47522</v>
      </c>
      <c r="B561" t="s">
        <v>625</v>
      </c>
      <c r="C561" t="s">
        <v>19</v>
      </c>
      <c r="D561" s="2">
        <v>0</v>
      </c>
      <c r="E561" s="2">
        <v>0</v>
      </c>
      <c r="F561" s="2">
        <v>0</v>
      </c>
      <c r="G561" s="2">
        <v>186.6</v>
      </c>
      <c r="H561" s="2">
        <v>186.6</v>
      </c>
      <c r="I561" s="2">
        <v>373.19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f t="shared" si="8"/>
        <v>373.19</v>
      </c>
    </row>
    <row r="562" spans="1:16" x14ac:dyDescent="0.3">
      <c r="A562">
        <v>44941</v>
      </c>
      <c r="B562" t="s">
        <v>626</v>
      </c>
      <c r="C562" t="s">
        <v>297</v>
      </c>
      <c r="D562" s="2">
        <v>843617.42</v>
      </c>
      <c r="E562" s="2">
        <v>843617.42</v>
      </c>
      <c r="F562" s="2">
        <v>1687234.84</v>
      </c>
      <c r="G562" s="2">
        <v>58984.94</v>
      </c>
      <c r="H562" s="2">
        <v>58984.94</v>
      </c>
      <c r="I562" s="2">
        <v>117969.88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f t="shared" si="8"/>
        <v>1805204.7200000002</v>
      </c>
    </row>
    <row r="563" spans="1:16" x14ac:dyDescent="0.3">
      <c r="A563">
        <v>49643</v>
      </c>
      <c r="B563" t="s">
        <v>627</v>
      </c>
      <c r="C563" t="s">
        <v>106</v>
      </c>
      <c r="D563" s="2">
        <v>0</v>
      </c>
      <c r="E563" s="2">
        <v>0</v>
      </c>
      <c r="F563" s="2">
        <v>0</v>
      </c>
      <c r="G563" s="2">
        <v>974.06</v>
      </c>
      <c r="H563" s="2">
        <v>974.06</v>
      </c>
      <c r="I563" s="2">
        <v>1948.12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f t="shared" si="8"/>
        <v>1948.12</v>
      </c>
    </row>
    <row r="564" spans="1:16" x14ac:dyDescent="0.3">
      <c r="A564">
        <v>48744</v>
      </c>
      <c r="B564" t="s">
        <v>628</v>
      </c>
      <c r="C564" t="s">
        <v>123</v>
      </c>
      <c r="D564" s="2">
        <v>0</v>
      </c>
      <c r="E564" s="2">
        <v>0</v>
      </c>
      <c r="F564" s="2">
        <v>0</v>
      </c>
      <c r="G564" s="2">
        <v>9841.35</v>
      </c>
      <c r="H564" s="2">
        <v>9841.35</v>
      </c>
      <c r="I564" s="2">
        <v>19682.7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f t="shared" si="8"/>
        <v>19682.7</v>
      </c>
    </row>
    <row r="565" spans="1:16" x14ac:dyDescent="0.3">
      <c r="A565">
        <v>47464</v>
      </c>
      <c r="B565" t="s">
        <v>629</v>
      </c>
      <c r="C565" t="s">
        <v>43</v>
      </c>
      <c r="D565" s="2">
        <v>930954.17</v>
      </c>
      <c r="E565" s="2">
        <v>930954.17</v>
      </c>
      <c r="F565" s="2">
        <v>1861908.34</v>
      </c>
      <c r="G565" s="2">
        <v>36402.51</v>
      </c>
      <c r="H565" s="2">
        <v>36402.51</v>
      </c>
      <c r="I565" s="2">
        <v>72805.03</v>
      </c>
      <c r="J565" s="2">
        <v>364479.05</v>
      </c>
      <c r="K565" s="2">
        <v>182239.53</v>
      </c>
      <c r="L565" s="2">
        <v>546718.57999999996</v>
      </c>
      <c r="M565" s="2">
        <v>0</v>
      </c>
      <c r="N565" s="2">
        <v>0</v>
      </c>
      <c r="O565" s="2">
        <v>0</v>
      </c>
      <c r="P565" s="2">
        <f t="shared" si="8"/>
        <v>2481431.9500000002</v>
      </c>
    </row>
    <row r="566" spans="1:16" x14ac:dyDescent="0.3">
      <c r="A566">
        <v>44966</v>
      </c>
      <c r="B566" t="s">
        <v>630</v>
      </c>
      <c r="C566" t="s">
        <v>207</v>
      </c>
      <c r="D566" s="2">
        <v>290707.73</v>
      </c>
      <c r="E566" s="2">
        <v>290707.73</v>
      </c>
      <c r="F566" s="2">
        <v>581415.46</v>
      </c>
      <c r="G566" s="2">
        <v>29375.94</v>
      </c>
      <c r="H566" s="2">
        <v>29375.94</v>
      </c>
      <c r="I566" s="2">
        <v>58751.88</v>
      </c>
      <c r="J566" s="2">
        <v>89020.05</v>
      </c>
      <c r="K566" s="2">
        <v>44510.02</v>
      </c>
      <c r="L566" s="2">
        <v>133530.07</v>
      </c>
      <c r="M566" s="2">
        <v>0</v>
      </c>
      <c r="N566" s="2">
        <v>0</v>
      </c>
      <c r="O566" s="2">
        <v>0</v>
      </c>
      <c r="P566" s="2">
        <f t="shared" si="8"/>
        <v>773697.40999999992</v>
      </c>
    </row>
    <row r="567" spans="1:16" x14ac:dyDescent="0.3">
      <c r="A567">
        <v>44958</v>
      </c>
      <c r="B567" t="s">
        <v>631</v>
      </c>
      <c r="C567" t="s">
        <v>123</v>
      </c>
      <c r="D567" s="2">
        <v>1359105.79</v>
      </c>
      <c r="E567" s="2">
        <v>1359105.79</v>
      </c>
      <c r="F567" s="2">
        <v>2718211.58</v>
      </c>
      <c r="G567" s="2">
        <v>0</v>
      </c>
      <c r="H567" s="2">
        <v>0</v>
      </c>
      <c r="I567" s="2">
        <v>0</v>
      </c>
      <c r="J567" s="2">
        <v>342254.87</v>
      </c>
      <c r="K567" s="2">
        <v>171127.44</v>
      </c>
      <c r="L567" s="2">
        <v>513382.31</v>
      </c>
      <c r="M567" s="2">
        <v>0</v>
      </c>
      <c r="N567" s="2">
        <v>0</v>
      </c>
      <c r="O567" s="2">
        <v>0</v>
      </c>
      <c r="P567" s="2">
        <f t="shared" si="8"/>
        <v>3231593.89</v>
      </c>
    </row>
    <row r="568" spans="1:16" x14ac:dyDescent="0.3">
      <c r="A568">
        <v>47472</v>
      </c>
      <c r="B568" t="s">
        <v>632</v>
      </c>
      <c r="C568" t="s">
        <v>43</v>
      </c>
      <c r="D568" s="2">
        <v>0</v>
      </c>
      <c r="E568" s="2">
        <v>0</v>
      </c>
      <c r="F568" s="2">
        <v>0</v>
      </c>
      <c r="G568" s="2">
        <v>830.55</v>
      </c>
      <c r="H568" s="2">
        <v>830.55</v>
      </c>
      <c r="I568" s="2">
        <v>1661.1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f t="shared" si="8"/>
        <v>1661.1</v>
      </c>
    </row>
    <row r="569" spans="1:16" x14ac:dyDescent="0.3">
      <c r="A569">
        <v>46821</v>
      </c>
      <c r="B569" t="s">
        <v>633</v>
      </c>
      <c r="C569" t="s">
        <v>89</v>
      </c>
      <c r="D569" s="2">
        <v>526650.32999999996</v>
      </c>
      <c r="E569" s="2">
        <v>526650.32999999996</v>
      </c>
      <c r="F569" s="2">
        <v>1053300.6599999999</v>
      </c>
      <c r="G569" s="2">
        <v>983.44</v>
      </c>
      <c r="H569" s="2">
        <v>983.44</v>
      </c>
      <c r="I569" s="2">
        <v>1966.88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f t="shared" si="8"/>
        <v>1055267.5399999998</v>
      </c>
    </row>
    <row r="570" spans="1:16" x14ac:dyDescent="0.3">
      <c r="A570">
        <v>45633</v>
      </c>
      <c r="B570" t="s">
        <v>634</v>
      </c>
      <c r="C570" t="s">
        <v>37</v>
      </c>
      <c r="D570" s="2">
        <v>54025.93</v>
      </c>
      <c r="E570" s="2">
        <v>54025.93</v>
      </c>
      <c r="F570" s="2">
        <v>108051.86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f t="shared" si="8"/>
        <v>108051.86</v>
      </c>
    </row>
    <row r="571" spans="1:16" x14ac:dyDescent="0.3">
      <c r="A571">
        <v>50393</v>
      </c>
      <c r="B571" t="s">
        <v>635</v>
      </c>
      <c r="C571" t="s">
        <v>636</v>
      </c>
      <c r="D571" s="2">
        <v>0</v>
      </c>
      <c r="E571" s="2">
        <v>0</v>
      </c>
      <c r="F571" s="2">
        <v>0</v>
      </c>
      <c r="G571" s="2">
        <v>2840.37</v>
      </c>
      <c r="H571" s="2">
        <v>2840.37</v>
      </c>
      <c r="I571" s="2">
        <v>5680.75</v>
      </c>
      <c r="J571" s="2">
        <v>1999.07</v>
      </c>
      <c r="K571" s="2">
        <v>999.53</v>
      </c>
      <c r="L571" s="2">
        <v>2998.6</v>
      </c>
      <c r="M571" s="2">
        <v>0</v>
      </c>
      <c r="N571" s="2">
        <v>0</v>
      </c>
      <c r="O571" s="2">
        <v>0</v>
      </c>
      <c r="P571" s="2">
        <f t="shared" si="8"/>
        <v>8679.35</v>
      </c>
    </row>
    <row r="572" spans="1:16" x14ac:dyDescent="0.3">
      <c r="A572">
        <v>44974</v>
      </c>
      <c r="B572" t="s">
        <v>637</v>
      </c>
      <c r="C572" t="s">
        <v>101</v>
      </c>
      <c r="D572" s="2">
        <v>678436.86</v>
      </c>
      <c r="E572" s="2">
        <v>678436.86</v>
      </c>
      <c r="F572" s="2">
        <v>1356873.72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f t="shared" si="8"/>
        <v>1356873.72</v>
      </c>
    </row>
    <row r="573" spans="1:16" x14ac:dyDescent="0.3">
      <c r="A573">
        <v>46904</v>
      </c>
      <c r="B573" t="s">
        <v>638</v>
      </c>
      <c r="C573" t="s">
        <v>31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f t="shared" si="8"/>
        <v>0</v>
      </c>
    </row>
    <row r="574" spans="1:16" x14ac:dyDescent="0.3">
      <c r="A574">
        <v>44982</v>
      </c>
      <c r="B574" t="s">
        <v>639</v>
      </c>
      <c r="C574" t="s">
        <v>436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f t="shared" si="8"/>
        <v>0</v>
      </c>
    </row>
    <row r="575" spans="1:16" x14ac:dyDescent="0.3">
      <c r="A575">
        <v>44990</v>
      </c>
      <c r="B575" t="s">
        <v>640</v>
      </c>
      <c r="C575" t="s">
        <v>108</v>
      </c>
      <c r="D575" s="2">
        <v>382298.17</v>
      </c>
      <c r="E575" s="2">
        <v>382298.17</v>
      </c>
      <c r="F575" s="2">
        <v>764596.34</v>
      </c>
      <c r="G575" s="2">
        <v>28802.06</v>
      </c>
      <c r="H575" s="2">
        <v>28802.06</v>
      </c>
      <c r="I575" s="2">
        <v>57604.12</v>
      </c>
      <c r="J575" s="2">
        <v>875337.21</v>
      </c>
      <c r="K575" s="2">
        <v>437668.61</v>
      </c>
      <c r="L575" s="2">
        <v>1313005.82</v>
      </c>
      <c r="M575" s="2">
        <v>0</v>
      </c>
      <c r="N575" s="2">
        <v>0</v>
      </c>
      <c r="O575" s="2">
        <v>0</v>
      </c>
      <c r="P575" s="2">
        <f t="shared" si="8"/>
        <v>2135206.2800000003</v>
      </c>
    </row>
    <row r="576" spans="1:16" x14ac:dyDescent="0.3">
      <c r="A576">
        <v>50500</v>
      </c>
      <c r="B576" t="s">
        <v>641</v>
      </c>
      <c r="C576" t="s">
        <v>81</v>
      </c>
      <c r="D576" s="2">
        <v>267478.64</v>
      </c>
      <c r="E576" s="2">
        <v>267478.64</v>
      </c>
      <c r="F576" s="2">
        <v>534957.28</v>
      </c>
      <c r="G576" s="2">
        <v>0</v>
      </c>
      <c r="H576" s="2">
        <v>0</v>
      </c>
      <c r="I576" s="2">
        <v>0</v>
      </c>
      <c r="J576" s="2">
        <v>222286.39</v>
      </c>
      <c r="K576" s="2">
        <v>111143.2</v>
      </c>
      <c r="L576" s="2">
        <v>333429.59000000003</v>
      </c>
      <c r="M576" s="2">
        <v>0</v>
      </c>
      <c r="N576" s="2">
        <v>0</v>
      </c>
      <c r="O576" s="2">
        <v>0</v>
      </c>
      <c r="P576" s="2">
        <f t="shared" si="8"/>
        <v>868386.87000000011</v>
      </c>
    </row>
    <row r="577" spans="1:16" x14ac:dyDescent="0.3">
      <c r="A577">
        <v>45005</v>
      </c>
      <c r="B577" t="s">
        <v>642</v>
      </c>
      <c r="C577" t="s">
        <v>68</v>
      </c>
      <c r="D577" s="2">
        <v>1250881.4099999999</v>
      </c>
      <c r="E577" s="2">
        <v>1250881.4099999999</v>
      </c>
      <c r="F577" s="2">
        <v>2501762.8199999998</v>
      </c>
      <c r="G577" s="2">
        <v>38073.440000000002</v>
      </c>
      <c r="H577" s="2">
        <v>38073.440000000002</v>
      </c>
      <c r="I577" s="2">
        <v>76146.87</v>
      </c>
      <c r="J577" s="2">
        <v>233411.93</v>
      </c>
      <c r="K577" s="2">
        <v>116705.97</v>
      </c>
      <c r="L577" s="2">
        <v>350117.9</v>
      </c>
      <c r="M577" s="2">
        <v>0</v>
      </c>
      <c r="N577" s="2">
        <v>0</v>
      </c>
      <c r="O577" s="2">
        <v>0</v>
      </c>
      <c r="P577" s="2">
        <f t="shared" si="8"/>
        <v>2928027.59</v>
      </c>
    </row>
    <row r="578" spans="1:16" x14ac:dyDescent="0.3">
      <c r="A578">
        <v>45013</v>
      </c>
      <c r="B578" t="s">
        <v>643</v>
      </c>
      <c r="C578" t="s">
        <v>424</v>
      </c>
      <c r="D578" s="2">
        <v>44359.17</v>
      </c>
      <c r="E578" s="2">
        <v>44359.17</v>
      </c>
      <c r="F578" s="2">
        <v>88718.34</v>
      </c>
      <c r="G578" s="2">
        <v>24024.54</v>
      </c>
      <c r="H578" s="2">
        <v>24024.54</v>
      </c>
      <c r="I578" s="2">
        <v>48049.09</v>
      </c>
      <c r="J578" s="2">
        <v>84002.57</v>
      </c>
      <c r="K578" s="2">
        <v>42001.29</v>
      </c>
      <c r="L578" s="2">
        <v>126003.86</v>
      </c>
      <c r="M578" s="2">
        <v>0</v>
      </c>
      <c r="N578" s="2">
        <v>0</v>
      </c>
      <c r="O578" s="2">
        <v>0</v>
      </c>
      <c r="P578" s="2">
        <f t="shared" si="8"/>
        <v>262771.28999999998</v>
      </c>
    </row>
    <row r="579" spans="1:16" x14ac:dyDescent="0.3">
      <c r="A579">
        <v>48231</v>
      </c>
      <c r="B579" t="s">
        <v>644</v>
      </c>
      <c r="C579" t="s">
        <v>39</v>
      </c>
      <c r="D579" s="2">
        <v>3721685.57</v>
      </c>
      <c r="E579" s="2">
        <v>3721685.57</v>
      </c>
      <c r="F579" s="2">
        <v>7443371.1399999997</v>
      </c>
      <c r="G579" s="2">
        <v>131153.85999999999</v>
      </c>
      <c r="H579" s="2">
        <v>131153.85999999999</v>
      </c>
      <c r="I579" s="2">
        <v>262307.71999999997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f t="shared" si="8"/>
        <v>7705678.8599999994</v>
      </c>
    </row>
    <row r="580" spans="1:16" x14ac:dyDescent="0.3">
      <c r="A580">
        <v>49650</v>
      </c>
      <c r="B580" t="s">
        <v>645</v>
      </c>
      <c r="C580" t="s">
        <v>106</v>
      </c>
      <c r="D580" s="2">
        <v>0</v>
      </c>
      <c r="E580" s="2">
        <v>0</v>
      </c>
      <c r="F580" s="2">
        <v>0</v>
      </c>
      <c r="G580" s="2">
        <v>341.1</v>
      </c>
      <c r="H580" s="2">
        <v>341.1</v>
      </c>
      <c r="I580" s="2">
        <v>682.2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f t="shared" si="8"/>
        <v>682.2</v>
      </c>
    </row>
    <row r="581" spans="1:16" x14ac:dyDescent="0.3">
      <c r="A581">
        <v>49247</v>
      </c>
      <c r="B581" t="s">
        <v>646</v>
      </c>
      <c r="C581" t="s">
        <v>54</v>
      </c>
      <c r="D581" s="2">
        <v>13903.94</v>
      </c>
      <c r="E581" s="2">
        <v>13903.94</v>
      </c>
      <c r="F581" s="2">
        <v>27807.88</v>
      </c>
      <c r="G581" s="2">
        <v>1279.49</v>
      </c>
      <c r="H581" s="2">
        <v>1279.49</v>
      </c>
      <c r="I581" s="2">
        <v>2558.98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f t="shared" si="8"/>
        <v>30366.86</v>
      </c>
    </row>
    <row r="582" spans="1:16" x14ac:dyDescent="0.3">
      <c r="A582">
        <v>45641</v>
      </c>
      <c r="B582" t="s">
        <v>647</v>
      </c>
      <c r="C582" t="s">
        <v>46</v>
      </c>
      <c r="D582" s="2">
        <v>0</v>
      </c>
      <c r="E582" s="2">
        <v>0</v>
      </c>
      <c r="F582" s="2">
        <v>0</v>
      </c>
      <c r="G582" s="2">
        <v>8135.57</v>
      </c>
      <c r="H582" s="2">
        <v>8135.57</v>
      </c>
      <c r="I582" s="2">
        <v>16271.15</v>
      </c>
      <c r="J582" s="2">
        <v>83939.92</v>
      </c>
      <c r="K582" s="2">
        <v>41969.96</v>
      </c>
      <c r="L582" s="2">
        <v>125909.88</v>
      </c>
      <c r="M582" s="2">
        <v>0</v>
      </c>
      <c r="N582" s="2">
        <v>0</v>
      </c>
      <c r="O582" s="2">
        <v>0</v>
      </c>
      <c r="P582" s="2">
        <f t="shared" si="8"/>
        <v>142181.03</v>
      </c>
    </row>
    <row r="583" spans="1:16" x14ac:dyDescent="0.3">
      <c r="A583">
        <v>49148</v>
      </c>
      <c r="B583" t="s">
        <v>648</v>
      </c>
      <c r="C583" t="s">
        <v>237</v>
      </c>
      <c r="D583" s="2">
        <v>0</v>
      </c>
      <c r="E583" s="2">
        <v>0</v>
      </c>
      <c r="F583" s="2">
        <v>0</v>
      </c>
      <c r="G583" s="2">
        <v>4323.1499999999996</v>
      </c>
      <c r="H583" s="2">
        <v>4323.1499999999996</v>
      </c>
      <c r="I583" s="2">
        <v>8646.2999999999993</v>
      </c>
      <c r="J583" s="2">
        <v>19170.79</v>
      </c>
      <c r="K583" s="2">
        <v>9585.4</v>
      </c>
      <c r="L583" s="2">
        <v>28756.19</v>
      </c>
      <c r="M583" s="2">
        <v>0</v>
      </c>
      <c r="N583" s="2">
        <v>0</v>
      </c>
      <c r="O583" s="2">
        <v>0</v>
      </c>
      <c r="P583" s="2">
        <f t="shared" si="8"/>
        <v>37402.49</v>
      </c>
    </row>
    <row r="584" spans="1:16" x14ac:dyDescent="0.3">
      <c r="A584">
        <v>50468</v>
      </c>
      <c r="B584" t="s">
        <v>649</v>
      </c>
      <c r="C584" t="s">
        <v>150</v>
      </c>
      <c r="D584" s="2">
        <v>0</v>
      </c>
      <c r="E584" s="2">
        <v>0</v>
      </c>
      <c r="F584" s="2">
        <v>0</v>
      </c>
      <c r="G584" s="2">
        <v>5884.45</v>
      </c>
      <c r="H584" s="2">
        <v>5884.45</v>
      </c>
      <c r="I584" s="2">
        <v>11768.9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f t="shared" si="8"/>
        <v>11768.9</v>
      </c>
    </row>
    <row r="585" spans="1:16" x14ac:dyDescent="0.3">
      <c r="A585">
        <v>49031</v>
      </c>
      <c r="B585" t="s">
        <v>650</v>
      </c>
      <c r="C585" t="s">
        <v>41</v>
      </c>
      <c r="D585" s="2">
        <v>3766.68</v>
      </c>
      <c r="E585" s="2">
        <v>3766.68</v>
      </c>
      <c r="F585" s="2">
        <v>7533.36</v>
      </c>
      <c r="G585" s="2">
        <v>1430.09</v>
      </c>
      <c r="H585" s="2">
        <v>1430.09</v>
      </c>
      <c r="I585" s="2">
        <v>2860.18</v>
      </c>
      <c r="J585" s="2">
        <v>3873.71</v>
      </c>
      <c r="K585" s="2">
        <v>1936.86</v>
      </c>
      <c r="L585" s="2">
        <v>5810.57</v>
      </c>
      <c r="M585" s="2">
        <v>0</v>
      </c>
      <c r="N585" s="2">
        <v>0</v>
      </c>
      <c r="O585" s="2">
        <v>0</v>
      </c>
      <c r="P585" s="2">
        <f t="shared" si="8"/>
        <v>16204.109999999999</v>
      </c>
    </row>
    <row r="586" spans="1:16" x14ac:dyDescent="0.3">
      <c r="A586">
        <v>45971</v>
      </c>
      <c r="B586" t="s">
        <v>651</v>
      </c>
      <c r="C586" t="s">
        <v>436</v>
      </c>
      <c r="D586" s="2">
        <v>0</v>
      </c>
      <c r="E586" s="2">
        <v>0</v>
      </c>
      <c r="F586" s="2">
        <v>0</v>
      </c>
      <c r="G586" s="2">
        <v>2408.89</v>
      </c>
      <c r="H586" s="2">
        <v>2408.89</v>
      </c>
      <c r="I586" s="2">
        <v>4817.78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f t="shared" si="8"/>
        <v>4817.78</v>
      </c>
    </row>
    <row r="587" spans="1:16" x14ac:dyDescent="0.3">
      <c r="A587">
        <v>50252</v>
      </c>
      <c r="B587" t="s">
        <v>652</v>
      </c>
      <c r="C587" t="s">
        <v>108</v>
      </c>
      <c r="D587" s="2">
        <v>428365.86</v>
      </c>
      <c r="E587" s="2">
        <v>428365.86</v>
      </c>
      <c r="F587" s="2">
        <v>856731.72</v>
      </c>
      <c r="G587" s="2">
        <v>0</v>
      </c>
      <c r="H587" s="2">
        <v>0</v>
      </c>
      <c r="I587" s="2">
        <v>0</v>
      </c>
      <c r="J587" s="2">
        <v>163336.51</v>
      </c>
      <c r="K587" s="2">
        <v>81668.25</v>
      </c>
      <c r="L587" s="2">
        <v>245004.76</v>
      </c>
      <c r="M587" s="2">
        <v>0</v>
      </c>
      <c r="N587" s="2">
        <v>0</v>
      </c>
      <c r="O587" s="2">
        <v>0</v>
      </c>
      <c r="P587" s="2">
        <f t="shared" si="8"/>
        <v>1101736.48</v>
      </c>
    </row>
    <row r="588" spans="1:16" x14ac:dyDescent="0.3">
      <c r="A588">
        <v>45658</v>
      </c>
      <c r="B588" t="s">
        <v>653</v>
      </c>
      <c r="C588" t="s">
        <v>33</v>
      </c>
      <c r="D588" s="2">
        <v>146110.06</v>
      </c>
      <c r="E588" s="2">
        <v>146110.06</v>
      </c>
      <c r="F588" s="2">
        <v>292220.12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f t="shared" si="8"/>
        <v>292220.12</v>
      </c>
    </row>
    <row r="589" spans="1:16" x14ac:dyDescent="0.3">
      <c r="A589">
        <v>45021</v>
      </c>
      <c r="B589" t="s">
        <v>654</v>
      </c>
      <c r="C589" t="s">
        <v>336</v>
      </c>
      <c r="D589" s="2">
        <v>81959.98</v>
      </c>
      <c r="E589" s="2">
        <v>81959.98</v>
      </c>
      <c r="F589" s="2">
        <v>163919.96</v>
      </c>
      <c r="G589" s="2">
        <v>3761.94</v>
      </c>
      <c r="H589" s="2">
        <v>3761.94</v>
      </c>
      <c r="I589" s="2">
        <v>7523.88</v>
      </c>
      <c r="J589" s="2">
        <v>16084.99</v>
      </c>
      <c r="K589" s="2">
        <v>8042.49</v>
      </c>
      <c r="L589" s="2">
        <v>24127.48</v>
      </c>
      <c r="M589" s="2">
        <v>0</v>
      </c>
      <c r="N589" s="2">
        <v>0</v>
      </c>
      <c r="O589" s="2">
        <v>0</v>
      </c>
      <c r="P589" s="2">
        <f t="shared" ref="P589:P625" si="9">F589+I589+L589+O589</f>
        <v>195571.32</v>
      </c>
    </row>
    <row r="590" spans="1:16" x14ac:dyDescent="0.3">
      <c r="A590">
        <v>45039</v>
      </c>
      <c r="B590" t="s">
        <v>655</v>
      </c>
      <c r="C590" t="s">
        <v>71</v>
      </c>
      <c r="D590" s="2">
        <v>0</v>
      </c>
      <c r="E590" s="2">
        <v>0</v>
      </c>
      <c r="F590" s="2">
        <v>0</v>
      </c>
      <c r="G590" s="2">
        <v>5233.92</v>
      </c>
      <c r="H590" s="2">
        <v>5233.92</v>
      </c>
      <c r="I590" s="2">
        <v>10467.83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f t="shared" si="9"/>
        <v>10467.83</v>
      </c>
    </row>
    <row r="591" spans="1:16" x14ac:dyDescent="0.3">
      <c r="A591">
        <v>48389</v>
      </c>
      <c r="B591" t="s">
        <v>656</v>
      </c>
      <c r="C591" t="s">
        <v>56</v>
      </c>
      <c r="D591" s="2">
        <v>0</v>
      </c>
      <c r="E591" s="2">
        <v>0</v>
      </c>
      <c r="F591" s="2">
        <v>0</v>
      </c>
      <c r="G591" s="2">
        <v>1472.9</v>
      </c>
      <c r="H591" s="2">
        <v>1472.9</v>
      </c>
      <c r="I591" s="2">
        <v>2945.79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f t="shared" si="9"/>
        <v>2945.79</v>
      </c>
    </row>
    <row r="592" spans="1:16" x14ac:dyDescent="0.3">
      <c r="A592">
        <v>45054</v>
      </c>
      <c r="B592" t="s">
        <v>657</v>
      </c>
      <c r="C592" t="s">
        <v>123</v>
      </c>
      <c r="D592" s="2">
        <v>1144908.31</v>
      </c>
      <c r="E592" s="2">
        <v>1144908.31</v>
      </c>
      <c r="F592" s="2">
        <v>2289816.62</v>
      </c>
      <c r="G592" s="2">
        <v>58284.04</v>
      </c>
      <c r="H592" s="2">
        <v>58284.04</v>
      </c>
      <c r="I592" s="2">
        <v>116568.08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f t="shared" si="9"/>
        <v>2406384.7000000002</v>
      </c>
    </row>
    <row r="593" spans="1:16" x14ac:dyDescent="0.3">
      <c r="A593">
        <v>46359</v>
      </c>
      <c r="B593" t="s">
        <v>658</v>
      </c>
      <c r="C593" t="s">
        <v>65</v>
      </c>
      <c r="D593" s="2">
        <v>1010878.21</v>
      </c>
      <c r="E593" s="2">
        <v>1010878.21</v>
      </c>
      <c r="F593" s="2">
        <v>2021756.42</v>
      </c>
      <c r="G593" s="2">
        <v>122259.03</v>
      </c>
      <c r="H593" s="2">
        <v>122259.03</v>
      </c>
      <c r="I593" s="2">
        <v>244518.07</v>
      </c>
      <c r="J593" s="2">
        <v>112773.43</v>
      </c>
      <c r="K593" s="2">
        <v>46890.01</v>
      </c>
      <c r="L593" s="2">
        <v>159663.44</v>
      </c>
      <c r="M593" s="2">
        <v>0</v>
      </c>
      <c r="N593" s="2">
        <v>0</v>
      </c>
      <c r="O593" s="2">
        <v>0</v>
      </c>
      <c r="P593" s="2">
        <f t="shared" si="9"/>
        <v>2425937.9299999997</v>
      </c>
    </row>
    <row r="594" spans="1:16" x14ac:dyDescent="0.3">
      <c r="A594">
        <v>47225</v>
      </c>
      <c r="B594" t="s">
        <v>659</v>
      </c>
      <c r="C594" t="s">
        <v>87</v>
      </c>
      <c r="D594" s="2">
        <v>0</v>
      </c>
      <c r="E594" s="2">
        <v>0</v>
      </c>
      <c r="F594" s="2">
        <v>0</v>
      </c>
      <c r="G594" s="2">
        <v>3035.16</v>
      </c>
      <c r="H594" s="2">
        <v>3035.16</v>
      </c>
      <c r="I594" s="2">
        <v>6070.31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f t="shared" si="9"/>
        <v>6070.31</v>
      </c>
    </row>
    <row r="595" spans="1:16" x14ac:dyDescent="0.3">
      <c r="A595">
        <v>47696</v>
      </c>
      <c r="B595" t="s">
        <v>660</v>
      </c>
      <c r="C595" t="s">
        <v>228</v>
      </c>
      <c r="D595" s="2">
        <v>44576.25</v>
      </c>
      <c r="E595" s="2">
        <v>44576.25</v>
      </c>
      <c r="F595" s="2">
        <v>89152.5</v>
      </c>
      <c r="G595" s="2">
        <v>20152.32</v>
      </c>
      <c r="H595" s="2">
        <v>20152.32</v>
      </c>
      <c r="I595" s="2">
        <v>40304.639999999999</v>
      </c>
      <c r="J595" s="2">
        <v>18700.95</v>
      </c>
      <c r="K595" s="2">
        <v>9350.48</v>
      </c>
      <c r="L595" s="2">
        <v>28051.43</v>
      </c>
      <c r="M595" s="2">
        <v>0</v>
      </c>
      <c r="N595" s="2">
        <v>0</v>
      </c>
      <c r="O595" s="2">
        <v>0</v>
      </c>
      <c r="P595" s="2">
        <f t="shared" si="9"/>
        <v>157508.57</v>
      </c>
    </row>
    <row r="596" spans="1:16" x14ac:dyDescent="0.3">
      <c r="A596">
        <v>46219</v>
      </c>
      <c r="B596" t="s">
        <v>661</v>
      </c>
      <c r="C596" t="s">
        <v>297</v>
      </c>
      <c r="D596" s="2">
        <v>0</v>
      </c>
      <c r="E596" s="2">
        <v>0</v>
      </c>
      <c r="F596" s="2">
        <v>0</v>
      </c>
      <c r="G596" s="2">
        <v>2696.45</v>
      </c>
      <c r="H596" s="2">
        <v>2696.45</v>
      </c>
      <c r="I596" s="2">
        <v>5392.89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f t="shared" si="9"/>
        <v>5392.89</v>
      </c>
    </row>
    <row r="597" spans="1:16" x14ac:dyDescent="0.3">
      <c r="A597">
        <v>48884</v>
      </c>
      <c r="B597" t="s">
        <v>662</v>
      </c>
      <c r="C597" t="s">
        <v>232</v>
      </c>
      <c r="D597" s="2">
        <v>258259.69</v>
      </c>
      <c r="E597" s="2">
        <v>258259.69</v>
      </c>
      <c r="F597" s="2">
        <v>516519.38</v>
      </c>
      <c r="G597" s="2">
        <v>0</v>
      </c>
      <c r="H597" s="2">
        <v>0</v>
      </c>
      <c r="I597" s="2">
        <v>0</v>
      </c>
      <c r="J597" s="2">
        <v>6854.45</v>
      </c>
      <c r="K597" s="2">
        <v>3427.23</v>
      </c>
      <c r="L597" s="2">
        <v>10281.68</v>
      </c>
      <c r="M597" s="2">
        <v>0</v>
      </c>
      <c r="N597" s="2">
        <v>0</v>
      </c>
      <c r="O597" s="2">
        <v>0</v>
      </c>
      <c r="P597" s="2">
        <f t="shared" si="9"/>
        <v>526801.06000000006</v>
      </c>
    </row>
    <row r="598" spans="1:16" x14ac:dyDescent="0.3">
      <c r="A598">
        <v>46060</v>
      </c>
      <c r="B598" t="s">
        <v>663</v>
      </c>
      <c r="C598" t="s">
        <v>235</v>
      </c>
      <c r="D598" s="2">
        <v>0</v>
      </c>
      <c r="E598" s="2">
        <v>0</v>
      </c>
      <c r="F598" s="2">
        <v>0</v>
      </c>
      <c r="G598" s="2">
        <v>1891.52</v>
      </c>
      <c r="H598" s="2">
        <v>1891.52</v>
      </c>
      <c r="I598" s="2">
        <v>3783.04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f t="shared" si="9"/>
        <v>3783.04</v>
      </c>
    </row>
    <row r="599" spans="1:16" x14ac:dyDescent="0.3">
      <c r="A599">
        <v>49155</v>
      </c>
      <c r="B599" t="s">
        <v>664</v>
      </c>
      <c r="C599" t="s">
        <v>237</v>
      </c>
      <c r="D599" s="2">
        <v>0</v>
      </c>
      <c r="E599" s="2">
        <v>0</v>
      </c>
      <c r="F599" s="2">
        <v>0</v>
      </c>
      <c r="G599" s="2">
        <v>281.26</v>
      </c>
      <c r="H599" s="2">
        <v>281.26</v>
      </c>
      <c r="I599" s="2">
        <v>562.52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f t="shared" si="9"/>
        <v>562.52</v>
      </c>
    </row>
    <row r="600" spans="1:16" x14ac:dyDescent="0.3">
      <c r="A600">
        <v>47746</v>
      </c>
      <c r="B600" t="s">
        <v>665</v>
      </c>
      <c r="C600" t="s">
        <v>79</v>
      </c>
      <c r="D600" s="2">
        <v>0</v>
      </c>
      <c r="E600" s="2">
        <v>0</v>
      </c>
      <c r="F600" s="2">
        <v>0</v>
      </c>
      <c r="G600" s="2">
        <v>859.77</v>
      </c>
      <c r="H600" s="2">
        <v>859.77</v>
      </c>
      <c r="I600" s="2">
        <v>1719.53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f t="shared" si="9"/>
        <v>1719.53</v>
      </c>
    </row>
    <row r="601" spans="1:16" x14ac:dyDescent="0.3">
      <c r="A601">
        <v>48397</v>
      </c>
      <c r="B601" t="s">
        <v>665</v>
      </c>
      <c r="C601" t="s">
        <v>56</v>
      </c>
      <c r="D601" s="2">
        <v>14035.17</v>
      </c>
      <c r="E601" s="2">
        <v>14035.17</v>
      </c>
      <c r="F601" s="2">
        <v>28070.34</v>
      </c>
      <c r="G601" s="2">
        <v>4668.93</v>
      </c>
      <c r="H601" s="2">
        <v>4668.93</v>
      </c>
      <c r="I601" s="2">
        <v>9337.85</v>
      </c>
      <c r="J601" s="2">
        <v>11776.46</v>
      </c>
      <c r="K601" s="2">
        <v>5888.23</v>
      </c>
      <c r="L601" s="2">
        <v>17664.689999999999</v>
      </c>
      <c r="M601" s="2">
        <v>0</v>
      </c>
      <c r="N601" s="2">
        <v>0</v>
      </c>
      <c r="O601" s="2">
        <v>0</v>
      </c>
      <c r="P601" s="2">
        <f t="shared" si="9"/>
        <v>55072.880000000005</v>
      </c>
    </row>
    <row r="602" spans="1:16" x14ac:dyDescent="0.3">
      <c r="A602">
        <v>45047</v>
      </c>
      <c r="B602" t="s">
        <v>666</v>
      </c>
      <c r="C602" t="s">
        <v>97</v>
      </c>
      <c r="D602" s="2">
        <v>1109982.42</v>
      </c>
      <c r="E602" s="2">
        <v>1109982.42</v>
      </c>
      <c r="F602" s="2">
        <v>2219964.84</v>
      </c>
      <c r="G602" s="2">
        <v>82931.240000000005</v>
      </c>
      <c r="H602" s="2">
        <v>82931.240000000005</v>
      </c>
      <c r="I602" s="2">
        <v>165862.49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f t="shared" si="9"/>
        <v>2385827.33</v>
      </c>
    </row>
    <row r="603" spans="1:16" x14ac:dyDescent="0.3">
      <c r="A603">
        <v>49106</v>
      </c>
      <c r="B603" t="s">
        <v>667</v>
      </c>
      <c r="C603" t="s">
        <v>170</v>
      </c>
      <c r="D603" s="2">
        <v>0</v>
      </c>
      <c r="E603" s="2">
        <v>0</v>
      </c>
      <c r="F603" s="2">
        <v>0</v>
      </c>
      <c r="G603" s="2">
        <v>9650.34</v>
      </c>
      <c r="H603" s="2">
        <v>9650.34</v>
      </c>
      <c r="I603" s="2">
        <v>19300.669999999998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f t="shared" si="9"/>
        <v>19300.669999999998</v>
      </c>
    </row>
    <row r="604" spans="1:16" x14ac:dyDescent="0.3">
      <c r="A604">
        <v>45062</v>
      </c>
      <c r="B604" t="s">
        <v>668</v>
      </c>
      <c r="C604" t="s">
        <v>68</v>
      </c>
      <c r="D604" s="2">
        <v>1206249.19</v>
      </c>
      <c r="E604" s="2">
        <v>1206249.19</v>
      </c>
      <c r="F604" s="2">
        <v>2412498.38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f t="shared" si="9"/>
        <v>2412498.38</v>
      </c>
    </row>
    <row r="605" spans="1:16" x14ac:dyDescent="0.3">
      <c r="A605">
        <v>49668</v>
      </c>
      <c r="B605" t="s">
        <v>669</v>
      </c>
      <c r="C605" t="s">
        <v>106</v>
      </c>
      <c r="D605" s="2">
        <v>0</v>
      </c>
      <c r="E605" s="2">
        <v>0</v>
      </c>
      <c r="F605" s="2">
        <v>0</v>
      </c>
      <c r="G605" s="2">
        <v>3844.63</v>
      </c>
      <c r="H605" s="2">
        <v>3844.63</v>
      </c>
      <c r="I605" s="2">
        <v>7689.26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f t="shared" si="9"/>
        <v>7689.26</v>
      </c>
    </row>
    <row r="606" spans="1:16" x14ac:dyDescent="0.3">
      <c r="A606">
        <v>45070</v>
      </c>
      <c r="B606" t="s">
        <v>670</v>
      </c>
      <c r="C606" t="s">
        <v>97</v>
      </c>
      <c r="D606" s="2">
        <v>639425.18000000005</v>
      </c>
      <c r="E606" s="2">
        <v>639425.18000000005</v>
      </c>
      <c r="F606" s="2">
        <v>1278850.3600000001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f t="shared" si="9"/>
        <v>1278850.3600000001</v>
      </c>
    </row>
    <row r="607" spans="1:16" x14ac:dyDescent="0.3">
      <c r="A607">
        <v>45088</v>
      </c>
      <c r="B607" t="s">
        <v>671</v>
      </c>
      <c r="C607" t="s">
        <v>262</v>
      </c>
      <c r="D607" s="2">
        <v>1220718.48</v>
      </c>
      <c r="E607" s="2">
        <v>1220718.48</v>
      </c>
      <c r="F607" s="2">
        <v>2441436.96</v>
      </c>
      <c r="G607" s="2">
        <v>0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f t="shared" si="9"/>
        <v>2441436.96</v>
      </c>
    </row>
    <row r="608" spans="1:16" x14ac:dyDescent="0.3">
      <c r="A608">
        <v>45096</v>
      </c>
      <c r="B608" t="s">
        <v>672</v>
      </c>
      <c r="C608" t="s">
        <v>79</v>
      </c>
      <c r="D608" s="2">
        <v>535351.5</v>
      </c>
      <c r="E608" s="2">
        <v>535351.5</v>
      </c>
      <c r="F608" s="2">
        <v>1070703</v>
      </c>
      <c r="G608" s="2">
        <v>14805.51</v>
      </c>
      <c r="H608" s="2">
        <v>14805.51</v>
      </c>
      <c r="I608" s="2">
        <v>29611.01</v>
      </c>
      <c r="J608" s="2">
        <v>135762.29</v>
      </c>
      <c r="K608" s="2">
        <v>67881.149999999994</v>
      </c>
      <c r="L608" s="2">
        <v>203643.44</v>
      </c>
      <c r="M608" s="2">
        <v>0</v>
      </c>
      <c r="N608" s="2">
        <v>0</v>
      </c>
      <c r="O608" s="2">
        <v>0</v>
      </c>
      <c r="P608" s="2">
        <f t="shared" si="9"/>
        <v>1303957.45</v>
      </c>
    </row>
    <row r="609" spans="1:16" x14ac:dyDescent="0.3">
      <c r="A609">
        <v>46367</v>
      </c>
      <c r="B609" t="s">
        <v>673</v>
      </c>
      <c r="C609" t="s">
        <v>65</v>
      </c>
      <c r="D609" s="2">
        <v>11399.25</v>
      </c>
      <c r="E609" s="2">
        <v>11399.25</v>
      </c>
      <c r="F609" s="2">
        <v>22798.5</v>
      </c>
      <c r="G609" s="2">
        <v>1214.26</v>
      </c>
      <c r="H609" s="2">
        <v>1214.26</v>
      </c>
      <c r="I609" s="2">
        <v>2428.52</v>
      </c>
      <c r="J609" s="2">
        <v>12565.4</v>
      </c>
      <c r="K609" s="2">
        <v>6282.7</v>
      </c>
      <c r="L609" s="2">
        <v>18848.099999999999</v>
      </c>
      <c r="M609" s="2">
        <v>0</v>
      </c>
      <c r="N609" s="2">
        <v>0</v>
      </c>
      <c r="O609" s="2">
        <v>0</v>
      </c>
      <c r="P609" s="2">
        <f t="shared" si="9"/>
        <v>44075.119999999995</v>
      </c>
    </row>
    <row r="610" spans="1:16" x14ac:dyDescent="0.3">
      <c r="A610">
        <v>45104</v>
      </c>
      <c r="B610" t="s">
        <v>674</v>
      </c>
      <c r="C610" t="s">
        <v>262</v>
      </c>
      <c r="D610" s="2">
        <v>1850674.79</v>
      </c>
      <c r="E610" s="2">
        <v>1850674.79</v>
      </c>
      <c r="F610" s="2">
        <v>3701349.58</v>
      </c>
      <c r="G610" s="2">
        <v>69286.39</v>
      </c>
      <c r="H610" s="2">
        <v>69286.39</v>
      </c>
      <c r="I610" s="2">
        <v>138572.78</v>
      </c>
      <c r="J610" s="2">
        <v>528483.93000000005</v>
      </c>
      <c r="K610" s="2">
        <v>264241.96000000002</v>
      </c>
      <c r="L610" s="2">
        <v>792725.89</v>
      </c>
      <c r="M610" s="2">
        <v>0</v>
      </c>
      <c r="N610" s="2">
        <v>0</v>
      </c>
      <c r="O610" s="2">
        <v>0</v>
      </c>
      <c r="P610" s="2">
        <f t="shared" si="9"/>
        <v>4632648.25</v>
      </c>
    </row>
    <row r="611" spans="1:16" x14ac:dyDescent="0.3">
      <c r="A611">
        <v>45112</v>
      </c>
      <c r="B611" t="s">
        <v>675</v>
      </c>
      <c r="C611" t="s">
        <v>103</v>
      </c>
      <c r="D611" s="2">
        <v>646704.79</v>
      </c>
      <c r="E611" s="2">
        <v>646704.79</v>
      </c>
      <c r="F611" s="2">
        <v>1293409.58</v>
      </c>
      <c r="G611" s="2">
        <v>18844.38</v>
      </c>
      <c r="H611" s="2">
        <v>18844.38</v>
      </c>
      <c r="I611" s="2">
        <v>37688.75</v>
      </c>
      <c r="J611" s="2">
        <v>94782.73</v>
      </c>
      <c r="K611" s="2">
        <v>47391.360000000001</v>
      </c>
      <c r="L611" s="2">
        <v>142174.09</v>
      </c>
      <c r="M611" s="2">
        <v>0</v>
      </c>
      <c r="N611" s="2">
        <v>0</v>
      </c>
      <c r="O611" s="2">
        <v>0</v>
      </c>
      <c r="P611" s="2">
        <f t="shared" si="9"/>
        <v>1473272.4200000002</v>
      </c>
    </row>
    <row r="612" spans="1:16" x14ac:dyDescent="0.3">
      <c r="A612">
        <v>45666</v>
      </c>
      <c r="B612" t="s">
        <v>676</v>
      </c>
      <c r="C612" t="s">
        <v>54</v>
      </c>
      <c r="D612" s="2">
        <v>5275.87</v>
      </c>
      <c r="E612" s="2">
        <v>5275.87</v>
      </c>
      <c r="F612" s="2">
        <v>10551.74</v>
      </c>
      <c r="G612" s="2">
        <v>1209.81</v>
      </c>
      <c r="H612" s="2">
        <v>1209.81</v>
      </c>
      <c r="I612" s="2">
        <v>2419.62</v>
      </c>
      <c r="J612" s="2">
        <v>37720.31</v>
      </c>
      <c r="K612" s="2">
        <v>18860.16</v>
      </c>
      <c r="L612" s="2">
        <v>56580.47</v>
      </c>
      <c r="M612" s="2">
        <v>0</v>
      </c>
      <c r="N612" s="2">
        <v>0</v>
      </c>
      <c r="O612" s="2">
        <v>0</v>
      </c>
      <c r="P612" s="2">
        <f t="shared" si="9"/>
        <v>69551.83</v>
      </c>
    </row>
    <row r="613" spans="1:16" x14ac:dyDescent="0.3">
      <c r="A613">
        <v>44081</v>
      </c>
      <c r="B613" t="s">
        <v>677</v>
      </c>
      <c r="C613" t="s">
        <v>168</v>
      </c>
      <c r="D613" s="2">
        <v>746338.96</v>
      </c>
      <c r="E613" s="2">
        <v>746338.96</v>
      </c>
      <c r="F613" s="2">
        <v>1492677.92</v>
      </c>
      <c r="G613" s="2">
        <v>22480.45</v>
      </c>
      <c r="H613" s="2">
        <v>22480.45</v>
      </c>
      <c r="I613" s="2">
        <v>44960.9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f t="shared" si="9"/>
        <v>1537638.8199999998</v>
      </c>
    </row>
    <row r="614" spans="1:16" x14ac:dyDescent="0.3">
      <c r="A614">
        <v>50518</v>
      </c>
      <c r="B614" t="s">
        <v>678</v>
      </c>
      <c r="C614" t="s">
        <v>81</v>
      </c>
      <c r="D614" s="2">
        <v>87962.09</v>
      </c>
      <c r="E614" s="2">
        <v>87962.09</v>
      </c>
      <c r="F614" s="2">
        <v>175924.18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f t="shared" si="9"/>
        <v>175924.18</v>
      </c>
    </row>
    <row r="615" spans="1:16" x14ac:dyDescent="0.3">
      <c r="A615">
        <v>49577</v>
      </c>
      <c r="B615" t="s">
        <v>679</v>
      </c>
      <c r="C615" t="s">
        <v>185</v>
      </c>
      <c r="D615" s="2">
        <v>407434.16</v>
      </c>
      <c r="E615" s="2">
        <v>367391.56</v>
      </c>
      <c r="F615" s="2">
        <v>774825.72</v>
      </c>
      <c r="G615" s="2">
        <v>9251.82</v>
      </c>
      <c r="H615" s="2">
        <v>9251.82</v>
      </c>
      <c r="I615" s="2">
        <v>18503.64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f t="shared" si="9"/>
        <v>793329.36</v>
      </c>
    </row>
    <row r="616" spans="1:16" x14ac:dyDescent="0.3">
      <c r="A616">
        <v>49973</v>
      </c>
      <c r="B616" t="s">
        <v>680</v>
      </c>
      <c r="C616" t="s">
        <v>23</v>
      </c>
      <c r="D616" s="2">
        <v>727535.35</v>
      </c>
      <c r="E616" s="2">
        <v>727535.35</v>
      </c>
      <c r="F616" s="2">
        <v>1455070.7</v>
      </c>
      <c r="G616" s="2">
        <v>16996.77</v>
      </c>
      <c r="H616" s="2">
        <v>16996.77</v>
      </c>
      <c r="I616" s="2">
        <v>33993.53</v>
      </c>
      <c r="J616" s="2">
        <v>428726.01</v>
      </c>
      <c r="K616" s="2">
        <v>214363</v>
      </c>
      <c r="L616" s="2">
        <v>643089.01</v>
      </c>
      <c r="M616" s="2">
        <v>2739.41</v>
      </c>
      <c r="N616" s="2">
        <v>2739.41</v>
      </c>
      <c r="O616" s="2">
        <v>5478.81</v>
      </c>
      <c r="P616" s="2">
        <f t="shared" si="9"/>
        <v>2137632.0500000003</v>
      </c>
    </row>
    <row r="617" spans="1:16" x14ac:dyDescent="0.3">
      <c r="A617">
        <v>45120</v>
      </c>
      <c r="B617" t="s">
        <v>681</v>
      </c>
      <c r="C617" t="s">
        <v>166</v>
      </c>
      <c r="D617" s="2">
        <v>3061939.81</v>
      </c>
      <c r="E617" s="2">
        <v>3061939.81</v>
      </c>
      <c r="F617" s="2">
        <v>6123879.6200000001</v>
      </c>
      <c r="G617" s="2">
        <v>39650.19</v>
      </c>
      <c r="H617" s="2">
        <v>39650.19</v>
      </c>
      <c r="I617" s="2">
        <v>79300.37</v>
      </c>
      <c r="J617" s="2">
        <v>77209.490000000005</v>
      </c>
      <c r="K617" s="2">
        <v>38604.74</v>
      </c>
      <c r="L617" s="2">
        <v>115814.23</v>
      </c>
      <c r="M617" s="2">
        <v>0</v>
      </c>
      <c r="N617" s="2">
        <v>0</v>
      </c>
      <c r="O617" s="2">
        <v>0</v>
      </c>
      <c r="P617" s="2">
        <f t="shared" si="9"/>
        <v>6318994.2200000007</v>
      </c>
    </row>
    <row r="618" spans="1:16" x14ac:dyDescent="0.3">
      <c r="A618">
        <v>45138</v>
      </c>
      <c r="B618" t="s">
        <v>682</v>
      </c>
      <c r="C618" t="s">
        <v>97</v>
      </c>
      <c r="D618" s="2">
        <v>6428130.46</v>
      </c>
      <c r="E618" s="2">
        <v>6428130.46</v>
      </c>
      <c r="F618" s="2">
        <v>12856260.92</v>
      </c>
      <c r="G618" s="2">
        <v>0</v>
      </c>
      <c r="H618" s="2">
        <v>0</v>
      </c>
      <c r="I618" s="2">
        <v>0</v>
      </c>
      <c r="J618" s="2">
        <v>155193.54999999999</v>
      </c>
      <c r="K618" s="2">
        <v>59461.13</v>
      </c>
      <c r="L618" s="2">
        <v>214654.68</v>
      </c>
      <c r="M618" s="2">
        <v>0</v>
      </c>
      <c r="N618" s="2">
        <v>0</v>
      </c>
      <c r="O618" s="2">
        <v>0</v>
      </c>
      <c r="P618" s="2">
        <f t="shared" si="9"/>
        <v>13070915.6</v>
      </c>
    </row>
    <row r="619" spans="1:16" x14ac:dyDescent="0.3">
      <c r="A619">
        <v>46524</v>
      </c>
      <c r="B619" t="s">
        <v>683</v>
      </c>
      <c r="C619" t="s">
        <v>130</v>
      </c>
      <c r="D619" s="2">
        <v>206943.62</v>
      </c>
      <c r="E619" s="2">
        <v>206943.62</v>
      </c>
      <c r="F619" s="2">
        <v>413887.24</v>
      </c>
      <c r="G619" s="2">
        <v>0</v>
      </c>
      <c r="H619" s="2">
        <v>0</v>
      </c>
      <c r="I619" s="2">
        <v>0</v>
      </c>
      <c r="J619" s="2">
        <v>40085.230000000003</v>
      </c>
      <c r="K619" s="2">
        <v>20042.61</v>
      </c>
      <c r="L619" s="2">
        <v>60127.839999999997</v>
      </c>
      <c r="M619" s="2">
        <v>0</v>
      </c>
      <c r="N619" s="2">
        <v>0</v>
      </c>
      <c r="O619" s="2">
        <v>0</v>
      </c>
      <c r="P619" s="2">
        <f t="shared" si="9"/>
        <v>474015.07999999996</v>
      </c>
    </row>
    <row r="620" spans="1:16" x14ac:dyDescent="0.3">
      <c r="A620">
        <v>45146</v>
      </c>
      <c r="B620" t="s">
        <v>684</v>
      </c>
      <c r="C620" t="s">
        <v>168</v>
      </c>
      <c r="D620" s="2">
        <v>0</v>
      </c>
      <c r="E620" s="2">
        <v>0</v>
      </c>
      <c r="F620" s="2">
        <v>0</v>
      </c>
      <c r="G620" s="2">
        <v>700.66</v>
      </c>
      <c r="H620" s="2">
        <v>700.66</v>
      </c>
      <c r="I620" s="2">
        <v>1401.32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f t="shared" si="9"/>
        <v>1401.32</v>
      </c>
    </row>
    <row r="621" spans="1:16" x14ac:dyDescent="0.3">
      <c r="A621">
        <v>45153</v>
      </c>
      <c r="B621" t="s">
        <v>685</v>
      </c>
      <c r="C621" t="s">
        <v>73</v>
      </c>
      <c r="D621" s="2">
        <v>0</v>
      </c>
      <c r="E621" s="2">
        <v>0</v>
      </c>
      <c r="F621" s="2">
        <v>0</v>
      </c>
      <c r="G621" s="2">
        <v>17704.79</v>
      </c>
      <c r="H621" s="2">
        <v>17704.79</v>
      </c>
      <c r="I621" s="2">
        <v>35409.589999999997</v>
      </c>
      <c r="J621" s="2">
        <v>156280.78</v>
      </c>
      <c r="K621" s="2">
        <v>78140.39</v>
      </c>
      <c r="L621" s="2">
        <v>234421.17</v>
      </c>
      <c r="M621" s="2">
        <v>0</v>
      </c>
      <c r="N621" s="2">
        <v>0</v>
      </c>
      <c r="O621" s="2">
        <v>0</v>
      </c>
      <c r="P621" s="2">
        <f t="shared" si="9"/>
        <v>269830.76</v>
      </c>
    </row>
    <row r="622" spans="1:16" x14ac:dyDescent="0.3">
      <c r="A622">
        <v>45674</v>
      </c>
      <c r="B622" t="s">
        <v>686</v>
      </c>
      <c r="C622" t="s">
        <v>73</v>
      </c>
      <c r="D622" s="2">
        <v>107256.76</v>
      </c>
      <c r="E622" s="2">
        <v>107256.76</v>
      </c>
      <c r="F622" s="2">
        <v>214513.52</v>
      </c>
      <c r="G622" s="2">
        <v>2939.9</v>
      </c>
      <c r="H622" s="2">
        <v>2939.9</v>
      </c>
      <c r="I622" s="2">
        <v>5879.8</v>
      </c>
      <c r="J622" s="2">
        <v>23909.55</v>
      </c>
      <c r="K622" s="2">
        <v>11954.78</v>
      </c>
      <c r="L622" s="2">
        <v>35864.33</v>
      </c>
      <c r="M622" s="2">
        <v>0</v>
      </c>
      <c r="N622" s="2">
        <v>0</v>
      </c>
      <c r="O622" s="2">
        <v>0</v>
      </c>
      <c r="P622" s="2">
        <f t="shared" si="9"/>
        <v>256257.64999999997</v>
      </c>
    </row>
    <row r="623" spans="1:16" x14ac:dyDescent="0.3">
      <c r="A623">
        <v>45161</v>
      </c>
      <c r="B623" t="s">
        <v>687</v>
      </c>
      <c r="C623" t="s">
        <v>56</v>
      </c>
      <c r="D623" s="2">
        <v>713770.85</v>
      </c>
      <c r="E623" s="2">
        <v>713770.85</v>
      </c>
      <c r="F623" s="2">
        <v>1427541.7</v>
      </c>
      <c r="G623" s="2">
        <v>20753.599999999999</v>
      </c>
      <c r="H623" s="2">
        <v>20753.599999999999</v>
      </c>
      <c r="I623" s="2">
        <v>41507.21</v>
      </c>
      <c r="J623" s="2">
        <v>124062.38</v>
      </c>
      <c r="K623" s="2">
        <v>62031.19</v>
      </c>
      <c r="L623" s="2">
        <v>186093.57</v>
      </c>
      <c r="M623" s="2">
        <v>0</v>
      </c>
      <c r="N623" s="2">
        <v>0</v>
      </c>
      <c r="O623" s="2">
        <v>0</v>
      </c>
      <c r="P623" s="2">
        <f t="shared" si="9"/>
        <v>1655142.48</v>
      </c>
    </row>
    <row r="624" spans="1:16" x14ac:dyDescent="0.3">
      <c r="A624">
        <v>49544</v>
      </c>
      <c r="B624" t="s">
        <v>688</v>
      </c>
      <c r="C624" t="s">
        <v>21</v>
      </c>
      <c r="D624" s="2">
        <v>227300.34</v>
      </c>
      <c r="E624" s="2">
        <v>227300.34</v>
      </c>
      <c r="F624" s="2">
        <v>454600.68</v>
      </c>
      <c r="G624" s="2">
        <v>5171.72</v>
      </c>
      <c r="H624" s="2">
        <v>5171.72</v>
      </c>
      <c r="I624" s="2">
        <v>10343.450000000001</v>
      </c>
      <c r="J624" s="2">
        <v>27660.18</v>
      </c>
      <c r="K624" s="2">
        <v>13830.09</v>
      </c>
      <c r="L624" s="2">
        <v>41490.269999999997</v>
      </c>
      <c r="M624" s="2">
        <v>0</v>
      </c>
      <c r="N624" s="2">
        <v>0</v>
      </c>
      <c r="O624" s="2">
        <v>0</v>
      </c>
      <c r="P624" s="2">
        <f t="shared" si="9"/>
        <v>506434.4</v>
      </c>
    </row>
    <row r="625" spans="1:16" x14ac:dyDescent="0.3">
      <c r="A625">
        <v>45179</v>
      </c>
      <c r="B625" t="s">
        <v>689</v>
      </c>
      <c r="C625" t="s">
        <v>232</v>
      </c>
      <c r="D625" s="2">
        <v>329904.65000000002</v>
      </c>
      <c r="E625" s="2">
        <v>329904.65000000002</v>
      </c>
      <c r="F625" s="2">
        <v>659809.30000000005</v>
      </c>
      <c r="G625" s="2">
        <v>0</v>
      </c>
      <c r="H625" s="2">
        <v>0</v>
      </c>
      <c r="I625" s="2">
        <v>0</v>
      </c>
      <c r="J625" s="2">
        <v>193266.39</v>
      </c>
      <c r="K625" s="2">
        <v>96633.2</v>
      </c>
      <c r="L625" s="2">
        <v>289899.59000000003</v>
      </c>
      <c r="M625" s="2">
        <v>0</v>
      </c>
      <c r="N625" s="2">
        <v>0</v>
      </c>
      <c r="O625" s="2">
        <v>0</v>
      </c>
      <c r="P625" s="2">
        <f t="shared" si="9"/>
        <v>949708.89000000013</v>
      </c>
    </row>
    <row r="627" spans="1:16" x14ac:dyDescent="0.3">
      <c r="B627" t="s">
        <v>691</v>
      </c>
      <c r="D627" s="2">
        <f>SUM(D12:D625)</f>
        <v>312624243.9600004</v>
      </c>
      <c r="E627" s="2">
        <f t="shared" ref="E627:P627" si="10">SUM(E12:E625)</f>
        <v>312399865.94000036</v>
      </c>
      <c r="F627" s="2">
        <f t="shared" si="10"/>
        <v>625024109.90000081</v>
      </c>
      <c r="G627" s="2">
        <f t="shared" si="10"/>
        <v>9651039.8799999878</v>
      </c>
      <c r="H627" s="2">
        <f t="shared" si="10"/>
        <v>9594889.7299999855</v>
      </c>
      <c r="I627" s="2">
        <f t="shared" si="10"/>
        <v>19245929.419999991</v>
      </c>
      <c r="J627" s="2">
        <f t="shared" si="10"/>
        <v>41696920.569999985</v>
      </c>
      <c r="K627" s="2">
        <f t="shared" si="10"/>
        <v>20582604.560000002</v>
      </c>
      <c r="L627" s="2">
        <f t="shared" si="10"/>
        <v>62279525.13000001</v>
      </c>
      <c r="M627" s="2">
        <f t="shared" si="10"/>
        <v>65559.58</v>
      </c>
      <c r="N627" s="2">
        <f t="shared" si="10"/>
        <v>29922.05</v>
      </c>
      <c r="O627" s="2">
        <f t="shared" si="10"/>
        <v>95481.600000000006</v>
      </c>
      <c r="P627" s="2">
        <f t="shared" si="10"/>
        <v>706645046.04999983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OFFSET_TPP_FY12_DIS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carol.brandel</cp:lastModifiedBy>
  <dcterms:created xsi:type="dcterms:W3CDTF">2012-07-06T14:24:38Z</dcterms:created>
  <dcterms:modified xsi:type="dcterms:W3CDTF">2012-07-06T16:45:06Z</dcterms:modified>
</cp:coreProperties>
</file>