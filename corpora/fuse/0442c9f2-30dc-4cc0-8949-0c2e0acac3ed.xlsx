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40" yWindow="240" windowWidth="25140" windowHeight="10725" tabRatio="955"/>
  </bookViews>
  <sheets>
    <sheet name="Holds" sheetId="2" r:id="rId1"/>
    <sheet name="Intakes, Admins, Discharges" sheetId="10" r:id="rId2"/>
    <sheet name="AMH CMH Patients Served" sheetId="11" r:id="rId3"/>
    <sheet name="Invsigtns, Exams, and Commits" sheetId="12" r:id="rId4"/>
    <sheet name="Hold Tracking" sheetId="26" state="hidden" r:id="rId5"/>
    <sheet name="Served Tracking" sheetId="30" state="hidden" r:id="rId6"/>
    <sheet name="Intake Tracking" sheetId="27" state="hidden" r:id="rId7"/>
    <sheet name="Admissions Tracking" sheetId="28" state="hidden" r:id="rId8"/>
    <sheet name="Discharge Tracking" sheetId="29" state="hidden" r:id="rId9"/>
    <sheet name="TDC" sheetId="34" state="hidden" r:id="rId10"/>
  </sheets>
  <calcPr calcId="145621"/>
</workbook>
</file>

<file path=xl/calcChain.xml><?xml version="1.0" encoding="utf-8"?>
<calcChain xmlns="http://schemas.openxmlformats.org/spreadsheetml/2006/main">
  <c r="N26" i="10" l="1"/>
  <c r="P4" i="34" l="1"/>
  <c r="P3" i="34"/>
  <c r="P2" i="34"/>
  <c r="G72" i="12" l="1"/>
  <c r="C78" i="2" l="1"/>
  <c r="D78" i="2"/>
  <c r="E78" i="2"/>
  <c r="F78" i="2"/>
  <c r="M37" i="34" l="1"/>
  <c r="M4" i="34" s="1"/>
  <c r="M26" i="34"/>
  <c r="M3" i="34" s="1"/>
  <c r="K20" i="27"/>
  <c r="K9" i="27"/>
  <c r="K9" i="26"/>
  <c r="M15" i="34"/>
  <c r="M2" i="34" s="1"/>
  <c r="M10" i="30"/>
  <c r="M21" i="30"/>
  <c r="N33" i="2" l="1"/>
  <c r="M33" i="2"/>
  <c r="K4" i="34"/>
  <c r="K3" i="34"/>
  <c r="K2" i="34"/>
  <c r="B10" i="30" l="1"/>
  <c r="C10" i="30"/>
  <c r="D10" i="30"/>
  <c r="E10" i="30"/>
  <c r="F10" i="30"/>
  <c r="G10" i="30"/>
  <c r="H10" i="30"/>
  <c r="I10" i="30"/>
  <c r="J10" i="30"/>
  <c r="B21" i="30"/>
  <c r="C21" i="30"/>
  <c r="D21" i="30"/>
  <c r="E21" i="30"/>
  <c r="F21" i="30"/>
  <c r="G21" i="30"/>
  <c r="H21" i="30"/>
  <c r="I21" i="30"/>
  <c r="J21" i="30"/>
  <c r="B20" i="29" l="1"/>
  <c r="C20" i="29"/>
  <c r="D20" i="29"/>
  <c r="E20" i="29"/>
  <c r="F20" i="29"/>
  <c r="G20" i="29"/>
  <c r="H20" i="29"/>
  <c r="I20" i="29"/>
  <c r="J20" i="29"/>
  <c r="B9" i="29"/>
  <c r="C9" i="29"/>
  <c r="D9" i="29"/>
  <c r="E9" i="29"/>
  <c r="F9" i="29"/>
  <c r="G9" i="29"/>
  <c r="H9" i="29"/>
  <c r="I9" i="29"/>
  <c r="J9" i="29"/>
  <c r="E71" i="10" l="1"/>
  <c r="I78" i="2"/>
  <c r="J78" i="2"/>
  <c r="K78" i="2"/>
  <c r="L78" i="2"/>
  <c r="J71" i="10"/>
  <c r="H71" i="10"/>
  <c r="C71" i="10"/>
  <c r="N72" i="12"/>
  <c r="M73" i="12"/>
  <c r="N73" i="12" s="1"/>
  <c r="K73" i="12"/>
  <c r="H73" i="12"/>
  <c r="I73" i="12" s="1"/>
  <c r="F73" i="12"/>
  <c r="D73" i="12"/>
  <c r="C73" i="12"/>
  <c r="N62" i="12"/>
  <c r="N56" i="12"/>
  <c r="N48" i="12"/>
  <c r="N44" i="12"/>
  <c r="N38" i="12"/>
  <c r="N33" i="12"/>
  <c r="N28" i="12"/>
  <c r="L62" i="12"/>
  <c r="L56" i="12"/>
  <c r="L48" i="12"/>
  <c r="L44" i="12"/>
  <c r="L38" i="12"/>
  <c r="L33" i="12"/>
  <c r="L28" i="12"/>
  <c r="I62" i="12"/>
  <c r="I56" i="12"/>
  <c r="I48" i="12"/>
  <c r="I44" i="12"/>
  <c r="I38" i="12"/>
  <c r="I33" i="12"/>
  <c r="I28" i="12"/>
  <c r="I72" i="12"/>
  <c r="G62" i="12"/>
  <c r="G56" i="12"/>
  <c r="G48" i="12"/>
  <c r="G44" i="12"/>
  <c r="G38" i="12"/>
  <c r="G28" i="12"/>
  <c r="G33" i="12"/>
  <c r="V71" i="10"/>
  <c r="T71" i="10"/>
  <c r="P71" i="10"/>
  <c r="O71" i="10"/>
  <c r="N71" i="10"/>
  <c r="Q71" i="10"/>
  <c r="K60" i="10"/>
  <c r="K54" i="10"/>
  <c r="K46" i="10"/>
  <c r="K42" i="10"/>
  <c r="K36" i="10"/>
  <c r="K31" i="10"/>
  <c r="K26" i="10"/>
  <c r="K70" i="10"/>
  <c r="I70" i="10"/>
  <c r="I60" i="10"/>
  <c r="I54" i="10"/>
  <c r="I46" i="10"/>
  <c r="I42" i="10"/>
  <c r="I36" i="10"/>
  <c r="I26" i="10"/>
  <c r="I31" i="10"/>
  <c r="F70" i="10"/>
  <c r="F60" i="10"/>
  <c r="F54" i="10"/>
  <c r="F46" i="10"/>
  <c r="F42" i="10"/>
  <c r="F36" i="10"/>
  <c r="F31" i="10"/>
  <c r="F26" i="10"/>
  <c r="D70" i="10"/>
  <c r="D60" i="10"/>
  <c r="D54" i="10"/>
  <c r="D46" i="10"/>
  <c r="D42" i="10"/>
  <c r="D36" i="10"/>
  <c r="D31" i="10"/>
  <c r="D26" i="10"/>
  <c r="N67" i="2"/>
  <c r="N61" i="2"/>
  <c r="N53" i="2"/>
  <c r="N49" i="2"/>
  <c r="N43" i="2"/>
  <c r="N38" i="2"/>
  <c r="M77" i="2"/>
  <c r="N77" i="2" s="1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H67" i="2"/>
  <c r="I8" i="26" s="1"/>
  <c r="H61" i="2"/>
  <c r="I7" i="26" s="1"/>
  <c r="H53" i="2"/>
  <c r="I6" i="26" s="1"/>
  <c r="H49" i="2"/>
  <c r="I5" i="26" s="1"/>
  <c r="H43" i="2"/>
  <c r="I4" i="26" s="1"/>
  <c r="H38" i="2"/>
  <c r="I3" i="26" s="1"/>
  <c r="H33" i="2"/>
  <c r="I2" i="26" s="1"/>
  <c r="G77" i="2"/>
  <c r="H77" i="2" s="1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C30" i="2"/>
  <c r="A22" i="10"/>
  <c r="N24" i="10" s="1"/>
  <c r="A26" i="11"/>
  <c r="A24" i="12"/>
  <c r="D75" i="11"/>
  <c r="G75" i="11"/>
  <c r="S71" i="10"/>
  <c r="U71" i="10"/>
  <c r="F75" i="11"/>
  <c r="C75" i="11"/>
  <c r="G73" i="12" l="1"/>
  <c r="D71" i="10"/>
  <c r="F71" i="10"/>
  <c r="N78" i="2"/>
  <c r="I71" i="10"/>
  <c r="H24" i="10"/>
  <c r="C24" i="10"/>
  <c r="S24" i="10"/>
  <c r="L73" i="12"/>
  <c r="K71" i="10"/>
  <c r="M78" i="2"/>
  <c r="G78" i="2"/>
  <c r="H78" i="2"/>
  <c r="I9" i="26" s="1"/>
</calcChain>
</file>

<file path=xl/sharedStrings.xml><?xml version="1.0" encoding="utf-8"?>
<sst xmlns="http://schemas.openxmlformats.org/spreadsheetml/2006/main" count="405" uniqueCount="121">
  <si>
    <t>Region 1</t>
  </si>
  <si>
    <t>Region 2</t>
  </si>
  <si>
    <t>Region 3</t>
  </si>
  <si>
    <t>Region 4</t>
  </si>
  <si>
    <t>Region 5</t>
  </si>
  <si>
    <t>Region 6</t>
  </si>
  <si>
    <t>Region 7</t>
  </si>
  <si>
    <t>Statewide</t>
  </si>
  <si>
    <t>Benewah</t>
  </si>
  <si>
    <t>Bonner</t>
  </si>
  <si>
    <t>Boundary</t>
  </si>
  <si>
    <t>Kootenai</t>
  </si>
  <si>
    <t>Shoshone</t>
  </si>
  <si>
    <t>Unknown</t>
  </si>
  <si>
    <t>Clearwater</t>
  </si>
  <si>
    <t>Idaho</t>
  </si>
  <si>
    <t>Latah</t>
  </si>
  <si>
    <t>Lewis</t>
  </si>
  <si>
    <t>Nez Perce</t>
  </si>
  <si>
    <t>Adams</t>
  </si>
  <si>
    <t>Canyon</t>
  </si>
  <si>
    <t>Gem</t>
  </si>
  <si>
    <t>Owyhee</t>
  </si>
  <si>
    <t>Payette</t>
  </si>
  <si>
    <t>Washington</t>
  </si>
  <si>
    <t>Ada</t>
  </si>
  <si>
    <t>Boise</t>
  </si>
  <si>
    <t>Elmore</t>
  </si>
  <si>
    <t>Valley</t>
  </si>
  <si>
    <t>Blaine</t>
  </si>
  <si>
    <t>Camas</t>
  </si>
  <si>
    <t>Cassia</t>
  </si>
  <si>
    <t>Gooding</t>
  </si>
  <si>
    <t>Jerome</t>
  </si>
  <si>
    <t>Minidoka</t>
  </si>
  <si>
    <t>Twin Falls</t>
  </si>
  <si>
    <t>Bannock</t>
  </si>
  <si>
    <t>Bear Lake</t>
  </si>
  <si>
    <t>Caribou</t>
  </si>
  <si>
    <t>Franklin</t>
  </si>
  <si>
    <t>Oneida</t>
  </si>
  <si>
    <t>Power</t>
  </si>
  <si>
    <t>Bingham</t>
  </si>
  <si>
    <t>Bonneville</t>
  </si>
  <si>
    <t>Butte</t>
  </si>
  <si>
    <t>Clark</t>
  </si>
  <si>
    <t>Custer</t>
  </si>
  <si>
    <t>Fremont</t>
  </si>
  <si>
    <t>Jefferson</t>
  </si>
  <si>
    <t>Lemhi</t>
  </si>
  <si>
    <t>Madison</t>
  </si>
  <si>
    <t>Teton</t>
  </si>
  <si>
    <t>Mental Holds (I.C. 66-326) by Ordering County</t>
  </si>
  <si>
    <t>Monthly</t>
  </si>
  <si>
    <t>24 Hour-MD Hold</t>
  </si>
  <si>
    <t>24 Hour-Police Hold</t>
  </si>
  <si>
    <t>Field Petition</t>
  </si>
  <si>
    <t>Administrative Hold</t>
  </si>
  <si>
    <t>County Total</t>
  </si>
  <si>
    <t>Regional Total</t>
  </si>
  <si>
    <t xml:space="preserve">Monthly County Total </t>
  </si>
  <si>
    <t>Monthly Regional Total</t>
  </si>
  <si>
    <t>Intakes by County of Residence</t>
  </si>
  <si>
    <t>Children's Mental Health</t>
  </si>
  <si>
    <t>Admissions/Discharges</t>
  </si>
  <si>
    <t>Adult Mental Health</t>
  </si>
  <si>
    <t>Number of adults served this Month</t>
  </si>
  <si>
    <t>Number of children served this Month</t>
  </si>
  <si>
    <t>Pre-Sentence Investigation Reports (I.C. 19-2524)</t>
  </si>
  <si>
    <t>Lincoln</t>
  </si>
  <si>
    <t>Admin</t>
  </si>
  <si>
    <t>Disch</t>
  </si>
  <si>
    <t>Out of State and Other</t>
  </si>
  <si>
    <t>Designated Examinations
 by Ordering County</t>
  </si>
  <si>
    <t>Civil Commitments (I.C. 66-329) 
by Ordering County</t>
  </si>
  <si>
    <t>Children's 
Mental Health</t>
  </si>
  <si>
    <t xml:space="preserve">Adult 
Mental Health </t>
  </si>
  <si>
    <t>Statewide Total</t>
  </si>
  <si>
    <t xml:space="preserve">Region </t>
  </si>
  <si>
    <t>CMH Admissions October</t>
  </si>
  <si>
    <t>October CMH Discharges</t>
  </si>
  <si>
    <t>CMH Admissions FY</t>
  </si>
  <si>
    <t>FY CMH Discharges</t>
  </si>
  <si>
    <t>AMH Admissions October</t>
  </si>
  <si>
    <t>October AMH Discharges</t>
  </si>
  <si>
    <t>AMH Admissions FY</t>
  </si>
  <si>
    <t>FY AMH Discharges</t>
  </si>
  <si>
    <t>AMH Clients Served October</t>
  </si>
  <si>
    <t>AMH Clients Served SFY12</t>
  </si>
  <si>
    <t>CMH Clients Served October</t>
  </si>
  <si>
    <t>CMH Clients Served SFY13</t>
  </si>
  <si>
    <t>October 192524</t>
  </si>
  <si>
    <t>FY 192524</t>
  </si>
  <si>
    <t>MH Holds</t>
  </si>
  <si>
    <t>CMH Intakes</t>
  </si>
  <si>
    <t>AMH Intakes</t>
  </si>
  <si>
    <t>CMH Admissions</t>
  </si>
  <si>
    <t>AMH Admissions</t>
  </si>
  <si>
    <t>CMH Discharges</t>
  </si>
  <si>
    <t>AMH Discharges</t>
  </si>
  <si>
    <t>CMH Clients Served</t>
  </si>
  <si>
    <t>AMH Clients Served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</si>
  <si>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</si>
  <si>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</si>
  <si>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</si>
  <si>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</si>
  <si>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</si>
  <si>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</si>
  <si>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</si>
  <si>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</si>
  <si>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</si>
  <si>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DE's</t>
  </si>
  <si>
    <t>Designated Examinations</t>
  </si>
  <si>
    <t>Civil Commitments (I.C. 66-329)</t>
  </si>
  <si>
    <t>SFY2014 -YTD</t>
  </si>
  <si>
    <t>SFY2014</t>
  </si>
  <si>
    <t>Number of children served SFY2014</t>
  </si>
  <si>
    <t>Number of adults served SFY2014</t>
  </si>
  <si>
    <t>SFY2014 County Total</t>
  </si>
  <si>
    <t>SFY2014 Regional Total</t>
  </si>
  <si>
    <t>66-326/329 Pri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</si>
</sst>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mmm\-yyyy;@"/>
    <numFmt numFmtId="165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sz val="14"/>
      <color indexed="9"/>
      <name val="Arial"/>
      <family val="2"/>
    </font>
    <font>
      <sz val="11"/>
      <color indexed="8"/>
      <name val="Arial"/>
      <family val="2"/>
    </font>
    <font>
      <b/>
      <sz val="9"/>
      <color indexed="63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indexed="8"/>
      <name val="Arial"/>
      <family val="2"/>
    </font>
    <font>
      <b/>
      <sz val="9"/>
      <color indexed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0"/>
      <name val="Arial"/>
    </font>
    <font>
      <sz val="9"/>
      <color indexed="8"/>
      <name val="Arial"/>
    </font>
    <font>
      <b/>
      <sz val="9"/>
      <color indexed="63"/>
      <name val="Arial"/>
    </font>
    <font>
      <sz val="9"/>
      <color indexed="63"/>
      <name val="Arial"/>
      <family val="2"/>
    </font>
    <font>
      <sz val="9"/>
      <color indexed="63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54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51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  <bgColor indexed="9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/>
      <top/>
      <bottom/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5">
    <xf numFmtId="0" fontId="0" fillId="0" borderId="0"/>
    <xf numFmtId="43" fontId="10" fillId="0" borderId="0" applyFont="0" applyFill="0" applyBorder="0" applyAlignment="0" applyProtection="0"/>
    <xf numFmtId="0" fontId="1" fillId="0" borderId="0"/>
    <xf numFmtId="9" fontId="10" fillId="0" borderId="0" applyFont="0" applyFill="0" applyBorder="0" applyAlignment="0" applyProtection="0"/>
    <xf numFmtId="0" fontId="20" fillId="0" borderId="0"/>
  </cellStyleXfs>
  <cellXfs count="282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/>
    <xf numFmtId="0" fontId="0" fillId="0" borderId="0" xfId="0" applyBorder="1" applyAlignment="1">
      <alignment vertical="center" wrapText="1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5" borderId="3" xfId="0" applyFill="1" applyBorder="1"/>
    <xf numFmtId="0" fontId="0" fillId="5" borderId="0" xfId="0" applyFill="1" applyBorder="1"/>
    <xf numFmtId="0" fontId="0" fillId="5" borderId="1" xfId="0" applyFill="1" applyBorder="1"/>
    <xf numFmtId="0" fontId="0" fillId="5" borderId="5" xfId="0" applyFill="1" applyBorder="1"/>
    <xf numFmtId="0" fontId="0" fillId="0" borderId="0" xfId="0" applyAlignment="1">
      <alignment vertic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center" wrapText="1"/>
    </xf>
    <xf numFmtId="0" fontId="11" fillId="5" borderId="1" xfId="0" applyFont="1" applyFill="1" applyBorder="1" applyAlignment="1">
      <alignment horizontal="center" wrapText="1"/>
    </xf>
    <xf numFmtId="0" fontId="11" fillId="5" borderId="5" xfId="0" applyFont="1" applyFill="1" applyBorder="1" applyAlignment="1">
      <alignment horizontal="center" wrapText="1"/>
    </xf>
    <xf numFmtId="165" fontId="10" fillId="5" borderId="6" xfId="1" applyNumberFormat="1" applyFont="1" applyFill="1" applyBorder="1" applyAlignment="1">
      <alignment horizontal="center" vertical="center"/>
    </xf>
    <xf numFmtId="0" fontId="0" fillId="5" borderId="7" xfId="0" applyFill="1" applyBorder="1"/>
    <xf numFmtId="0" fontId="0" fillId="6" borderId="8" xfId="0" applyFill="1" applyBorder="1"/>
    <xf numFmtId="0" fontId="0" fillId="5" borderId="6" xfId="0" applyFill="1" applyBorder="1" applyAlignment="1">
      <alignment horizontal="center" wrapText="1"/>
    </xf>
    <xf numFmtId="0" fontId="0" fillId="6" borderId="5" xfId="0" applyFill="1" applyBorder="1" applyAlignment="1">
      <alignment horizontal="center" wrapText="1"/>
    </xf>
    <xf numFmtId="0" fontId="11" fillId="5" borderId="6" xfId="0" applyFont="1" applyFill="1" applyBorder="1" applyAlignment="1">
      <alignment horizontal="center" wrapText="1"/>
    </xf>
    <xf numFmtId="0" fontId="11" fillId="6" borderId="6" xfId="0" applyFont="1" applyFill="1" applyBorder="1" applyAlignment="1">
      <alignment horizontal="center" wrapText="1"/>
    </xf>
    <xf numFmtId="165" fontId="10" fillId="6" borderId="6" xfId="1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wrapText="1"/>
    </xf>
    <xf numFmtId="0" fontId="11" fillId="6" borderId="5" xfId="0" applyFont="1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10" xfId="0" applyFill="1" applyBorder="1"/>
    <xf numFmtId="165" fontId="10" fillId="5" borderId="11" xfId="1" applyNumberFormat="1" applyFont="1" applyFill="1" applyBorder="1" applyAlignment="1">
      <alignment vertical="center"/>
    </xf>
    <xf numFmtId="165" fontId="10" fillId="5" borderId="5" xfId="1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wrapText="1"/>
    </xf>
    <xf numFmtId="0" fontId="0" fillId="6" borderId="10" xfId="0" applyFill="1" applyBorder="1"/>
    <xf numFmtId="0" fontId="0" fillId="0" borderId="12" xfId="0" applyFill="1" applyBorder="1" applyAlignment="1">
      <alignment wrapText="1"/>
    </xf>
    <xf numFmtId="164" fontId="0" fillId="0" borderId="3" xfId="0" applyNumberFormat="1" applyFill="1" applyBorder="1" applyAlignment="1"/>
    <xf numFmtId="3" fontId="0" fillId="0" borderId="9" xfId="0" applyNumberFormat="1" applyBorder="1"/>
    <xf numFmtId="0" fontId="12" fillId="6" borderId="3" xfId="0" applyFont="1" applyFill="1" applyBorder="1" applyAlignment="1">
      <alignment horizontal="center" wrapText="1"/>
    </xf>
    <xf numFmtId="0" fontId="12" fillId="5" borderId="13" xfId="0" applyFont="1" applyFill="1" applyBorder="1" applyAlignment="1">
      <alignment horizontal="center" wrapText="1"/>
    </xf>
    <xf numFmtId="165" fontId="10" fillId="0" borderId="0" xfId="1" applyNumberFormat="1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wrapText="1"/>
    </xf>
    <xf numFmtId="0" fontId="12" fillId="5" borderId="14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 wrapText="1"/>
    </xf>
    <xf numFmtId="165" fontId="10" fillId="0" borderId="0" xfId="1" applyNumberFormat="1" applyFont="1" applyFill="1" applyBorder="1" applyAlignment="1">
      <alignment vertical="center"/>
    </xf>
    <xf numFmtId="165" fontId="10" fillId="0" borderId="15" xfId="1" applyNumberFormat="1" applyFont="1" applyFill="1" applyBorder="1" applyAlignment="1">
      <alignment horizontal="center" vertical="center"/>
    </xf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12" fillId="5" borderId="16" xfId="0" applyFont="1" applyFill="1" applyBorder="1" applyAlignment="1">
      <alignment horizontal="center" wrapText="1"/>
    </xf>
    <xf numFmtId="0" fontId="12" fillId="6" borderId="16" xfId="0" applyFont="1" applyFill="1" applyBorder="1" applyAlignment="1">
      <alignment horizontal="center" wrapText="1"/>
    </xf>
    <xf numFmtId="0" fontId="12" fillId="6" borderId="20" xfId="0" applyFont="1" applyFill="1" applyBorder="1" applyAlignment="1">
      <alignment horizontal="center" wrapText="1"/>
    </xf>
    <xf numFmtId="0" fontId="0" fillId="0" borderId="21" xfId="0" applyBorder="1"/>
    <xf numFmtId="0" fontId="0" fillId="0" borderId="22" xfId="0" applyBorder="1"/>
    <xf numFmtId="0" fontId="12" fillId="5" borderId="21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" fontId="0" fillId="5" borderId="23" xfId="0" applyNumberFormat="1" applyFill="1" applyBorder="1"/>
    <xf numFmtId="0" fontId="12" fillId="6" borderId="7" xfId="0" applyFont="1" applyFill="1" applyBorder="1" applyAlignment="1">
      <alignment horizontal="center" wrapText="1"/>
    </xf>
    <xf numFmtId="0" fontId="12" fillId="6" borderId="24" xfId="0" applyFont="1" applyFill="1" applyBorder="1" applyAlignment="1">
      <alignment horizontal="center" wrapText="1"/>
    </xf>
    <xf numFmtId="0" fontId="12" fillId="5" borderId="25" xfId="0" applyFont="1" applyFill="1" applyBorder="1" applyAlignment="1">
      <alignment horizontal="center" wrapText="1"/>
    </xf>
    <xf numFmtId="0" fontId="12" fillId="5" borderId="26" xfId="0" applyFont="1" applyFill="1" applyBorder="1" applyAlignment="1">
      <alignment horizontal="center" wrapText="1"/>
    </xf>
    <xf numFmtId="3" fontId="0" fillId="5" borderId="6" xfId="0" applyNumberFormat="1" applyFill="1" applyBorder="1"/>
    <xf numFmtId="3" fontId="0" fillId="6" borderId="6" xfId="0" applyNumberFormat="1" applyFill="1" applyBorder="1"/>
    <xf numFmtId="1" fontId="2" fillId="3" borderId="27" xfId="0" applyNumberFormat="1" applyFont="1" applyFill="1" applyBorder="1" applyAlignment="1">
      <alignment horizontal="right"/>
    </xf>
    <xf numFmtId="1" fontId="2" fillId="3" borderId="27" xfId="0" applyNumberFormat="1" applyFont="1" applyFill="1" applyBorder="1" applyAlignment="1">
      <alignment horizontal="right" vertical="center"/>
    </xf>
    <xf numFmtId="3" fontId="4" fillId="5" borderId="2" xfId="3" applyNumberFormat="1" applyFont="1" applyFill="1" applyBorder="1" applyAlignment="1">
      <alignment horizontal="center" vertical="center"/>
    </xf>
    <xf numFmtId="37" fontId="10" fillId="5" borderId="10" xfId="1" applyNumberFormat="1" applyFont="1" applyFill="1" applyBorder="1" applyAlignment="1">
      <alignment horizontal="center" vertical="center"/>
    </xf>
    <xf numFmtId="1" fontId="4" fillId="6" borderId="2" xfId="3" applyNumberFormat="1" applyFont="1" applyFill="1" applyBorder="1" applyAlignment="1">
      <alignment horizontal="center" vertical="center"/>
    </xf>
    <xf numFmtId="1" fontId="10" fillId="6" borderId="10" xfId="1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3" fontId="4" fillId="6" borderId="3" xfId="3" applyNumberFormat="1" applyFont="1" applyFill="1" applyBorder="1" applyAlignment="1">
      <alignment horizontal="center" vertical="center"/>
    </xf>
    <xf numFmtId="1" fontId="10" fillId="5" borderId="6" xfId="1" applyNumberFormat="1" applyFont="1" applyFill="1" applyBorder="1" applyAlignment="1">
      <alignment horizontal="center" vertical="center"/>
    </xf>
    <xf numFmtId="3" fontId="0" fillId="0" borderId="6" xfId="0" applyNumberFormat="1" applyBorder="1"/>
    <xf numFmtId="0" fontId="5" fillId="3" borderId="0" xfId="0" applyFont="1" applyFill="1" applyAlignment="1">
      <alignment vertical="center"/>
    </xf>
    <xf numFmtId="0" fontId="3" fillId="2" borderId="27" xfId="0" applyFont="1" applyFill="1" applyBorder="1" applyAlignment="1">
      <alignment horizontal="left"/>
    </xf>
    <xf numFmtId="1" fontId="0" fillId="6" borderId="6" xfId="0" applyNumberFormat="1" applyFill="1" applyBorder="1" applyAlignment="1">
      <alignment horizontal="center" vertical="center"/>
    </xf>
    <xf numFmtId="0" fontId="0" fillId="5" borderId="28" xfId="0" applyFill="1" applyBorder="1"/>
    <xf numFmtId="0" fontId="0" fillId="0" borderId="28" xfId="0" applyBorder="1"/>
    <xf numFmtId="3" fontId="1" fillId="0" borderId="6" xfId="0" applyNumberFormat="1" applyFont="1" applyBorder="1" applyAlignment="1">
      <alignment horizontal="center" vertical="center"/>
    </xf>
    <xf numFmtId="3" fontId="1" fillId="5" borderId="6" xfId="0" applyNumberFormat="1" applyFont="1" applyFill="1" applyBorder="1" applyAlignment="1">
      <alignment horizontal="center" vertical="center"/>
    </xf>
    <xf numFmtId="37" fontId="10" fillId="5" borderId="29" xfId="1" applyNumberFormat="1" applyFont="1" applyFill="1" applyBorder="1" applyAlignment="1">
      <alignment horizontal="center" vertical="center"/>
    </xf>
    <xf numFmtId="37" fontId="10" fillId="6" borderId="30" xfId="1" applyNumberFormat="1" applyFont="1" applyFill="1" applyBorder="1" applyAlignment="1">
      <alignment horizontal="center" vertical="center"/>
    </xf>
    <xf numFmtId="3" fontId="1" fillId="6" borderId="6" xfId="0" applyNumberFormat="1" applyFont="1" applyFill="1" applyBorder="1" applyAlignment="1">
      <alignment horizontal="center" vertical="center"/>
    </xf>
    <xf numFmtId="3" fontId="0" fillId="5" borderId="6" xfId="0" applyNumberFormat="1" applyFill="1" applyBorder="1" applyAlignment="1">
      <alignment horizontal="center" vertical="center"/>
    </xf>
    <xf numFmtId="1" fontId="10" fillId="5" borderId="29" xfId="1" applyNumberFormat="1" applyFont="1" applyFill="1" applyBorder="1" applyAlignment="1">
      <alignment horizontal="center" vertical="center"/>
    </xf>
    <xf numFmtId="3" fontId="0" fillId="0" borderId="0" xfId="0" applyNumberFormat="1"/>
    <xf numFmtId="165" fontId="10" fillId="5" borderId="1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wrapText="1"/>
    </xf>
    <xf numFmtId="0" fontId="6" fillId="3" borderId="0" xfId="0" applyFont="1" applyFill="1" applyAlignment="1">
      <alignment vertical="center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3" fontId="0" fillId="6" borderId="5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0" fillId="5" borderId="32" xfId="0" applyNumberFormat="1" applyFill="1" applyBorder="1"/>
    <xf numFmtId="0" fontId="11" fillId="5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" fillId="0" borderId="6" xfId="0" applyNumberFormat="1" applyFont="1" applyFill="1" applyBorder="1" applyAlignment="1">
      <alignment horizontal="center" vertical="center"/>
    </xf>
    <xf numFmtId="3" fontId="0" fillId="0" borderId="9" xfId="0" applyNumberFormat="1" applyFill="1" applyBorder="1"/>
    <xf numFmtId="1" fontId="10" fillId="6" borderId="30" xfId="1" applyNumberFormat="1" applyFont="1" applyFill="1" applyBorder="1" applyAlignment="1">
      <alignment horizontal="center" vertical="center"/>
    </xf>
    <xf numFmtId="1" fontId="10" fillId="6" borderId="33" xfId="1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3" fontId="1" fillId="5" borderId="34" xfId="0" applyNumberFormat="1" applyFont="1" applyFill="1" applyBorder="1" applyAlignment="1">
      <alignment horizontal="center" vertical="center"/>
    </xf>
    <xf numFmtId="3" fontId="1" fillId="5" borderId="9" xfId="0" applyNumberFormat="1" applyFont="1" applyFill="1" applyBorder="1" applyAlignment="1">
      <alignment horizontal="center" vertical="center"/>
    </xf>
    <xf numFmtId="3" fontId="1" fillId="6" borderId="9" xfId="0" applyNumberFormat="1" applyFont="1" applyFill="1" applyBorder="1" applyAlignment="1">
      <alignment horizontal="center" vertical="center"/>
    </xf>
    <xf numFmtId="0" fontId="0" fillId="5" borderId="35" xfId="0" applyFill="1" applyBorder="1"/>
    <xf numFmtId="3" fontId="1" fillId="5" borderId="36" xfId="0" applyNumberFormat="1" applyFont="1" applyFill="1" applyBorder="1" applyAlignment="1">
      <alignment horizontal="center" vertical="center"/>
    </xf>
    <xf numFmtId="37" fontId="10" fillId="5" borderId="37" xfId="1" applyNumberFormat="1" applyFont="1" applyFill="1" applyBorder="1" applyAlignment="1">
      <alignment horizontal="center" vertical="center"/>
    </xf>
    <xf numFmtId="3" fontId="0" fillId="6" borderId="36" xfId="0" applyNumberFormat="1" applyFill="1" applyBorder="1" applyAlignment="1">
      <alignment horizontal="center" vertical="center"/>
    </xf>
    <xf numFmtId="37" fontId="10" fillId="6" borderId="33" xfId="1" applyNumberFormat="1" applyFont="1" applyFill="1" applyBorder="1" applyAlignment="1">
      <alignment horizontal="center" vertical="center"/>
    </xf>
    <xf numFmtId="3" fontId="0" fillId="5" borderId="38" xfId="0" applyNumberFormat="1" applyFill="1" applyBorder="1" applyAlignment="1">
      <alignment horizontal="center" vertical="center"/>
    </xf>
    <xf numFmtId="1" fontId="10" fillId="5" borderId="37" xfId="1" applyNumberFormat="1" applyFont="1" applyFill="1" applyBorder="1" applyAlignment="1">
      <alignment horizontal="center" vertical="center"/>
    </xf>
    <xf numFmtId="3" fontId="1" fillId="5" borderId="39" xfId="0" applyNumberFormat="1" applyFont="1" applyFill="1" applyBorder="1" applyAlignment="1">
      <alignment horizontal="center" vertical="center"/>
    </xf>
    <xf numFmtId="0" fontId="0" fillId="0" borderId="6" xfId="0" applyBorder="1"/>
    <xf numFmtId="37" fontId="10" fillId="5" borderId="6" xfId="1" applyNumberFormat="1" applyFont="1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8" fillId="3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left" wrapText="1"/>
    </xf>
    <xf numFmtId="1" fontId="3" fillId="2" borderId="6" xfId="0" applyNumberFormat="1" applyFont="1" applyFill="1" applyBorder="1" applyAlignment="1">
      <alignment horizontal="right" vertical="center" wrapText="1"/>
    </xf>
    <xf numFmtId="1" fontId="2" fillId="3" borderId="6" xfId="0" applyNumberFormat="1" applyFont="1" applyFill="1" applyBorder="1" applyAlignment="1">
      <alignment horizontal="right"/>
    </xf>
    <xf numFmtId="1" fontId="2" fillId="3" borderId="6" xfId="0" applyNumberFormat="1" applyFont="1" applyFill="1" applyBorder="1" applyAlignment="1">
      <alignment horizontal="right" vertical="center"/>
    </xf>
    <xf numFmtId="0" fontId="9" fillId="4" borderId="27" xfId="0" applyFont="1" applyFill="1" applyBorder="1" applyAlignment="1">
      <alignment horizontal="left" vertical="center" wrapText="1"/>
    </xf>
    <xf numFmtId="0" fontId="2" fillId="4" borderId="27" xfId="0" applyFont="1" applyFill="1" applyBorder="1" applyAlignment="1">
      <alignment horizontal="right"/>
    </xf>
    <xf numFmtId="0" fontId="2" fillId="4" borderId="27" xfId="0" applyFont="1" applyFill="1" applyBorder="1" applyAlignment="1">
      <alignment horizontal="right" vertical="center"/>
    </xf>
    <xf numFmtId="0" fontId="7" fillId="0" borderId="27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right" vertical="center"/>
    </xf>
    <xf numFmtId="1" fontId="0" fillId="6" borderId="23" xfId="0" applyNumberFormat="1" applyFill="1" applyBorder="1"/>
    <xf numFmtId="1" fontId="0" fillId="6" borderId="40" xfId="0" applyNumberFormat="1" applyFill="1" applyBorder="1"/>
    <xf numFmtId="1" fontId="0" fillId="6" borderId="31" xfId="0" applyNumberFormat="1" applyFill="1" applyBorder="1"/>
    <xf numFmtId="0" fontId="14" fillId="0" borderId="0" xfId="0" applyFont="1" applyAlignment="1">
      <alignment horizontal="center" vertical="center" wrapText="1"/>
    </xf>
    <xf numFmtId="0" fontId="0" fillId="6" borderId="11" xfId="0" applyFill="1" applyBorder="1"/>
    <xf numFmtId="0" fontId="0" fillId="0" borderId="10" xfId="0" applyBorder="1"/>
    <xf numFmtId="0" fontId="5" fillId="3" borderId="27" xfId="0" applyFont="1" applyFill="1" applyBorder="1" applyAlignment="1">
      <alignment horizontal="right" vertical="center" wrapText="1"/>
    </xf>
    <xf numFmtId="0" fontId="5" fillId="0" borderId="27" xfId="0" applyFont="1" applyFill="1" applyBorder="1" applyAlignment="1">
      <alignment horizontal="right"/>
    </xf>
    <xf numFmtId="0" fontId="5" fillId="0" borderId="27" xfId="0" applyFont="1" applyFill="1" applyBorder="1" applyAlignment="1">
      <alignment horizontal="right" vertical="center"/>
    </xf>
    <xf numFmtId="0" fontId="16" fillId="3" borderId="0" xfId="0" applyFont="1" applyFill="1" applyAlignment="1">
      <alignment vertical="center"/>
    </xf>
    <xf numFmtId="0" fontId="17" fillId="2" borderId="27" xfId="0" applyFont="1" applyFill="1" applyBorder="1" applyAlignment="1">
      <alignment horizontal="left" wrapText="1"/>
    </xf>
    <xf numFmtId="1" fontId="18" fillId="3" borderId="27" xfId="0" applyNumberFormat="1" applyFont="1" applyFill="1" applyBorder="1" applyAlignment="1">
      <alignment horizontal="right"/>
    </xf>
    <xf numFmtId="1" fontId="18" fillId="3" borderId="27" xfId="0" applyNumberFormat="1" applyFont="1" applyFill="1" applyBorder="1" applyAlignment="1">
      <alignment horizontal="right" vertical="center"/>
    </xf>
    <xf numFmtId="17" fontId="17" fillId="2" borderId="27" xfId="0" applyNumberFormat="1" applyFont="1" applyFill="1" applyBorder="1" applyAlignment="1">
      <alignment horizontal="left"/>
    </xf>
    <xf numFmtId="17" fontId="3" fillId="2" borderId="27" xfId="0" applyNumberFormat="1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wrapText="1"/>
    </xf>
    <xf numFmtId="0" fontId="19" fillId="3" borderId="0" xfId="0" applyFont="1" applyFill="1" applyAlignment="1">
      <alignment vertical="center"/>
    </xf>
    <xf numFmtId="1" fontId="0" fillId="0" borderId="0" xfId="0" applyNumberFormat="1"/>
    <xf numFmtId="0" fontId="3" fillId="2" borderId="49" xfId="0" applyFont="1" applyFill="1" applyBorder="1" applyAlignment="1">
      <alignment horizontal="left"/>
    </xf>
    <xf numFmtId="1" fontId="14" fillId="0" borderId="0" xfId="0" applyNumberFormat="1" applyFont="1" applyAlignment="1">
      <alignment horizontal="center" vertical="center" wrapText="1"/>
    </xf>
    <xf numFmtId="1" fontId="14" fillId="0" borderId="0" xfId="0" applyNumberFormat="1" applyFont="1"/>
    <xf numFmtId="1" fontId="0" fillId="0" borderId="0" xfId="0" applyNumberFormat="1" applyAlignment="1">
      <alignment vertical="center" wrapText="1"/>
    </xf>
    <xf numFmtId="0" fontId="2" fillId="0" borderId="27" xfId="0" applyFont="1" applyFill="1" applyBorder="1" applyAlignment="1">
      <alignment horizontal="right"/>
    </xf>
    <xf numFmtId="0" fontId="2" fillId="0" borderId="27" xfId="0" applyFont="1" applyFill="1" applyBorder="1" applyAlignment="1">
      <alignment horizontal="right" vertical="center"/>
    </xf>
    <xf numFmtId="1" fontId="0" fillId="0" borderId="0" xfId="0" applyNumberFormat="1" applyFont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1" fontId="21" fillId="3" borderId="27" xfId="4" applyNumberFormat="1" applyFont="1" applyFill="1" applyBorder="1" applyAlignment="1">
      <alignment horizontal="right"/>
    </xf>
    <xf numFmtId="1" fontId="21" fillId="3" borderId="27" xfId="4" applyNumberFormat="1" applyFont="1" applyFill="1" applyBorder="1" applyAlignment="1">
      <alignment horizontal="right" vertical="center"/>
    </xf>
    <xf numFmtId="1" fontId="21" fillId="3" borderId="27" xfId="0" applyNumberFormat="1" applyFont="1" applyFill="1" applyBorder="1" applyAlignment="1">
      <alignment horizontal="right"/>
    </xf>
    <xf numFmtId="1" fontId="21" fillId="3" borderId="27" xfId="0" applyNumberFormat="1" applyFont="1" applyFill="1" applyBorder="1" applyAlignment="1">
      <alignment horizontal="right" vertical="center"/>
    </xf>
    <xf numFmtId="3" fontId="0" fillId="0" borderId="0" xfId="0" applyNumberFormat="1" applyFill="1" applyBorder="1" applyAlignment="1">
      <alignment vertical="center" wrapText="1"/>
    </xf>
    <xf numFmtId="1" fontId="2" fillId="3" borderId="0" xfId="0" applyNumberFormat="1" applyFont="1" applyFill="1" applyBorder="1" applyAlignment="1">
      <alignment horizontal="right"/>
    </xf>
    <xf numFmtId="17" fontId="17" fillId="2" borderId="49" xfId="0" applyNumberFormat="1" applyFont="1" applyFill="1" applyBorder="1" applyAlignment="1">
      <alignment horizontal="left"/>
    </xf>
    <xf numFmtId="1" fontId="14" fillId="0" borderId="6" xfId="0" applyNumberFormat="1" applyFont="1" applyBorder="1" applyAlignment="1">
      <alignment horizontal="center" vertical="center" wrapText="1"/>
    </xf>
    <xf numFmtId="1" fontId="0" fillId="0" borderId="6" xfId="0" applyNumberFormat="1" applyBorder="1"/>
    <xf numFmtId="1" fontId="0" fillId="0" borderId="6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1" fontId="21" fillId="3" borderId="51" xfId="4" applyNumberFormat="1" applyFont="1" applyFill="1" applyBorder="1" applyAlignment="1">
      <alignment horizontal="right"/>
    </xf>
    <xf numFmtId="1" fontId="21" fillId="3" borderId="51" xfId="4" applyNumberFormat="1" applyFont="1" applyFill="1" applyBorder="1" applyAlignment="1">
      <alignment horizontal="right" vertical="center"/>
    </xf>
    <xf numFmtId="1" fontId="21" fillId="3" borderId="6" xfId="4" applyNumberFormat="1" applyFont="1" applyFill="1" applyBorder="1" applyAlignment="1">
      <alignment horizontal="right"/>
    </xf>
    <xf numFmtId="0" fontId="0" fillId="6" borderId="45" xfId="0" applyFill="1" applyBorder="1" applyAlignment="1">
      <alignment horizontal="center" vertical="center"/>
    </xf>
    <xf numFmtId="1" fontId="5" fillId="3" borderId="52" xfId="0" applyNumberFormat="1" applyFont="1" applyFill="1" applyBorder="1" applyAlignment="1">
      <alignment horizontal="right" vertical="center" wrapText="1"/>
    </xf>
    <xf numFmtId="1" fontId="2" fillId="3" borderId="27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" fillId="3" borderId="50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Border="1" applyAlignment="1">
      <alignment horizontal="center" vertical="center"/>
    </xf>
    <xf numFmtId="0" fontId="21" fillId="0" borderId="27" xfId="0" applyFont="1" applyFill="1" applyBorder="1" applyAlignment="1">
      <alignment horizontal="right"/>
    </xf>
    <xf numFmtId="0" fontId="21" fillId="0" borderId="27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center" vertical="center" wrapText="1"/>
    </xf>
    <xf numFmtId="1" fontId="2" fillId="3" borderId="27" xfId="2" applyNumberFormat="1" applyFont="1" applyFill="1" applyBorder="1" applyAlignment="1">
      <alignment horizontal="right"/>
    </xf>
    <xf numFmtId="1" fontId="2" fillId="3" borderId="27" xfId="2" applyNumberFormat="1" applyFont="1" applyFill="1" applyBorder="1" applyAlignment="1">
      <alignment horizontal="right" vertical="center"/>
    </xf>
    <xf numFmtId="0" fontId="23" fillId="0" borderId="27" xfId="0" applyFont="1" applyFill="1" applyBorder="1" applyAlignment="1">
      <alignment horizontal="right" vertical="center"/>
    </xf>
    <xf numFmtId="1" fontId="21" fillId="3" borderId="0" xfId="0" applyNumberFormat="1" applyFont="1" applyFill="1" applyBorder="1" applyAlignment="1">
      <alignment horizontal="right"/>
    </xf>
    <xf numFmtId="0" fontId="24" fillId="10" borderId="27" xfId="0" applyFont="1" applyFill="1" applyBorder="1" applyAlignment="1">
      <alignment horizontal="right" vertical="center"/>
    </xf>
    <xf numFmtId="1" fontId="24" fillId="10" borderId="27" xfId="0" applyNumberFormat="1" applyFont="1" applyFill="1" applyBorder="1" applyAlignment="1">
      <alignment horizontal="right" vertical="center"/>
    </xf>
    <xf numFmtId="165" fontId="10" fillId="5" borderId="4" xfId="1" applyNumberFormat="1" applyFont="1" applyFill="1" applyBorder="1" applyAlignment="1">
      <alignment horizontal="center" vertical="center"/>
    </xf>
    <xf numFmtId="165" fontId="10" fillId="5" borderId="8" xfId="1" applyNumberFormat="1" applyFont="1" applyFill="1" applyBorder="1" applyAlignment="1">
      <alignment horizontal="center" vertical="center"/>
    </xf>
    <xf numFmtId="165" fontId="10" fillId="5" borderId="11" xfId="1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5" fontId="10" fillId="5" borderId="9" xfId="1" applyNumberFormat="1" applyFont="1" applyFill="1" applyBorder="1" applyAlignment="1">
      <alignment horizontal="center" vertical="center"/>
    </xf>
    <xf numFmtId="165" fontId="10" fillId="5" borderId="12" xfId="1" applyNumberFormat="1" applyFont="1" applyFill="1" applyBorder="1" applyAlignment="1">
      <alignment horizontal="center" vertical="center"/>
    </xf>
    <xf numFmtId="165" fontId="10" fillId="5" borderId="10" xfId="1" applyNumberFormat="1" applyFon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17" fontId="14" fillId="7" borderId="0" xfId="0" applyNumberFormat="1" applyFont="1" applyFill="1" applyAlignment="1">
      <alignment horizontal="center" vertical="center" wrapText="1"/>
    </xf>
    <xf numFmtId="17" fontId="14" fillId="7" borderId="8" xfId="0" applyNumberFormat="1" applyFont="1" applyFill="1" applyBorder="1" applyAlignment="1">
      <alignment horizontal="center" vertical="center" wrapText="1"/>
    </xf>
    <xf numFmtId="17" fontId="14" fillId="7" borderId="15" xfId="0" applyNumberFormat="1" applyFont="1" applyFill="1" applyBorder="1" applyAlignment="1">
      <alignment horizontal="center" vertical="center" wrapText="1"/>
    </xf>
    <xf numFmtId="17" fontId="14" fillId="7" borderId="1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8" borderId="28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37" fontId="10" fillId="6" borderId="42" xfId="1" applyNumberFormat="1" applyFont="1" applyFill="1" applyBorder="1" applyAlignment="1">
      <alignment horizontal="center" vertical="center"/>
    </xf>
    <xf numFmtId="37" fontId="10" fillId="6" borderId="24" xfId="1" applyNumberFormat="1" applyFont="1" applyFill="1" applyBorder="1" applyAlignment="1">
      <alignment horizontal="center" vertical="center"/>
    </xf>
    <xf numFmtId="37" fontId="10" fillId="6" borderId="43" xfId="1" applyNumberFormat="1" applyFont="1" applyFill="1" applyBorder="1" applyAlignment="1">
      <alignment horizontal="center" vertical="center"/>
    </xf>
    <xf numFmtId="1" fontId="10" fillId="6" borderId="33" xfId="1" applyNumberFormat="1" applyFont="1" applyFill="1" applyBorder="1" applyAlignment="1">
      <alignment horizontal="center" vertical="center"/>
    </xf>
    <xf numFmtId="1" fontId="10" fillId="6" borderId="44" xfId="1" applyNumberFormat="1" applyFont="1" applyFill="1" applyBorder="1" applyAlignment="1">
      <alignment horizontal="center" vertical="center"/>
    </xf>
    <xf numFmtId="1" fontId="10" fillId="6" borderId="30" xfId="1" applyNumberFormat="1" applyFont="1" applyFill="1" applyBorder="1" applyAlignment="1">
      <alignment horizontal="center" vertical="center"/>
    </xf>
    <xf numFmtId="37" fontId="10" fillId="5" borderId="3" xfId="1" applyNumberFormat="1" applyFont="1" applyFill="1" applyBorder="1" applyAlignment="1">
      <alignment horizontal="center" vertical="center"/>
    </xf>
    <xf numFmtId="37" fontId="10" fillId="5" borderId="0" xfId="1" applyNumberFormat="1" applyFont="1" applyFill="1" applyBorder="1" applyAlignment="1">
      <alignment horizontal="center" vertical="center"/>
    </xf>
    <xf numFmtId="37" fontId="10" fillId="5" borderId="15" xfId="1" applyNumberFormat="1" applyFont="1" applyFill="1" applyBorder="1" applyAlignment="1">
      <alignment horizontal="center" vertical="center"/>
    </xf>
    <xf numFmtId="1" fontId="10" fillId="5" borderId="28" xfId="1" applyNumberFormat="1" applyFont="1" applyFill="1" applyBorder="1" applyAlignment="1">
      <alignment horizontal="center" vertical="center"/>
    </xf>
    <xf numFmtId="1" fontId="10" fillId="6" borderId="42" xfId="1" applyNumberFormat="1" applyFont="1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" fontId="0" fillId="5" borderId="14" xfId="0" applyNumberFormat="1" applyFill="1" applyBorder="1" applyAlignment="1">
      <alignment horizontal="center" vertical="center"/>
    </xf>
    <xf numFmtId="1" fontId="0" fillId="5" borderId="45" xfId="0" applyNumberFormat="1" applyFill="1" applyBorder="1" applyAlignment="1">
      <alignment horizontal="center" vertical="center"/>
    </xf>
    <xf numFmtId="1" fontId="0" fillId="5" borderId="46" xfId="0" applyNumberFormat="1" applyFill="1" applyBorder="1" applyAlignment="1">
      <alignment horizontal="center" vertical="center"/>
    </xf>
    <xf numFmtId="0" fontId="14" fillId="5" borderId="25" xfId="0" applyFont="1" applyFill="1" applyBorder="1" applyAlignment="1">
      <alignment horizontal="center" vertical="center" wrapText="1"/>
    </xf>
    <xf numFmtId="0" fontId="14" fillId="5" borderId="48" xfId="0" applyFont="1" applyFill="1" applyBorder="1" applyAlignment="1">
      <alignment horizontal="center" vertical="center" wrapText="1"/>
    </xf>
    <xf numFmtId="0" fontId="14" fillId="5" borderId="26" xfId="0" applyFont="1" applyFill="1" applyBorder="1" applyAlignment="1">
      <alignment horizontal="center" vertical="center" wrapText="1"/>
    </xf>
    <xf numFmtId="164" fontId="0" fillId="5" borderId="7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164" fontId="0" fillId="5" borderId="25" xfId="0" applyNumberFormat="1" applyFill="1" applyBorder="1" applyAlignment="1">
      <alignment horizontal="center" vertical="center"/>
    </xf>
    <xf numFmtId="164" fontId="0" fillId="5" borderId="26" xfId="0" applyNumberFormat="1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17" fontId="14" fillId="0" borderId="0" xfId="0" applyNumberFormat="1" applyFont="1" applyAlignment="1">
      <alignment horizontal="center" vertical="center" wrapText="1"/>
    </xf>
    <xf numFmtId="17" fontId="14" fillId="0" borderId="8" xfId="0" applyNumberFormat="1" applyFont="1" applyBorder="1" applyAlignment="1">
      <alignment horizontal="center" vertical="center" wrapText="1"/>
    </xf>
    <xf numFmtId="17" fontId="14" fillId="0" borderId="0" xfId="0" applyNumberFormat="1" applyFont="1" applyBorder="1" applyAlignment="1">
      <alignment horizontal="center" vertical="center" wrapText="1"/>
    </xf>
    <xf numFmtId="17" fontId="14" fillId="0" borderId="15" xfId="0" applyNumberFormat="1" applyFont="1" applyBorder="1" applyAlignment="1">
      <alignment horizontal="center" vertical="center" wrapText="1"/>
    </xf>
    <xf numFmtId="1" fontId="10" fillId="6" borderId="43" xfId="1" applyNumberFormat="1" applyFont="1" applyFill="1" applyBorder="1" applyAlignment="1">
      <alignment horizontal="center" vertical="center"/>
    </xf>
    <xf numFmtId="1" fontId="10" fillId="5" borderId="3" xfId="1" applyNumberFormat="1" applyFont="1" applyFill="1" applyBorder="1" applyAlignment="1">
      <alignment horizontal="center" vertical="center"/>
    </xf>
    <xf numFmtId="1" fontId="0" fillId="6" borderId="14" xfId="0" applyNumberFormat="1" applyFill="1" applyBorder="1" applyAlignment="1">
      <alignment horizontal="center" vertical="center"/>
    </xf>
    <xf numFmtId="1" fontId="0" fillId="6" borderId="45" xfId="0" applyNumberFormat="1" applyFill="1" applyBorder="1" applyAlignment="1">
      <alignment horizontal="center" vertical="center"/>
    </xf>
    <xf numFmtId="1" fontId="0" fillId="6" borderId="46" xfId="0" applyNumberForma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1" fontId="0" fillId="5" borderId="16" xfId="0" applyNumberForma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 wrapText="1"/>
    </xf>
    <xf numFmtId="0" fontId="14" fillId="5" borderId="22" xfId="0" applyFont="1" applyFill="1" applyBorder="1" applyAlignment="1">
      <alignment horizontal="center" vertical="center" wrapText="1"/>
    </xf>
    <xf numFmtId="0" fontId="14" fillId="5" borderId="47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164" fontId="0" fillId="5" borderId="17" xfId="0" applyNumberFormat="1" applyFill="1" applyBorder="1" applyAlignment="1">
      <alignment horizontal="center" vertical="center"/>
    </xf>
    <xf numFmtId="164" fontId="0" fillId="5" borderId="24" xfId="0" applyNumberFormat="1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0" fontId="0" fillId="5" borderId="46" xfId="0" applyFill="1" applyBorder="1" applyAlignment="1">
      <alignment horizontal="center" vertical="center"/>
    </xf>
    <xf numFmtId="1" fontId="0" fillId="5" borderId="17" xfId="0" applyNumberFormat="1" applyFill="1" applyBorder="1" applyAlignment="1">
      <alignment horizontal="center" vertical="center"/>
    </xf>
    <xf numFmtId="3" fontId="0" fillId="6" borderId="9" xfId="0" applyNumberFormat="1" applyFill="1" applyBorder="1" applyAlignment="1">
      <alignment horizontal="center" vertical="center"/>
    </xf>
    <xf numFmtId="3" fontId="0" fillId="6" borderId="12" xfId="0" applyNumberFormat="1" applyFill="1" applyBorder="1" applyAlignment="1">
      <alignment horizontal="center" vertical="center"/>
    </xf>
    <xf numFmtId="3" fontId="0" fillId="6" borderId="10" xfId="0" applyNumberFormat="1" applyFill="1" applyBorder="1" applyAlignment="1">
      <alignment horizontal="center" vertical="center"/>
    </xf>
    <xf numFmtId="3" fontId="0" fillId="5" borderId="9" xfId="0" applyNumberFormat="1" applyFill="1" applyBorder="1" applyAlignment="1">
      <alignment horizontal="center" vertical="center"/>
    </xf>
    <xf numFmtId="3" fontId="0" fillId="5" borderId="12" xfId="0" applyNumberFormat="1" applyFill="1" applyBorder="1" applyAlignment="1">
      <alignment horizontal="center" vertical="center"/>
    </xf>
    <xf numFmtId="3" fontId="0" fillId="5" borderId="10" xfId="0" applyNumberForma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49" fontId="22" fillId="0" borderId="27" xfId="0" applyNumberFormat="1" applyFont="1" applyFill="1" applyBorder="1" applyAlignment="1">
      <alignment horizontal="left" vertical="center" wrapText="1"/>
    </xf>
    <xf numFmtId="49" fontId="9" fillId="0" borderId="27" xfId="0" applyNumberFormat="1" applyFont="1" applyFill="1" applyBorder="1" applyAlignment="1">
      <alignment horizontal="left" vertical="center" wrapText="1"/>
    </xf>
    <xf numFmtId="165" fontId="10" fillId="6" borderId="9" xfId="1" applyNumberFormat="1" applyFont="1" applyFill="1" applyBorder="1" applyAlignment="1">
      <alignment horizontal="center" vertical="center"/>
    </xf>
    <xf numFmtId="165" fontId="10" fillId="6" borderId="12" xfId="1" applyNumberFormat="1" applyFont="1" applyFill="1" applyBorder="1" applyAlignment="1">
      <alignment horizontal="center" vertical="center"/>
    </xf>
    <xf numFmtId="165" fontId="10" fillId="6" borderId="10" xfId="1" applyNumberFormat="1" applyFon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6" borderId="6" xfId="0" applyNumberForma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" fontId="10" fillId="6" borderId="9" xfId="1" applyNumberFormat="1" applyFont="1" applyFill="1" applyBorder="1" applyAlignment="1">
      <alignment horizontal="center" vertical="center"/>
    </xf>
    <xf numFmtId="1" fontId="10" fillId="6" borderId="12" xfId="1" applyNumberFormat="1" applyFont="1" applyFill="1" applyBorder="1" applyAlignment="1">
      <alignment horizontal="center" vertical="center"/>
    </xf>
    <xf numFmtId="1" fontId="10" fillId="6" borderId="10" xfId="1" applyNumberFormat="1" applyFont="1" applyFill="1" applyBorder="1" applyAlignment="1">
      <alignment horizontal="center" vertical="center"/>
    </xf>
    <xf numFmtId="37" fontId="10" fillId="5" borderId="9" xfId="1" applyNumberFormat="1" applyFont="1" applyFill="1" applyBorder="1" applyAlignment="1">
      <alignment horizontal="center" vertical="center"/>
    </xf>
    <xf numFmtId="37" fontId="10" fillId="5" borderId="12" xfId="1" applyNumberFormat="1" applyFont="1" applyFill="1" applyBorder="1" applyAlignment="1">
      <alignment horizontal="center" vertical="center"/>
    </xf>
    <xf numFmtId="37" fontId="10" fillId="5" borderId="10" xfId="1" applyNumberFormat="1" applyFont="1" applyFill="1" applyBorder="1" applyAlignment="1">
      <alignment horizontal="center" vertical="center"/>
    </xf>
    <xf numFmtId="0" fontId="15" fillId="8" borderId="28" xfId="0" applyFont="1" applyFill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2" xfId="2"/>
    <cellStyle name="Normal 3" xfId="4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MH Holds Statewide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'Hold Tracking'!$A$9</c:f>
              <c:strCache>
                <c:ptCount val="1"/>
                <c:pt idx="0">
                  <c:v>Statewide Total</c:v>
                </c:pt>
              </c:strCache>
            </c:strRef>
          </c:tx>
          <c:marker>
            <c:symbol val="none"/>
          </c:marker>
          <c:cat>
            <c:numRef>
              <c:f>'Hold Tracking'!$B$1:$O$1</c:f>
              <c:numCache>
                <c:formatCode>mmm\-yy</c:formatCode>
                <c:ptCount val="14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</c:numCache>
            </c:numRef>
          </c:cat>
          <c:val>
            <c:numRef>
              <c:f>'Hold Tracking'!$B$9:$O$9</c:f>
              <c:numCache>
                <c:formatCode>0</c:formatCode>
                <c:ptCount val="14"/>
                <c:pt idx="0">
                  <c:v>431</c:v>
                </c:pt>
                <c:pt idx="1">
                  <c:v>381</c:v>
                </c:pt>
                <c:pt idx="2">
                  <c:v>376</c:v>
                </c:pt>
                <c:pt idx="3">
                  <c:v>427</c:v>
                </c:pt>
                <c:pt idx="4">
                  <c:v>417</c:v>
                </c:pt>
                <c:pt idx="5">
                  <c:v>397</c:v>
                </c:pt>
                <c:pt idx="6">
                  <c:v>389</c:v>
                </c:pt>
                <c:pt idx="7" formatCode="General">
                  <c:v>437</c:v>
                </c:pt>
                <c:pt idx="8" formatCode="General">
                  <c:v>450</c:v>
                </c:pt>
                <c:pt idx="9">
                  <c:v>449</c:v>
                </c:pt>
                <c:pt idx="10" formatCode="General">
                  <c:v>488</c:v>
                </c:pt>
                <c:pt idx="11" formatCode="General">
                  <c:v>455</c:v>
                </c:pt>
                <c:pt idx="12">
                  <c:v>412</c:v>
                </c:pt>
                <c:pt idx="13" formatCode="General">
                  <c:v>437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04320"/>
        <c:axId val="138905856"/>
      </c:lineChart>
      <c:dateAx>
        <c:axId val="138904320"/>
        <c:scaling>
          <c:orientation val="minMax"/>
          <c:max val="41548"/>
          <c:min val="41214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8905856"/>
        <c:crosses val="autoZero"/>
        <c:auto val="1"/>
        <c:lblOffset val="100"/>
        <c:baseTimeUnit val="months"/>
      </c:dateAx>
      <c:valAx>
        <c:axId val="138905856"/>
        <c:scaling>
          <c:orientation val="minMax"/>
          <c:min val="25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>
                  <a:defRPr sz="1400" b="1"/>
                </a:pPr>
                <a:r>
                  <a:rPr lang="en-US" sz="1400" b="1"/>
                  <a:t>Holds</a:t>
                </a:r>
              </a:p>
            </c:rich>
          </c:tx>
          <c:layout/>
          <c:overlay val="0"/>
        </c:title>
        <c:numFmt formatCode="0" sourceLinked="1"/>
        <c:majorTickMark val="out"/>
        <c:minorTickMark val="none"/>
        <c:tickLblPos val="nextTo"/>
        <c:crossAx val="1389043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Intakes Statewide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'Intake Tracking'!$A$9</c:f>
              <c:strCache>
                <c:ptCount val="1"/>
                <c:pt idx="0">
                  <c:v>CMH Intakes</c:v>
                </c:pt>
              </c:strCache>
            </c:strRef>
          </c:tx>
          <c:marker>
            <c:symbol val="none"/>
          </c:marker>
          <c:cat>
            <c:numRef>
              <c:f>'Intake Tracking'!$B$1:$O$1</c:f>
              <c:numCache>
                <c:formatCode>mmm\-yy</c:formatCode>
                <c:ptCount val="14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</c:numCache>
            </c:numRef>
          </c:cat>
          <c:val>
            <c:numRef>
              <c:f>'Intake Tracking'!$B$9:$O$9</c:f>
              <c:numCache>
                <c:formatCode>0</c:formatCode>
                <c:ptCount val="14"/>
                <c:pt idx="0">
                  <c:v>104</c:v>
                </c:pt>
                <c:pt idx="1">
                  <c:v>144</c:v>
                </c:pt>
                <c:pt idx="2">
                  <c:v>125</c:v>
                </c:pt>
                <c:pt idx="3">
                  <c:v>107</c:v>
                </c:pt>
                <c:pt idx="4">
                  <c:v>112</c:v>
                </c:pt>
                <c:pt idx="5">
                  <c:v>106</c:v>
                </c:pt>
                <c:pt idx="6">
                  <c:v>143</c:v>
                </c:pt>
                <c:pt idx="7">
                  <c:v>144</c:v>
                </c:pt>
                <c:pt idx="8" formatCode="General">
                  <c:v>118</c:v>
                </c:pt>
                <c:pt idx="9">
                  <c:v>118</c:v>
                </c:pt>
                <c:pt idx="10" formatCode="General">
                  <c:v>103</c:v>
                </c:pt>
                <c:pt idx="11" formatCode="General">
                  <c:v>81</c:v>
                </c:pt>
                <c:pt idx="12" formatCode="General">
                  <c:v>110</c:v>
                </c:pt>
                <c:pt idx="13">
                  <c:v>111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'Intake Tracking'!$A$20</c:f>
              <c:strCache>
                <c:ptCount val="1"/>
                <c:pt idx="0">
                  <c:v>AMH Intakes</c:v>
                </c:pt>
              </c:strCache>
            </c:strRef>
          </c:tx>
          <c:marker>
            <c:symbol val="none"/>
          </c:marker>
          <c:cat>
            <c:numRef>
              <c:f>'Intake Tracking'!$B$1:$O$1</c:f>
              <c:numCache>
                <c:formatCode>mmm\-yy</c:formatCode>
                <c:ptCount val="14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</c:numCache>
            </c:numRef>
          </c:cat>
          <c:val>
            <c:numRef>
              <c:f>'Intake Tracking'!$B$20:$O$20</c:f>
              <c:numCache>
                <c:formatCode>0</c:formatCode>
                <c:ptCount val="14"/>
                <c:pt idx="0">
                  <c:v>624</c:v>
                </c:pt>
                <c:pt idx="1">
                  <c:v>653</c:v>
                </c:pt>
                <c:pt idx="2">
                  <c:v>643</c:v>
                </c:pt>
                <c:pt idx="3">
                  <c:v>674</c:v>
                </c:pt>
                <c:pt idx="4">
                  <c:v>705</c:v>
                </c:pt>
                <c:pt idx="5">
                  <c:v>656</c:v>
                </c:pt>
                <c:pt idx="6">
                  <c:v>678</c:v>
                </c:pt>
                <c:pt idx="7">
                  <c:v>738</c:v>
                </c:pt>
                <c:pt idx="8" formatCode="General">
                  <c:v>855</c:v>
                </c:pt>
                <c:pt idx="9">
                  <c:v>742</c:v>
                </c:pt>
                <c:pt idx="10" formatCode="General">
                  <c:v>872</c:v>
                </c:pt>
                <c:pt idx="11" formatCode="General">
                  <c:v>960</c:v>
                </c:pt>
                <c:pt idx="12" formatCode="General">
                  <c:v>823</c:v>
                </c:pt>
                <c:pt idx="13">
                  <c:v>923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19296"/>
        <c:axId val="138929280"/>
      </c:lineChart>
      <c:dateAx>
        <c:axId val="138919296"/>
        <c:scaling>
          <c:orientation val="minMax"/>
          <c:max val="41548"/>
          <c:min val="41214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8929280"/>
        <c:crosses val="autoZero"/>
        <c:auto val="1"/>
        <c:lblOffset val="100"/>
        <c:baseTimeUnit val="months"/>
      </c:dateAx>
      <c:valAx>
        <c:axId val="138929280"/>
        <c:scaling>
          <c:orientation val="minMax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>
                  <a:defRPr sz="1200" b="1"/>
                </a:pPr>
                <a:r>
                  <a:rPr lang="en-US" sz="1200" b="1"/>
                  <a:t>Intakes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Ax val="138919296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Admissions Statewide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'Admissions Tracking'!$A$9</c:f>
              <c:strCache>
                <c:ptCount val="1"/>
                <c:pt idx="0">
                  <c:v>CMH Admissions</c:v>
                </c:pt>
              </c:strCache>
            </c:strRef>
          </c:tx>
          <c:marker>
            <c:symbol val="none"/>
          </c:marker>
          <c:cat>
            <c:numRef>
              <c:f>'Admissions Tracking'!$B$1:$Q$1</c:f>
              <c:numCache>
                <c:formatCode>mmm\-yy</c:formatCode>
                <c:ptCount val="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</c:numCache>
            </c:numRef>
          </c:cat>
          <c:val>
            <c:numRef>
              <c:f>'Admissions Tracking'!$B$9:$Q$9</c:f>
              <c:numCache>
                <c:formatCode>0</c:formatCode>
                <c:ptCount val="16"/>
                <c:pt idx="0">
                  <c:v>46</c:v>
                </c:pt>
                <c:pt idx="1">
                  <c:v>58</c:v>
                </c:pt>
                <c:pt idx="2">
                  <c:v>47</c:v>
                </c:pt>
                <c:pt idx="3">
                  <c:v>73</c:v>
                </c:pt>
                <c:pt idx="4">
                  <c:v>84</c:v>
                </c:pt>
                <c:pt idx="5">
                  <c:v>60</c:v>
                </c:pt>
                <c:pt idx="6">
                  <c:v>76</c:v>
                </c:pt>
                <c:pt idx="7">
                  <c:v>67</c:v>
                </c:pt>
                <c:pt idx="8">
                  <c:v>71</c:v>
                </c:pt>
                <c:pt idx="9">
                  <c:v>61</c:v>
                </c:pt>
                <c:pt idx="10" formatCode="General">
                  <c:v>69</c:v>
                </c:pt>
                <c:pt idx="11">
                  <c:v>50</c:v>
                </c:pt>
                <c:pt idx="12" formatCode="General">
                  <c:v>66</c:v>
                </c:pt>
                <c:pt idx="13" formatCode="General">
                  <c:v>47</c:v>
                </c:pt>
                <c:pt idx="14" formatCode="General">
                  <c:v>46</c:v>
                </c:pt>
                <c:pt idx="15" formatCode="General">
                  <c:v>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'Admissions Tracking'!$A$20</c:f>
              <c:strCache>
                <c:ptCount val="1"/>
                <c:pt idx="0">
                  <c:v>AMH Admissions</c:v>
                </c:pt>
              </c:strCache>
            </c:strRef>
          </c:tx>
          <c:marker>
            <c:symbol val="none"/>
          </c:marker>
          <c:cat>
            <c:numRef>
              <c:f>'Admissions Tracking'!$B$1:$Q$1</c:f>
              <c:numCache>
                <c:formatCode>mmm\-yy</c:formatCode>
                <c:ptCount val="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</c:numCache>
            </c:numRef>
          </c:cat>
          <c:val>
            <c:numRef>
              <c:f>'Admissions Tracking'!$B$20:$Q$20</c:f>
              <c:numCache>
                <c:formatCode>0</c:formatCode>
                <c:ptCount val="16"/>
                <c:pt idx="0">
                  <c:v>117</c:v>
                </c:pt>
                <c:pt idx="1">
                  <c:v>131</c:v>
                </c:pt>
                <c:pt idx="2">
                  <c:v>123</c:v>
                </c:pt>
                <c:pt idx="3">
                  <c:v>142</c:v>
                </c:pt>
                <c:pt idx="4">
                  <c:v>141</c:v>
                </c:pt>
                <c:pt idx="5">
                  <c:v>94</c:v>
                </c:pt>
                <c:pt idx="6">
                  <c:v>118</c:v>
                </c:pt>
                <c:pt idx="7">
                  <c:v>127</c:v>
                </c:pt>
                <c:pt idx="8">
                  <c:v>124</c:v>
                </c:pt>
                <c:pt idx="9">
                  <c:v>125</c:v>
                </c:pt>
                <c:pt idx="10" formatCode="General">
                  <c:v>109</c:v>
                </c:pt>
                <c:pt idx="11">
                  <c:v>90</c:v>
                </c:pt>
                <c:pt idx="12" formatCode="General">
                  <c:v>117</c:v>
                </c:pt>
                <c:pt idx="13" formatCode="General">
                  <c:v>103</c:v>
                </c:pt>
                <c:pt idx="14" formatCode="General">
                  <c:v>109</c:v>
                </c:pt>
                <c:pt idx="15" formatCode="General">
                  <c:v>150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47520"/>
        <c:axId val="139264000"/>
      </c:lineChart>
      <c:dateAx>
        <c:axId val="139147520"/>
        <c:scaling>
          <c:orientation val="minMax"/>
          <c:max val="41548"/>
          <c:min val="41214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9264000"/>
        <c:crosses val="autoZero"/>
        <c:auto val="1"/>
        <c:lblOffset val="100"/>
        <c:baseTimeUnit val="months"/>
      </c:dateAx>
      <c:valAx>
        <c:axId val="139264000"/>
        <c:scaling>
          <c:orientation val="minMax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Admissions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Ax val="139147520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Discharges Statewide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'Discharge Tracking'!$A$9</c:f>
              <c:strCache>
                <c:ptCount val="1"/>
                <c:pt idx="0">
                  <c:v>CMH Discharges</c:v>
                </c:pt>
              </c:strCache>
            </c:strRef>
          </c:tx>
          <c:marker>
            <c:symbol val="none"/>
          </c:marker>
          <c:cat>
            <c:numRef>
              <c:f>'Discharge Tracking'!$B$1:$Q$1</c:f>
              <c:numCache>
                <c:formatCode>mmm\-yy</c:formatCode>
                <c:ptCount val="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</c:numCache>
            </c:numRef>
          </c:cat>
          <c:val>
            <c:numRef>
              <c:f>'Discharge Tracking'!$B$9:$Q$9</c:f>
              <c:numCache>
                <c:formatCode>0</c:formatCode>
                <c:ptCount val="16"/>
                <c:pt idx="0">
                  <c:v>57</c:v>
                </c:pt>
                <c:pt idx="1">
                  <c:v>55</c:v>
                </c:pt>
                <c:pt idx="2">
                  <c:v>58</c:v>
                </c:pt>
                <c:pt idx="3">
                  <c:v>59</c:v>
                </c:pt>
                <c:pt idx="4">
                  <c:v>61</c:v>
                </c:pt>
                <c:pt idx="5">
                  <c:v>56</c:v>
                </c:pt>
                <c:pt idx="6">
                  <c:v>64</c:v>
                </c:pt>
                <c:pt idx="7">
                  <c:v>65</c:v>
                </c:pt>
                <c:pt idx="8">
                  <c:v>66</c:v>
                </c:pt>
                <c:pt idx="9">
                  <c:v>56</c:v>
                </c:pt>
                <c:pt idx="10" formatCode="General">
                  <c:v>63</c:v>
                </c:pt>
                <c:pt idx="11">
                  <c:v>70</c:v>
                </c:pt>
                <c:pt idx="12" formatCode="General">
                  <c:v>72</c:v>
                </c:pt>
                <c:pt idx="13" formatCode="General">
                  <c:v>66</c:v>
                </c:pt>
                <c:pt idx="14" formatCode="General">
                  <c:v>59</c:v>
                </c:pt>
                <c:pt idx="15" formatCode="General">
                  <c:v>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'Discharge Tracking'!$A$20</c:f>
              <c:strCache>
                <c:ptCount val="1"/>
                <c:pt idx="0">
                  <c:v>AMH Discharges</c:v>
                </c:pt>
              </c:strCache>
            </c:strRef>
          </c:tx>
          <c:marker>
            <c:symbol val="none"/>
          </c:marker>
          <c:cat>
            <c:numRef>
              <c:f>'Discharge Tracking'!$B$1:$Q$1</c:f>
              <c:numCache>
                <c:formatCode>mmm\-yy</c:formatCode>
                <c:ptCount val="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</c:numCache>
            </c:numRef>
          </c:cat>
          <c:val>
            <c:numRef>
              <c:f>'Discharge Tracking'!$B$20:$Q$20</c:f>
              <c:numCache>
                <c:formatCode>0</c:formatCode>
                <c:ptCount val="16"/>
                <c:pt idx="0">
                  <c:v>154</c:v>
                </c:pt>
                <c:pt idx="1">
                  <c:v>185</c:v>
                </c:pt>
                <c:pt idx="2">
                  <c:v>117</c:v>
                </c:pt>
                <c:pt idx="3">
                  <c:v>151</c:v>
                </c:pt>
                <c:pt idx="4">
                  <c:v>151</c:v>
                </c:pt>
                <c:pt idx="5">
                  <c:v>92</c:v>
                </c:pt>
                <c:pt idx="6">
                  <c:v>123</c:v>
                </c:pt>
                <c:pt idx="7">
                  <c:v>109</c:v>
                </c:pt>
                <c:pt idx="8">
                  <c:v>120</c:v>
                </c:pt>
                <c:pt idx="9">
                  <c:v>129</c:v>
                </c:pt>
                <c:pt idx="10" formatCode="General">
                  <c:v>122</c:v>
                </c:pt>
                <c:pt idx="11">
                  <c:v>132</c:v>
                </c:pt>
                <c:pt idx="12" formatCode="General">
                  <c:v>128</c:v>
                </c:pt>
                <c:pt idx="13" formatCode="General">
                  <c:v>117</c:v>
                </c:pt>
                <c:pt idx="14" formatCode="General">
                  <c:v>143</c:v>
                </c:pt>
                <c:pt idx="15" formatCode="General">
                  <c:v>166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75744"/>
        <c:axId val="139377280"/>
      </c:lineChart>
      <c:dateAx>
        <c:axId val="139375744"/>
        <c:scaling>
          <c:orientation val="minMax"/>
          <c:max val="41548"/>
          <c:min val="41214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9377280"/>
        <c:crosses val="autoZero"/>
        <c:auto val="1"/>
        <c:lblOffset val="100"/>
        <c:baseTimeUnit val="months"/>
      </c:dateAx>
      <c:valAx>
        <c:axId val="139377280"/>
        <c:scaling>
          <c:orientation val="minMax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Discharges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Ax val="139375744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Clients Served Statewide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'Served Tracking'!$A$10</c:f>
              <c:strCache>
                <c:ptCount val="1"/>
                <c:pt idx="0">
                  <c:v>CMH Clients Served</c:v>
                </c:pt>
              </c:strCache>
            </c:strRef>
          </c:tx>
          <c:marker>
            <c:symbol val="none"/>
          </c:marker>
          <c:cat>
            <c:numRef>
              <c:f>'Served Tracking'!$B$2:$Q$2</c:f>
              <c:numCache>
                <c:formatCode>mmm\-yy</c:formatCode>
                <c:ptCount val="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</c:numCache>
            </c:numRef>
          </c:cat>
          <c:val>
            <c:numRef>
              <c:f>'Served Tracking'!$B$10:$Q$10</c:f>
              <c:numCache>
                <c:formatCode>General</c:formatCode>
                <c:ptCount val="16"/>
                <c:pt idx="0">
                  <c:v>630</c:v>
                </c:pt>
                <c:pt idx="1">
                  <c:v>644</c:v>
                </c:pt>
                <c:pt idx="2">
                  <c:v>624</c:v>
                </c:pt>
                <c:pt idx="3">
                  <c:v>681</c:v>
                </c:pt>
                <c:pt idx="4">
                  <c:v>663</c:v>
                </c:pt>
                <c:pt idx="5">
                  <c:v>658</c:v>
                </c:pt>
                <c:pt idx="6">
                  <c:v>718</c:v>
                </c:pt>
                <c:pt idx="7">
                  <c:v>696</c:v>
                </c:pt>
                <c:pt idx="8">
                  <c:v>770</c:v>
                </c:pt>
                <c:pt idx="9">
                  <c:v>766</c:v>
                </c:pt>
                <c:pt idx="10">
                  <c:v>760</c:v>
                </c:pt>
                <c:pt idx="11" formatCode="#,##0">
                  <c:v>739</c:v>
                </c:pt>
                <c:pt idx="12">
                  <c:v>736</c:v>
                </c:pt>
                <c:pt idx="13">
                  <c:v>687</c:v>
                </c:pt>
                <c:pt idx="14">
                  <c:v>690</c:v>
                </c:pt>
                <c:pt idx="15">
                  <c:v>717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'Served Tracking'!$A$21</c:f>
              <c:strCache>
                <c:ptCount val="1"/>
                <c:pt idx="0">
                  <c:v>AMH Clients Served</c:v>
                </c:pt>
              </c:strCache>
            </c:strRef>
          </c:tx>
          <c:marker>
            <c:symbol val="none"/>
          </c:marker>
          <c:cat>
            <c:numRef>
              <c:f>'Served Tracking'!$B$2:$Q$2</c:f>
              <c:numCache>
                <c:formatCode>mmm\-yy</c:formatCode>
                <c:ptCount val="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</c:numCache>
            </c:numRef>
          </c:cat>
          <c:val>
            <c:numRef>
              <c:f>'Served Tracking'!$B$21:$Q$21</c:f>
              <c:numCache>
                <c:formatCode>General</c:formatCode>
                <c:ptCount val="16"/>
                <c:pt idx="0">
                  <c:v>2639</c:v>
                </c:pt>
                <c:pt idx="1">
                  <c:v>2670</c:v>
                </c:pt>
                <c:pt idx="2">
                  <c:v>2478</c:v>
                </c:pt>
                <c:pt idx="3">
                  <c:v>2675</c:v>
                </c:pt>
                <c:pt idx="4">
                  <c:v>2562</c:v>
                </c:pt>
                <c:pt idx="5">
                  <c:v>2707</c:v>
                </c:pt>
                <c:pt idx="6">
                  <c:v>2785</c:v>
                </c:pt>
                <c:pt idx="7">
                  <c:v>2652</c:v>
                </c:pt>
                <c:pt idx="8">
                  <c:v>2741</c:v>
                </c:pt>
                <c:pt idx="9">
                  <c:v>2846</c:v>
                </c:pt>
                <c:pt idx="10">
                  <c:v>2828</c:v>
                </c:pt>
                <c:pt idx="11">
                  <c:v>2813</c:v>
                </c:pt>
                <c:pt idx="12">
                  <c:v>2946</c:v>
                </c:pt>
                <c:pt idx="13">
                  <c:v>3001</c:v>
                </c:pt>
                <c:pt idx="14">
                  <c:v>2914</c:v>
                </c:pt>
                <c:pt idx="15">
                  <c:v>3041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682176"/>
        <c:axId val="139683712"/>
      </c:lineChart>
      <c:dateAx>
        <c:axId val="139682176"/>
        <c:scaling>
          <c:orientation val="minMax"/>
          <c:max val="41548"/>
          <c:min val="41214"/>
        </c:scaling>
        <c:delete val="0"/>
        <c:axPos val="b"/>
        <c:numFmt formatCode="mmm\-yy" sourceLinked="1"/>
        <c:majorTickMark val="out"/>
        <c:minorTickMark val="none"/>
        <c:tickLblPos val="nextTo"/>
        <c:crossAx val="139683712"/>
        <c:crosses val="autoZero"/>
        <c:auto val="1"/>
        <c:lblOffset val="100"/>
        <c:baseTimeUnit val="months"/>
      </c:dateAx>
      <c:valAx>
        <c:axId val="139683712"/>
        <c:scaling>
          <c:orientation val="minMax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Clients Served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9682176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Court Ordered Statewide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TDC!$A$3</c:f>
              <c:strCache>
                <c:ptCount val="1"/>
                <c:pt idx="0">
                  <c:v>Designated Examinations</c:v>
                </c:pt>
              </c:strCache>
            </c:strRef>
          </c:tx>
          <c:marker>
            <c:symbol val="none"/>
          </c:marker>
          <c:cat>
            <c:numRef>
              <c:f>TDC!$B$1:$Q$1</c:f>
              <c:numCache>
                <c:formatCode>mmm\-yy</c:formatCode>
                <c:ptCount val="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</c:numCache>
            </c:numRef>
          </c:cat>
          <c:val>
            <c:numRef>
              <c:f>TDC!$B$3:$Q$3</c:f>
              <c:numCache>
                <c:formatCode>0</c:formatCode>
                <c:ptCount val="16"/>
                <c:pt idx="0">
                  <c:v>437</c:v>
                </c:pt>
                <c:pt idx="1">
                  <c:v>434</c:v>
                </c:pt>
                <c:pt idx="2">
                  <c:v>420</c:v>
                </c:pt>
                <c:pt idx="3">
                  <c:v>368</c:v>
                </c:pt>
                <c:pt idx="4">
                  <c:v>364</c:v>
                </c:pt>
                <c:pt idx="5">
                  <c:v>413</c:v>
                </c:pt>
                <c:pt idx="6">
                  <c:v>399</c:v>
                </c:pt>
                <c:pt idx="7">
                  <c:v>387</c:v>
                </c:pt>
                <c:pt idx="8">
                  <c:v>378</c:v>
                </c:pt>
                <c:pt idx="9">
                  <c:v>360</c:v>
                </c:pt>
                <c:pt idx="10">
                  <c:v>437</c:v>
                </c:pt>
                <c:pt idx="11">
                  <c:v>432</c:v>
                </c:pt>
                <c:pt idx="12">
                  <c:v>457</c:v>
                </c:pt>
                <c:pt idx="13" formatCode="General">
                  <c:v>439</c:v>
                </c:pt>
                <c:pt idx="14" formatCode="General">
                  <c:v>396</c:v>
                </c:pt>
                <c:pt idx="15" formatCode="General">
                  <c:v>419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04960"/>
        <c:axId val="139719040"/>
      </c:lineChart>
      <c:dateAx>
        <c:axId val="139704960"/>
        <c:scaling>
          <c:orientation val="minMax"/>
          <c:max val="41548"/>
          <c:min val="41214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9719040"/>
        <c:crosses val="autoZero"/>
        <c:auto val="1"/>
        <c:lblOffset val="100"/>
        <c:baseTimeUnit val="months"/>
      </c:dateAx>
      <c:valAx>
        <c:axId val="1397190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9704960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Court Ordered Statewide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TDC!$A$2</c:f>
              <c:strCache>
                <c:ptCount val="1"/>
                <c:pt idx="0">
                  <c:v>Pre-Sentence Investigation Reports (I.C. 19-2524)</c:v>
                </c:pt>
              </c:strCache>
            </c:strRef>
          </c:tx>
          <c:marker>
            <c:symbol val="none"/>
          </c:marker>
          <c:cat>
            <c:numRef>
              <c:f>TDC!$B$1:$Q$1</c:f>
              <c:numCache>
                <c:formatCode>mmm\-yy</c:formatCode>
                <c:ptCount val="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</c:numCache>
            </c:numRef>
          </c:cat>
          <c:val>
            <c:numRef>
              <c:f>TDC!$B$2:$Q$2</c:f>
              <c:numCache>
                <c:formatCode>0</c:formatCode>
                <c:ptCount val="16"/>
                <c:pt idx="0">
                  <c:v>85</c:v>
                </c:pt>
                <c:pt idx="1">
                  <c:v>100</c:v>
                </c:pt>
                <c:pt idx="2">
                  <c:v>87</c:v>
                </c:pt>
                <c:pt idx="3">
                  <c:v>105</c:v>
                </c:pt>
                <c:pt idx="4">
                  <c:v>104</c:v>
                </c:pt>
                <c:pt idx="5">
                  <c:v>83</c:v>
                </c:pt>
                <c:pt idx="6">
                  <c:v>102</c:v>
                </c:pt>
                <c:pt idx="7">
                  <c:v>93</c:v>
                </c:pt>
                <c:pt idx="8">
                  <c:v>110</c:v>
                </c:pt>
                <c:pt idx="9">
                  <c:v>137</c:v>
                </c:pt>
                <c:pt idx="10">
                  <c:v>63</c:v>
                </c:pt>
                <c:pt idx="11">
                  <c:v>58</c:v>
                </c:pt>
                <c:pt idx="12">
                  <c:v>25</c:v>
                </c:pt>
                <c:pt idx="13" formatCode="General">
                  <c:v>36</c:v>
                </c:pt>
                <c:pt idx="14" formatCode="General">
                  <c:v>38</c:v>
                </c:pt>
                <c:pt idx="15" formatCode="General">
                  <c:v>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TDC!$A$4</c:f>
              <c:strCache>
                <c:ptCount val="1"/>
                <c:pt idx="0">
                  <c:v>Civil Commitments (I.C. 66-329)</c:v>
                </c:pt>
              </c:strCache>
            </c:strRef>
          </c:tx>
          <c:marker>
            <c:symbol val="none"/>
          </c:marker>
          <c:cat>
            <c:numRef>
              <c:f>TDC!$B$1:$Q$1</c:f>
              <c:numCache>
                <c:formatCode>mmm\-yy</c:formatCode>
                <c:ptCount val="16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</c:numCache>
            </c:numRef>
          </c:cat>
          <c:val>
            <c:numRef>
              <c:f>TDC!$B$4:$Q$4</c:f>
              <c:numCache>
                <c:formatCode>0</c:formatCode>
                <c:ptCount val="16"/>
                <c:pt idx="0">
                  <c:v>89</c:v>
                </c:pt>
                <c:pt idx="1">
                  <c:v>115</c:v>
                </c:pt>
                <c:pt idx="2">
                  <c:v>77</c:v>
                </c:pt>
                <c:pt idx="3">
                  <c:v>85</c:v>
                </c:pt>
                <c:pt idx="4">
                  <c:v>88</c:v>
                </c:pt>
                <c:pt idx="5">
                  <c:v>70</c:v>
                </c:pt>
                <c:pt idx="6">
                  <c:v>88</c:v>
                </c:pt>
                <c:pt idx="7">
                  <c:v>68</c:v>
                </c:pt>
                <c:pt idx="8">
                  <c:v>61</c:v>
                </c:pt>
                <c:pt idx="9">
                  <c:v>71</c:v>
                </c:pt>
                <c:pt idx="10">
                  <c:v>94</c:v>
                </c:pt>
                <c:pt idx="11">
                  <c:v>91</c:v>
                </c:pt>
                <c:pt idx="12">
                  <c:v>105</c:v>
                </c:pt>
                <c:pt idx="13" formatCode="General">
                  <c:v>92</c:v>
                </c:pt>
                <c:pt idx="14">
                  <c:v>89</c:v>
                </c:pt>
                <c:pt idx="15" formatCode="General">
                  <c:v>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77152"/>
        <c:axId val="139778688"/>
      </c:lineChart>
      <c:dateAx>
        <c:axId val="139777152"/>
        <c:scaling>
          <c:orientation val="minMax"/>
          <c:min val="41214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9778688"/>
        <c:crosses val="autoZero"/>
        <c:auto val="1"/>
        <c:lblOffset val="100"/>
        <c:baseTimeUnit val="months"/>
      </c:dateAx>
      <c:valAx>
        <c:axId val="1397786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39777152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13606</xdr:rowOff>
    </xdr:from>
    <xdr:to>
      <xdr:col>13</xdr:col>
      <xdr:colOff>707572</xdr:colOff>
      <xdr:row>26</xdr:row>
      <xdr:rowOff>163285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1</xdr:row>
      <xdr:rowOff>95249</xdr:rowOff>
    </xdr:from>
    <xdr:to>
      <xdr:col>5</xdr:col>
      <xdr:colOff>503465</xdr:colOff>
      <xdr:row>19</xdr:row>
      <xdr:rowOff>27212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537483</xdr:colOff>
      <xdr:row>1</xdr:row>
      <xdr:rowOff>97970</xdr:rowOff>
    </xdr:from>
    <xdr:to>
      <xdr:col>13</xdr:col>
      <xdr:colOff>122464</xdr:colOff>
      <xdr:row>19</xdr:row>
      <xdr:rowOff>40821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183695</xdr:colOff>
      <xdr:row>1</xdr:row>
      <xdr:rowOff>138792</xdr:rowOff>
    </xdr:from>
    <xdr:to>
      <xdr:col>22</xdr:col>
      <xdr:colOff>122464</xdr:colOff>
      <xdr:row>19</xdr:row>
      <xdr:rowOff>68035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129267</xdr:colOff>
      <xdr:row>0</xdr:row>
      <xdr:rowOff>57150</xdr:rowOff>
    </xdr:from>
    <xdr:to>
      <xdr:col>6</xdr:col>
      <xdr:colOff>1374322</xdr:colOff>
      <xdr:row>22</xdr:row>
      <xdr:rowOff>122464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156480</xdr:colOff>
      <xdr:row>1</xdr:row>
      <xdr:rowOff>16327</xdr:rowOff>
    </xdr:from>
    <xdr:to>
      <xdr:col>6</xdr:col>
      <xdr:colOff>367393</xdr:colOff>
      <xdr:row>20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34019</xdr:colOff>
      <xdr:row>20</xdr:row>
      <xdr:rowOff>78923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9:N80"/>
  <sheetViews>
    <sheetView tabSelected="1" zoomScale="70" zoomScaleNormal="70" workbookViewId="0">
      <selection activeCell="O47" sqref="O47"/>
    </sheetView>
  </sheetViews>
  <sheetFormatPr defaultRowHeight="15" x14ac:dyDescent="0.25"/>
  <cols>
    <col min="1" max="1" width="15.140625" customWidth="1"/>
    <col min="2" max="2" width="12.28515625" bestFit="1" customWidth="1"/>
    <col min="8" max="8" width="10" customWidth="1"/>
    <col min="14" max="14" width="10.7109375" bestFit="1" customWidth="1"/>
  </cols>
  <sheetData>
    <row r="29" spans="1:14" ht="36" customHeight="1" x14ac:dyDescent="0.25">
      <c r="A29" s="198">
        <v>41548</v>
      </c>
      <c r="B29" s="199"/>
      <c r="C29" s="205" t="s">
        <v>52</v>
      </c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7"/>
    </row>
    <row r="30" spans="1:14" x14ac:dyDescent="0.25">
      <c r="A30" s="198"/>
      <c r="B30" s="199"/>
      <c r="C30" s="195">
        <f>A29</f>
        <v>41548</v>
      </c>
      <c r="D30" s="196"/>
      <c r="E30" s="196"/>
      <c r="F30" s="196"/>
      <c r="G30" s="196"/>
      <c r="H30" s="197"/>
      <c r="I30" s="189" t="s">
        <v>114</v>
      </c>
      <c r="J30" s="190"/>
      <c r="K30" s="190"/>
      <c r="L30" s="190"/>
      <c r="M30" s="190"/>
      <c r="N30" s="191"/>
    </row>
    <row r="31" spans="1:14" ht="45" x14ac:dyDescent="0.25">
      <c r="A31" s="198"/>
      <c r="B31" s="199"/>
      <c r="C31" s="6" t="s">
        <v>54</v>
      </c>
      <c r="D31" s="7" t="s">
        <v>55</v>
      </c>
      <c r="E31" s="7" t="s">
        <v>56</v>
      </c>
      <c r="F31" s="7" t="s">
        <v>57</v>
      </c>
      <c r="G31" s="28" t="s">
        <v>58</v>
      </c>
      <c r="H31" s="28" t="s">
        <v>59</v>
      </c>
      <c r="I31" s="32" t="s">
        <v>54</v>
      </c>
      <c r="J31" s="32" t="s">
        <v>55</v>
      </c>
      <c r="K31" s="32" t="s">
        <v>56</v>
      </c>
      <c r="L31" s="32" t="s">
        <v>57</v>
      </c>
      <c r="M31" s="32" t="s">
        <v>58</v>
      </c>
      <c r="N31" s="8" t="s">
        <v>59</v>
      </c>
    </row>
    <row r="32" spans="1:14" ht="11.25" customHeight="1" x14ac:dyDescent="0.25">
      <c r="A32" s="200"/>
      <c r="B32" s="201"/>
      <c r="C32" s="19"/>
      <c r="D32" s="10"/>
      <c r="E32" s="10"/>
      <c r="F32" s="10"/>
      <c r="G32" s="29"/>
      <c r="H32" s="29"/>
      <c r="I32" s="33"/>
      <c r="J32" s="33"/>
      <c r="K32" s="135"/>
      <c r="L32" s="135"/>
      <c r="M32" s="135"/>
      <c r="N32" s="20"/>
    </row>
    <row r="33" spans="1:14" x14ac:dyDescent="0.25">
      <c r="A33" s="202" t="s">
        <v>0</v>
      </c>
      <c r="B33" s="9" t="s">
        <v>8</v>
      </c>
      <c r="C33" s="78">
        <v>2</v>
      </c>
      <c r="D33" s="78">
        <v>3</v>
      </c>
      <c r="E33" s="78"/>
      <c r="F33" s="78"/>
      <c r="G33" s="36">
        <f>SUM(C33:F33)</f>
        <v>5</v>
      </c>
      <c r="H33" s="192">
        <f>SUM(C33:F37)</f>
        <v>55</v>
      </c>
      <c r="I33" s="117">
        <v>3</v>
      </c>
      <c r="J33" s="117">
        <v>4</v>
      </c>
      <c r="K33" s="117"/>
      <c r="L33" s="136"/>
      <c r="M33" s="36">
        <f t="shared" ref="M33:M77" si="0">SUM(I33:L33)</f>
        <v>7</v>
      </c>
      <c r="N33" s="186">
        <f>SUM(I33:L37)</f>
        <v>253</v>
      </c>
    </row>
    <row r="34" spans="1:14" x14ac:dyDescent="0.25">
      <c r="A34" s="203"/>
      <c r="B34" s="10" t="s">
        <v>9</v>
      </c>
      <c r="C34" s="78">
        <v>1</v>
      </c>
      <c r="D34" s="78">
        <v>2</v>
      </c>
      <c r="E34" s="78"/>
      <c r="F34" s="78"/>
      <c r="G34" s="36">
        <f t="shared" ref="G34:G77" si="1">SUM(C34:F34)</f>
        <v>3</v>
      </c>
      <c r="H34" s="193"/>
      <c r="I34" s="117">
        <v>1</v>
      </c>
      <c r="J34" s="117">
        <v>20</v>
      </c>
      <c r="K34" s="117"/>
      <c r="L34" s="117"/>
      <c r="M34" s="36">
        <f t="shared" si="0"/>
        <v>21</v>
      </c>
      <c r="N34" s="187"/>
    </row>
    <row r="35" spans="1:14" x14ac:dyDescent="0.25">
      <c r="A35" s="203"/>
      <c r="B35" s="10" t="s">
        <v>10</v>
      </c>
      <c r="C35" s="101"/>
      <c r="D35" s="101"/>
      <c r="E35" s="101"/>
      <c r="F35" s="101"/>
      <c r="G35" s="102">
        <f t="shared" si="1"/>
        <v>0</v>
      </c>
      <c r="H35" s="193"/>
      <c r="I35" s="117"/>
      <c r="J35" s="117"/>
      <c r="K35" s="117"/>
      <c r="L35" s="117"/>
      <c r="M35" s="36">
        <f t="shared" si="0"/>
        <v>0</v>
      </c>
      <c r="N35" s="187"/>
    </row>
    <row r="36" spans="1:14" x14ac:dyDescent="0.25">
      <c r="A36" s="203"/>
      <c r="B36" s="10" t="s">
        <v>11</v>
      </c>
      <c r="C36" s="78">
        <v>9</v>
      </c>
      <c r="D36" s="78">
        <v>33</v>
      </c>
      <c r="E36" s="78"/>
      <c r="F36" s="78">
        <v>5</v>
      </c>
      <c r="G36" s="36">
        <f t="shared" si="1"/>
        <v>47</v>
      </c>
      <c r="H36" s="193"/>
      <c r="I36" s="117">
        <v>49</v>
      </c>
      <c r="J36" s="117">
        <v>142</v>
      </c>
      <c r="K36" s="117"/>
      <c r="L36" s="117">
        <v>25</v>
      </c>
      <c r="M36" s="36">
        <f t="shared" si="0"/>
        <v>216</v>
      </c>
      <c r="N36" s="187"/>
    </row>
    <row r="37" spans="1:14" x14ac:dyDescent="0.25">
      <c r="A37" s="204"/>
      <c r="B37" s="10" t="s">
        <v>12</v>
      </c>
      <c r="C37" s="78"/>
      <c r="D37" s="78"/>
      <c r="E37" s="78"/>
      <c r="F37" s="78"/>
      <c r="G37" s="36">
        <f t="shared" si="1"/>
        <v>0</v>
      </c>
      <c r="H37" s="194"/>
      <c r="I37" s="117">
        <v>1</v>
      </c>
      <c r="J37" s="117">
        <v>8</v>
      </c>
      <c r="K37" s="117"/>
      <c r="L37" s="117"/>
      <c r="M37" s="36">
        <f t="shared" si="0"/>
        <v>9</v>
      </c>
      <c r="N37" s="188"/>
    </row>
    <row r="38" spans="1:14" x14ac:dyDescent="0.25">
      <c r="A38" s="202" t="s">
        <v>1</v>
      </c>
      <c r="B38" s="9" t="s">
        <v>14</v>
      </c>
      <c r="C38" s="78">
        <v>1</v>
      </c>
      <c r="D38" s="78"/>
      <c r="E38" s="78"/>
      <c r="F38" s="78">
        <v>1</v>
      </c>
      <c r="G38" s="36">
        <f t="shared" si="1"/>
        <v>2</v>
      </c>
      <c r="H38" s="192">
        <f>SUM(C38:F42)</f>
        <v>20</v>
      </c>
      <c r="I38" s="117">
        <v>3</v>
      </c>
      <c r="J38" s="117">
        <v>1</v>
      </c>
      <c r="K38" s="117">
        <v>1</v>
      </c>
      <c r="L38" s="117">
        <v>2</v>
      </c>
      <c r="M38" s="36">
        <f t="shared" si="0"/>
        <v>7</v>
      </c>
      <c r="N38" s="186">
        <f>SUM(I38:L42)</f>
        <v>86</v>
      </c>
    </row>
    <row r="39" spans="1:14" x14ac:dyDescent="0.25">
      <c r="A39" s="203"/>
      <c r="B39" s="10" t="s">
        <v>15</v>
      </c>
      <c r="C39" s="78">
        <v>1</v>
      </c>
      <c r="D39" s="78"/>
      <c r="E39" s="78"/>
      <c r="F39" s="78"/>
      <c r="G39" s="36">
        <f t="shared" si="1"/>
        <v>1</v>
      </c>
      <c r="H39" s="193"/>
      <c r="I39" s="117">
        <v>3</v>
      </c>
      <c r="J39" s="117">
        <v>2</v>
      </c>
      <c r="K39" s="117">
        <v>1</v>
      </c>
      <c r="L39" s="117"/>
      <c r="M39" s="36">
        <f t="shared" si="0"/>
        <v>6</v>
      </c>
      <c r="N39" s="187"/>
    </row>
    <row r="40" spans="1:14" x14ac:dyDescent="0.25">
      <c r="A40" s="203"/>
      <c r="B40" s="10" t="s">
        <v>16</v>
      </c>
      <c r="C40" s="78">
        <v>5</v>
      </c>
      <c r="D40" s="78">
        <v>1</v>
      </c>
      <c r="E40" s="78"/>
      <c r="F40" s="78"/>
      <c r="G40" s="36">
        <f t="shared" si="1"/>
        <v>6</v>
      </c>
      <c r="H40" s="193"/>
      <c r="I40" s="117">
        <v>10</v>
      </c>
      <c r="J40" s="117">
        <v>11</v>
      </c>
      <c r="K40" s="117">
        <v>2</v>
      </c>
      <c r="L40" s="117"/>
      <c r="M40" s="36">
        <f t="shared" si="0"/>
        <v>23</v>
      </c>
      <c r="N40" s="187"/>
    </row>
    <row r="41" spans="1:14" x14ac:dyDescent="0.25">
      <c r="A41" s="203"/>
      <c r="B41" s="10" t="s">
        <v>17</v>
      </c>
      <c r="C41" s="78"/>
      <c r="D41" s="78"/>
      <c r="E41" s="78"/>
      <c r="F41" s="78"/>
      <c r="G41" s="36">
        <f t="shared" si="1"/>
        <v>0</v>
      </c>
      <c r="H41" s="193"/>
      <c r="I41" s="117"/>
      <c r="J41" s="117"/>
      <c r="K41" s="117">
        <v>2</v>
      </c>
      <c r="L41" s="117"/>
      <c r="M41" s="36">
        <f t="shared" si="0"/>
        <v>2</v>
      </c>
      <c r="N41" s="187"/>
    </row>
    <row r="42" spans="1:14" x14ac:dyDescent="0.25">
      <c r="A42" s="204"/>
      <c r="B42" s="10" t="s">
        <v>18</v>
      </c>
      <c r="C42" s="78">
        <v>6</v>
      </c>
      <c r="D42" s="78">
        <v>5</v>
      </c>
      <c r="E42" s="78"/>
      <c r="F42" s="78"/>
      <c r="G42" s="36">
        <f t="shared" si="1"/>
        <v>11</v>
      </c>
      <c r="H42" s="194"/>
      <c r="I42" s="117">
        <v>32</v>
      </c>
      <c r="J42" s="117">
        <v>16</v>
      </c>
      <c r="K42" s="117"/>
      <c r="L42" s="117"/>
      <c r="M42" s="36">
        <f t="shared" si="0"/>
        <v>48</v>
      </c>
      <c r="N42" s="188"/>
    </row>
    <row r="43" spans="1:14" x14ac:dyDescent="0.25">
      <c r="A43" s="202" t="s">
        <v>2</v>
      </c>
      <c r="B43" s="9" t="s">
        <v>19</v>
      </c>
      <c r="C43" s="78"/>
      <c r="D43" s="78">
        <v>1</v>
      </c>
      <c r="E43" s="78"/>
      <c r="F43" s="78"/>
      <c r="G43" s="36">
        <f t="shared" si="1"/>
        <v>1</v>
      </c>
      <c r="H43" s="192">
        <f>SUM(C43:F48)</f>
        <v>89</v>
      </c>
      <c r="I43" s="117">
        <v>3</v>
      </c>
      <c r="J43" s="117">
        <v>4</v>
      </c>
      <c r="K43" s="117"/>
      <c r="L43" s="117"/>
      <c r="M43" s="36">
        <f t="shared" si="0"/>
        <v>7</v>
      </c>
      <c r="N43" s="186">
        <f>SUM(I43:L48)</f>
        <v>382</v>
      </c>
    </row>
    <row r="44" spans="1:14" x14ac:dyDescent="0.25">
      <c r="A44" s="203"/>
      <c r="B44" s="10" t="s">
        <v>20</v>
      </c>
      <c r="C44" s="78">
        <v>46</v>
      </c>
      <c r="D44" s="78">
        <v>29</v>
      </c>
      <c r="E44" s="78"/>
      <c r="F44" s="78">
        <v>3</v>
      </c>
      <c r="G44" s="36">
        <f t="shared" si="1"/>
        <v>78</v>
      </c>
      <c r="H44" s="193"/>
      <c r="I44" s="117">
        <v>172</v>
      </c>
      <c r="J44" s="117">
        <v>156</v>
      </c>
      <c r="K44" s="117"/>
      <c r="L44" s="117">
        <v>7</v>
      </c>
      <c r="M44" s="36">
        <f t="shared" si="0"/>
        <v>335</v>
      </c>
      <c r="N44" s="187"/>
    </row>
    <row r="45" spans="1:14" x14ac:dyDescent="0.25">
      <c r="A45" s="203"/>
      <c r="B45" s="10" t="s">
        <v>21</v>
      </c>
      <c r="C45" s="78">
        <v>4</v>
      </c>
      <c r="D45" s="78">
        <v>3</v>
      </c>
      <c r="E45" s="78"/>
      <c r="F45" s="78"/>
      <c r="G45" s="36">
        <f t="shared" si="1"/>
        <v>7</v>
      </c>
      <c r="H45" s="193"/>
      <c r="I45" s="117">
        <v>7</v>
      </c>
      <c r="J45" s="117">
        <v>12</v>
      </c>
      <c r="K45" s="117"/>
      <c r="L45" s="117"/>
      <c r="M45" s="36">
        <f t="shared" si="0"/>
        <v>19</v>
      </c>
      <c r="N45" s="187"/>
    </row>
    <row r="46" spans="1:14" x14ac:dyDescent="0.25">
      <c r="A46" s="203"/>
      <c r="B46" s="10" t="s">
        <v>22</v>
      </c>
      <c r="C46" s="78"/>
      <c r="D46" s="78"/>
      <c r="E46" s="78"/>
      <c r="F46" s="78"/>
      <c r="G46" s="36">
        <f t="shared" si="1"/>
        <v>0</v>
      </c>
      <c r="H46" s="193"/>
      <c r="I46" s="117"/>
      <c r="J46" s="117"/>
      <c r="K46" s="117"/>
      <c r="L46" s="117"/>
      <c r="M46" s="36">
        <f t="shared" si="0"/>
        <v>0</v>
      </c>
      <c r="N46" s="187"/>
    </row>
    <row r="47" spans="1:14" x14ac:dyDescent="0.25">
      <c r="A47" s="203"/>
      <c r="B47" s="10" t="s">
        <v>23</v>
      </c>
      <c r="C47" s="78"/>
      <c r="D47" s="78"/>
      <c r="E47" s="78"/>
      <c r="F47" s="78"/>
      <c r="G47" s="36">
        <f t="shared" si="1"/>
        <v>0</v>
      </c>
      <c r="H47" s="193"/>
      <c r="I47" s="117">
        <v>2</v>
      </c>
      <c r="J47" s="117">
        <v>7</v>
      </c>
      <c r="K47" s="117"/>
      <c r="L47" s="117"/>
      <c r="M47" s="36">
        <f t="shared" si="0"/>
        <v>9</v>
      </c>
      <c r="N47" s="187"/>
    </row>
    <row r="48" spans="1:14" x14ac:dyDescent="0.25">
      <c r="A48" s="204"/>
      <c r="B48" s="10" t="s">
        <v>24</v>
      </c>
      <c r="C48" s="78"/>
      <c r="D48" s="78">
        <v>3</v>
      </c>
      <c r="E48" s="78"/>
      <c r="F48" s="78"/>
      <c r="G48" s="36">
        <f t="shared" si="1"/>
        <v>3</v>
      </c>
      <c r="H48" s="194"/>
      <c r="I48" s="117">
        <v>5</v>
      </c>
      <c r="J48" s="117">
        <v>7</v>
      </c>
      <c r="K48" s="117"/>
      <c r="L48" s="117"/>
      <c r="M48" s="36">
        <f t="shared" si="0"/>
        <v>12</v>
      </c>
      <c r="N48" s="188"/>
    </row>
    <row r="49" spans="1:14" x14ac:dyDescent="0.25">
      <c r="A49" s="202" t="s">
        <v>3</v>
      </c>
      <c r="B49" s="9" t="s">
        <v>25</v>
      </c>
      <c r="C49" s="78">
        <v>88</v>
      </c>
      <c r="D49" s="78">
        <v>67</v>
      </c>
      <c r="E49" s="78">
        <v>17</v>
      </c>
      <c r="F49" s="78">
        <v>1</v>
      </c>
      <c r="G49" s="36">
        <f t="shared" si="1"/>
        <v>173</v>
      </c>
      <c r="H49" s="192">
        <f>SUM(C49:F52)</f>
        <v>180</v>
      </c>
      <c r="I49" s="117">
        <v>328</v>
      </c>
      <c r="J49" s="117">
        <v>253</v>
      </c>
      <c r="K49" s="117">
        <v>53</v>
      </c>
      <c r="L49" s="117">
        <v>1</v>
      </c>
      <c r="M49" s="36">
        <f t="shared" si="0"/>
        <v>635</v>
      </c>
      <c r="N49" s="186">
        <f>SUM(I49:L52)</f>
        <v>652</v>
      </c>
    </row>
    <row r="50" spans="1:14" x14ac:dyDescent="0.25">
      <c r="A50" s="203"/>
      <c r="B50" s="10" t="s">
        <v>26</v>
      </c>
      <c r="C50" s="78"/>
      <c r="D50" s="78">
        <v>1</v>
      </c>
      <c r="E50" s="78"/>
      <c r="F50" s="78"/>
      <c r="G50" s="36">
        <f t="shared" si="1"/>
        <v>1</v>
      </c>
      <c r="H50" s="193"/>
      <c r="I50" s="117"/>
      <c r="J50" s="117">
        <v>3</v>
      </c>
      <c r="K50" s="117"/>
      <c r="L50" s="117"/>
      <c r="M50" s="36">
        <f t="shared" si="0"/>
        <v>3</v>
      </c>
      <c r="N50" s="187"/>
    </row>
    <row r="51" spans="1:14" x14ac:dyDescent="0.25">
      <c r="A51" s="203"/>
      <c r="B51" s="10" t="s">
        <v>27</v>
      </c>
      <c r="C51" s="78">
        <v>3</v>
      </c>
      <c r="D51" s="78">
        <v>3</v>
      </c>
      <c r="E51" s="78"/>
      <c r="F51" s="78"/>
      <c r="G51" s="36">
        <f t="shared" si="1"/>
        <v>6</v>
      </c>
      <c r="H51" s="193"/>
      <c r="I51" s="117">
        <v>5</v>
      </c>
      <c r="J51" s="117">
        <v>8</v>
      </c>
      <c r="K51" s="117">
        <v>1</v>
      </c>
      <c r="L51" s="117"/>
      <c r="M51" s="36">
        <f t="shared" si="0"/>
        <v>14</v>
      </c>
      <c r="N51" s="187"/>
    </row>
    <row r="52" spans="1:14" x14ac:dyDescent="0.25">
      <c r="A52" s="204"/>
      <c r="B52" s="10" t="s">
        <v>28</v>
      </c>
      <c r="C52" s="78"/>
      <c r="D52" s="78"/>
      <c r="E52" s="78"/>
      <c r="F52" s="78"/>
      <c r="G52" s="36">
        <f t="shared" si="1"/>
        <v>0</v>
      </c>
      <c r="H52" s="194"/>
      <c r="I52" s="117"/>
      <c r="J52" s="117"/>
      <c r="K52" s="117"/>
      <c r="L52" s="117"/>
      <c r="M52" s="36">
        <f t="shared" si="0"/>
        <v>0</v>
      </c>
      <c r="N52" s="188"/>
    </row>
    <row r="53" spans="1:14" x14ac:dyDescent="0.25">
      <c r="A53" s="202" t="s">
        <v>4</v>
      </c>
      <c r="B53" s="9" t="s">
        <v>29</v>
      </c>
      <c r="C53" s="78">
        <v>1</v>
      </c>
      <c r="D53" s="78">
        <v>2</v>
      </c>
      <c r="E53" s="78"/>
      <c r="F53" s="78"/>
      <c r="G53" s="36">
        <f t="shared" si="1"/>
        <v>3</v>
      </c>
      <c r="H53" s="192">
        <f>SUM(C53:F60)</f>
        <v>39</v>
      </c>
      <c r="I53" s="117">
        <v>4</v>
      </c>
      <c r="J53" s="117">
        <v>7</v>
      </c>
      <c r="K53" s="117">
        <v>1</v>
      </c>
      <c r="L53" s="117"/>
      <c r="M53" s="36">
        <f t="shared" si="0"/>
        <v>12</v>
      </c>
      <c r="N53" s="186">
        <f>SUM(I53:L60)</f>
        <v>174</v>
      </c>
    </row>
    <row r="54" spans="1:14" x14ac:dyDescent="0.25">
      <c r="A54" s="203"/>
      <c r="B54" s="10" t="s">
        <v>30</v>
      </c>
      <c r="C54" s="78"/>
      <c r="D54" s="78"/>
      <c r="E54" s="78"/>
      <c r="F54" s="78"/>
      <c r="G54" s="36">
        <f t="shared" si="1"/>
        <v>0</v>
      </c>
      <c r="H54" s="193"/>
      <c r="I54" s="117">
        <v>1</v>
      </c>
      <c r="J54" s="117">
        <v>1</v>
      </c>
      <c r="K54" s="117"/>
      <c r="L54" s="117">
        <v>1</v>
      </c>
      <c r="M54" s="36">
        <f t="shared" si="0"/>
        <v>3</v>
      </c>
      <c r="N54" s="187"/>
    </row>
    <row r="55" spans="1:14" x14ac:dyDescent="0.25">
      <c r="A55" s="203"/>
      <c r="B55" s="10" t="s">
        <v>31</v>
      </c>
      <c r="C55" s="78">
        <v>4</v>
      </c>
      <c r="D55" s="78"/>
      <c r="E55" s="78"/>
      <c r="F55" s="78"/>
      <c r="G55" s="36">
        <f t="shared" si="1"/>
        <v>4</v>
      </c>
      <c r="H55" s="193"/>
      <c r="I55" s="117">
        <v>15</v>
      </c>
      <c r="J55" s="117"/>
      <c r="K55" s="117"/>
      <c r="L55" s="117"/>
      <c r="M55" s="36">
        <f t="shared" si="0"/>
        <v>15</v>
      </c>
      <c r="N55" s="187"/>
    </row>
    <row r="56" spans="1:14" x14ac:dyDescent="0.25">
      <c r="A56" s="203"/>
      <c r="B56" s="10" t="s">
        <v>32</v>
      </c>
      <c r="C56" s="78">
        <v>1</v>
      </c>
      <c r="D56" s="78"/>
      <c r="E56" s="78"/>
      <c r="F56" s="78"/>
      <c r="G56" s="36">
        <f t="shared" si="1"/>
        <v>1</v>
      </c>
      <c r="H56" s="193"/>
      <c r="I56" s="117">
        <v>9</v>
      </c>
      <c r="J56" s="117"/>
      <c r="K56" s="117"/>
      <c r="L56" s="117"/>
      <c r="M56" s="36">
        <f t="shared" si="0"/>
        <v>9</v>
      </c>
      <c r="N56" s="187"/>
    </row>
    <row r="57" spans="1:14" x14ac:dyDescent="0.25">
      <c r="A57" s="203"/>
      <c r="B57" s="10" t="s">
        <v>33</v>
      </c>
      <c r="C57" s="78">
        <v>1</v>
      </c>
      <c r="D57" s="78"/>
      <c r="E57" s="78"/>
      <c r="F57" s="78"/>
      <c r="G57" s="36">
        <f t="shared" si="1"/>
        <v>1</v>
      </c>
      <c r="H57" s="193"/>
      <c r="I57" s="117">
        <v>6</v>
      </c>
      <c r="J57" s="117">
        <v>2</v>
      </c>
      <c r="K57" s="117"/>
      <c r="L57" s="117">
        <v>4</v>
      </c>
      <c r="M57" s="36">
        <f t="shared" si="0"/>
        <v>12</v>
      </c>
      <c r="N57" s="187"/>
    </row>
    <row r="58" spans="1:14" x14ac:dyDescent="0.25">
      <c r="A58" s="203"/>
      <c r="B58" s="10" t="s">
        <v>69</v>
      </c>
      <c r="C58" s="78">
        <v>1</v>
      </c>
      <c r="D58" s="78">
        <v>1</v>
      </c>
      <c r="E58" s="78"/>
      <c r="F58" s="78"/>
      <c r="G58" s="36">
        <f t="shared" si="1"/>
        <v>2</v>
      </c>
      <c r="H58" s="193"/>
      <c r="I58" s="117">
        <v>3</v>
      </c>
      <c r="J58" s="117">
        <v>2</v>
      </c>
      <c r="K58" s="117"/>
      <c r="L58" s="117"/>
      <c r="M58" s="36">
        <f t="shared" si="0"/>
        <v>5</v>
      </c>
      <c r="N58" s="187"/>
    </row>
    <row r="59" spans="1:14" x14ac:dyDescent="0.25">
      <c r="A59" s="203"/>
      <c r="B59" s="10" t="s">
        <v>34</v>
      </c>
      <c r="C59" s="78">
        <v>1</v>
      </c>
      <c r="D59" s="78"/>
      <c r="E59" s="78"/>
      <c r="F59" s="78"/>
      <c r="G59" s="36">
        <f t="shared" si="1"/>
        <v>1</v>
      </c>
      <c r="H59" s="193"/>
      <c r="I59" s="117">
        <v>6</v>
      </c>
      <c r="J59" s="117">
        <v>5</v>
      </c>
      <c r="K59" s="117"/>
      <c r="L59" s="117">
        <v>3</v>
      </c>
      <c r="M59" s="36">
        <f t="shared" si="0"/>
        <v>14</v>
      </c>
      <c r="N59" s="187"/>
    </row>
    <row r="60" spans="1:14" x14ac:dyDescent="0.25">
      <c r="A60" s="204"/>
      <c r="B60" s="10" t="s">
        <v>35</v>
      </c>
      <c r="C60" s="78">
        <v>18</v>
      </c>
      <c r="D60" s="78">
        <v>9</v>
      </c>
      <c r="E60" s="78"/>
      <c r="F60" s="78"/>
      <c r="G60" s="36">
        <f t="shared" si="1"/>
        <v>27</v>
      </c>
      <c r="H60" s="194"/>
      <c r="I60" s="117">
        <v>78</v>
      </c>
      <c r="J60" s="117">
        <v>24</v>
      </c>
      <c r="K60" s="117"/>
      <c r="L60" s="117">
        <v>2</v>
      </c>
      <c r="M60" s="36">
        <f t="shared" si="0"/>
        <v>104</v>
      </c>
      <c r="N60" s="188"/>
    </row>
    <row r="61" spans="1:14" x14ac:dyDescent="0.25">
      <c r="A61" s="202" t="s">
        <v>5</v>
      </c>
      <c r="B61" s="9" t="s">
        <v>36</v>
      </c>
      <c r="C61" s="78">
        <v>15</v>
      </c>
      <c r="D61" s="78">
        <v>3</v>
      </c>
      <c r="E61" s="78"/>
      <c r="F61" s="78">
        <v>1</v>
      </c>
      <c r="G61" s="36">
        <f t="shared" si="1"/>
        <v>19</v>
      </c>
      <c r="H61" s="192">
        <f>SUM(C61:F66)</f>
        <v>21</v>
      </c>
      <c r="I61" s="117">
        <v>78</v>
      </c>
      <c r="J61" s="117">
        <v>6</v>
      </c>
      <c r="K61" s="117">
        <v>1</v>
      </c>
      <c r="L61" s="117">
        <v>7</v>
      </c>
      <c r="M61" s="36">
        <f t="shared" si="0"/>
        <v>92</v>
      </c>
      <c r="N61" s="186">
        <f>SUM(I61:L66)</f>
        <v>104</v>
      </c>
    </row>
    <row r="62" spans="1:14" x14ac:dyDescent="0.25">
      <c r="A62" s="203"/>
      <c r="B62" s="10" t="s">
        <v>37</v>
      </c>
      <c r="C62" s="78"/>
      <c r="D62" s="78"/>
      <c r="E62" s="78"/>
      <c r="F62" s="78"/>
      <c r="G62" s="36">
        <f t="shared" si="1"/>
        <v>0</v>
      </c>
      <c r="H62" s="193"/>
      <c r="I62" s="117">
        <v>1</v>
      </c>
      <c r="J62" s="117">
        <v>1</v>
      </c>
      <c r="K62" s="117"/>
      <c r="L62" s="117"/>
      <c r="M62" s="36">
        <f t="shared" si="0"/>
        <v>2</v>
      </c>
      <c r="N62" s="187"/>
    </row>
    <row r="63" spans="1:14" x14ac:dyDescent="0.25">
      <c r="A63" s="203"/>
      <c r="B63" s="10" t="s">
        <v>38</v>
      </c>
      <c r="C63" s="78"/>
      <c r="D63" s="78"/>
      <c r="E63" s="78"/>
      <c r="F63" s="78"/>
      <c r="G63" s="36">
        <f t="shared" si="1"/>
        <v>0</v>
      </c>
      <c r="H63" s="193"/>
      <c r="I63" s="117">
        <v>1</v>
      </c>
      <c r="J63" s="117"/>
      <c r="K63" s="117"/>
      <c r="L63" s="117"/>
      <c r="M63" s="36">
        <f t="shared" si="0"/>
        <v>1</v>
      </c>
      <c r="N63" s="187"/>
    </row>
    <row r="64" spans="1:14" x14ac:dyDescent="0.25">
      <c r="A64" s="203"/>
      <c r="B64" s="10" t="s">
        <v>39</v>
      </c>
      <c r="C64" s="78">
        <v>1</v>
      </c>
      <c r="D64" s="78"/>
      <c r="E64" s="78"/>
      <c r="F64" s="78"/>
      <c r="G64" s="36">
        <f t="shared" si="1"/>
        <v>1</v>
      </c>
      <c r="H64" s="193"/>
      <c r="I64" s="117">
        <v>2</v>
      </c>
      <c r="J64" s="117">
        <v>3</v>
      </c>
      <c r="K64" s="117"/>
      <c r="L64" s="117"/>
      <c r="M64" s="36">
        <f t="shared" si="0"/>
        <v>5</v>
      </c>
      <c r="N64" s="187"/>
    </row>
    <row r="65" spans="1:14" x14ac:dyDescent="0.25">
      <c r="A65" s="203"/>
      <c r="B65" s="10" t="s">
        <v>40</v>
      </c>
      <c r="C65" s="78"/>
      <c r="D65" s="78"/>
      <c r="E65" s="78"/>
      <c r="F65" s="78"/>
      <c r="G65" s="36">
        <f t="shared" si="1"/>
        <v>0</v>
      </c>
      <c r="H65" s="193"/>
      <c r="I65" s="117">
        <v>1</v>
      </c>
      <c r="J65" s="117"/>
      <c r="K65" s="117"/>
      <c r="L65" s="117"/>
      <c r="M65" s="36">
        <f t="shared" si="0"/>
        <v>1</v>
      </c>
      <c r="N65" s="187"/>
    </row>
    <row r="66" spans="1:14" x14ac:dyDescent="0.25">
      <c r="A66" s="204"/>
      <c r="B66" s="10" t="s">
        <v>41</v>
      </c>
      <c r="C66" s="78">
        <v>1</v>
      </c>
      <c r="D66" s="78"/>
      <c r="E66" s="78"/>
      <c r="F66" s="78"/>
      <c r="G66" s="36">
        <f t="shared" si="1"/>
        <v>1</v>
      </c>
      <c r="H66" s="194"/>
      <c r="I66" s="117">
        <v>3</v>
      </c>
      <c r="J66" s="117"/>
      <c r="K66" s="117"/>
      <c r="L66" s="117"/>
      <c r="M66" s="36">
        <f t="shared" si="0"/>
        <v>3</v>
      </c>
      <c r="N66" s="188"/>
    </row>
    <row r="67" spans="1:14" x14ac:dyDescent="0.25">
      <c r="A67" s="202" t="s">
        <v>6</v>
      </c>
      <c r="B67" s="9" t="s">
        <v>42</v>
      </c>
      <c r="C67" s="78">
        <v>6</v>
      </c>
      <c r="D67" s="78">
        <v>1</v>
      </c>
      <c r="E67" s="78"/>
      <c r="F67" s="78">
        <v>1</v>
      </c>
      <c r="G67" s="36">
        <f t="shared" si="1"/>
        <v>8</v>
      </c>
      <c r="H67" s="192">
        <f>SUM(C67:F76)</f>
        <v>33</v>
      </c>
      <c r="I67" s="117">
        <v>10</v>
      </c>
      <c r="J67" s="117">
        <v>4</v>
      </c>
      <c r="K67" s="117"/>
      <c r="L67" s="117">
        <v>32</v>
      </c>
      <c r="M67" s="36">
        <f t="shared" si="0"/>
        <v>46</v>
      </c>
      <c r="N67" s="186">
        <f>SUM(I67:L76)</f>
        <v>145</v>
      </c>
    </row>
    <row r="68" spans="1:14" x14ac:dyDescent="0.25">
      <c r="A68" s="203"/>
      <c r="B68" s="10" t="s">
        <v>43</v>
      </c>
      <c r="C68" s="78">
        <v>2</v>
      </c>
      <c r="D68" s="78">
        <v>5</v>
      </c>
      <c r="E68" s="78"/>
      <c r="F68" s="78">
        <v>11</v>
      </c>
      <c r="G68" s="36">
        <f t="shared" si="1"/>
        <v>18</v>
      </c>
      <c r="H68" s="193"/>
      <c r="I68" s="117">
        <v>4</v>
      </c>
      <c r="J68" s="117">
        <v>15</v>
      </c>
      <c r="K68" s="117"/>
      <c r="L68" s="117">
        <v>52</v>
      </c>
      <c r="M68" s="36">
        <f t="shared" si="0"/>
        <v>71</v>
      </c>
      <c r="N68" s="187"/>
    </row>
    <row r="69" spans="1:14" x14ac:dyDescent="0.25">
      <c r="A69" s="203"/>
      <c r="B69" s="10" t="s">
        <v>44</v>
      </c>
      <c r="C69" s="78"/>
      <c r="D69" s="78"/>
      <c r="E69" s="78"/>
      <c r="F69" s="78"/>
      <c r="G69" s="36">
        <f t="shared" si="1"/>
        <v>0</v>
      </c>
      <c r="H69" s="193"/>
      <c r="I69" s="117"/>
      <c r="J69" s="117"/>
      <c r="K69" s="117"/>
      <c r="L69" s="117"/>
      <c r="M69" s="36">
        <f t="shared" si="0"/>
        <v>0</v>
      </c>
      <c r="N69" s="187"/>
    </row>
    <row r="70" spans="1:14" x14ac:dyDescent="0.25">
      <c r="A70" s="203"/>
      <c r="B70" s="10" t="s">
        <v>45</v>
      </c>
      <c r="C70" s="78"/>
      <c r="D70" s="78"/>
      <c r="E70" s="78"/>
      <c r="F70" s="78"/>
      <c r="G70" s="36">
        <f t="shared" si="1"/>
        <v>0</v>
      </c>
      <c r="H70" s="193"/>
      <c r="I70" s="117"/>
      <c r="J70" s="117"/>
      <c r="K70" s="117"/>
      <c r="L70" s="117"/>
      <c r="M70" s="36">
        <f t="shared" si="0"/>
        <v>0</v>
      </c>
      <c r="N70" s="187"/>
    </row>
    <row r="71" spans="1:14" x14ac:dyDescent="0.25">
      <c r="A71" s="203"/>
      <c r="B71" s="10" t="s">
        <v>46</v>
      </c>
      <c r="C71" s="78"/>
      <c r="D71" s="78"/>
      <c r="E71" s="78"/>
      <c r="F71" s="78"/>
      <c r="G71" s="36">
        <f t="shared" si="1"/>
        <v>0</v>
      </c>
      <c r="H71" s="193"/>
      <c r="I71" s="117"/>
      <c r="J71" s="117">
        <v>2</v>
      </c>
      <c r="K71" s="117"/>
      <c r="L71" s="117">
        <v>1</v>
      </c>
      <c r="M71" s="36">
        <f t="shared" si="0"/>
        <v>3</v>
      </c>
      <c r="N71" s="187"/>
    </row>
    <row r="72" spans="1:14" x14ac:dyDescent="0.25">
      <c r="A72" s="203"/>
      <c r="B72" s="10" t="s">
        <v>47</v>
      </c>
      <c r="C72" s="78"/>
      <c r="D72" s="78">
        <v>2</v>
      </c>
      <c r="E72" s="78"/>
      <c r="F72" s="78"/>
      <c r="G72" s="36">
        <f t="shared" si="1"/>
        <v>2</v>
      </c>
      <c r="H72" s="193"/>
      <c r="I72" s="117"/>
      <c r="J72" s="117">
        <v>2</v>
      </c>
      <c r="K72" s="117"/>
      <c r="L72" s="117">
        <v>1</v>
      </c>
      <c r="M72" s="36">
        <f t="shared" si="0"/>
        <v>3</v>
      </c>
      <c r="N72" s="187"/>
    </row>
    <row r="73" spans="1:14" x14ac:dyDescent="0.25">
      <c r="A73" s="203"/>
      <c r="B73" s="10" t="s">
        <v>48</v>
      </c>
      <c r="C73" s="78"/>
      <c r="D73" s="78"/>
      <c r="E73" s="78"/>
      <c r="F73" s="78">
        <v>2</v>
      </c>
      <c r="G73" s="36">
        <f t="shared" si="1"/>
        <v>2</v>
      </c>
      <c r="H73" s="193"/>
      <c r="I73" s="117">
        <v>1</v>
      </c>
      <c r="J73" s="117">
        <v>1</v>
      </c>
      <c r="K73" s="117"/>
      <c r="L73" s="117">
        <v>6</v>
      </c>
      <c r="M73" s="36">
        <f t="shared" si="0"/>
        <v>8</v>
      </c>
      <c r="N73" s="187"/>
    </row>
    <row r="74" spans="1:14" x14ac:dyDescent="0.25">
      <c r="A74" s="203"/>
      <c r="B74" s="10" t="s">
        <v>49</v>
      </c>
      <c r="C74" s="78"/>
      <c r="D74" s="78"/>
      <c r="E74" s="78"/>
      <c r="F74" s="78"/>
      <c r="G74" s="36">
        <f t="shared" si="1"/>
        <v>0</v>
      </c>
      <c r="H74" s="193"/>
      <c r="I74" s="117"/>
      <c r="J74" s="117">
        <v>2</v>
      </c>
      <c r="K74" s="117"/>
      <c r="L74" s="117">
        <v>1</v>
      </c>
      <c r="M74" s="36">
        <f t="shared" si="0"/>
        <v>3</v>
      </c>
      <c r="N74" s="187"/>
    </row>
    <row r="75" spans="1:14" x14ac:dyDescent="0.25">
      <c r="A75" s="203"/>
      <c r="B75" s="10" t="s">
        <v>50</v>
      </c>
      <c r="C75" s="78"/>
      <c r="D75" s="78"/>
      <c r="E75" s="78"/>
      <c r="F75" s="78">
        <v>3</v>
      </c>
      <c r="G75" s="36">
        <f t="shared" si="1"/>
        <v>3</v>
      </c>
      <c r="H75" s="193"/>
      <c r="I75" s="117"/>
      <c r="J75" s="117"/>
      <c r="K75" s="117"/>
      <c r="L75" s="117">
        <v>8</v>
      </c>
      <c r="M75" s="36">
        <f t="shared" si="0"/>
        <v>8</v>
      </c>
      <c r="N75" s="187"/>
    </row>
    <row r="76" spans="1:14" x14ac:dyDescent="0.25">
      <c r="A76" s="204"/>
      <c r="B76" s="10" t="s">
        <v>51</v>
      </c>
      <c r="C76" s="78"/>
      <c r="D76" s="78"/>
      <c r="E76" s="78"/>
      <c r="F76" s="78"/>
      <c r="G76" s="36">
        <f t="shared" si="1"/>
        <v>0</v>
      </c>
      <c r="H76" s="194"/>
      <c r="I76" s="117">
        <v>2</v>
      </c>
      <c r="J76" s="117">
        <v>1</v>
      </c>
      <c r="K76" s="117"/>
      <c r="L76" s="117"/>
      <c r="M76" s="36">
        <f t="shared" si="0"/>
        <v>3</v>
      </c>
      <c r="N76" s="188"/>
    </row>
    <row r="77" spans="1:14" x14ac:dyDescent="0.25">
      <c r="A77" s="11" t="s">
        <v>72</v>
      </c>
      <c r="B77" s="76"/>
      <c r="C77" s="78"/>
      <c r="D77" s="78"/>
      <c r="E77" s="78"/>
      <c r="F77" s="78"/>
      <c r="G77" s="36">
        <f t="shared" si="1"/>
        <v>0</v>
      </c>
      <c r="H77" s="86">
        <f>G77</f>
        <v>0</v>
      </c>
      <c r="I77" s="117">
        <v>2</v>
      </c>
      <c r="J77" s="117"/>
      <c r="K77" s="117"/>
      <c r="L77" s="117"/>
      <c r="M77" s="36">
        <f t="shared" si="0"/>
        <v>2</v>
      </c>
      <c r="N77" s="30">
        <f>M77</f>
        <v>2</v>
      </c>
    </row>
    <row r="78" spans="1:14" x14ac:dyDescent="0.25">
      <c r="A78" s="4" t="s">
        <v>7</v>
      </c>
      <c r="B78" s="77"/>
      <c r="C78" s="72">
        <f>SUM(C33:C77)</f>
        <v>218</v>
      </c>
      <c r="D78" s="72">
        <f t="shared" ref="D78:F78" si="2">SUM(D33:D77)</f>
        <v>174</v>
      </c>
      <c r="E78" s="72">
        <f t="shared" si="2"/>
        <v>17</v>
      </c>
      <c r="F78" s="72">
        <f t="shared" si="2"/>
        <v>28</v>
      </c>
      <c r="G78" s="72">
        <f t="shared" ref="G78:N78" si="3">SUM(G33:G77)</f>
        <v>437</v>
      </c>
      <c r="H78" s="18">
        <f t="shared" si="3"/>
        <v>437</v>
      </c>
      <c r="I78" s="117">
        <f t="shared" si="3"/>
        <v>851</v>
      </c>
      <c r="J78" s="117">
        <f t="shared" si="3"/>
        <v>732</v>
      </c>
      <c r="K78" s="117">
        <f t="shared" si="3"/>
        <v>62</v>
      </c>
      <c r="L78" s="117">
        <f t="shared" si="3"/>
        <v>153</v>
      </c>
      <c r="M78" s="72">
        <f t="shared" si="3"/>
        <v>1798</v>
      </c>
      <c r="N78" s="31">
        <f t="shared" si="3"/>
        <v>1798</v>
      </c>
    </row>
    <row r="80" spans="1:14" x14ac:dyDescent="0.25">
      <c r="C80" s="85"/>
      <c r="D80" s="85"/>
      <c r="E80" s="85"/>
      <c r="F80" s="85"/>
    </row>
  </sheetData>
  <sheetProtection password="8A47" sheet="1" objects="1" scenarios="1"/>
  <mergeCells count="25">
    <mergeCell ref="A29:B32"/>
    <mergeCell ref="A33:A37"/>
    <mergeCell ref="H67:H76"/>
    <mergeCell ref="N67:N76"/>
    <mergeCell ref="A38:A42"/>
    <mergeCell ref="A43:A48"/>
    <mergeCell ref="A49:A52"/>
    <mergeCell ref="H49:H52"/>
    <mergeCell ref="H43:H48"/>
    <mergeCell ref="A53:A60"/>
    <mergeCell ref="A61:A66"/>
    <mergeCell ref="A67:A76"/>
    <mergeCell ref="C29:N29"/>
    <mergeCell ref="H33:H37"/>
    <mergeCell ref="N33:N37"/>
    <mergeCell ref="H61:H66"/>
    <mergeCell ref="N61:N66"/>
    <mergeCell ref="I30:N30"/>
    <mergeCell ref="H38:H42"/>
    <mergeCell ref="C30:H30"/>
    <mergeCell ref="H53:H60"/>
    <mergeCell ref="N38:N42"/>
    <mergeCell ref="N43:N48"/>
    <mergeCell ref="N49:N52"/>
    <mergeCell ref="N53:N6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2:AF90"/>
  <sheetViews>
    <sheetView zoomScale="70" zoomScaleNormal="70" workbookViewId="0">
      <selection activeCell="Y24" sqref="Y24"/>
    </sheetView>
  </sheetViews>
  <sheetFormatPr defaultRowHeight="15" x14ac:dyDescent="0.25"/>
  <cols>
    <col min="1" max="1" width="17.28515625" customWidth="1"/>
    <col min="2" max="2" width="12.5703125" bestFit="1" customWidth="1"/>
    <col min="3" max="6" width="11.7109375" customWidth="1"/>
    <col min="7" max="7" width="3.140625" customWidth="1"/>
    <col min="8" max="10" width="11.7109375" customWidth="1"/>
    <col min="11" max="11" width="11.85546875" customWidth="1"/>
    <col min="12" max="17" width="8.42578125" customWidth="1"/>
    <col min="18" max="18" width="3.5703125" customWidth="1"/>
    <col min="19" max="20" width="8.42578125" customWidth="1"/>
  </cols>
  <sheetData>
    <row r="22" spans="1:32" ht="34.5" customHeight="1" thickBot="1" x14ac:dyDescent="0.3">
      <c r="A22" s="233">
        <f>Holds!A29</f>
        <v>41548</v>
      </c>
      <c r="B22" s="234"/>
      <c r="C22" s="242" t="s">
        <v>62</v>
      </c>
      <c r="D22" s="243"/>
      <c r="E22" s="243"/>
      <c r="F22" s="243"/>
      <c r="G22" s="243"/>
      <c r="H22" s="243"/>
      <c r="I22" s="243"/>
      <c r="J22" s="243"/>
      <c r="K22" s="244"/>
      <c r="N22" s="251" t="s">
        <v>64</v>
      </c>
      <c r="O22" s="252"/>
      <c r="P22" s="252"/>
      <c r="Q22" s="252"/>
      <c r="R22" s="252"/>
      <c r="S22" s="252"/>
      <c r="T22" s="252"/>
      <c r="U22" s="252"/>
      <c r="V22" s="253"/>
    </row>
    <row r="23" spans="1:32" ht="38.25" customHeight="1" thickBot="1" x14ac:dyDescent="0.3">
      <c r="A23" s="233"/>
      <c r="B23" s="235"/>
      <c r="C23" s="224" t="s">
        <v>75</v>
      </c>
      <c r="D23" s="225"/>
      <c r="E23" s="225"/>
      <c r="F23" s="226"/>
      <c r="G23" s="35"/>
      <c r="H23" s="224" t="s">
        <v>76</v>
      </c>
      <c r="I23" s="225"/>
      <c r="J23" s="225"/>
      <c r="K23" s="226"/>
      <c r="N23" s="248" t="s">
        <v>63</v>
      </c>
      <c r="O23" s="249"/>
      <c r="P23" s="249"/>
      <c r="Q23" s="250"/>
      <c r="S23" s="248" t="s">
        <v>65</v>
      </c>
      <c r="T23" s="249"/>
      <c r="U23" s="249"/>
      <c r="V23" s="250"/>
    </row>
    <row r="24" spans="1:32" s="2" customFormat="1" ht="27.75" customHeight="1" thickBot="1" x14ac:dyDescent="0.3">
      <c r="A24" s="233"/>
      <c r="B24" s="235"/>
      <c r="C24" s="227">
        <f>A22</f>
        <v>41548</v>
      </c>
      <c r="D24" s="228"/>
      <c r="E24" s="219" t="s">
        <v>115</v>
      </c>
      <c r="F24" s="220"/>
      <c r="G24" s="34"/>
      <c r="H24" s="227">
        <f>A22</f>
        <v>41548</v>
      </c>
      <c r="I24" s="228"/>
      <c r="J24" s="219" t="s">
        <v>115</v>
      </c>
      <c r="K24" s="220"/>
      <c r="L24"/>
      <c r="N24" s="254">
        <f>A22</f>
        <v>41548</v>
      </c>
      <c r="O24" s="255"/>
      <c r="P24" s="219" t="s">
        <v>115</v>
      </c>
      <c r="Q24" s="220"/>
      <c r="S24" s="229">
        <f>A22</f>
        <v>41548</v>
      </c>
      <c r="T24" s="230"/>
      <c r="U24" s="231" t="s">
        <v>115</v>
      </c>
      <c r="V24" s="232"/>
    </row>
    <row r="25" spans="1:32" s="3" customFormat="1" ht="32.25" customHeight="1" thickBot="1" x14ac:dyDescent="0.3">
      <c r="A25" s="236"/>
      <c r="B25" s="235"/>
      <c r="C25" s="41" t="s">
        <v>58</v>
      </c>
      <c r="D25" s="41" t="s">
        <v>59</v>
      </c>
      <c r="E25" s="37" t="s">
        <v>58</v>
      </c>
      <c r="F25" s="40" t="s">
        <v>59</v>
      </c>
      <c r="G25" s="42"/>
      <c r="H25" s="41" t="s">
        <v>58</v>
      </c>
      <c r="I25" s="38" t="s">
        <v>59</v>
      </c>
      <c r="J25" s="40" t="s">
        <v>58</v>
      </c>
      <c r="K25" s="40" t="s">
        <v>59</v>
      </c>
      <c r="L25" s="1"/>
      <c r="M25" s="55"/>
      <c r="N25" s="49" t="s">
        <v>70</v>
      </c>
      <c r="O25" s="54" t="s">
        <v>71</v>
      </c>
      <c r="P25" s="50" t="s">
        <v>70</v>
      </c>
      <c r="Q25" s="51" t="s">
        <v>71</v>
      </c>
      <c r="S25" s="59" t="s">
        <v>70</v>
      </c>
      <c r="T25" s="60" t="s">
        <v>71</v>
      </c>
      <c r="U25" s="57" t="s">
        <v>70</v>
      </c>
      <c r="V25" s="58" t="s">
        <v>71</v>
      </c>
    </row>
    <row r="26" spans="1:32" x14ac:dyDescent="0.25">
      <c r="A26" s="202" t="s">
        <v>0</v>
      </c>
      <c r="B26" s="45" t="s">
        <v>8</v>
      </c>
      <c r="C26" s="79"/>
      <c r="D26" s="214">
        <f>SUM(C26:C30)</f>
        <v>9</v>
      </c>
      <c r="E26" s="82">
        <v>5</v>
      </c>
      <c r="F26" s="208">
        <f>SUM(E26:E30)</f>
        <v>114</v>
      </c>
      <c r="G26" s="39"/>
      <c r="H26" s="79"/>
      <c r="I26" s="217">
        <f>SUM(H26:H30)</f>
        <v>44</v>
      </c>
      <c r="J26" s="82">
        <v>12</v>
      </c>
      <c r="K26" s="211">
        <f>SUM(J26:J30)</f>
        <v>405</v>
      </c>
      <c r="L26" s="1"/>
      <c r="M26" s="1"/>
      <c r="N26" s="221">
        <f>'Admissions Tracking'!Q2</f>
        <v>5</v>
      </c>
      <c r="O26" s="221">
        <v>7</v>
      </c>
      <c r="P26" s="239">
        <v>26</v>
      </c>
      <c r="Q26" s="221">
        <v>30</v>
      </c>
      <c r="R26" s="52"/>
      <c r="S26" s="221">
        <v>23</v>
      </c>
      <c r="T26" s="221">
        <v>22</v>
      </c>
      <c r="U26" s="239">
        <v>73</v>
      </c>
      <c r="V26" s="221">
        <v>81</v>
      </c>
      <c r="W26" s="172"/>
      <c r="X26" s="134"/>
      <c r="Y26" s="134"/>
      <c r="Z26" s="134"/>
      <c r="AA26" s="134"/>
      <c r="AB26" s="134"/>
      <c r="AC26" s="134"/>
      <c r="AD26" s="134"/>
      <c r="AE26" s="134"/>
      <c r="AF26" s="155"/>
    </row>
    <row r="27" spans="1:32" x14ac:dyDescent="0.25">
      <c r="A27" s="203"/>
      <c r="B27" s="46" t="s">
        <v>9</v>
      </c>
      <c r="C27" s="79"/>
      <c r="D27" s="215"/>
      <c r="E27" s="82">
        <v>10</v>
      </c>
      <c r="F27" s="209"/>
      <c r="G27" s="39"/>
      <c r="H27" s="79">
        <v>1</v>
      </c>
      <c r="I27" s="217"/>
      <c r="J27" s="82">
        <v>40</v>
      </c>
      <c r="K27" s="212"/>
      <c r="L27" s="1"/>
      <c r="M27" s="1"/>
      <c r="N27" s="222"/>
      <c r="O27" s="222"/>
      <c r="P27" s="240"/>
      <c r="Q27" s="222"/>
      <c r="R27" s="1"/>
      <c r="S27" s="222"/>
      <c r="T27" s="222"/>
      <c r="U27" s="240"/>
      <c r="V27" s="222"/>
      <c r="W27" s="172"/>
      <c r="X27" s="137"/>
    </row>
    <row r="28" spans="1:32" x14ac:dyDescent="0.25">
      <c r="A28" s="203"/>
      <c r="B28" s="46" t="s">
        <v>10</v>
      </c>
      <c r="C28" s="79"/>
      <c r="D28" s="215"/>
      <c r="E28" s="82"/>
      <c r="F28" s="209"/>
      <c r="G28" s="39"/>
      <c r="H28" s="79"/>
      <c r="I28" s="217"/>
      <c r="J28" s="82">
        <v>1</v>
      </c>
      <c r="K28" s="212"/>
      <c r="L28" s="1"/>
      <c r="M28" s="1"/>
      <c r="N28" s="222"/>
      <c r="O28" s="222"/>
      <c r="P28" s="240"/>
      <c r="Q28" s="222"/>
      <c r="R28" s="1"/>
      <c r="S28" s="222"/>
      <c r="T28" s="222"/>
      <c r="U28" s="240"/>
      <c r="V28" s="222"/>
      <c r="W28" s="172"/>
      <c r="X28" s="137"/>
    </row>
    <row r="29" spans="1:32" x14ac:dyDescent="0.25">
      <c r="A29" s="203"/>
      <c r="B29" s="46" t="s">
        <v>11</v>
      </c>
      <c r="C29" s="79">
        <v>9</v>
      </c>
      <c r="D29" s="215"/>
      <c r="E29" s="82">
        <v>92</v>
      </c>
      <c r="F29" s="209"/>
      <c r="G29" s="39"/>
      <c r="H29" s="79">
        <v>40</v>
      </c>
      <c r="I29" s="217"/>
      <c r="J29" s="82">
        <v>325</v>
      </c>
      <c r="K29" s="212"/>
      <c r="L29" s="1"/>
      <c r="M29" s="1"/>
      <c r="N29" s="222"/>
      <c r="O29" s="222"/>
      <c r="P29" s="240"/>
      <c r="Q29" s="222"/>
      <c r="R29" s="1"/>
      <c r="S29" s="222"/>
      <c r="T29" s="222"/>
      <c r="U29" s="240"/>
      <c r="V29" s="222"/>
      <c r="W29" s="172"/>
      <c r="X29" s="137"/>
    </row>
    <row r="30" spans="1:32" ht="15.75" thickBot="1" x14ac:dyDescent="0.3">
      <c r="A30" s="204"/>
      <c r="B30" s="46" t="s">
        <v>12</v>
      </c>
      <c r="C30" s="79"/>
      <c r="D30" s="216"/>
      <c r="E30" s="82">
        <v>7</v>
      </c>
      <c r="F30" s="210"/>
      <c r="G30" s="39"/>
      <c r="H30" s="79">
        <v>3</v>
      </c>
      <c r="I30" s="217"/>
      <c r="J30" s="82">
        <v>27</v>
      </c>
      <c r="K30" s="213"/>
      <c r="L30" s="1"/>
      <c r="M30" s="1"/>
      <c r="N30" s="223"/>
      <c r="O30" s="223"/>
      <c r="P30" s="241"/>
      <c r="Q30" s="223"/>
      <c r="R30" s="53"/>
      <c r="S30" s="223"/>
      <c r="T30" s="223"/>
      <c r="U30" s="241"/>
      <c r="V30" s="223"/>
      <c r="W30" s="172"/>
      <c r="X30" s="137"/>
    </row>
    <row r="31" spans="1:32" x14ac:dyDescent="0.25">
      <c r="A31" s="202" t="s">
        <v>1</v>
      </c>
      <c r="B31" s="47" t="s">
        <v>14</v>
      </c>
      <c r="C31" s="79"/>
      <c r="D31" s="214">
        <f>SUM(C31:C35)</f>
        <v>6</v>
      </c>
      <c r="E31" s="82">
        <v>3</v>
      </c>
      <c r="F31" s="208">
        <f>SUM(E31:E35)</f>
        <v>42</v>
      </c>
      <c r="G31" s="39"/>
      <c r="H31" s="79">
        <v>3</v>
      </c>
      <c r="I31" s="217">
        <f>SUM(H31:H35)</f>
        <v>20</v>
      </c>
      <c r="J31" s="82">
        <v>13</v>
      </c>
      <c r="K31" s="211">
        <f>SUM(J31:J35)</f>
        <v>166</v>
      </c>
      <c r="L31" s="1"/>
      <c r="M31" s="1"/>
      <c r="N31" s="221"/>
      <c r="O31" s="221">
        <v>2</v>
      </c>
      <c r="P31" s="239">
        <v>11</v>
      </c>
      <c r="Q31" s="221">
        <v>11</v>
      </c>
      <c r="R31" s="52"/>
      <c r="S31" s="221">
        <v>13</v>
      </c>
      <c r="T31" s="221">
        <v>8</v>
      </c>
      <c r="U31" s="239">
        <v>40</v>
      </c>
      <c r="V31" s="221">
        <v>43</v>
      </c>
      <c r="W31" s="172"/>
      <c r="X31" s="137"/>
    </row>
    <row r="32" spans="1:32" x14ac:dyDescent="0.25">
      <c r="A32" s="203"/>
      <c r="B32" s="46" t="s">
        <v>15</v>
      </c>
      <c r="C32" s="79"/>
      <c r="D32" s="215"/>
      <c r="E32" s="82">
        <v>1</v>
      </c>
      <c r="F32" s="209"/>
      <c r="G32" s="39"/>
      <c r="H32" s="79"/>
      <c r="I32" s="217"/>
      <c r="J32" s="82">
        <v>13</v>
      </c>
      <c r="K32" s="212"/>
      <c r="L32" s="1"/>
      <c r="M32" s="1"/>
      <c r="N32" s="222"/>
      <c r="O32" s="222"/>
      <c r="P32" s="240"/>
      <c r="Q32" s="222"/>
      <c r="R32" s="1"/>
      <c r="S32" s="222"/>
      <c r="T32" s="222"/>
      <c r="U32" s="240"/>
      <c r="V32" s="222"/>
      <c r="W32" s="172"/>
      <c r="X32" s="137"/>
    </row>
    <row r="33" spans="1:24" x14ac:dyDescent="0.25">
      <c r="A33" s="203"/>
      <c r="B33" s="46" t="s">
        <v>16</v>
      </c>
      <c r="C33" s="79">
        <v>1</v>
      </c>
      <c r="D33" s="215"/>
      <c r="E33" s="82">
        <v>14</v>
      </c>
      <c r="F33" s="209"/>
      <c r="G33" s="39"/>
      <c r="H33" s="79">
        <v>2</v>
      </c>
      <c r="I33" s="217"/>
      <c r="J33" s="82">
        <v>49</v>
      </c>
      <c r="K33" s="212"/>
      <c r="L33" s="1"/>
      <c r="M33" s="1"/>
      <c r="N33" s="222"/>
      <c r="O33" s="222"/>
      <c r="P33" s="240"/>
      <c r="Q33" s="222"/>
      <c r="R33" s="1"/>
      <c r="S33" s="222"/>
      <c r="T33" s="222"/>
      <c r="U33" s="240"/>
      <c r="V33" s="222"/>
      <c r="W33" s="172"/>
      <c r="X33" s="137"/>
    </row>
    <row r="34" spans="1:24" x14ac:dyDescent="0.25">
      <c r="A34" s="203"/>
      <c r="B34" s="46" t="s">
        <v>17</v>
      </c>
      <c r="C34" s="79"/>
      <c r="D34" s="215"/>
      <c r="E34" s="82"/>
      <c r="F34" s="209"/>
      <c r="G34" s="39"/>
      <c r="H34" s="79"/>
      <c r="I34" s="217"/>
      <c r="J34" s="82">
        <v>4</v>
      </c>
      <c r="K34" s="212"/>
      <c r="L34" s="1"/>
      <c r="M34" s="1"/>
      <c r="N34" s="222"/>
      <c r="O34" s="222"/>
      <c r="P34" s="240"/>
      <c r="Q34" s="222"/>
      <c r="R34" s="1"/>
      <c r="S34" s="222"/>
      <c r="T34" s="222"/>
      <c r="U34" s="240"/>
      <c r="V34" s="222"/>
    </row>
    <row r="35" spans="1:24" ht="15.75" thickBot="1" x14ac:dyDescent="0.3">
      <c r="A35" s="204"/>
      <c r="B35" s="46" t="s">
        <v>18</v>
      </c>
      <c r="C35" s="79">
        <v>5</v>
      </c>
      <c r="D35" s="216"/>
      <c r="E35" s="82">
        <v>24</v>
      </c>
      <c r="F35" s="210"/>
      <c r="G35" s="39"/>
      <c r="H35" s="79">
        <v>15</v>
      </c>
      <c r="I35" s="217"/>
      <c r="J35" s="82">
        <v>87</v>
      </c>
      <c r="K35" s="218"/>
      <c r="L35" s="1"/>
      <c r="M35" s="1"/>
      <c r="N35" s="223"/>
      <c r="O35" s="223"/>
      <c r="P35" s="241"/>
      <c r="Q35" s="223"/>
      <c r="R35" s="1"/>
      <c r="S35" s="223"/>
      <c r="T35" s="223"/>
      <c r="U35" s="241"/>
      <c r="V35" s="223"/>
    </row>
    <row r="36" spans="1:24" x14ac:dyDescent="0.25">
      <c r="A36" s="202" t="s">
        <v>2</v>
      </c>
      <c r="B36" s="47" t="s">
        <v>19</v>
      </c>
      <c r="C36" s="79"/>
      <c r="D36" s="214">
        <f>SUM(C36:C41)</f>
        <v>19</v>
      </c>
      <c r="E36" s="82">
        <v>2</v>
      </c>
      <c r="F36" s="208">
        <f>SUM(E36:E41)</f>
        <v>210</v>
      </c>
      <c r="G36" s="39"/>
      <c r="H36" s="79"/>
      <c r="I36" s="217">
        <f>SUM(H36:H41)</f>
        <v>59</v>
      </c>
      <c r="J36" s="82">
        <v>8</v>
      </c>
      <c r="K36" s="211">
        <f>SUM(J36:J41)</f>
        <v>762</v>
      </c>
      <c r="L36" s="1"/>
      <c r="M36" s="1"/>
      <c r="N36" s="221">
        <v>6</v>
      </c>
      <c r="O36" s="221">
        <v>4</v>
      </c>
      <c r="P36" s="239">
        <v>35</v>
      </c>
      <c r="Q36" s="221">
        <v>30</v>
      </c>
      <c r="R36" s="52"/>
      <c r="S36" s="221">
        <v>24</v>
      </c>
      <c r="T36" s="245">
        <v>51</v>
      </c>
      <c r="U36" s="239">
        <v>72</v>
      </c>
      <c r="V36" s="221">
        <v>99</v>
      </c>
    </row>
    <row r="37" spans="1:24" x14ac:dyDescent="0.25">
      <c r="A37" s="203"/>
      <c r="B37" s="46" t="s">
        <v>20</v>
      </c>
      <c r="C37" s="79">
        <v>17</v>
      </c>
      <c r="D37" s="215"/>
      <c r="E37" s="82">
        <v>172</v>
      </c>
      <c r="F37" s="209"/>
      <c r="G37" s="39"/>
      <c r="H37" s="79">
        <v>50</v>
      </c>
      <c r="I37" s="217"/>
      <c r="J37" s="82">
        <v>634</v>
      </c>
      <c r="K37" s="212"/>
      <c r="L37" s="1"/>
      <c r="M37" s="1"/>
      <c r="N37" s="222"/>
      <c r="O37" s="222"/>
      <c r="P37" s="240"/>
      <c r="Q37" s="222"/>
      <c r="R37" s="1"/>
      <c r="S37" s="222"/>
      <c r="T37" s="246"/>
      <c r="U37" s="240"/>
      <c r="V37" s="256"/>
    </row>
    <row r="38" spans="1:24" x14ac:dyDescent="0.25">
      <c r="A38" s="203"/>
      <c r="B38" s="46" t="s">
        <v>21</v>
      </c>
      <c r="C38" s="79"/>
      <c r="D38" s="215"/>
      <c r="E38" s="82">
        <v>13</v>
      </c>
      <c r="F38" s="209"/>
      <c r="G38" s="39"/>
      <c r="H38" s="79">
        <v>3</v>
      </c>
      <c r="I38" s="217"/>
      <c r="J38" s="82">
        <v>35</v>
      </c>
      <c r="K38" s="212"/>
      <c r="L38" s="1"/>
      <c r="M38" s="1"/>
      <c r="N38" s="222"/>
      <c r="O38" s="222"/>
      <c r="P38" s="240"/>
      <c r="Q38" s="222"/>
      <c r="R38" s="1"/>
      <c r="S38" s="222"/>
      <c r="T38" s="246"/>
      <c r="U38" s="240"/>
      <c r="V38" s="256"/>
    </row>
    <row r="39" spans="1:24" x14ac:dyDescent="0.25">
      <c r="A39" s="203"/>
      <c r="B39" s="46" t="s">
        <v>22</v>
      </c>
      <c r="C39" s="79"/>
      <c r="D39" s="215"/>
      <c r="E39" s="82">
        <v>5</v>
      </c>
      <c r="F39" s="209"/>
      <c r="G39" s="39"/>
      <c r="H39" s="79"/>
      <c r="I39" s="217"/>
      <c r="J39" s="82">
        <v>13</v>
      </c>
      <c r="K39" s="212"/>
      <c r="L39" s="1"/>
      <c r="M39" s="1"/>
      <c r="N39" s="222"/>
      <c r="O39" s="222"/>
      <c r="P39" s="240"/>
      <c r="Q39" s="222"/>
      <c r="R39" s="1"/>
      <c r="S39" s="222"/>
      <c r="T39" s="246"/>
      <c r="U39" s="240"/>
      <c r="V39" s="256"/>
    </row>
    <row r="40" spans="1:24" x14ac:dyDescent="0.25">
      <c r="A40" s="203"/>
      <c r="B40" s="46" t="s">
        <v>23</v>
      </c>
      <c r="C40" s="79">
        <v>1</v>
      </c>
      <c r="D40" s="215"/>
      <c r="E40" s="82">
        <v>8</v>
      </c>
      <c r="F40" s="209"/>
      <c r="G40" s="39"/>
      <c r="H40" s="79">
        <v>1</v>
      </c>
      <c r="I40" s="217"/>
      <c r="J40" s="82">
        <v>44</v>
      </c>
      <c r="K40" s="212"/>
      <c r="L40" s="1"/>
      <c r="M40" s="1"/>
      <c r="N40" s="222"/>
      <c r="O40" s="222"/>
      <c r="P40" s="240"/>
      <c r="Q40" s="222"/>
      <c r="R40" s="1"/>
      <c r="S40" s="222"/>
      <c r="T40" s="246"/>
      <c r="U40" s="240"/>
      <c r="V40" s="256"/>
    </row>
    <row r="41" spans="1:24" ht="15.75" thickBot="1" x14ac:dyDescent="0.3">
      <c r="A41" s="204"/>
      <c r="B41" s="46" t="s">
        <v>24</v>
      </c>
      <c r="C41" s="79">
        <v>1</v>
      </c>
      <c r="D41" s="216"/>
      <c r="E41" s="82">
        <v>10</v>
      </c>
      <c r="F41" s="210"/>
      <c r="G41" s="39"/>
      <c r="H41" s="79">
        <v>5</v>
      </c>
      <c r="I41" s="217"/>
      <c r="J41" s="82">
        <v>28</v>
      </c>
      <c r="K41" s="213"/>
      <c r="L41" s="1"/>
      <c r="M41" s="1"/>
      <c r="N41" s="223"/>
      <c r="O41" s="223"/>
      <c r="P41" s="241"/>
      <c r="Q41" s="223"/>
      <c r="R41" s="53"/>
      <c r="S41" s="223"/>
      <c r="T41" s="247"/>
      <c r="U41" s="241"/>
      <c r="V41" s="257"/>
    </row>
    <row r="42" spans="1:24" x14ac:dyDescent="0.25">
      <c r="A42" s="202" t="s">
        <v>3</v>
      </c>
      <c r="B42" s="47" t="s">
        <v>25</v>
      </c>
      <c r="C42" s="79">
        <v>24</v>
      </c>
      <c r="D42" s="214">
        <f>SUM(C42:C45)</f>
        <v>26</v>
      </c>
      <c r="E42" s="82">
        <v>269</v>
      </c>
      <c r="F42" s="208">
        <f>SUM(E42:E45)</f>
        <v>277</v>
      </c>
      <c r="G42" s="39"/>
      <c r="H42" s="79">
        <v>86</v>
      </c>
      <c r="I42" s="217">
        <f>SUM(H42:H45)</f>
        <v>96</v>
      </c>
      <c r="J42" s="82">
        <v>1052</v>
      </c>
      <c r="K42" s="211">
        <f>SUM(J42:J45)</f>
        <v>1085</v>
      </c>
      <c r="L42" s="1"/>
      <c r="M42" s="1"/>
      <c r="N42" s="221">
        <v>17</v>
      </c>
      <c r="O42" s="221">
        <v>17</v>
      </c>
      <c r="P42" s="239">
        <v>54</v>
      </c>
      <c r="Q42" s="221">
        <v>64</v>
      </c>
      <c r="R42" s="52"/>
      <c r="S42" s="221">
        <v>23</v>
      </c>
      <c r="T42" s="245">
        <v>13</v>
      </c>
      <c r="U42" s="239">
        <v>76</v>
      </c>
      <c r="V42" s="221">
        <v>81</v>
      </c>
    </row>
    <row r="43" spans="1:24" x14ac:dyDescent="0.25">
      <c r="A43" s="203"/>
      <c r="B43" s="46" t="s">
        <v>26</v>
      </c>
      <c r="C43" s="79"/>
      <c r="D43" s="215"/>
      <c r="E43" s="82">
        <v>1</v>
      </c>
      <c r="F43" s="209"/>
      <c r="G43" s="39"/>
      <c r="H43" s="79">
        <v>1</v>
      </c>
      <c r="I43" s="217"/>
      <c r="J43" s="82">
        <v>6</v>
      </c>
      <c r="K43" s="212"/>
      <c r="L43" s="1"/>
      <c r="M43" s="1"/>
      <c r="N43" s="222"/>
      <c r="O43" s="222"/>
      <c r="P43" s="240"/>
      <c r="Q43" s="222"/>
      <c r="R43" s="1"/>
      <c r="S43" s="222"/>
      <c r="T43" s="246"/>
      <c r="U43" s="240"/>
      <c r="V43" s="256"/>
    </row>
    <row r="44" spans="1:24" x14ac:dyDescent="0.25">
      <c r="A44" s="203"/>
      <c r="B44" s="46" t="s">
        <v>27</v>
      </c>
      <c r="C44" s="79">
        <v>1</v>
      </c>
      <c r="D44" s="215"/>
      <c r="E44" s="82">
        <v>5</v>
      </c>
      <c r="F44" s="209"/>
      <c r="G44" s="39"/>
      <c r="H44" s="79">
        <v>5</v>
      </c>
      <c r="I44" s="217"/>
      <c r="J44" s="82">
        <v>20</v>
      </c>
      <c r="K44" s="212"/>
      <c r="L44" s="1"/>
      <c r="M44" s="1"/>
      <c r="N44" s="222"/>
      <c r="O44" s="222"/>
      <c r="P44" s="240"/>
      <c r="Q44" s="222"/>
      <c r="R44" s="1"/>
      <c r="S44" s="222"/>
      <c r="T44" s="246"/>
      <c r="U44" s="240"/>
      <c r="V44" s="256"/>
    </row>
    <row r="45" spans="1:24" ht="15.75" thickBot="1" x14ac:dyDescent="0.3">
      <c r="A45" s="204"/>
      <c r="B45" s="46" t="s">
        <v>28</v>
      </c>
      <c r="C45" s="79">
        <v>1</v>
      </c>
      <c r="D45" s="216"/>
      <c r="E45" s="82">
        <v>2</v>
      </c>
      <c r="F45" s="210"/>
      <c r="G45" s="39"/>
      <c r="H45" s="79">
        <v>4</v>
      </c>
      <c r="I45" s="217"/>
      <c r="J45" s="82">
        <v>7</v>
      </c>
      <c r="K45" s="218"/>
      <c r="L45" s="1"/>
      <c r="M45" s="1"/>
      <c r="N45" s="223"/>
      <c r="O45" s="223"/>
      <c r="P45" s="241"/>
      <c r="Q45" s="223"/>
      <c r="R45" s="1"/>
      <c r="S45" s="223"/>
      <c r="T45" s="246"/>
      <c r="U45" s="241"/>
      <c r="V45" s="256"/>
    </row>
    <row r="46" spans="1:24" x14ac:dyDescent="0.25">
      <c r="A46" s="202" t="s">
        <v>4</v>
      </c>
      <c r="B46" s="47" t="s">
        <v>29</v>
      </c>
      <c r="C46" s="79"/>
      <c r="D46" s="214">
        <f>SUM(C46:C53)</f>
        <v>10</v>
      </c>
      <c r="E46" s="82">
        <v>3</v>
      </c>
      <c r="F46" s="208">
        <f>SUM(E46:E53)</f>
        <v>98</v>
      </c>
      <c r="G46" s="39"/>
      <c r="H46" s="79"/>
      <c r="I46" s="217">
        <f>SUM(H46:H53)</f>
        <v>55</v>
      </c>
      <c r="J46" s="82">
        <v>17</v>
      </c>
      <c r="K46" s="211">
        <f>SUM(J46:J53)</f>
        <v>436</v>
      </c>
      <c r="L46" s="1"/>
      <c r="M46" s="1"/>
      <c r="N46" s="221">
        <v>8</v>
      </c>
      <c r="O46" s="221">
        <v>12</v>
      </c>
      <c r="P46" s="239">
        <v>35</v>
      </c>
      <c r="Q46" s="221">
        <v>34</v>
      </c>
      <c r="R46" s="52"/>
      <c r="S46" s="221">
        <v>14</v>
      </c>
      <c r="T46" s="245">
        <v>15</v>
      </c>
      <c r="U46" s="239">
        <v>47</v>
      </c>
      <c r="V46" s="221">
        <v>47</v>
      </c>
    </row>
    <row r="47" spans="1:24" x14ac:dyDescent="0.25">
      <c r="A47" s="203"/>
      <c r="B47" s="46" t="s">
        <v>30</v>
      </c>
      <c r="C47" s="79"/>
      <c r="D47" s="215"/>
      <c r="E47" s="82">
        <v>1</v>
      </c>
      <c r="F47" s="209"/>
      <c r="G47" s="39"/>
      <c r="H47" s="79"/>
      <c r="I47" s="217"/>
      <c r="J47" s="82">
        <v>5</v>
      </c>
      <c r="K47" s="212"/>
      <c r="L47" s="1"/>
      <c r="M47" s="1"/>
      <c r="N47" s="222"/>
      <c r="O47" s="222"/>
      <c r="P47" s="240"/>
      <c r="Q47" s="222"/>
      <c r="R47" s="1"/>
      <c r="S47" s="222"/>
      <c r="T47" s="246"/>
      <c r="U47" s="240"/>
      <c r="V47" s="256"/>
    </row>
    <row r="48" spans="1:24" x14ac:dyDescent="0.25">
      <c r="A48" s="203"/>
      <c r="B48" s="46" t="s">
        <v>31</v>
      </c>
      <c r="C48" s="79">
        <v>1</v>
      </c>
      <c r="D48" s="215"/>
      <c r="E48" s="82">
        <v>8</v>
      </c>
      <c r="F48" s="209"/>
      <c r="G48" s="39"/>
      <c r="H48" s="79">
        <v>5</v>
      </c>
      <c r="I48" s="217"/>
      <c r="J48" s="82">
        <v>41</v>
      </c>
      <c r="K48" s="212"/>
      <c r="L48" s="1"/>
      <c r="M48" s="1"/>
      <c r="N48" s="222"/>
      <c r="O48" s="222"/>
      <c r="P48" s="240"/>
      <c r="Q48" s="222"/>
      <c r="R48" s="1"/>
      <c r="S48" s="222"/>
      <c r="T48" s="246"/>
      <c r="U48" s="240"/>
      <c r="V48" s="256"/>
    </row>
    <row r="49" spans="1:22" x14ac:dyDescent="0.25">
      <c r="A49" s="203"/>
      <c r="B49" s="46" t="s">
        <v>32</v>
      </c>
      <c r="C49" s="79">
        <v>2</v>
      </c>
      <c r="D49" s="215"/>
      <c r="E49" s="82">
        <v>5</v>
      </c>
      <c r="F49" s="209"/>
      <c r="G49" s="39"/>
      <c r="H49" s="79">
        <v>4</v>
      </c>
      <c r="I49" s="217"/>
      <c r="J49" s="82">
        <v>20</v>
      </c>
      <c r="K49" s="212"/>
      <c r="L49" s="1"/>
      <c r="M49" s="1"/>
      <c r="N49" s="222"/>
      <c r="O49" s="222"/>
      <c r="P49" s="240"/>
      <c r="Q49" s="222"/>
      <c r="R49" s="1"/>
      <c r="S49" s="222"/>
      <c r="T49" s="246"/>
      <c r="U49" s="240"/>
      <c r="V49" s="256"/>
    </row>
    <row r="50" spans="1:22" x14ac:dyDescent="0.25">
      <c r="A50" s="203"/>
      <c r="B50" s="46" t="s">
        <v>33</v>
      </c>
      <c r="C50" s="79"/>
      <c r="D50" s="215"/>
      <c r="E50" s="82">
        <v>3</v>
      </c>
      <c r="F50" s="209"/>
      <c r="G50" s="39"/>
      <c r="H50" s="79">
        <v>14</v>
      </c>
      <c r="I50" s="217"/>
      <c r="J50" s="82">
        <v>21</v>
      </c>
      <c r="K50" s="212"/>
      <c r="L50" s="1"/>
      <c r="M50" s="1"/>
      <c r="N50" s="222"/>
      <c r="O50" s="222"/>
      <c r="P50" s="240"/>
      <c r="Q50" s="222"/>
      <c r="R50" s="1"/>
      <c r="S50" s="222"/>
      <c r="T50" s="246"/>
      <c r="U50" s="240"/>
      <c r="V50" s="256"/>
    </row>
    <row r="51" spans="1:22" x14ac:dyDescent="0.25">
      <c r="A51" s="203"/>
      <c r="B51" s="46" t="s">
        <v>69</v>
      </c>
      <c r="C51" s="79"/>
      <c r="D51" s="215"/>
      <c r="E51" s="82">
        <v>1</v>
      </c>
      <c r="F51" s="209"/>
      <c r="G51" s="39"/>
      <c r="H51" s="79">
        <v>2</v>
      </c>
      <c r="I51" s="217"/>
      <c r="J51" s="82">
        <v>4</v>
      </c>
      <c r="K51" s="212"/>
      <c r="L51" s="1"/>
      <c r="M51" s="1"/>
      <c r="N51" s="222"/>
      <c r="O51" s="222"/>
      <c r="P51" s="240"/>
      <c r="Q51" s="222"/>
      <c r="R51" s="1"/>
      <c r="S51" s="222"/>
      <c r="T51" s="246"/>
      <c r="U51" s="240"/>
      <c r="V51" s="256"/>
    </row>
    <row r="52" spans="1:22" x14ac:dyDescent="0.25">
      <c r="A52" s="203"/>
      <c r="B52" s="46" t="s">
        <v>34</v>
      </c>
      <c r="C52" s="79">
        <v>1</v>
      </c>
      <c r="D52" s="215"/>
      <c r="E52" s="82">
        <v>5</v>
      </c>
      <c r="F52" s="209"/>
      <c r="G52" s="39"/>
      <c r="H52" s="79">
        <v>2</v>
      </c>
      <c r="I52" s="217"/>
      <c r="J52" s="82">
        <v>30</v>
      </c>
      <c r="K52" s="212"/>
      <c r="L52" s="1"/>
      <c r="M52" s="1"/>
      <c r="N52" s="222"/>
      <c r="O52" s="222"/>
      <c r="P52" s="240"/>
      <c r="Q52" s="222"/>
      <c r="R52" s="1"/>
      <c r="S52" s="222"/>
      <c r="T52" s="246"/>
      <c r="U52" s="240"/>
      <c r="V52" s="256"/>
    </row>
    <row r="53" spans="1:22" ht="12.75" customHeight="1" thickBot="1" x14ac:dyDescent="0.3">
      <c r="A53" s="204"/>
      <c r="B53" s="46" t="s">
        <v>35</v>
      </c>
      <c r="C53" s="79">
        <v>6</v>
      </c>
      <c r="D53" s="216"/>
      <c r="E53" s="82">
        <v>72</v>
      </c>
      <c r="F53" s="210"/>
      <c r="G53" s="39"/>
      <c r="H53" s="79">
        <v>28</v>
      </c>
      <c r="I53" s="217"/>
      <c r="J53" s="82">
        <v>298</v>
      </c>
      <c r="K53" s="218"/>
      <c r="L53" s="1"/>
      <c r="M53" s="1"/>
      <c r="N53" s="223"/>
      <c r="O53" s="223"/>
      <c r="P53" s="241"/>
      <c r="Q53" s="223"/>
      <c r="R53" s="1"/>
      <c r="S53" s="223"/>
      <c r="T53" s="246"/>
      <c r="U53" s="241"/>
      <c r="V53" s="256"/>
    </row>
    <row r="54" spans="1:22" x14ac:dyDescent="0.25">
      <c r="A54" s="202" t="s">
        <v>5</v>
      </c>
      <c r="B54" s="47" t="s">
        <v>36</v>
      </c>
      <c r="C54" s="79">
        <v>22</v>
      </c>
      <c r="D54" s="214">
        <f>SUM(C54:C59)</f>
        <v>23</v>
      </c>
      <c r="E54" s="82">
        <v>53</v>
      </c>
      <c r="F54" s="208">
        <f>SUM(E54:E59)</f>
        <v>60</v>
      </c>
      <c r="G54" s="39"/>
      <c r="H54" s="79">
        <v>33</v>
      </c>
      <c r="I54" s="217">
        <f>SUM(H54:H59)</f>
        <v>40</v>
      </c>
      <c r="J54" s="82">
        <v>208</v>
      </c>
      <c r="K54" s="211">
        <f>SUM(J54:J59)</f>
        <v>245</v>
      </c>
      <c r="L54" s="1"/>
      <c r="M54" s="1"/>
      <c r="N54" s="221">
        <v>9</v>
      </c>
      <c r="O54" s="221">
        <v>11</v>
      </c>
      <c r="P54" s="239">
        <v>19</v>
      </c>
      <c r="Q54" s="221">
        <v>30</v>
      </c>
      <c r="R54" s="52"/>
      <c r="S54" s="221">
        <v>10</v>
      </c>
      <c r="T54" s="245">
        <v>11</v>
      </c>
      <c r="U54" s="239">
        <v>45</v>
      </c>
      <c r="V54" s="221">
        <v>56</v>
      </c>
    </row>
    <row r="55" spans="1:22" x14ac:dyDescent="0.25">
      <c r="A55" s="203"/>
      <c r="B55" s="46" t="s">
        <v>37</v>
      </c>
      <c r="C55" s="79"/>
      <c r="D55" s="215"/>
      <c r="E55" s="82">
        <v>1</v>
      </c>
      <c r="F55" s="209"/>
      <c r="G55" s="39"/>
      <c r="H55" s="79">
        <v>4</v>
      </c>
      <c r="I55" s="217"/>
      <c r="J55" s="82">
        <v>6</v>
      </c>
      <c r="K55" s="212"/>
      <c r="L55" s="1"/>
      <c r="M55" s="1"/>
      <c r="N55" s="222"/>
      <c r="O55" s="222"/>
      <c r="P55" s="240"/>
      <c r="Q55" s="222"/>
      <c r="R55" s="1"/>
      <c r="S55" s="222"/>
      <c r="T55" s="246"/>
      <c r="U55" s="240"/>
      <c r="V55" s="256"/>
    </row>
    <row r="56" spans="1:22" x14ac:dyDescent="0.25">
      <c r="A56" s="203"/>
      <c r="B56" s="46" t="s">
        <v>38</v>
      </c>
      <c r="C56" s="79"/>
      <c r="D56" s="215"/>
      <c r="E56" s="82"/>
      <c r="F56" s="209"/>
      <c r="G56" s="39"/>
      <c r="H56" s="79">
        <v>1</v>
      </c>
      <c r="I56" s="217"/>
      <c r="J56" s="82">
        <v>3</v>
      </c>
      <c r="K56" s="212"/>
      <c r="L56" s="1"/>
      <c r="M56" s="1"/>
      <c r="N56" s="222"/>
      <c r="O56" s="222"/>
      <c r="P56" s="240"/>
      <c r="Q56" s="222"/>
      <c r="R56" s="1"/>
      <c r="S56" s="222"/>
      <c r="T56" s="246"/>
      <c r="U56" s="240"/>
      <c r="V56" s="256"/>
    </row>
    <row r="57" spans="1:22" x14ac:dyDescent="0.25">
      <c r="A57" s="203"/>
      <c r="B57" s="46" t="s">
        <v>39</v>
      </c>
      <c r="C57" s="79"/>
      <c r="D57" s="215"/>
      <c r="E57" s="82">
        <v>3</v>
      </c>
      <c r="F57" s="209"/>
      <c r="G57" s="39"/>
      <c r="H57" s="79"/>
      <c r="I57" s="217"/>
      <c r="J57" s="82">
        <v>16</v>
      </c>
      <c r="K57" s="212"/>
      <c r="L57" s="1"/>
      <c r="M57" s="1"/>
      <c r="N57" s="222"/>
      <c r="O57" s="222"/>
      <c r="P57" s="240"/>
      <c r="Q57" s="222"/>
      <c r="R57" s="1"/>
      <c r="S57" s="222"/>
      <c r="T57" s="246"/>
      <c r="U57" s="240"/>
      <c r="V57" s="256"/>
    </row>
    <row r="58" spans="1:22" x14ac:dyDescent="0.25">
      <c r="A58" s="203"/>
      <c r="B58" s="46" t="s">
        <v>40</v>
      </c>
      <c r="C58" s="79">
        <v>1</v>
      </c>
      <c r="D58" s="215"/>
      <c r="E58" s="82"/>
      <c r="F58" s="209"/>
      <c r="G58" s="39"/>
      <c r="H58" s="79">
        <v>2</v>
      </c>
      <c r="I58" s="217"/>
      <c r="J58" s="82">
        <v>4</v>
      </c>
      <c r="K58" s="212"/>
      <c r="L58" s="1"/>
      <c r="M58" s="1"/>
      <c r="N58" s="222"/>
      <c r="O58" s="222"/>
      <c r="P58" s="240"/>
      <c r="Q58" s="222"/>
      <c r="R58" s="1"/>
      <c r="S58" s="222"/>
      <c r="T58" s="246"/>
      <c r="U58" s="240"/>
      <c r="V58" s="256"/>
    </row>
    <row r="59" spans="1:22" ht="15.75" thickBot="1" x14ac:dyDescent="0.3">
      <c r="A59" s="204"/>
      <c r="B59" s="46" t="s">
        <v>41</v>
      </c>
      <c r="C59" s="79"/>
      <c r="D59" s="216"/>
      <c r="E59" s="82">
        <v>3</v>
      </c>
      <c r="F59" s="210"/>
      <c r="G59" s="39"/>
      <c r="H59" s="79"/>
      <c r="I59" s="217"/>
      <c r="J59" s="82">
        <v>8</v>
      </c>
      <c r="K59" s="213"/>
      <c r="L59" s="1"/>
      <c r="M59" s="1"/>
      <c r="N59" s="223"/>
      <c r="O59" s="223"/>
      <c r="P59" s="241"/>
      <c r="Q59" s="223"/>
      <c r="R59" s="53"/>
      <c r="S59" s="223"/>
      <c r="T59" s="247"/>
      <c r="U59" s="241"/>
      <c r="V59" s="257"/>
    </row>
    <row r="60" spans="1:22" x14ac:dyDescent="0.25">
      <c r="A60" s="202" t="s">
        <v>6</v>
      </c>
      <c r="B60" s="47" t="s">
        <v>42</v>
      </c>
      <c r="C60" s="79"/>
      <c r="D60" s="214">
        <f>SUM(C60:C69)</f>
        <v>18</v>
      </c>
      <c r="E60" s="82">
        <v>15</v>
      </c>
      <c r="F60" s="208">
        <f>SUM(E60:E69)</f>
        <v>105</v>
      </c>
      <c r="G60" s="39"/>
      <c r="H60" s="79">
        <v>13</v>
      </c>
      <c r="I60" s="217">
        <f>SUM(H60:H69)</f>
        <v>91</v>
      </c>
      <c r="J60" s="82">
        <v>88</v>
      </c>
      <c r="K60" s="237">
        <f>SUM(J60:J69)</f>
        <v>423</v>
      </c>
      <c r="L60" s="1"/>
      <c r="M60" s="1"/>
      <c r="N60" s="221">
        <v>9</v>
      </c>
      <c r="O60" s="221">
        <v>18</v>
      </c>
      <c r="P60" s="239">
        <v>47</v>
      </c>
      <c r="Q60" s="221">
        <v>73</v>
      </c>
      <c r="R60" s="1"/>
      <c r="S60" s="221">
        <v>43</v>
      </c>
      <c r="T60" s="258">
        <v>46</v>
      </c>
      <c r="U60" s="239">
        <v>150</v>
      </c>
      <c r="V60" s="222">
        <v>153</v>
      </c>
    </row>
    <row r="61" spans="1:22" x14ac:dyDescent="0.25">
      <c r="A61" s="203"/>
      <c r="B61" s="46" t="s">
        <v>43</v>
      </c>
      <c r="C61" s="79">
        <v>11</v>
      </c>
      <c r="D61" s="215"/>
      <c r="E61" s="82">
        <v>69</v>
      </c>
      <c r="F61" s="209"/>
      <c r="G61" s="39"/>
      <c r="H61" s="79">
        <v>54</v>
      </c>
      <c r="I61" s="217"/>
      <c r="J61" s="82">
        <v>267</v>
      </c>
      <c r="K61" s="212"/>
      <c r="L61" s="1"/>
      <c r="M61" s="1"/>
      <c r="N61" s="222"/>
      <c r="O61" s="222"/>
      <c r="P61" s="240"/>
      <c r="Q61" s="222"/>
      <c r="R61" s="1"/>
      <c r="S61" s="222"/>
      <c r="T61" s="246"/>
      <c r="U61" s="240"/>
      <c r="V61" s="256"/>
    </row>
    <row r="62" spans="1:22" x14ac:dyDescent="0.25">
      <c r="A62" s="203"/>
      <c r="B62" s="46" t="s">
        <v>44</v>
      </c>
      <c r="C62" s="79"/>
      <c r="D62" s="215"/>
      <c r="E62" s="82"/>
      <c r="F62" s="209"/>
      <c r="G62" s="39"/>
      <c r="H62" s="79"/>
      <c r="I62" s="217"/>
      <c r="J62" s="82"/>
      <c r="K62" s="212"/>
      <c r="L62" s="1"/>
      <c r="M62" s="1"/>
      <c r="N62" s="222"/>
      <c r="O62" s="222"/>
      <c r="P62" s="240"/>
      <c r="Q62" s="222"/>
      <c r="R62" s="1"/>
      <c r="S62" s="222"/>
      <c r="T62" s="246"/>
      <c r="U62" s="240"/>
      <c r="V62" s="256"/>
    </row>
    <row r="63" spans="1:22" x14ac:dyDescent="0.25">
      <c r="A63" s="203"/>
      <c r="B63" s="46" t="s">
        <v>45</v>
      </c>
      <c r="C63" s="79"/>
      <c r="D63" s="215"/>
      <c r="E63" s="82"/>
      <c r="F63" s="209"/>
      <c r="G63" s="39"/>
      <c r="H63" s="79"/>
      <c r="I63" s="217"/>
      <c r="J63" s="82"/>
      <c r="K63" s="212"/>
      <c r="L63" s="1"/>
      <c r="M63" s="1"/>
      <c r="N63" s="222"/>
      <c r="O63" s="222"/>
      <c r="P63" s="240"/>
      <c r="Q63" s="222"/>
      <c r="R63" s="1"/>
      <c r="S63" s="222"/>
      <c r="T63" s="246"/>
      <c r="U63" s="240"/>
      <c r="V63" s="256"/>
    </row>
    <row r="64" spans="1:22" x14ac:dyDescent="0.25">
      <c r="A64" s="203"/>
      <c r="B64" s="46" t="s">
        <v>46</v>
      </c>
      <c r="C64" s="79"/>
      <c r="D64" s="215"/>
      <c r="E64" s="82"/>
      <c r="F64" s="209"/>
      <c r="G64" s="39"/>
      <c r="H64" s="79"/>
      <c r="I64" s="217"/>
      <c r="J64" s="82">
        <v>4</v>
      </c>
      <c r="K64" s="212"/>
      <c r="L64" s="1"/>
      <c r="M64" s="1"/>
      <c r="N64" s="222"/>
      <c r="O64" s="222"/>
      <c r="P64" s="240"/>
      <c r="Q64" s="222"/>
      <c r="R64" s="1"/>
      <c r="S64" s="222"/>
      <c r="T64" s="246"/>
      <c r="U64" s="240"/>
      <c r="V64" s="256"/>
    </row>
    <row r="65" spans="1:22" x14ac:dyDescent="0.25">
      <c r="A65" s="203"/>
      <c r="B65" s="46" t="s">
        <v>47</v>
      </c>
      <c r="C65" s="79">
        <v>1</v>
      </c>
      <c r="D65" s="215"/>
      <c r="E65" s="82">
        <v>4</v>
      </c>
      <c r="F65" s="209"/>
      <c r="G65" s="39"/>
      <c r="H65" s="79">
        <v>3</v>
      </c>
      <c r="I65" s="217"/>
      <c r="J65" s="82">
        <v>9</v>
      </c>
      <c r="K65" s="212"/>
      <c r="L65" s="1"/>
      <c r="M65" s="1"/>
      <c r="N65" s="222"/>
      <c r="O65" s="222"/>
      <c r="P65" s="240"/>
      <c r="Q65" s="222"/>
      <c r="R65" s="1"/>
      <c r="S65" s="222"/>
      <c r="T65" s="246"/>
      <c r="U65" s="240"/>
      <c r="V65" s="256"/>
    </row>
    <row r="66" spans="1:22" x14ac:dyDescent="0.25">
      <c r="A66" s="203"/>
      <c r="B66" s="46" t="s">
        <v>48</v>
      </c>
      <c r="C66" s="79">
        <v>1</v>
      </c>
      <c r="D66" s="215"/>
      <c r="E66" s="82">
        <v>8</v>
      </c>
      <c r="F66" s="209"/>
      <c r="G66" s="39"/>
      <c r="H66" s="79">
        <v>6</v>
      </c>
      <c r="I66" s="217"/>
      <c r="J66" s="82">
        <v>22</v>
      </c>
      <c r="K66" s="212"/>
      <c r="L66" s="1"/>
      <c r="M66" s="1"/>
      <c r="N66" s="222"/>
      <c r="O66" s="222"/>
      <c r="P66" s="240"/>
      <c r="Q66" s="222"/>
      <c r="R66" s="1"/>
      <c r="S66" s="222"/>
      <c r="T66" s="246"/>
      <c r="U66" s="240"/>
      <c r="V66" s="256"/>
    </row>
    <row r="67" spans="1:22" x14ac:dyDescent="0.25">
      <c r="A67" s="203"/>
      <c r="B67" s="46" t="s">
        <v>49</v>
      </c>
      <c r="C67" s="79">
        <v>2</v>
      </c>
      <c r="D67" s="215"/>
      <c r="E67" s="82">
        <v>2</v>
      </c>
      <c r="F67" s="209"/>
      <c r="G67" s="39"/>
      <c r="H67" s="79">
        <v>2</v>
      </c>
      <c r="I67" s="217"/>
      <c r="J67" s="82">
        <v>7</v>
      </c>
      <c r="K67" s="212"/>
      <c r="L67" s="1"/>
      <c r="M67" s="1"/>
      <c r="N67" s="222"/>
      <c r="O67" s="222"/>
      <c r="P67" s="240"/>
      <c r="Q67" s="222"/>
      <c r="R67" s="1"/>
      <c r="S67" s="222"/>
      <c r="T67" s="246"/>
      <c r="U67" s="240"/>
      <c r="V67" s="256"/>
    </row>
    <row r="68" spans="1:22" x14ac:dyDescent="0.25">
      <c r="A68" s="203"/>
      <c r="B68" s="46" t="s">
        <v>50</v>
      </c>
      <c r="C68" s="79">
        <v>2</v>
      </c>
      <c r="D68" s="215"/>
      <c r="E68" s="82">
        <v>6</v>
      </c>
      <c r="F68" s="209"/>
      <c r="G68" s="39"/>
      <c r="H68" s="79">
        <v>11</v>
      </c>
      <c r="I68" s="217"/>
      <c r="J68" s="82">
        <v>18</v>
      </c>
      <c r="K68" s="212"/>
      <c r="L68" s="1"/>
      <c r="M68" s="1"/>
      <c r="N68" s="222"/>
      <c r="O68" s="222"/>
      <c r="P68" s="240"/>
      <c r="Q68" s="222"/>
      <c r="R68" s="1"/>
      <c r="S68" s="222"/>
      <c r="T68" s="246"/>
      <c r="U68" s="240"/>
      <c r="V68" s="256"/>
    </row>
    <row r="69" spans="1:22" ht="15.75" thickBot="1" x14ac:dyDescent="0.3">
      <c r="A69" s="204"/>
      <c r="B69" s="46" t="s">
        <v>51</v>
      </c>
      <c r="C69" s="107">
        <v>1</v>
      </c>
      <c r="D69" s="215"/>
      <c r="E69" s="108">
        <v>1</v>
      </c>
      <c r="F69" s="209"/>
      <c r="G69" s="39"/>
      <c r="H69" s="107">
        <v>2</v>
      </c>
      <c r="I69" s="238"/>
      <c r="J69" s="108">
        <v>8</v>
      </c>
      <c r="K69" s="218"/>
      <c r="L69" s="1"/>
      <c r="M69" s="1"/>
      <c r="N69" s="223"/>
      <c r="O69" s="223"/>
      <c r="P69" s="241"/>
      <c r="Q69" s="223"/>
      <c r="R69" s="53"/>
      <c r="S69" s="223"/>
      <c r="T69" s="247"/>
      <c r="U69" s="241"/>
      <c r="V69" s="257"/>
    </row>
    <row r="70" spans="1:22" ht="15.75" thickBot="1" x14ac:dyDescent="0.3">
      <c r="A70" s="11" t="s">
        <v>13</v>
      </c>
      <c r="B70" s="109"/>
      <c r="C70" s="110"/>
      <c r="D70" s="111">
        <f>C70</f>
        <v>0</v>
      </c>
      <c r="E70" s="112">
        <v>17</v>
      </c>
      <c r="F70" s="113">
        <f>E70</f>
        <v>17</v>
      </c>
      <c r="G70" s="43"/>
      <c r="H70" s="114"/>
      <c r="I70" s="115">
        <f>H70</f>
        <v>0</v>
      </c>
      <c r="J70" s="112">
        <v>62</v>
      </c>
      <c r="K70" s="104">
        <f>J70</f>
        <v>62</v>
      </c>
      <c r="L70" s="1"/>
      <c r="M70" s="1"/>
      <c r="N70" s="96"/>
      <c r="O70" s="96"/>
      <c r="P70" s="97"/>
      <c r="Q70" s="119"/>
      <c r="R70" s="95"/>
      <c r="S70" s="96"/>
      <c r="T70" s="96"/>
      <c r="U70" s="97"/>
      <c r="V70" s="171"/>
    </row>
    <row r="71" spans="1:22" ht="15.75" thickBot="1" x14ac:dyDescent="0.3">
      <c r="A71" s="11" t="s">
        <v>7</v>
      </c>
      <c r="B71" s="48"/>
      <c r="C71" s="106">
        <f>SUM(C26:C70)</f>
        <v>111</v>
      </c>
      <c r="D71" s="80">
        <f>SUM(D26:D70)</f>
        <v>111</v>
      </c>
      <c r="E71" s="106">
        <f>SUM(E26:E70)</f>
        <v>923</v>
      </c>
      <c r="F71" s="81">
        <f>SUM(F26:F70)</f>
        <v>923</v>
      </c>
      <c r="G71" s="44"/>
      <c r="H71" s="116">
        <f>SUM(H26:H70)</f>
        <v>405</v>
      </c>
      <c r="I71" s="84">
        <f>SUM(I26:I70)</f>
        <v>405</v>
      </c>
      <c r="J71" s="116">
        <f>SUM(J26:J70)</f>
        <v>3584</v>
      </c>
      <c r="K71" s="103">
        <f>SUM(K26:K70)</f>
        <v>3584</v>
      </c>
      <c r="L71" s="1"/>
      <c r="M71" s="1"/>
      <c r="N71" s="56">
        <f>SUM(N26:N70)</f>
        <v>54</v>
      </c>
      <c r="O71" s="98">
        <f>SUM(O26:O70)</f>
        <v>71</v>
      </c>
      <c r="P71" s="131">
        <f>SUM(P26:P70)</f>
        <v>227</v>
      </c>
      <c r="Q71" s="132">
        <f>SUM(Q26:Q70)</f>
        <v>272</v>
      </c>
      <c r="R71" s="53"/>
      <c r="S71" s="56">
        <f>SUM(S26:S70)</f>
        <v>150</v>
      </c>
      <c r="T71" s="56">
        <f>SUM(T26:T70)</f>
        <v>166</v>
      </c>
      <c r="U71" s="131">
        <f>SUM(U26:U70)</f>
        <v>503</v>
      </c>
      <c r="V71" s="133">
        <f>SUM(V26:V70)</f>
        <v>560</v>
      </c>
    </row>
    <row r="72" spans="1:22" x14ac:dyDescent="0.25">
      <c r="L72" s="1"/>
      <c r="M72" s="1"/>
    </row>
    <row r="73" spans="1:22" ht="60" customHeight="1" x14ac:dyDescent="0.25"/>
    <row r="74" spans="1:22" ht="71.25" hidden="1" x14ac:dyDescent="0.25">
      <c r="M74" s="120" t="s">
        <v>78</v>
      </c>
      <c r="N74" s="121" t="s">
        <v>79</v>
      </c>
      <c r="O74" s="122" t="s">
        <v>80</v>
      </c>
      <c r="P74" s="121" t="s">
        <v>81</v>
      </c>
      <c r="Q74" s="123" t="s">
        <v>82</v>
      </c>
      <c r="S74" s="121" t="s">
        <v>83</v>
      </c>
      <c r="T74" s="122" t="s">
        <v>84</v>
      </c>
      <c r="U74" s="121" t="s">
        <v>85</v>
      </c>
      <c r="V74" s="123" t="s">
        <v>86</v>
      </c>
    </row>
    <row r="75" spans="1:22" hidden="1" x14ac:dyDescent="0.25">
      <c r="M75" s="117">
        <v>1</v>
      </c>
      <c r="N75" s="124">
        <v>4</v>
      </c>
      <c r="O75" s="124">
        <v>6</v>
      </c>
      <c r="P75" s="125">
        <v>21</v>
      </c>
      <c r="Q75" s="125">
        <v>31</v>
      </c>
      <c r="S75" s="124">
        <v>20</v>
      </c>
      <c r="T75" s="124">
        <v>19</v>
      </c>
      <c r="U75" s="125">
        <v>80</v>
      </c>
      <c r="V75" s="125">
        <v>90</v>
      </c>
    </row>
    <row r="76" spans="1:22" hidden="1" x14ac:dyDescent="0.25">
      <c r="M76" s="117">
        <v>2</v>
      </c>
      <c r="N76" s="124">
        <v>2</v>
      </c>
      <c r="O76" s="124">
        <v>3</v>
      </c>
      <c r="P76" s="125">
        <v>7</v>
      </c>
      <c r="Q76" s="125">
        <v>12</v>
      </c>
      <c r="S76" s="124">
        <v>14</v>
      </c>
      <c r="T76" s="124">
        <v>22</v>
      </c>
      <c r="U76" s="125">
        <v>40</v>
      </c>
      <c r="V76" s="125">
        <v>67</v>
      </c>
    </row>
    <row r="77" spans="1:22" hidden="1" x14ac:dyDescent="0.25">
      <c r="M77" s="117">
        <v>3</v>
      </c>
      <c r="N77" s="124">
        <v>4</v>
      </c>
      <c r="O77" s="124">
        <v>5</v>
      </c>
      <c r="P77" s="125">
        <v>20</v>
      </c>
      <c r="Q77" s="125">
        <v>25</v>
      </c>
      <c r="S77" s="124">
        <v>18</v>
      </c>
      <c r="T77" s="124">
        <v>11</v>
      </c>
      <c r="U77" s="125">
        <v>59</v>
      </c>
      <c r="V77" s="125">
        <v>59</v>
      </c>
    </row>
    <row r="78" spans="1:22" hidden="1" x14ac:dyDescent="0.25">
      <c r="M78" s="117">
        <v>4</v>
      </c>
      <c r="N78" s="124">
        <v>11</v>
      </c>
      <c r="O78" s="124">
        <v>8</v>
      </c>
      <c r="P78" s="125">
        <v>45</v>
      </c>
      <c r="Q78" s="125">
        <v>42</v>
      </c>
      <c r="S78" s="124">
        <v>15</v>
      </c>
      <c r="T78" s="124">
        <v>18</v>
      </c>
      <c r="U78" s="125">
        <v>72</v>
      </c>
      <c r="V78" s="125">
        <v>78</v>
      </c>
    </row>
    <row r="79" spans="1:22" hidden="1" x14ac:dyDescent="0.25">
      <c r="M79" s="117">
        <v>5</v>
      </c>
      <c r="N79" s="124">
        <v>6</v>
      </c>
      <c r="O79" s="124">
        <v>2</v>
      </c>
      <c r="P79" s="125">
        <v>19</v>
      </c>
      <c r="Q79" s="125">
        <v>22</v>
      </c>
      <c r="S79" s="124">
        <v>8</v>
      </c>
      <c r="T79" s="124">
        <v>15</v>
      </c>
      <c r="U79" s="125">
        <v>45</v>
      </c>
      <c r="V79" s="125">
        <v>66</v>
      </c>
    </row>
    <row r="80" spans="1:22" ht="26.25" hidden="1" customHeight="1" x14ac:dyDescent="0.25">
      <c r="M80" s="117">
        <v>6</v>
      </c>
      <c r="N80" s="124">
        <v>4</v>
      </c>
      <c r="O80" s="124">
        <v>3</v>
      </c>
      <c r="P80" s="125">
        <v>20</v>
      </c>
      <c r="Q80" s="125">
        <v>22</v>
      </c>
      <c r="S80" s="124">
        <v>10</v>
      </c>
      <c r="T80" s="124">
        <v>5</v>
      </c>
      <c r="U80" s="125">
        <v>52</v>
      </c>
      <c r="V80" s="125">
        <v>44</v>
      </c>
    </row>
    <row r="81" spans="14:30" x14ac:dyDescent="0.25">
      <c r="X81" s="134"/>
      <c r="Y81" s="134"/>
      <c r="Z81" s="134"/>
      <c r="AA81" s="134"/>
      <c r="AB81" s="134"/>
      <c r="AC81" s="134"/>
      <c r="AD81" s="134"/>
    </row>
    <row r="90" spans="14:30" x14ac:dyDescent="0.25">
      <c r="N90" s="87"/>
      <c r="O90" s="87">
        <v>3</v>
      </c>
      <c r="P90" s="87">
        <v>19</v>
      </c>
      <c r="Q90" s="87">
        <v>14</v>
      </c>
      <c r="R90" s="87">
        <v>10</v>
      </c>
      <c r="S90" s="87">
        <v>4</v>
      </c>
      <c r="T90" s="87">
        <v>16</v>
      </c>
    </row>
  </sheetData>
  <sheetProtection password="8A47" sheet="1" objects="1" scenarios="1"/>
  <mergeCells count="106">
    <mergeCell ref="V42:V45"/>
    <mergeCell ref="V46:V53"/>
    <mergeCell ref="V54:V59"/>
    <mergeCell ref="V60:V69"/>
    <mergeCell ref="N46:N53"/>
    <mergeCell ref="O46:O53"/>
    <mergeCell ref="N54:N59"/>
    <mergeCell ref="S60:S69"/>
    <mergeCell ref="S42:S45"/>
    <mergeCell ref="S46:S53"/>
    <mergeCell ref="S54:S59"/>
    <mergeCell ref="T60:T69"/>
    <mergeCell ref="U60:U69"/>
    <mergeCell ref="N60:N69"/>
    <mergeCell ref="O60:O69"/>
    <mergeCell ref="T54:T59"/>
    <mergeCell ref="U54:U59"/>
    <mergeCell ref="T42:T45"/>
    <mergeCell ref="U42:U45"/>
    <mergeCell ref="P54:P59"/>
    <mergeCell ref="Q54:Q59"/>
    <mergeCell ref="P60:P69"/>
    <mergeCell ref="Q60:Q69"/>
    <mergeCell ref="T31:T35"/>
    <mergeCell ref="U31:U35"/>
    <mergeCell ref="T36:T41"/>
    <mergeCell ref="U36:U41"/>
    <mergeCell ref="T46:T53"/>
    <mergeCell ref="U46:U53"/>
    <mergeCell ref="S36:S41"/>
    <mergeCell ref="S23:V23"/>
    <mergeCell ref="N22:V22"/>
    <mergeCell ref="P26:P30"/>
    <mergeCell ref="Q26:Q30"/>
    <mergeCell ref="V26:V30"/>
    <mergeCell ref="N23:Q23"/>
    <mergeCell ref="N24:O24"/>
    <mergeCell ref="P24:Q24"/>
    <mergeCell ref="S26:S30"/>
    <mergeCell ref="P31:P35"/>
    <mergeCell ref="Q31:Q35"/>
    <mergeCell ref="V31:V35"/>
    <mergeCell ref="V36:V41"/>
    <mergeCell ref="N26:N30"/>
    <mergeCell ref="O26:O30"/>
    <mergeCell ref="T26:T30"/>
    <mergeCell ref="U26:U30"/>
    <mergeCell ref="S24:T24"/>
    <mergeCell ref="U24:V24"/>
    <mergeCell ref="S31:S35"/>
    <mergeCell ref="N31:N35"/>
    <mergeCell ref="O31:O35"/>
    <mergeCell ref="N36:N41"/>
    <mergeCell ref="A60:A69"/>
    <mergeCell ref="A22:B25"/>
    <mergeCell ref="F60:F69"/>
    <mergeCell ref="K60:K69"/>
    <mergeCell ref="D60:D69"/>
    <mergeCell ref="I60:I69"/>
    <mergeCell ref="P36:P41"/>
    <mergeCell ref="Q36:Q41"/>
    <mergeCell ref="P42:P45"/>
    <mergeCell ref="Q42:Q45"/>
    <mergeCell ref="P46:P53"/>
    <mergeCell ref="Q46:Q53"/>
    <mergeCell ref="K26:K30"/>
    <mergeCell ref="F26:F30"/>
    <mergeCell ref="K31:K35"/>
    <mergeCell ref="F31:F35"/>
    <mergeCell ref="C22:K22"/>
    <mergeCell ref="C24:D24"/>
    <mergeCell ref="E24:F24"/>
    <mergeCell ref="D26:D30"/>
    <mergeCell ref="O36:O41"/>
    <mergeCell ref="N42:N45"/>
    <mergeCell ref="O42:O45"/>
    <mergeCell ref="O54:O59"/>
    <mergeCell ref="I46:I53"/>
    <mergeCell ref="C23:F23"/>
    <mergeCell ref="H23:K23"/>
    <mergeCell ref="J24:K24"/>
    <mergeCell ref="H24:I24"/>
    <mergeCell ref="I54:I59"/>
    <mergeCell ref="A26:A30"/>
    <mergeCell ref="A31:A35"/>
    <mergeCell ref="A36:A41"/>
    <mergeCell ref="A42:A45"/>
    <mergeCell ref="A46:A53"/>
    <mergeCell ref="A54:A59"/>
    <mergeCell ref="F54:F59"/>
    <mergeCell ref="K36:K41"/>
    <mergeCell ref="D36:D41"/>
    <mergeCell ref="D42:D45"/>
    <mergeCell ref="D46:D53"/>
    <mergeCell ref="D54:D59"/>
    <mergeCell ref="I26:I30"/>
    <mergeCell ref="I31:I35"/>
    <mergeCell ref="I36:I41"/>
    <mergeCell ref="I42:I45"/>
    <mergeCell ref="F36:F41"/>
    <mergeCell ref="K54:K59"/>
    <mergeCell ref="D31:D35"/>
    <mergeCell ref="K42:K45"/>
    <mergeCell ref="F42:F45"/>
    <mergeCell ref="K46:K53"/>
    <mergeCell ref="F46:F53"/>
  </mergeCells>
  <pageMargins left="0.7" right="0.7" top="0.75" bottom="0.75" header="0.3" footer="0.3"/>
  <pageSetup orientation="portrait" r:id="rId1"/>
  <ignoredErrors>
    <ignoredError sqref="D26 D31 D36 D42 D46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6:O126"/>
  <sheetViews>
    <sheetView zoomScale="70" zoomScaleNormal="70" workbookViewId="0">
      <selection activeCell="O36" sqref="O36"/>
    </sheetView>
  </sheetViews>
  <sheetFormatPr defaultRowHeight="15" x14ac:dyDescent="0.25"/>
  <cols>
    <col min="1" max="1" width="16.85546875" customWidth="1"/>
    <col min="2" max="2" width="11.5703125" customWidth="1"/>
    <col min="3" max="4" width="21.28515625" customWidth="1"/>
    <col min="5" max="5" width="4.140625" customWidth="1"/>
    <col min="6" max="7" width="21.28515625" customWidth="1"/>
  </cols>
  <sheetData>
    <row r="26" spans="1:12" ht="45.75" customHeight="1" x14ac:dyDescent="0.25">
      <c r="A26" s="233">
        <f>Holds!A29</f>
        <v>41548</v>
      </c>
      <c r="B26" s="233"/>
      <c r="C26" s="265" t="s">
        <v>63</v>
      </c>
      <c r="D26" s="266"/>
      <c r="E26" s="13"/>
      <c r="F26" s="265" t="s">
        <v>65</v>
      </c>
      <c r="G26" s="266"/>
    </row>
    <row r="27" spans="1:12" s="3" customFormat="1" ht="36.75" customHeight="1" x14ac:dyDescent="0.25">
      <c r="A27" s="233"/>
      <c r="B27" s="233"/>
      <c r="C27" s="21" t="s">
        <v>67</v>
      </c>
      <c r="D27" s="22" t="s">
        <v>116</v>
      </c>
      <c r="F27" s="21" t="s">
        <v>66</v>
      </c>
      <c r="G27" s="22" t="s">
        <v>117</v>
      </c>
    </row>
    <row r="28" spans="1:12" ht="5.25" customHeight="1" x14ac:dyDescent="0.25">
      <c r="A28" s="233"/>
      <c r="B28" s="233"/>
    </row>
    <row r="29" spans="1:12" ht="5.25" customHeight="1" x14ac:dyDescent="0.25">
      <c r="A29" s="236"/>
      <c r="B29" s="236"/>
      <c r="K29" s="268"/>
      <c r="L29" s="268"/>
    </row>
    <row r="30" spans="1:12" ht="15" customHeight="1" x14ac:dyDescent="0.25">
      <c r="A30" s="202" t="s">
        <v>0</v>
      </c>
      <c r="B30" s="9" t="s">
        <v>8</v>
      </c>
      <c r="C30" s="262">
        <v>79</v>
      </c>
      <c r="D30" s="259">
        <v>123</v>
      </c>
      <c r="F30" s="262">
        <v>379</v>
      </c>
      <c r="G30" s="259">
        <v>630</v>
      </c>
      <c r="H30" s="138"/>
      <c r="I30" s="267"/>
      <c r="J30" s="267"/>
      <c r="K30" s="268"/>
      <c r="L30" s="268"/>
    </row>
    <row r="31" spans="1:12" ht="15.75" x14ac:dyDescent="0.25">
      <c r="A31" s="203"/>
      <c r="B31" s="10" t="s">
        <v>9</v>
      </c>
      <c r="C31" s="263"/>
      <c r="D31" s="260"/>
      <c r="F31" s="263"/>
      <c r="G31" s="260"/>
      <c r="H31" s="138"/>
      <c r="I31" s="267"/>
      <c r="J31" s="267"/>
      <c r="K31" s="153"/>
      <c r="L31" s="153"/>
    </row>
    <row r="32" spans="1:12" ht="15.75" x14ac:dyDescent="0.25">
      <c r="A32" s="203"/>
      <c r="B32" s="10" t="s">
        <v>10</v>
      </c>
      <c r="C32" s="263"/>
      <c r="D32" s="260"/>
      <c r="F32" s="263"/>
      <c r="G32" s="260"/>
      <c r="H32" s="138"/>
      <c r="I32" s="177"/>
      <c r="J32" s="177"/>
      <c r="K32" s="153"/>
      <c r="L32" s="153"/>
    </row>
    <row r="33" spans="1:12" ht="15.75" x14ac:dyDescent="0.25">
      <c r="A33" s="203"/>
      <c r="B33" s="10" t="s">
        <v>11</v>
      </c>
      <c r="C33" s="263"/>
      <c r="D33" s="260"/>
      <c r="F33" s="263"/>
      <c r="G33" s="260"/>
      <c r="H33" s="138"/>
      <c r="I33" s="177"/>
      <c r="J33" s="177"/>
      <c r="K33" s="153"/>
      <c r="L33" s="153"/>
    </row>
    <row r="34" spans="1:12" ht="15.75" x14ac:dyDescent="0.25">
      <c r="A34" s="204"/>
      <c r="B34" s="10" t="s">
        <v>12</v>
      </c>
      <c r="C34" s="264"/>
      <c r="D34" s="261"/>
      <c r="F34" s="264"/>
      <c r="G34" s="261"/>
      <c r="H34" s="138"/>
      <c r="I34" s="177"/>
      <c r="J34" s="177"/>
      <c r="K34" s="153"/>
      <c r="L34" s="153"/>
    </row>
    <row r="35" spans="1:12" ht="15.75" x14ac:dyDescent="0.25">
      <c r="A35" s="202" t="s">
        <v>1</v>
      </c>
      <c r="B35" s="9" t="s">
        <v>14</v>
      </c>
      <c r="C35" s="262">
        <v>75</v>
      </c>
      <c r="D35" s="259">
        <v>94</v>
      </c>
      <c r="F35" s="262">
        <v>195</v>
      </c>
      <c r="G35" s="259">
        <v>330</v>
      </c>
      <c r="H35" s="138"/>
      <c r="I35" s="177"/>
      <c r="J35" s="177"/>
      <c r="K35" s="153"/>
      <c r="L35" s="153"/>
    </row>
    <row r="36" spans="1:12" ht="15.75" x14ac:dyDescent="0.25">
      <c r="A36" s="203"/>
      <c r="B36" s="10" t="s">
        <v>15</v>
      </c>
      <c r="C36" s="263"/>
      <c r="D36" s="260"/>
      <c r="F36" s="263"/>
      <c r="G36" s="260"/>
      <c r="H36" s="138"/>
      <c r="I36" s="177"/>
      <c r="J36" s="177"/>
      <c r="K36" s="153"/>
      <c r="L36" s="153"/>
    </row>
    <row r="37" spans="1:12" x14ac:dyDescent="0.25">
      <c r="A37" s="203"/>
      <c r="B37" s="10" t="s">
        <v>16</v>
      </c>
      <c r="C37" s="263"/>
      <c r="D37" s="260"/>
      <c r="F37" s="263"/>
      <c r="G37" s="260"/>
      <c r="H37" s="139"/>
      <c r="I37" s="177"/>
      <c r="J37" s="177"/>
      <c r="K37" s="153"/>
      <c r="L37" s="153"/>
    </row>
    <row r="38" spans="1:12" x14ac:dyDescent="0.25">
      <c r="A38" s="203"/>
      <c r="B38" s="10" t="s">
        <v>17</v>
      </c>
      <c r="C38" s="263"/>
      <c r="D38" s="260"/>
      <c r="F38" s="263"/>
      <c r="G38" s="260"/>
      <c r="I38" s="177"/>
      <c r="J38" s="177"/>
      <c r="K38" s="154"/>
      <c r="L38" s="154"/>
    </row>
    <row r="39" spans="1:12" x14ac:dyDescent="0.25">
      <c r="A39" s="204"/>
      <c r="B39" s="10" t="s">
        <v>18</v>
      </c>
      <c r="C39" s="264"/>
      <c r="D39" s="261"/>
      <c r="F39" s="264"/>
      <c r="G39" s="261"/>
      <c r="I39" s="178"/>
      <c r="J39" s="178"/>
    </row>
    <row r="40" spans="1:12" x14ac:dyDescent="0.25">
      <c r="A40" s="202" t="s">
        <v>2</v>
      </c>
      <c r="B40" s="9" t="s">
        <v>19</v>
      </c>
      <c r="C40" s="262">
        <v>86</v>
      </c>
      <c r="D40" s="259">
        <v>129</v>
      </c>
      <c r="F40" s="262">
        <v>676</v>
      </c>
      <c r="G40" s="259">
        <v>1249</v>
      </c>
    </row>
    <row r="41" spans="1:12" x14ac:dyDescent="0.25">
      <c r="A41" s="203"/>
      <c r="B41" s="10" t="s">
        <v>20</v>
      </c>
      <c r="C41" s="263"/>
      <c r="D41" s="260"/>
      <c r="F41" s="263"/>
      <c r="G41" s="260"/>
    </row>
    <row r="42" spans="1:12" x14ac:dyDescent="0.25">
      <c r="A42" s="203"/>
      <c r="B42" s="10" t="s">
        <v>21</v>
      </c>
      <c r="C42" s="263"/>
      <c r="D42" s="260"/>
      <c r="F42" s="263"/>
      <c r="G42" s="260"/>
    </row>
    <row r="43" spans="1:12" x14ac:dyDescent="0.25">
      <c r="A43" s="203"/>
      <c r="B43" s="10" t="s">
        <v>22</v>
      </c>
      <c r="C43" s="263"/>
      <c r="D43" s="260"/>
      <c r="F43" s="263"/>
      <c r="G43" s="260"/>
    </row>
    <row r="44" spans="1:12" x14ac:dyDescent="0.25">
      <c r="A44" s="203"/>
      <c r="B44" s="10" t="s">
        <v>23</v>
      </c>
      <c r="C44" s="263"/>
      <c r="D44" s="260"/>
      <c r="F44" s="263"/>
      <c r="G44" s="260"/>
    </row>
    <row r="45" spans="1:12" x14ac:dyDescent="0.25">
      <c r="A45" s="204"/>
      <c r="B45" s="10" t="s">
        <v>24</v>
      </c>
      <c r="C45" s="264"/>
      <c r="D45" s="261"/>
      <c r="F45" s="264"/>
      <c r="G45" s="261"/>
    </row>
    <row r="46" spans="1:12" x14ac:dyDescent="0.25">
      <c r="A46" s="202" t="s">
        <v>3</v>
      </c>
      <c r="B46" s="9" t="s">
        <v>25</v>
      </c>
      <c r="C46" s="262">
        <v>162</v>
      </c>
      <c r="D46" s="259">
        <v>247</v>
      </c>
      <c r="F46" s="262">
        <v>676</v>
      </c>
      <c r="G46" s="259">
        <v>1564</v>
      </c>
    </row>
    <row r="47" spans="1:12" x14ac:dyDescent="0.25">
      <c r="A47" s="203"/>
      <c r="B47" s="10" t="s">
        <v>26</v>
      </c>
      <c r="C47" s="263"/>
      <c r="D47" s="260"/>
      <c r="F47" s="263"/>
      <c r="G47" s="260"/>
    </row>
    <row r="48" spans="1:12" x14ac:dyDescent="0.25">
      <c r="A48" s="203"/>
      <c r="B48" s="10" t="s">
        <v>27</v>
      </c>
      <c r="C48" s="263"/>
      <c r="D48" s="260"/>
      <c r="F48" s="263"/>
      <c r="G48" s="260"/>
    </row>
    <row r="49" spans="1:7" x14ac:dyDescent="0.25">
      <c r="A49" s="204"/>
      <c r="B49" s="10" t="s">
        <v>28</v>
      </c>
      <c r="C49" s="264"/>
      <c r="D49" s="261"/>
      <c r="F49" s="264"/>
      <c r="G49" s="261"/>
    </row>
    <row r="50" spans="1:7" x14ac:dyDescent="0.25">
      <c r="A50" s="202" t="s">
        <v>4</v>
      </c>
      <c r="B50" s="9" t="s">
        <v>29</v>
      </c>
      <c r="C50" s="262">
        <v>91</v>
      </c>
      <c r="D50" s="259">
        <v>123</v>
      </c>
      <c r="F50" s="262">
        <v>262</v>
      </c>
      <c r="G50" s="259">
        <v>540</v>
      </c>
    </row>
    <row r="51" spans="1:7" x14ac:dyDescent="0.25">
      <c r="A51" s="203"/>
      <c r="B51" s="10" t="s">
        <v>30</v>
      </c>
      <c r="C51" s="263"/>
      <c r="D51" s="260"/>
      <c r="F51" s="263"/>
      <c r="G51" s="260"/>
    </row>
    <row r="52" spans="1:7" x14ac:dyDescent="0.25">
      <c r="A52" s="203"/>
      <c r="B52" s="10" t="s">
        <v>31</v>
      </c>
      <c r="C52" s="263"/>
      <c r="D52" s="260"/>
      <c r="F52" s="263"/>
      <c r="G52" s="260"/>
    </row>
    <row r="53" spans="1:7" x14ac:dyDescent="0.25">
      <c r="A53" s="203"/>
      <c r="B53" s="10" t="s">
        <v>32</v>
      </c>
      <c r="C53" s="263"/>
      <c r="D53" s="260"/>
      <c r="F53" s="263"/>
      <c r="G53" s="260"/>
    </row>
    <row r="54" spans="1:7" x14ac:dyDescent="0.25">
      <c r="A54" s="203"/>
      <c r="B54" s="10" t="s">
        <v>33</v>
      </c>
      <c r="C54" s="263"/>
      <c r="D54" s="260"/>
      <c r="F54" s="263"/>
      <c r="G54" s="260"/>
    </row>
    <row r="55" spans="1:7" x14ac:dyDescent="0.25">
      <c r="A55" s="203"/>
      <c r="B55" s="10" t="s">
        <v>69</v>
      </c>
      <c r="C55" s="263"/>
      <c r="D55" s="260"/>
      <c r="F55" s="263"/>
      <c r="G55" s="260"/>
    </row>
    <row r="56" spans="1:7" x14ac:dyDescent="0.25">
      <c r="A56" s="203"/>
      <c r="B56" s="10" t="s">
        <v>34</v>
      </c>
      <c r="C56" s="263"/>
      <c r="D56" s="260"/>
      <c r="F56" s="263"/>
      <c r="G56" s="260"/>
    </row>
    <row r="57" spans="1:7" x14ac:dyDescent="0.25">
      <c r="A57" s="204"/>
      <c r="B57" s="10" t="s">
        <v>35</v>
      </c>
      <c r="C57" s="264"/>
      <c r="D57" s="261"/>
      <c r="F57" s="264"/>
      <c r="G57" s="261"/>
    </row>
    <row r="58" spans="1:7" x14ac:dyDescent="0.25">
      <c r="A58" s="202" t="s">
        <v>5</v>
      </c>
      <c r="B58" s="9" t="s">
        <v>36</v>
      </c>
      <c r="C58" s="262">
        <v>60</v>
      </c>
      <c r="D58" s="259">
        <v>91</v>
      </c>
      <c r="F58" s="262">
        <v>270</v>
      </c>
      <c r="G58" s="259">
        <v>500</v>
      </c>
    </row>
    <row r="59" spans="1:7" x14ac:dyDescent="0.25">
      <c r="A59" s="203"/>
      <c r="B59" s="10" t="s">
        <v>37</v>
      </c>
      <c r="C59" s="263"/>
      <c r="D59" s="260"/>
      <c r="F59" s="263"/>
      <c r="G59" s="260"/>
    </row>
    <row r="60" spans="1:7" x14ac:dyDescent="0.25">
      <c r="A60" s="203"/>
      <c r="B60" s="10" t="s">
        <v>38</v>
      </c>
      <c r="C60" s="263"/>
      <c r="D60" s="260"/>
      <c r="F60" s="263"/>
      <c r="G60" s="260"/>
    </row>
    <row r="61" spans="1:7" x14ac:dyDescent="0.25">
      <c r="A61" s="203"/>
      <c r="B61" s="10" t="s">
        <v>39</v>
      </c>
      <c r="C61" s="263"/>
      <c r="D61" s="260"/>
      <c r="F61" s="263"/>
      <c r="G61" s="260"/>
    </row>
    <row r="62" spans="1:7" x14ac:dyDescent="0.25">
      <c r="A62" s="203"/>
      <c r="B62" s="10" t="s">
        <v>40</v>
      </c>
      <c r="C62" s="263"/>
      <c r="D62" s="260"/>
      <c r="F62" s="263"/>
      <c r="G62" s="260"/>
    </row>
    <row r="63" spans="1:7" x14ac:dyDescent="0.25">
      <c r="A63" s="204"/>
      <c r="B63" s="10" t="s">
        <v>41</v>
      </c>
      <c r="C63" s="264"/>
      <c r="D63" s="261"/>
      <c r="F63" s="264"/>
      <c r="G63" s="261"/>
    </row>
    <row r="64" spans="1:7" x14ac:dyDescent="0.25">
      <c r="A64" s="202" t="s">
        <v>6</v>
      </c>
      <c r="B64" s="9" t="s">
        <v>42</v>
      </c>
      <c r="C64" s="262">
        <v>164</v>
      </c>
      <c r="D64" s="259">
        <v>287</v>
      </c>
      <c r="F64" s="262">
        <v>583</v>
      </c>
      <c r="G64" s="259">
        <v>965</v>
      </c>
    </row>
    <row r="65" spans="1:15" x14ac:dyDescent="0.25">
      <c r="A65" s="203"/>
      <c r="B65" s="10" t="s">
        <v>43</v>
      </c>
      <c r="C65" s="263"/>
      <c r="D65" s="260"/>
      <c r="F65" s="263"/>
      <c r="G65" s="260"/>
    </row>
    <row r="66" spans="1:15" x14ac:dyDescent="0.25">
      <c r="A66" s="203"/>
      <c r="B66" s="10" t="s">
        <v>44</v>
      </c>
      <c r="C66" s="263"/>
      <c r="D66" s="260"/>
      <c r="F66" s="263"/>
      <c r="G66" s="260"/>
      <c r="K66" s="87"/>
      <c r="L66" s="87"/>
      <c r="M66" s="87"/>
    </row>
    <row r="67" spans="1:15" x14ac:dyDescent="0.25">
      <c r="A67" s="203"/>
      <c r="B67" s="10" t="s">
        <v>45</v>
      </c>
      <c r="C67" s="263"/>
      <c r="D67" s="260"/>
      <c r="F67" s="263"/>
      <c r="G67" s="260"/>
    </row>
    <row r="68" spans="1:15" x14ac:dyDescent="0.25">
      <c r="A68" s="203"/>
      <c r="B68" s="10" t="s">
        <v>46</v>
      </c>
      <c r="C68" s="263"/>
      <c r="D68" s="260"/>
      <c r="F68" s="263"/>
      <c r="G68" s="260"/>
    </row>
    <row r="69" spans="1:15" x14ac:dyDescent="0.25">
      <c r="A69" s="203"/>
      <c r="B69" s="10" t="s">
        <v>47</v>
      </c>
      <c r="C69" s="263"/>
      <c r="D69" s="260"/>
      <c r="F69" s="263"/>
      <c r="G69" s="260"/>
    </row>
    <row r="70" spans="1:15" x14ac:dyDescent="0.25">
      <c r="A70" s="203"/>
      <c r="B70" s="10" t="s">
        <v>48</v>
      </c>
      <c r="C70" s="263"/>
      <c r="D70" s="260"/>
      <c r="F70" s="263"/>
      <c r="G70" s="260"/>
    </row>
    <row r="71" spans="1:15" x14ac:dyDescent="0.25">
      <c r="A71" s="203"/>
      <c r="B71" s="10" t="s">
        <v>49</v>
      </c>
      <c r="C71" s="263"/>
      <c r="D71" s="260"/>
      <c r="F71" s="263"/>
      <c r="G71" s="260"/>
    </row>
    <row r="72" spans="1:15" x14ac:dyDescent="0.25">
      <c r="A72" s="203"/>
      <c r="B72" s="10" t="s">
        <v>50</v>
      </c>
      <c r="C72" s="263"/>
      <c r="D72" s="260"/>
      <c r="F72" s="263"/>
      <c r="G72" s="260"/>
    </row>
    <row r="73" spans="1:15" x14ac:dyDescent="0.25">
      <c r="A73" s="204"/>
      <c r="B73" s="10" t="s">
        <v>51</v>
      </c>
      <c r="C73" s="264"/>
      <c r="D73" s="261"/>
      <c r="F73" s="264"/>
      <c r="G73" s="261"/>
    </row>
    <row r="74" spans="1:15" x14ac:dyDescent="0.25">
      <c r="A74" s="11" t="s">
        <v>13</v>
      </c>
      <c r="B74" s="12"/>
      <c r="C74" s="83"/>
      <c r="D74" s="93"/>
      <c r="E74" s="94"/>
      <c r="F74" s="83"/>
      <c r="G74" s="93"/>
    </row>
    <row r="75" spans="1:15" x14ac:dyDescent="0.25">
      <c r="A75" s="11" t="s">
        <v>7</v>
      </c>
      <c r="B75" s="12"/>
      <c r="C75" s="61">
        <f>SUM(C30:C74)</f>
        <v>717</v>
      </c>
      <c r="D75" s="62">
        <f>SUM(D30:D74)</f>
        <v>1094</v>
      </c>
      <c r="F75" s="61">
        <f>SUM(F30:F74)</f>
        <v>3041</v>
      </c>
      <c r="G75" s="62">
        <f>SUM(G30:G74)</f>
        <v>5778</v>
      </c>
    </row>
    <row r="76" spans="1:15" x14ac:dyDescent="0.25">
      <c r="I76" s="87"/>
      <c r="N76" s="87"/>
      <c r="O76" s="87"/>
    </row>
    <row r="80" spans="1:15" ht="15" customHeight="1" x14ac:dyDescent="0.25">
      <c r="A80" s="267"/>
      <c r="B80" s="267"/>
      <c r="C80" s="177"/>
      <c r="D80" s="177"/>
      <c r="E80" s="177"/>
      <c r="F80" s="177"/>
      <c r="G80" s="177"/>
      <c r="H80" s="177"/>
      <c r="I80" s="177"/>
      <c r="J80" s="178"/>
    </row>
    <row r="81" spans="1:14" ht="15" customHeight="1" x14ac:dyDescent="0.25">
      <c r="A81" s="267"/>
      <c r="B81" s="267"/>
      <c r="C81" s="177"/>
      <c r="D81" s="177"/>
      <c r="E81" s="177"/>
      <c r="F81" s="177"/>
      <c r="G81" s="177"/>
      <c r="H81" s="177"/>
      <c r="I81" s="177"/>
      <c r="J81" s="178"/>
    </row>
    <row r="83" spans="1:14" ht="24" hidden="1" x14ac:dyDescent="0.25">
      <c r="C83" s="126" t="s">
        <v>87</v>
      </c>
      <c r="D83" s="126" t="s">
        <v>88</v>
      </c>
      <c r="F83" s="126" t="s">
        <v>89</v>
      </c>
      <c r="G83" s="126" t="s">
        <v>90</v>
      </c>
    </row>
    <row r="84" spans="1:14" hidden="1" x14ac:dyDescent="0.25">
      <c r="C84" s="127">
        <v>318</v>
      </c>
      <c r="D84" s="127">
        <v>516</v>
      </c>
      <c r="F84" s="127">
        <v>57</v>
      </c>
      <c r="G84" s="127">
        <v>95</v>
      </c>
    </row>
    <row r="85" spans="1:14" hidden="1" x14ac:dyDescent="0.25">
      <c r="C85" s="127">
        <v>226</v>
      </c>
      <c r="D85" s="127">
        <v>366</v>
      </c>
      <c r="F85" s="127">
        <v>66</v>
      </c>
      <c r="G85" s="127">
        <v>85</v>
      </c>
      <c r="J85">
        <v>76</v>
      </c>
      <c r="K85">
        <v>114</v>
      </c>
      <c r="L85">
        <v>45</v>
      </c>
      <c r="M85">
        <v>48</v>
      </c>
    </row>
    <row r="86" spans="1:14" hidden="1" x14ac:dyDescent="0.25">
      <c r="C86" s="127">
        <v>444</v>
      </c>
      <c r="D86" s="127">
        <v>634</v>
      </c>
      <c r="F86" s="127">
        <v>58</v>
      </c>
      <c r="G86" s="127">
        <v>102</v>
      </c>
      <c r="J86">
        <v>83</v>
      </c>
      <c r="K86">
        <v>147</v>
      </c>
      <c r="L86">
        <v>68</v>
      </c>
      <c r="M86">
        <v>66</v>
      </c>
    </row>
    <row r="87" spans="1:14" hidden="1" x14ac:dyDescent="0.25">
      <c r="C87" s="127">
        <v>587</v>
      </c>
      <c r="D87" s="127">
        <v>1224</v>
      </c>
      <c r="F87" s="127">
        <v>126</v>
      </c>
      <c r="G87" s="127">
        <v>208</v>
      </c>
    </row>
    <row r="88" spans="1:14" hidden="1" x14ac:dyDescent="0.25">
      <c r="C88" s="127">
        <v>216</v>
      </c>
      <c r="D88" s="127">
        <v>463</v>
      </c>
      <c r="F88" s="127">
        <v>54</v>
      </c>
      <c r="G88" s="127">
        <v>99</v>
      </c>
    </row>
    <row r="89" spans="1:14" hidden="1" x14ac:dyDescent="0.25">
      <c r="C89" s="127">
        <v>213</v>
      </c>
      <c r="D89" s="127">
        <v>399</v>
      </c>
      <c r="F89" s="127">
        <v>54</v>
      </c>
      <c r="G89" s="127">
        <v>90</v>
      </c>
    </row>
    <row r="90" spans="1:14" hidden="1" x14ac:dyDescent="0.25">
      <c r="C90" s="127">
        <v>442</v>
      </c>
      <c r="D90" s="127">
        <v>796</v>
      </c>
      <c r="F90" s="127">
        <v>165</v>
      </c>
      <c r="G90" s="127">
        <v>270</v>
      </c>
    </row>
    <row r="91" spans="1:14" hidden="1" x14ac:dyDescent="0.25">
      <c r="C91" s="128">
        <v>2446</v>
      </c>
      <c r="D91" s="128">
        <v>4398</v>
      </c>
      <c r="F91" s="128">
        <v>580</v>
      </c>
      <c r="G91" s="128">
        <v>949</v>
      </c>
    </row>
    <row r="92" spans="1:14" hidden="1" x14ac:dyDescent="0.25">
      <c r="C92">
        <v>326</v>
      </c>
      <c r="D92">
        <v>414</v>
      </c>
      <c r="F92">
        <v>63</v>
      </c>
      <c r="G92">
        <v>80</v>
      </c>
    </row>
    <row r="93" spans="1:14" hidden="1" x14ac:dyDescent="0.25">
      <c r="C93">
        <v>205</v>
      </c>
      <c r="D93">
        <v>266</v>
      </c>
      <c r="F93">
        <v>69</v>
      </c>
      <c r="G93">
        <v>75</v>
      </c>
    </row>
    <row r="94" spans="1:14" hidden="1" x14ac:dyDescent="0.25">
      <c r="C94">
        <v>430</v>
      </c>
      <c r="D94">
        <v>527</v>
      </c>
      <c r="F94">
        <v>76</v>
      </c>
      <c r="G94">
        <v>83</v>
      </c>
    </row>
    <row r="95" spans="1:14" hidden="1" x14ac:dyDescent="0.25">
      <c r="C95">
        <v>605</v>
      </c>
      <c r="D95">
        <v>830</v>
      </c>
      <c r="F95">
        <v>114</v>
      </c>
      <c r="G95">
        <v>147</v>
      </c>
      <c r="H95">
        <v>63</v>
      </c>
      <c r="I95">
        <v>69</v>
      </c>
      <c r="N95">
        <v>186</v>
      </c>
    </row>
    <row r="96" spans="1:14" hidden="1" x14ac:dyDescent="0.25">
      <c r="C96">
        <v>236</v>
      </c>
      <c r="D96">
        <v>362</v>
      </c>
      <c r="F96">
        <v>45</v>
      </c>
      <c r="G96">
        <v>68</v>
      </c>
      <c r="H96">
        <v>80</v>
      </c>
      <c r="I96">
        <v>75</v>
      </c>
      <c r="J96">
        <v>430</v>
      </c>
      <c r="K96">
        <v>605</v>
      </c>
      <c r="L96">
        <v>236</v>
      </c>
      <c r="M96">
        <v>244</v>
      </c>
      <c r="N96">
        <v>213</v>
      </c>
    </row>
    <row r="97" spans="3:14" hidden="1" x14ac:dyDescent="0.25">
      <c r="C97">
        <v>244</v>
      </c>
      <c r="D97">
        <v>315</v>
      </c>
      <c r="F97">
        <v>48</v>
      </c>
      <c r="G97">
        <v>66</v>
      </c>
      <c r="J97">
        <v>527</v>
      </c>
      <c r="K97">
        <v>830</v>
      </c>
      <c r="L97">
        <v>362</v>
      </c>
      <c r="M97">
        <v>315</v>
      </c>
    </row>
    <row r="98" spans="3:14" hidden="1" x14ac:dyDescent="0.25">
      <c r="C98">
        <v>543</v>
      </c>
      <c r="D98">
        <v>656</v>
      </c>
      <c r="F98">
        <v>186</v>
      </c>
      <c r="G98">
        <v>213</v>
      </c>
    </row>
    <row r="99" spans="3:14" hidden="1" x14ac:dyDescent="0.25"/>
    <row r="100" spans="3:14" hidden="1" x14ac:dyDescent="0.25"/>
    <row r="101" spans="3:14" hidden="1" x14ac:dyDescent="0.25"/>
    <row r="102" spans="3:14" hidden="1" x14ac:dyDescent="0.25"/>
    <row r="103" spans="3:14" hidden="1" x14ac:dyDescent="0.25"/>
    <row r="104" spans="3:14" hidden="1" x14ac:dyDescent="0.25"/>
    <row r="105" spans="3:14" hidden="1" x14ac:dyDescent="0.25"/>
    <row r="106" spans="3:14" hidden="1" x14ac:dyDescent="0.25">
      <c r="H106">
        <v>326</v>
      </c>
      <c r="I106">
        <v>205</v>
      </c>
      <c r="N106">
        <v>543</v>
      </c>
    </row>
    <row r="107" spans="3:14" hidden="1" x14ac:dyDescent="0.25">
      <c r="H107">
        <v>414</v>
      </c>
      <c r="I107">
        <v>266</v>
      </c>
      <c r="N107">
        <v>656</v>
      </c>
    </row>
    <row r="108" spans="3:14" hidden="1" x14ac:dyDescent="0.25"/>
    <row r="109" spans="3:14" hidden="1" x14ac:dyDescent="0.25">
      <c r="H109">
        <v>326</v>
      </c>
      <c r="I109">
        <v>414</v>
      </c>
    </row>
    <row r="110" spans="3:14" hidden="1" x14ac:dyDescent="0.25">
      <c r="H110">
        <v>205</v>
      </c>
      <c r="I110">
        <v>266</v>
      </c>
    </row>
    <row r="111" spans="3:14" hidden="1" x14ac:dyDescent="0.25">
      <c r="H111">
        <v>430</v>
      </c>
      <c r="I111">
        <v>527</v>
      </c>
    </row>
    <row r="112" spans="3:14" hidden="1" x14ac:dyDescent="0.25">
      <c r="H112">
        <v>605</v>
      </c>
      <c r="I112">
        <v>830</v>
      </c>
    </row>
    <row r="113" spans="8:9" hidden="1" x14ac:dyDescent="0.25">
      <c r="H113">
        <v>236</v>
      </c>
      <c r="I113">
        <v>362</v>
      </c>
    </row>
    <row r="114" spans="8:9" hidden="1" x14ac:dyDescent="0.25">
      <c r="H114">
        <v>244</v>
      </c>
      <c r="I114">
        <v>315</v>
      </c>
    </row>
    <row r="115" spans="8:9" hidden="1" x14ac:dyDescent="0.25">
      <c r="H115">
        <v>543</v>
      </c>
      <c r="I115">
        <v>656</v>
      </c>
    </row>
    <row r="122" spans="8:9" ht="43.5" customHeight="1" x14ac:dyDescent="0.25"/>
    <row r="123" spans="8:9" ht="44.25" customHeight="1" x14ac:dyDescent="0.25"/>
    <row r="124" spans="8:9" ht="37.5" customHeight="1" x14ac:dyDescent="0.25"/>
    <row r="125" spans="8:9" ht="37.5" customHeight="1" x14ac:dyDescent="0.25"/>
    <row r="126" spans="8:9" ht="37.5" customHeight="1" x14ac:dyDescent="0.25"/>
  </sheetData>
  <sheetProtection password="8A47" sheet="1" objects="1" scenarios="1"/>
  <mergeCells count="44">
    <mergeCell ref="A80:B80"/>
    <mergeCell ref="A81:B81"/>
    <mergeCell ref="K29:K30"/>
    <mergeCell ref="L29:L30"/>
    <mergeCell ref="I30:I31"/>
    <mergeCell ref="J30:J31"/>
    <mergeCell ref="F64:F73"/>
    <mergeCell ref="F50:F57"/>
    <mergeCell ref="F58:F63"/>
    <mergeCell ref="F35:F39"/>
    <mergeCell ref="G35:G39"/>
    <mergeCell ref="F46:F49"/>
    <mergeCell ref="G46:G49"/>
    <mergeCell ref="G50:G57"/>
    <mergeCell ref="G58:G63"/>
    <mergeCell ref="G64:G73"/>
    <mergeCell ref="C35:C39"/>
    <mergeCell ref="D35:D39"/>
    <mergeCell ref="F26:G26"/>
    <mergeCell ref="C26:D26"/>
    <mergeCell ref="F30:F34"/>
    <mergeCell ref="G30:G34"/>
    <mergeCell ref="C30:C34"/>
    <mergeCell ref="D30:D34"/>
    <mergeCell ref="C46:C49"/>
    <mergeCell ref="D46:D49"/>
    <mergeCell ref="D40:D45"/>
    <mergeCell ref="C40:C45"/>
    <mergeCell ref="G40:G45"/>
    <mergeCell ref="F40:F45"/>
    <mergeCell ref="D50:D57"/>
    <mergeCell ref="D58:D63"/>
    <mergeCell ref="C58:C63"/>
    <mergeCell ref="C50:C57"/>
    <mergeCell ref="C64:C73"/>
    <mergeCell ref="D64:D73"/>
    <mergeCell ref="A64:A73"/>
    <mergeCell ref="A26:B29"/>
    <mergeCell ref="A30:A34"/>
    <mergeCell ref="A35:A39"/>
    <mergeCell ref="A40:A45"/>
    <mergeCell ref="A46:A49"/>
    <mergeCell ref="A50:A57"/>
    <mergeCell ref="A58:A6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4:W131"/>
  <sheetViews>
    <sheetView zoomScale="70" zoomScaleNormal="70" workbookViewId="0">
      <selection activeCell="R9" sqref="R9"/>
    </sheetView>
  </sheetViews>
  <sheetFormatPr defaultRowHeight="15" x14ac:dyDescent="0.25"/>
  <cols>
    <col min="1" max="1" width="14.42578125" customWidth="1"/>
    <col min="2" max="2" width="12.5703125" bestFit="1" customWidth="1"/>
    <col min="3" max="4" width="13.5703125" customWidth="1"/>
    <col min="5" max="5" width="9.140625" style="1"/>
    <col min="6" max="9" width="11.140625" customWidth="1"/>
    <col min="10" max="10" width="9.140625" style="1"/>
    <col min="11" max="11" width="12.140625" customWidth="1"/>
    <col min="12" max="12" width="11.140625" style="94" customWidth="1"/>
    <col min="13" max="14" width="11.140625" customWidth="1"/>
  </cols>
  <sheetData>
    <row r="24" spans="1:17" s="2" customFormat="1" ht="81" customHeight="1" x14ac:dyDescent="0.25">
      <c r="A24" s="233">
        <f>Holds!A29</f>
        <v>41548</v>
      </c>
      <c r="B24" s="233"/>
      <c r="C24" s="265" t="s">
        <v>68</v>
      </c>
      <c r="D24" s="266"/>
      <c r="E24" s="5"/>
      <c r="F24" s="265" t="s">
        <v>73</v>
      </c>
      <c r="G24" s="281"/>
      <c r="H24" s="281"/>
      <c r="I24" s="266"/>
      <c r="J24" s="5"/>
      <c r="K24" s="265" t="s">
        <v>74</v>
      </c>
      <c r="L24" s="281"/>
      <c r="M24" s="281"/>
      <c r="N24" s="266"/>
    </row>
    <row r="25" spans="1:17" s="2" customFormat="1" ht="36.75" x14ac:dyDescent="0.25">
      <c r="A25" s="233"/>
      <c r="B25" s="233"/>
      <c r="C25" s="23" t="s">
        <v>53</v>
      </c>
      <c r="D25" s="24" t="s">
        <v>115</v>
      </c>
      <c r="E25" s="14"/>
      <c r="F25" s="16" t="s">
        <v>60</v>
      </c>
      <c r="G25" s="17" t="s">
        <v>61</v>
      </c>
      <c r="H25" s="26" t="s">
        <v>118</v>
      </c>
      <c r="I25" s="27" t="s">
        <v>119</v>
      </c>
      <c r="J25" s="15"/>
      <c r="K25" s="16" t="s">
        <v>60</v>
      </c>
      <c r="L25" s="99" t="s">
        <v>61</v>
      </c>
      <c r="M25" s="26" t="s">
        <v>118</v>
      </c>
      <c r="N25" s="27" t="s">
        <v>119</v>
      </c>
    </row>
    <row r="26" spans="1:17" ht="3" customHeight="1" x14ac:dyDescent="0.25">
      <c r="A26" s="233"/>
      <c r="B26" s="233"/>
    </row>
    <row r="27" spans="1:17" ht="3" customHeight="1" x14ac:dyDescent="0.25">
      <c r="A27" s="236"/>
      <c r="B27" s="236"/>
    </row>
    <row r="28" spans="1:17" x14ac:dyDescent="0.25">
      <c r="A28" s="202" t="s">
        <v>0</v>
      </c>
      <c r="B28" s="9" t="s">
        <v>8</v>
      </c>
      <c r="C28" s="272">
        <v>5</v>
      </c>
      <c r="D28" s="273">
        <v>10</v>
      </c>
      <c r="F28" s="65">
        <v>5</v>
      </c>
      <c r="G28" s="278">
        <f>SUM(F28:F32)</f>
        <v>55</v>
      </c>
      <c r="H28" s="67">
        <v>7</v>
      </c>
      <c r="I28" s="275">
        <f>SUM(H28:H32)</f>
        <v>252</v>
      </c>
      <c r="K28" s="65"/>
      <c r="L28" s="192">
        <f>SUM(K28:K32)</f>
        <v>7</v>
      </c>
      <c r="M28" s="70"/>
      <c r="N28" s="269">
        <f>SUM(M28:M32)</f>
        <v>36</v>
      </c>
      <c r="O28" s="1"/>
      <c r="P28" s="1"/>
      <c r="Q28" s="1"/>
    </row>
    <row r="29" spans="1:17" x14ac:dyDescent="0.25">
      <c r="A29" s="203"/>
      <c r="B29" s="10" t="s">
        <v>9</v>
      </c>
      <c r="C29" s="203"/>
      <c r="D29" s="274"/>
      <c r="F29" s="65">
        <v>3</v>
      </c>
      <c r="G29" s="279"/>
      <c r="H29" s="67">
        <v>21</v>
      </c>
      <c r="I29" s="276"/>
      <c r="K29" s="65">
        <v>1</v>
      </c>
      <c r="L29" s="193"/>
      <c r="M29" s="70">
        <v>8</v>
      </c>
      <c r="N29" s="270"/>
      <c r="O29" s="1"/>
    </row>
    <row r="30" spans="1:17" x14ac:dyDescent="0.25">
      <c r="A30" s="203"/>
      <c r="B30" s="10" t="s">
        <v>10</v>
      </c>
      <c r="C30" s="203"/>
      <c r="D30" s="274"/>
      <c r="F30" s="65"/>
      <c r="G30" s="279"/>
      <c r="H30" s="67"/>
      <c r="I30" s="276"/>
      <c r="K30" s="65"/>
      <c r="L30" s="193"/>
      <c r="M30" s="70"/>
      <c r="N30" s="270"/>
      <c r="O30" s="1"/>
    </row>
    <row r="31" spans="1:17" x14ac:dyDescent="0.25">
      <c r="A31" s="203"/>
      <c r="B31" s="10" t="s">
        <v>11</v>
      </c>
      <c r="C31" s="203"/>
      <c r="D31" s="274"/>
      <c r="F31" s="65">
        <v>47</v>
      </c>
      <c r="G31" s="279"/>
      <c r="H31" s="67">
        <v>215</v>
      </c>
      <c r="I31" s="276"/>
      <c r="K31" s="65">
        <v>6</v>
      </c>
      <c r="L31" s="193"/>
      <c r="M31" s="70">
        <v>27</v>
      </c>
      <c r="N31" s="270"/>
      <c r="O31" s="1"/>
    </row>
    <row r="32" spans="1:17" x14ac:dyDescent="0.25">
      <c r="A32" s="204"/>
      <c r="B32" s="10" t="s">
        <v>12</v>
      </c>
      <c r="C32" s="203"/>
      <c r="D32" s="274"/>
      <c r="F32" s="65"/>
      <c r="G32" s="280"/>
      <c r="H32" s="67">
        <v>9</v>
      </c>
      <c r="I32" s="277"/>
      <c r="K32" s="65"/>
      <c r="L32" s="194"/>
      <c r="M32" s="70">
        <v>1</v>
      </c>
      <c r="N32" s="271"/>
      <c r="O32" s="1"/>
    </row>
    <row r="33" spans="1:23" x14ac:dyDescent="0.25">
      <c r="A33" s="202" t="s">
        <v>1</v>
      </c>
      <c r="B33" s="9" t="s">
        <v>14</v>
      </c>
      <c r="C33" s="272">
        <v>2</v>
      </c>
      <c r="D33" s="273">
        <v>7</v>
      </c>
      <c r="F33" s="65">
        <v>2</v>
      </c>
      <c r="G33" s="278">
        <f>SUM(F33:F37)</f>
        <v>20</v>
      </c>
      <c r="H33" s="67">
        <v>7</v>
      </c>
      <c r="I33" s="275">
        <f>SUM(H33:H37)</f>
        <v>86</v>
      </c>
      <c r="K33" s="65">
        <v>1</v>
      </c>
      <c r="L33" s="192">
        <f>SUM(K33:K37)</f>
        <v>2</v>
      </c>
      <c r="M33" s="70">
        <v>3</v>
      </c>
      <c r="N33" s="269">
        <f>SUM(M33:M37)</f>
        <v>18</v>
      </c>
      <c r="O33" s="1"/>
    </row>
    <row r="34" spans="1:23" x14ac:dyDescent="0.25">
      <c r="A34" s="203"/>
      <c r="B34" s="10" t="s">
        <v>15</v>
      </c>
      <c r="C34" s="203"/>
      <c r="D34" s="274"/>
      <c r="F34" s="65">
        <v>1</v>
      </c>
      <c r="G34" s="279"/>
      <c r="H34" s="67">
        <v>6</v>
      </c>
      <c r="I34" s="276"/>
      <c r="K34" s="65"/>
      <c r="L34" s="193"/>
      <c r="M34" s="70">
        <v>2</v>
      </c>
      <c r="N34" s="270"/>
      <c r="O34" s="1"/>
    </row>
    <row r="35" spans="1:23" x14ac:dyDescent="0.25">
      <c r="A35" s="203"/>
      <c r="B35" s="10" t="s">
        <v>16</v>
      </c>
      <c r="C35" s="203"/>
      <c r="D35" s="274"/>
      <c r="F35" s="65">
        <v>6</v>
      </c>
      <c r="G35" s="279"/>
      <c r="H35" s="67">
        <v>23</v>
      </c>
      <c r="I35" s="276"/>
      <c r="K35" s="65"/>
      <c r="L35" s="193"/>
      <c r="M35" s="70">
        <v>8</v>
      </c>
      <c r="N35" s="270"/>
      <c r="O35" s="1"/>
    </row>
    <row r="36" spans="1:23" x14ac:dyDescent="0.25">
      <c r="A36" s="203"/>
      <c r="B36" s="10" t="s">
        <v>17</v>
      </c>
      <c r="C36" s="203"/>
      <c r="D36" s="274"/>
      <c r="F36" s="65"/>
      <c r="G36" s="279"/>
      <c r="H36" s="67">
        <v>2</v>
      </c>
      <c r="I36" s="276"/>
      <c r="K36" s="65"/>
      <c r="L36" s="193"/>
      <c r="M36" s="70"/>
      <c r="N36" s="270"/>
      <c r="O36" s="1"/>
      <c r="P36" s="1"/>
      <c r="Q36" s="1"/>
      <c r="R36" s="1"/>
      <c r="S36" s="1"/>
    </row>
    <row r="37" spans="1:23" x14ac:dyDescent="0.25">
      <c r="A37" s="204"/>
      <c r="B37" s="10" t="s">
        <v>18</v>
      </c>
      <c r="C37" s="203"/>
      <c r="D37" s="274"/>
      <c r="F37" s="65">
        <v>11</v>
      </c>
      <c r="G37" s="280"/>
      <c r="H37" s="67">
        <v>48</v>
      </c>
      <c r="I37" s="277"/>
      <c r="K37" s="65">
        <v>1</v>
      </c>
      <c r="L37" s="194"/>
      <c r="M37" s="70">
        <v>5</v>
      </c>
      <c r="N37" s="27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202" t="s">
        <v>2</v>
      </c>
      <c r="B38" s="9" t="s">
        <v>19</v>
      </c>
      <c r="C38" s="272">
        <v>19</v>
      </c>
      <c r="D38" s="273">
        <v>47</v>
      </c>
      <c r="F38" s="65">
        <v>1</v>
      </c>
      <c r="G38" s="278">
        <f>SUM(F38:F43)</f>
        <v>86</v>
      </c>
      <c r="H38" s="67">
        <v>5</v>
      </c>
      <c r="I38" s="275">
        <f>SUM(H38:H43)</f>
        <v>354</v>
      </c>
      <c r="K38" s="65">
        <v>1</v>
      </c>
      <c r="L38" s="192">
        <f>SUM(K38:K43)</f>
        <v>10</v>
      </c>
      <c r="M38" s="70">
        <v>1</v>
      </c>
      <c r="N38" s="269">
        <f>SUM(M38:M43)</f>
        <v>53</v>
      </c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203"/>
      <c r="B39" s="10" t="s">
        <v>20</v>
      </c>
      <c r="C39" s="203"/>
      <c r="D39" s="274"/>
      <c r="F39" s="65">
        <v>75</v>
      </c>
      <c r="G39" s="279"/>
      <c r="H39" s="67">
        <v>312</v>
      </c>
      <c r="I39" s="276"/>
      <c r="K39" s="65">
        <v>9</v>
      </c>
      <c r="L39" s="193"/>
      <c r="M39" s="70">
        <v>49</v>
      </c>
      <c r="N39" s="270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203"/>
      <c r="B40" s="10" t="s">
        <v>21</v>
      </c>
      <c r="C40" s="203"/>
      <c r="D40" s="274"/>
      <c r="F40" s="65">
        <v>7</v>
      </c>
      <c r="G40" s="279"/>
      <c r="H40" s="67">
        <v>18</v>
      </c>
      <c r="I40" s="276"/>
      <c r="K40" s="65"/>
      <c r="L40" s="193"/>
      <c r="M40" s="70">
        <v>1</v>
      </c>
      <c r="N40" s="270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203"/>
      <c r="B41" s="10" t="s">
        <v>22</v>
      </c>
      <c r="C41" s="203"/>
      <c r="D41" s="274"/>
      <c r="F41" s="65"/>
      <c r="G41" s="279"/>
      <c r="H41" s="67"/>
      <c r="I41" s="276"/>
      <c r="K41" s="65"/>
      <c r="L41" s="193"/>
      <c r="M41" s="70"/>
      <c r="N41" s="270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203"/>
      <c r="B42" s="10" t="s">
        <v>23</v>
      </c>
      <c r="C42" s="203"/>
      <c r="D42" s="274"/>
      <c r="F42" s="65"/>
      <c r="G42" s="279"/>
      <c r="H42" s="67">
        <v>8</v>
      </c>
      <c r="I42" s="276"/>
      <c r="K42" s="65"/>
      <c r="L42" s="193"/>
      <c r="M42" s="70"/>
      <c r="N42" s="270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204"/>
      <c r="B43" s="10" t="s">
        <v>24</v>
      </c>
      <c r="C43" s="203"/>
      <c r="D43" s="274"/>
      <c r="F43" s="65">
        <v>3</v>
      </c>
      <c r="G43" s="280"/>
      <c r="H43" s="67">
        <v>11</v>
      </c>
      <c r="I43" s="277"/>
      <c r="K43" s="65"/>
      <c r="L43" s="194"/>
      <c r="M43" s="70">
        <v>2</v>
      </c>
      <c r="N43" s="27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202" t="s">
        <v>3</v>
      </c>
      <c r="B44" s="9" t="s">
        <v>25</v>
      </c>
      <c r="C44" s="272">
        <v>1</v>
      </c>
      <c r="D44" s="273">
        <v>17</v>
      </c>
      <c r="F44" s="65">
        <v>159</v>
      </c>
      <c r="G44" s="278">
        <f>SUM(F44:F47)</f>
        <v>166</v>
      </c>
      <c r="H44" s="67">
        <v>585</v>
      </c>
      <c r="I44" s="275">
        <f>SUM(H44:H47)</f>
        <v>601</v>
      </c>
      <c r="K44" s="65">
        <v>26</v>
      </c>
      <c r="L44" s="192">
        <f>SUM(K44:K47)</f>
        <v>27</v>
      </c>
      <c r="M44" s="70">
        <v>140</v>
      </c>
      <c r="N44" s="269">
        <f>SUM(M44:M47)</f>
        <v>144</v>
      </c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203"/>
      <c r="B45" s="10" t="s">
        <v>26</v>
      </c>
      <c r="C45" s="203"/>
      <c r="D45" s="274"/>
      <c r="F45" s="65">
        <v>1</v>
      </c>
      <c r="G45" s="279"/>
      <c r="H45" s="67">
        <v>2</v>
      </c>
      <c r="I45" s="276"/>
      <c r="K45" s="65"/>
      <c r="L45" s="193"/>
      <c r="M45" s="70"/>
      <c r="N45" s="270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203"/>
      <c r="B46" s="10" t="s">
        <v>27</v>
      </c>
      <c r="C46" s="203"/>
      <c r="D46" s="274"/>
      <c r="F46" s="65">
        <v>6</v>
      </c>
      <c r="G46" s="279"/>
      <c r="H46" s="67">
        <v>14</v>
      </c>
      <c r="I46" s="276"/>
      <c r="K46" s="65">
        <v>1</v>
      </c>
      <c r="L46" s="193"/>
      <c r="M46" s="70">
        <v>4</v>
      </c>
      <c r="N46" s="270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204"/>
      <c r="B47" s="10" t="s">
        <v>28</v>
      </c>
      <c r="C47" s="203"/>
      <c r="D47" s="274"/>
      <c r="F47" s="65"/>
      <c r="G47" s="280"/>
      <c r="H47" s="67"/>
      <c r="I47" s="277"/>
      <c r="K47" s="65"/>
      <c r="L47" s="194"/>
      <c r="M47" s="70"/>
      <c r="N47" s="27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202" t="s">
        <v>4</v>
      </c>
      <c r="B48" s="9" t="s">
        <v>29</v>
      </c>
      <c r="C48" s="272">
        <v>7</v>
      </c>
      <c r="D48" s="273">
        <v>27</v>
      </c>
      <c r="F48" s="65">
        <v>3</v>
      </c>
      <c r="G48" s="278">
        <f>SUM(F48:F55)</f>
        <v>39</v>
      </c>
      <c r="H48" s="67">
        <v>12</v>
      </c>
      <c r="I48" s="275">
        <f>SUM(H48:H55)</f>
        <v>174</v>
      </c>
      <c r="K48" s="65"/>
      <c r="L48" s="192">
        <f>SUM(K48:K55)</f>
        <v>4</v>
      </c>
      <c r="M48" s="70">
        <v>1</v>
      </c>
      <c r="N48" s="269">
        <f>SUM(M48:M55)</f>
        <v>22</v>
      </c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203"/>
      <c r="B49" s="10" t="s">
        <v>30</v>
      </c>
      <c r="C49" s="203"/>
      <c r="D49" s="274"/>
      <c r="F49" s="65"/>
      <c r="G49" s="279"/>
      <c r="H49" s="67">
        <v>3</v>
      </c>
      <c r="I49" s="276"/>
      <c r="K49" s="65"/>
      <c r="L49" s="193"/>
      <c r="M49" s="70"/>
      <c r="N49" s="270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203"/>
      <c r="B50" s="10" t="s">
        <v>31</v>
      </c>
      <c r="C50" s="203"/>
      <c r="D50" s="274"/>
      <c r="F50" s="65">
        <v>4</v>
      </c>
      <c r="G50" s="279"/>
      <c r="H50" s="67">
        <v>15</v>
      </c>
      <c r="I50" s="276"/>
      <c r="K50" s="65">
        <v>1</v>
      </c>
      <c r="L50" s="193"/>
      <c r="M50" s="70">
        <v>5</v>
      </c>
      <c r="N50" s="270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203"/>
      <c r="B51" s="10" t="s">
        <v>32</v>
      </c>
      <c r="C51" s="203"/>
      <c r="D51" s="274"/>
      <c r="F51" s="65">
        <v>1</v>
      </c>
      <c r="G51" s="279"/>
      <c r="H51" s="67">
        <v>9</v>
      </c>
      <c r="I51" s="276"/>
      <c r="K51" s="65"/>
      <c r="L51" s="193"/>
      <c r="M51" s="70">
        <v>3</v>
      </c>
      <c r="N51" s="270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203"/>
      <c r="B52" s="10" t="s">
        <v>33</v>
      </c>
      <c r="C52" s="203"/>
      <c r="D52" s="274"/>
      <c r="F52" s="65">
        <v>1</v>
      </c>
      <c r="G52" s="279"/>
      <c r="H52" s="67">
        <v>12</v>
      </c>
      <c r="I52" s="276"/>
      <c r="K52" s="65">
        <v>1</v>
      </c>
      <c r="L52" s="193"/>
      <c r="M52" s="70">
        <v>1</v>
      </c>
      <c r="N52" s="270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203"/>
      <c r="B53" s="10" t="s">
        <v>69</v>
      </c>
      <c r="C53" s="203"/>
      <c r="D53" s="274"/>
      <c r="F53" s="65">
        <v>2</v>
      </c>
      <c r="G53" s="279"/>
      <c r="H53" s="67">
        <v>5</v>
      </c>
      <c r="I53" s="276"/>
      <c r="K53" s="65"/>
      <c r="L53" s="193"/>
      <c r="M53" s="70"/>
      <c r="N53" s="270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203"/>
      <c r="B54" s="10" t="s">
        <v>34</v>
      </c>
      <c r="C54" s="203"/>
      <c r="D54" s="274"/>
      <c r="F54" s="65">
        <v>1</v>
      </c>
      <c r="G54" s="279"/>
      <c r="H54" s="67">
        <v>14</v>
      </c>
      <c r="I54" s="276"/>
      <c r="K54" s="65"/>
      <c r="L54" s="193"/>
      <c r="M54" s="70">
        <v>3</v>
      </c>
      <c r="N54" s="270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204"/>
      <c r="B55" s="10" t="s">
        <v>35</v>
      </c>
      <c r="C55" s="203"/>
      <c r="D55" s="274"/>
      <c r="F55" s="65">
        <v>27</v>
      </c>
      <c r="G55" s="280"/>
      <c r="H55" s="67">
        <v>104</v>
      </c>
      <c r="I55" s="277"/>
      <c r="K55" s="65">
        <v>2</v>
      </c>
      <c r="L55" s="194"/>
      <c r="M55" s="70">
        <v>9</v>
      </c>
      <c r="N55" s="27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202" t="s">
        <v>5</v>
      </c>
      <c r="B56" s="9" t="s">
        <v>36</v>
      </c>
      <c r="C56" s="272">
        <v>2</v>
      </c>
      <c r="D56" s="273">
        <v>21</v>
      </c>
      <c r="F56" s="65">
        <v>19</v>
      </c>
      <c r="G56" s="278">
        <f>SUM(F56:F61)</f>
        <v>21</v>
      </c>
      <c r="H56" s="67">
        <v>91</v>
      </c>
      <c r="I56" s="275">
        <f>SUM(H56:H61)</f>
        <v>103</v>
      </c>
      <c r="K56" s="65">
        <v>6</v>
      </c>
      <c r="L56" s="192">
        <f>SUM(K56:K61)</f>
        <v>6</v>
      </c>
      <c r="M56" s="70">
        <v>39</v>
      </c>
      <c r="N56" s="269">
        <f>SUM(M56:M61)</f>
        <v>44</v>
      </c>
    </row>
    <row r="57" spans="1:23" x14ac:dyDescent="0.25">
      <c r="A57" s="203"/>
      <c r="B57" s="10" t="s">
        <v>37</v>
      </c>
      <c r="C57" s="203"/>
      <c r="D57" s="274"/>
      <c r="F57" s="65"/>
      <c r="G57" s="279"/>
      <c r="H57" s="67">
        <v>2</v>
      </c>
      <c r="I57" s="276"/>
      <c r="K57" s="65"/>
      <c r="L57" s="193"/>
      <c r="M57" s="70">
        <v>2</v>
      </c>
      <c r="N57" s="270"/>
    </row>
    <row r="58" spans="1:23" x14ac:dyDescent="0.25">
      <c r="A58" s="203"/>
      <c r="B58" s="10" t="s">
        <v>38</v>
      </c>
      <c r="C58" s="203"/>
      <c r="D58" s="274"/>
      <c r="F58" s="65"/>
      <c r="G58" s="279"/>
      <c r="H58" s="67">
        <v>1</v>
      </c>
      <c r="I58" s="276"/>
      <c r="K58" s="65"/>
      <c r="L58" s="193"/>
      <c r="M58" s="70"/>
      <c r="N58" s="270"/>
    </row>
    <row r="59" spans="1:23" x14ac:dyDescent="0.25">
      <c r="A59" s="203"/>
      <c r="B59" s="10" t="s">
        <v>39</v>
      </c>
      <c r="C59" s="203"/>
      <c r="D59" s="274"/>
      <c r="F59" s="65">
        <v>1</v>
      </c>
      <c r="G59" s="279"/>
      <c r="H59" s="67">
        <v>5</v>
      </c>
      <c r="I59" s="276"/>
      <c r="K59" s="65"/>
      <c r="L59" s="193"/>
      <c r="M59" s="70">
        <v>1</v>
      </c>
      <c r="N59" s="270"/>
    </row>
    <row r="60" spans="1:23" x14ac:dyDescent="0.25">
      <c r="A60" s="203"/>
      <c r="B60" s="10" t="s">
        <v>40</v>
      </c>
      <c r="C60" s="203"/>
      <c r="D60" s="274"/>
      <c r="F60" s="65"/>
      <c r="G60" s="279"/>
      <c r="H60" s="67">
        <v>1</v>
      </c>
      <c r="I60" s="276"/>
      <c r="K60" s="65"/>
      <c r="L60" s="193"/>
      <c r="M60" s="70"/>
      <c r="N60" s="270"/>
    </row>
    <row r="61" spans="1:23" x14ac:dyDescent="0.25">
      <c r="A61" s="204"/>
      <c r="B61" s="10" t="s">
        <v>41</v>
      </c>
      <c r="C61" s="203"/>
      <c r="D61" s="274"/>
      <c r="F61" s="65">
        <v>1</v>
      </c>
      <c r="G61" s="280"/>
      <c r="H61" s="67">
        <v>3</v>
      </c>
      <c r="I61" s="277"/>
      <c r="K61" s="65"/>
      <c r="L61" s="194"/>
      <c r="M61" s="70">
        <v>2</v>
      </c>
      <c r="N61" s="271"/>
    </row>
    <row r="62" spans="1:23" x14ac:dyDescent="0.25">
      <c r="A62" s="202" t="s">
        <v>6</v>
      </c>
      <c r="B62" s="9" t="s">
        <v>42</v>
      </c>
      <c r="C62" s="272">
        <v>8</v>
      </c>
      <c r="D62" s="273">
        <v>27</v>
      </c>
      <c r="F62" s="65">
        <v>7</v>
      </c>
      <c r="G62" s="278">
        <f>SUM(F62:F71)</f>
        <v>32</v>
      </c>
      <c r="H62" s="67">
        <v>43</v>
      </c>
      <c r="I62" s="275">
        <f>SUM(H62:H71)</f>
        <v>141</v>
      </c>
      <c r="K62" s="65">
        <v>2</v>
      </c>
      <c r="L62" s="192">
        <f>SUM(K62:K71)</f>
        <v>11</v>
      </c>
      <c r="M62" s="70">
        <v>21</v>
      </c>
      <c r="N62" s="269">
        <f>SUM(M62:M71)</f>
        <v>57</v>
      </c>
    </row>
    <row r="63" spans="1:23" x14ac:dyDescent="0.25">
      <c r="A63" s="203"/>
      <c r="B63" s="10" t="s">
        <v>43</v>
      </c>
      <c r="C63" s="203"/>
      <c r="D63" s="274"/>
      <c r="F63" s="65">
        <v>18</v>
      </c>
      <c r="G63" s="279"/>
      <c r="H63" s="67">
        <v>70</v>
      </c>
      <c r="I63" s="276"/>
      <c r="K63" s="65">
        <v>7</v>
      </c>
      <c r="L63" s="193"/>
      <c r="M63" s="70">
        <v>29</v>
      </c>
      <c r="N63" s="270"/>
    </row>
    <row r="64" spans="1:23" x14ac:dyDescent="0.25">
      <c r="A64" s="203"/>
      <c r="B64" s="10" t="s">
        <v>44</v>
      </c>
      <c r="C64" s="203"/>
      <c r="D64" s="274"/>
      <c r="F64" s="65"/>
      <c r="G64" s="279"/>
      <c r="H64" s="67"/>
      <c r="I64" s="276"/>
      <c r="K64" s="65"/>
      <c r="L64" s="193"/>
      <c r="M64" s="70"/>
      <c r="N64" s="270"/>
    </row>
    <row r="65" spans="1:23" x14ac:dyDescent="0.25">
      <c r="A65" s="203"/>
      <c r="B65" s="10" t="s">
        <v>45</v>
      </c>
      <c r="C65" s="203"/>
      <c r="D65" s="274"/>
      <c r="F65" s="65"/>
      <c r="G65" s="279"/>
      <c r="H65" s="67"/>
      <c r="I65" s="276"/>
      <c r="K65" s="65"/>
      <c r="L65" s="193"/>
      <c r="M65" s="70"/>
      <c r="N65" s="270"/>
    </row>
    <row r="66" spans="1:23" x14ac:dyDescent="0.25">
      <c r="A66" s="203"/>
      <c r="B66" s="10" t="s">
        <v>46</v>
      </c>
      <c r="C66" s="203"/>
      <c r="D66" s="274"/>
      <c r="F66" s="65"/>
      <c r="G66" s="279"/>
      <c r="H66" s="67">
        <v>3</v>
      </c>
      <c r="I66" s="276"/>
      <c r="K66" s="65"/>
      <c r="L66" s="193"/>
      <c r="M66" s="70">
        <v>1</v>
      </c>
      <c r="N66" s="270"/>
    </row>
    <row r="67" spans="1:23" x14ac:dyDescent="0.25">
      <c r="A67" s="203"/>
      <c r="B67" s="10" t="s">
        <v>47</v>
      </c>
      <c r="C67" s="203"/>
      <c r="D67" s="274"/>
      <c r="F67" s="65">
        <v>2</v>
      </c>
      <c r="G67" s="279"/>
      <c r="H67" s="67">
        <v>3</v>
      </c>
      <c r="I67" s="276"/>
      <c r="K67" s="65">
        <v>1</v>
      </c>
      <c r="L67" s="193"/>
      <c r="M67" s="70">
        <v>1</v>
      </c>
      <c r="N67" s="270"/>
    </row>
    <row r="68" spans="1:23" x14ac:dyDescent="0.25">
      <c r="A68" s="203"/>
      <c r="B68" s="10" t="s">
        <v>48</v>
      </c>
      <c r="C68" s="203"/>
      <c r="D68" s="274"/>
      <c r="F68" s="65">
        <v>2</v>
      </c>
      <c r="G68" s="279"/>
      <c r="H68" s="67">
        <v>8</v>
      </c>
      <c r="I68" s="276"/>
      <c r="K68" s="65">
        <v>1</v>
      </c>
      <c r="L68" s="193"/>
      <c r="M68" s="70">
        <v>1</v>
      </c>
      <c r="N68" s="270"/>
    </row>
    <row r="69" spans="1:23" x14ac:dyDescent="0.25">
      <c r="A69" s="203"/>
      <c r="B69" s="10" t="s">
        <v>49</v>
      </c>
      <c r="C69" s="203"/>
      <c r="D69" s="274"/>
      <c r="F69" s="65"/>
      <c r="G69" s="279"/>
      <c r="H69" s="67">
        <v>3</v>
      </c>
      <c r="I69" s="276"/>
      <c r="K69" s="65"/>
      <c r="L69" s="193"/>
      <c r="M69" s="70">
        <v>1</v>
      </c>
      <c r="N69" s="270"/>
    </row>
    <row r="70" spans="1:23" x14ac:dyDescent="0.25">
      <c r="A70" s="203"/>
      <c r="B70" s="10" t="s">
        <v>50</v>
      </c>
      <c r="C70" s="203"/>
      <c r="D70" s="274"/>
      <c r="F70" s="65">
        <v>3</v>
      </c>
      <c r="G70" s="279"/>
      <c r="H70" s="67">
        <v>8</v>
      </c>
      <c r="I70" s="276"/>
      <c r="K70" s="65"/>
      <c r="L70" s="193"/>
      <c r="M70" s="70">
        <v>2</v>
      </c>
      <c r="N70" s="270"/>
    </row>
    <row r="71" spans="1:23" x14ac:dyDescent="0.25">
      <c r="A71" s="204"/>
      <c r="B71" s="10" t="s">
        <v>51</v>
      </c>
      <c r="C71" s="204"/>
      <c r="D71" s="274"/>
      <c r="F71" s="65"/>
      <c r="G71" s="280"/>
      <c r="H71" s="67">
        <v>3</v>
      </c>
      <c r="I71" s="277"/>
      <c r="K71" s="65"/>
      <c r="L71" s="194"/>
      <c r="M71" s="70">
        <v>1</v>
      </c>
      <c r="N71" s="271"/>
    </row>
    <row r="72" spans="1:23" x14ac:dyDescent="0.25">
      <c r="A72" s="11" t="s">
        <v>13</v>
      </c>
      <c r="B72" s="12"/>
      <c r="C72" s="92"/>
      <c r="D72" s="105"/>
      <c r="F72" s="65"/>
      <c r="G72" s="66">
        <f>F72</f>
        <v>0</v>
      </c>
      <c r="H72" s="67">
        <v>2</v>
      </c>
      <c r="I72" s="68">
        <f>H72</f>
        <v>2</v>
      </c>
      <c r="K72" s="65"/>
      <c r="L72" s="71"/>
      <c r="M72" s="70"/>
      <c r="N72" s="25">
        <f>M72</f>
        <v>0</v>
      </c>
    </row>
    <row r="73" spans="1:23" x14ac:dyDescent="0.25">
      <c r="A73" s="11" t="s">
        <v>7</v>
      </c>
      <c r="B73" s="12"/>
      <c r="C73" s="69">
        <f>SUM(C28:C72)</f>
        <v>44</v>
      </c>
      <c r="D73" s="75">
        <f>SUM(D28:D72)</f>
        <v>156</v>
      </c>
      <c r="F73" s="118">
        <f>SUM(F28:F72)</f>
        <v>419</v>
      </c>
      <c r="G73" s="66">
        <f>SUM(G28:G72)</f>
        <v>419</v>
      </c>
      <c r="H73" s="118">
        <f>SUM(H28:H72)</f>
        <v>1713</v>
      </c>
      <c r="I73" s="75">
        <f>H73</f>
        <v>1713</v>
      </c>
      <c r="K73" s="118">
        <f>SUM(K28:K72)</f>
        <v>67</v>
      </c>
      <c r="L73" s="18">
        <f>SUM(L28:L72)</f>
        <v>67</v>
      </c>
      <c r="M73" s="118">
        <f>SUM(M28:M72)</f>
        <v>374</v>
      </c>
      <c r="N73" s="25">
        <f>M73</f>
        <v>374</v>
      </c>
    </row>
    <row r="74" spans="1:23" x14ac:dyDescent="0.25">
      <c r="H74" s="1"/>
      <c r="I74" s="1"/>
    </row>
    <row r="76" spans="1:23" x14ac:dyDescent="0.25">
      <c r="A76" s="87"/>
      <c r="B76" s="87"/>
      <c r="C76" s="87"/>
      <c r="D76" s="87"/>
      <c r="E76" s="87"/>
      <c r="F76" s="87"/>
      <c r="G76" s="87"/>
      <c r="H76" s="87"/>
      <c r="Q76" s="134"/>
      <c r="R76" s="134"/>
      <c r="S76" s="134"/>
      <c r="T76" s="134"/>
      <c r="U76" s="134"/>
      <c r="V76" s="134"/>
      <c r="W76" s="134"/>
    </row>
    <row r="79" spans="1:23" hidden="1" x14ac:dyDescent="0.25">
      <c r="C79" s="74" t="s">
        <v>91</v>
      </c>
      <c r="D79" s="130" t="s">
        <v>92</v>
      </c>
    </row>
    <row r="80" spans="1:23" hidden="1" x14ac:dyDescent="0.25">
      <c r="C80" s="63">
        <v>2</v>
      </c>
      <c r="D80" s="64">
        <v>22</v>
      </c>
    </row>
    <row r="81" spans="3:10" hidden="1" x14ac:dyDescent="0.25">
      <c r="C81" s="63">
        <v>4</v>
      </c>
      <c r="D81" s="64">
        <v>12</v>
      </c>
    </row>
    <row r="82" spans="3:10" hidden="1" x14ac:dyDescent="0.25">
      <c r="C82" s="63">
        <v>10</v>
      </c>
      <c r="D82" s="64">
        <v>67</v>
      </c>
    </row>
    <row r="83" spans="3:10" hidden="1" x14ac:dyDescent="0.25">
      <c r="C83" s="63">
        <v>17</v>
      </c>
      <c r="D83" s="64">
        <v>85</v>
      </c>
    </row>
    <row r="84" spans="3:10" hidden="1" x14ac:dyDescent="0.25">
      <c r="C84" s="63">
        <v>7</v>
      </c>
      <c r="D84" s="64">
        <v>33</v>
      </c>
    </row>
    <row r="85" spans="3:10" hidden="1" x14ac:dyDescent="0.25">
      <c r="C85" s="63">
        <v>8</v>
      </c>
      <c r="D85" s="64">
        <v>45</v>
      </c>
    </row>
    <row r="86" spans="3:10" hidden="1" x14ac:dyDescent="0.25">
      <c r="C86" s="63">
        <v>13</v>
      </c>
      <c r="D86" s="64">
        <v>63</v>
      </c>
    </row>
    <row r="87" spans="3:10" hidden="1" x14ac:dyDescent="0.25">
      <c r="C87" s="64">
        <v>61</v>
      </c>
      <c r="D87" s="64">
        <v>327</v>
      </c>
    </row>
    <row r="91" spans="3:10" x14ac:dyDescent="0.25">
      <c r="C91" s="182"/>
      <c r="D91" s="182"/>
      <c r="E91" s="182"/>
      <c r="F91" s="182"/>
      <c r="G91" s="182"/>
      <c r="H91" s="182"/>
      <c r="I91" s="182"/>
      <c r="J91" s="182"/>
    </row>
    <row r="121" spans="1:12" ht="18" customHeight="1" x14ac:dyDescent="0.25"/>
    <row r="122" spans="1:12" ht="25.5" customHeight="1" x14ac:dyDescent="0.25"/>
    <row r="123" spans="1:12" s="2" customFormat="1" ht="71.25" customHeight="1" x14ac:dyDescent="0.3">
      <c r="A123" s="89"/>
      <c r="B123" s="90"/>
      <c r="C123" s="88"/>
      <c r="H123" s="88"/>
      <c r="L123" s="100"/>
    </row>
    <row r="124" spans="1:12" ht="18" x14ac:dyDescent="0.25">
      <c r="A124" s="129"/>
      <c r="B124" s="94"/>
      <c r="C124" s="94"/>
      <c r="E124"/>
      <c r="H124" s="1"/>
      <c r="J124"/>
    </row>
    <row r="125" spans="1:12" ht="18" x14ac:dyDescent="0.25">
      <c r="A125" s="129"/>
      <c r="B125" s="94"/>
      <c r="C125" s="94"/>
      <c r="E125"/>
      <c r="H125" s="1"/>
      <c r="J125"/>
    </row>
    <row r="126" spans="1:12" ht="18" x14ac:dyDescent="0.25">
      <c r="A126" s="129"/>
      <c r="B126" s="94"/>
      <c r="C126" s="94"/>
      <c r="E126"/>
      <c r="H126" s="1"/>
      <c r="J126" s="85"/>
    </row>
    <row r="127" spans="1:12" ht="18" x14ac:dyDescent="0.25">
      <c r="A127" s="129"/>
      <c r="B127" s="94"/>
      <c r="C127" s="95"/>
      <c r="E127"/>
      <c r="H127" s="1"/>
      <c r="J127"/>
    </row>
    <row r="128" spans="1:12" ht="18" x14ac:dyDescent="0.25">
      <c r="A128" s="129"/>
      <c r="B128" s="95"/>
      <c r="C128" s="94"/>
      <c r="E128"/>
      <c r="H128" s="1"/>
      <c r="J128"/>
    </row>
    <row r="129" spans="1:10" ht="18" x14ac:dyDescent="0.25">
      <c r="A129" s="129"/>
      <c r="B129" s="94"/>
      <c r="C129" s="94"/>
      <c r="E129"/>
      <c r="H129" s="1"/>
      <c r="J129"/>
    </row>
    <row r="130" spans="1:10" ht="18" x14ac:dyDescent="0.25">
      <c r="A130" s="129"/>
      <c r="B130" s="94"/>
      <c r="C130" s="94"/>
      <c r="E130"/>
      <c r="H130" s="1"/>
      <c r="J130"/>
    </row>
    <row r="131" spans="1:10" ht="18.75" x14ac:dyDescent="0.25">
      <c r="A131" s="129"/>
      <c r="B131" s="91"/>
      <c r="C131" s="1"/>
      <c r="E131"/>
      <c r="H131" s="1"/>
      <c r="J131"/>
    </row>
  </sheetData>
  <sheetProtection password="8A47" sheet="1" objects="1" scenarios="1"/>
  <mergeCells count="53">
    <mergeCell ref="N44:N47"/>
    <mergeCell ref="N48:N55"/>
    <mergeCell ref="N56:N61"/>
    <mergeCell ref="D48:D55"/>
    <mergeCell ref="C24:D24"/>
    <mergeCell ref="C28:C32"/>
    <mergeCell ref="D28:D32"/>
    <mergeCell ref="C33:C37"/>
    <mergeCell ref="D33:D37"/>
    <mergeCell ref="C38:C43"/>
    <mergeCell ref="G28:G32"/>
    <mergeCell ref="G33:G37"/>
    <mergeCell ref="G38:G43"/>
    <mergeCell ref="I28:I32"/>
    <mergeCell ref="I33:I37"/>
    <mergeCell ref="I38:I43"/>
    <mergeCell ref="D38:D43"/>
    <mergeCell ref="F24:I24"/>
    <mergeCell ref="K24:N24"/>
    <mergeCell ref="L28:L32"/>
    <mergeCell ref="L33:L37"/>
    <mergeCell ref="L38:L43"/>
    <mergeCell ref="N28:N32"/>
    <mergeCell ref="N33:N37"/>
    <mergeCell ref="N38:N43"/>
    <mergeCell ref="G44:G47"/>
    <mergeCell ref="G48:G55"/>
    <mergeCell ref="I56:I61"/>
    <mergeCell ref="C56:C61"/>
    <mergeCell ref="D56:D61"/>
    <mergeCell ref="L48:L55"/>
    <mergeCell ref="L56:L61"/>
    <mergeCell ref="C62:C71"/>
    <mergeCell ref="D62:D71"/>
    <mergeCell ref="G56:G61"/>
    <mergeCell ref="G62:G71"/>
    <mergeCell ref="I62:I71"/>
    <mergeCell ref="N62:N71"/>
    <mergeCell ref="A62:A71"/>
    <mergeCell ref="A24:B27"/>
    <mergeCell ref="A56:A61"/>
    <mergeCell ref="A48:A55"/>
    <mergeCell ref="A44:A47"/>
    <mergeCell ref="A38:A43"/>
    <mergeCell ref="A33:A37"/>
    <mergeCell ref="A28:A32"/>
    <mergeCell ref="L44:L47"/>
    <mergeCell ref="C44:C47"/>
    <mergeCell ref="D44:D47"/>
    <mergeCell ref="C48:C55"/>
    <mergeCell ref="I44:I47"/>
    <mergeCell ref="I48:I55"/>
    <mergeCell ref="L62:L71"/>
  </mergeCells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>
      <selection activeCell="R17" sqref="R17"/>
    </sheetView>
  </sheetViews>
  <sheetFormatPr defaultRowHeight="15" x14ac:dyDescent="0.25"/>
  <cols>
    <col min="1" max="1" width="15.140625" customWidth="1"/>
    <col min="2" max="2" width="6.85546875" customWidth="1"/>
    <col min="3" max="3" width="6.28515625" customWidth="1"/>
    <col min="4" max="4" width="6.85546875" customWidth="1"/>
    <col min="5" max="5" width="6.7109375" customWidth="1"/>
    <col min="6" max="6" width="6.5703125" customWidth="1"/>
    <col min="7" max="7" width="6.85546875" customWidth="1"/>
    <col min="8" max="8" width="7.28515625" customWidth="1"/>
    <col min="9" max="9" width="6.5703125" customWidth="1"/>
    <col min="10" max="10" width="6.85546875" customWidth="1"/>
    <col min="11" max="11" width="7" customWidth="1"/>
    <col min="12" max="12" width="6.42578125" customWidth="1"/>
    <col min="13" max="13" width="7.28515625" customWidth="1"/>
    <col min="14" max="14" width="6.5703125" customWidth="1"/>
    <col min="15" max="15" width="6.7109375" customWidth="1"/>
  </cols>
  <sheetData>
    <row r="1" spans="1:15" x14ac:dyDescent="0.25">
      <c r="A1" s="140" t="s">
        <v>93</v>
      </c>
      <c r="B1" s="144">
        <v>41153</v>
      </c>
      <c r="C1" s="144">
        <v>41183</v>
      </c>
      <c r="D1" s="144">
        <v>41214</v>
      </c>
      <c r="E1" s="144">
        <v>41244</v>
      </c>
      <c r="F1" s="144">
        <v>41275</v>
      </c>
      <c r="G1" s="144">
        <v>41306</v>
      </c>
      <c r="H1" s="144">
        <v>41334</v>
      </c>
      <c r="I1" s="144">
        <v>41365</v>
      </c>
      <c r="J1" s="144">
        <v>41395</v>
      </c>
      <c r="K1" s="144">
        <v>41426</v>
      </c>
      <c r="L1" s="144">
        <v>41456</v>
      </c>
      <c r="M1" s="144">
        <v>41487</v>
      </c>
      <c r="N1" s="144">
        <v>41518</v>
      </c>
      <c r="O1" s="144">
        <v>41548</v>
      </c>
    </row>
    <row r="2" spans="1:15" x14ac:dyDescent="0.25">
      <c r="A2" s="141" t="s">
        <v>0</v>
      </c>
      <c r="B2" s="142">
        <v>44</v>
      </c>
      <c r="C2" s="142">
        <v>47</v>
      </c>
      <c r="D2" s="142">
        <v>56</v>
      </c>
      <c r="E2" s="142">
        <v>39</v>
      </c>
      <c r="F2" s="142">
        <v>48</v>
      </c>
      <c r="G2" s="142">
        <v>55</v>
      </c>
      <c r="H2" s="142">
        <v>46</v>
      </c>
      <c r="I2">
        <f>Holds!H33</f>
        <v>55</v>
      </c>
      <c r="J2" s="87">
        <v>65</v>
      </c>
      <c r="K2" s="162">
        <v>56</v>
      </c>
      <c r="L2" s="87">
        <v>80</v>
      </c>
      <c r="M2" s="87">
        <v>69</v>
      </c>
      <c r="N2" s="180">
        <v>50</v>
      </c>
      <c r="O2" s="87">
        <v>55</v>
      </c>
    </row>
    <row r="3" spans="1:15" x14ac:dyDescent="0.25">
      <c r="A3" s="141" t="s">
        <v>1</v>
      </c>
      <c r="B3" s="142">
        <v>27</v>
      </c>
      <c r="C3" s="142">
        <v>13</v>
      </c>
      <c r="D3" s="142">
        <v>17</v>
      </c>
      <c r="E3" s="142">
        <v>10</v>
      </c>
      <c r="F3" s="142">
        <v>19</v>
      </c>
      <c r="G3" s="142">
        <v>16</v>
      </c>
      <c r="H3" s="142">
        <v>20</v>
      </c>
      <c r="I3">
        <f>Holds!H38</f>
        <v>20</v>
      </c>
      <c r="J3" s="87">
        <v>24</v>
      </c>
      <c r="K3" s="162">
        <v>14</v>
      </c>
      <c r="L3" s="87">
        <v>28</v>
      </c>
      <c r="M3" s="87">
        <v>21</v>
      </c>
      <c r="N3" s="180">
        <v>17</v>
      </c>
      <c r="O3" s="87">
        <v>20</v>
      </c>
    </row>
    <row r="4" spans="1:15" x14ac:dyDescent="0.25">
      <c r="A4" s="141" t="s">
        <v>2</v>
      </c>
      <c r="B4" s="142">
        <v>91</v>
      </c>
      <c r="C4" s="142">
        <v>85</v>
      </c>
      <c r="D4" s="142">
        <v>64</v>
      </c>
      <c r="E4" s="142">
        <v>106</v>
      </c>
      <c r="F4" s="142">
        <v>91</v>
      </c>
      <c r="G4" s="142">
        <v>81</v>
      </c>
      <c r="H4" s="142">
        <v>79</v>
      </c>
      <c r="I4">
        <f>Holds!H43</f>
        <v>89</v>
      </c>
      <c r="J4" s="87">
        <v>94</v>
      </c>
      <c r="K4" s="162">
        <v>82</v>
      </c>
      <c r="L4" s="87">
        <v>112</v>
      </c>
      <c r="M4" s="87">
        <v>94</v>
      </c>
      <c r="N4" s="180">
        <v>82</v>
      </c>
      <c r="O4" s="87">
        <v>88</v>
      </c>
    </row>
    <row r="5" spans="1:15" x14ac:dyDescent="0.25">
      <c r="A5" s="141" t="s">
        <v>3</v>
      </c>
      <c r="B5" s="142">
        <v>167</v>
      </c>
      <c r="C5" s="142">
        <v>148</v>
      </c>
      <c r="D5" s="142">
        <v>146</v>
      </c>
      <c r="E5" s="142">
        <v>179</v>
      </c>
      <c r="F5" s="142">
        <v>163</v>
      </c>
      <c r="G5" s="142">
        <v>155</v>
      </c>
      <c r="H5" s="142">
        <v>156</v>
      </c>
      <c r="I5">
        <f>Holds!H49</f>
        <v>180</v>
      </c>
      <c r="J5" s="87">
        <v>174</v>
      </c>
      <c r="K5" s="162">
        <v>175</v>
      </c>
      <c r="L5" s="87">
        <v>156</v>
      </c>
      <c r="M5" s="87">
        <v>161</v>
      </c>
      <c r="N5" s="180">
        <v>154</v>
      </c>
      <c r="O5" s="87">
        <v>181</v>
      </c>
    </row>
    <row r="6" spans="1:15" x14ac:dyDescent="0.25">
      <c r="A6" s="141" t="s">
        <v>4</v>
      </c>
      <c r="B6" s="142">
        <v>44</v>
      </c>
      <c r="C6" s="142">
        <v>38</v>
      </c>
      <c r="D6" s="142">
        <v>53</v>
      </c>
      <c r="E6" s="142">
        <v>38</v>
      </c>
      <c r="F6" s="142">
        <v>40</v>
      </c>
      <c r="G6" s="142">
        <v>44</v>
      </c>
      <c r="H6" s="142">
        <v>42</v>
      </c>
      <c r="I6">
        <f>Holds!H53</f>
        <v>39</v>
      </c>
      <c r="J6" s="87">
        <v>45</v>
      </c>
      <c r="K6" s="162">
        <v>62</v>
      </c>
      <c r="L6" s="87">
        <v>48</v>
      </c>
      <c r="M6" s="87">
        <v>50</v>
      </c>
      <c r="N6" s="180">
        <v>39</v>
      </c>
      <c r="O6" s="87">
        <v>39</v>
      </c>
    </row>
    <row r="7" spans="1:15" x14ac:dyDescent="0.25">
      <c r="A7" s="141" t="s">
        <v>5</v>
      </c>
      <c r="B7" s="142">
        <v>29</v>
      </c>
      <c r="C7" s="142">
        <v>13</v>
      </c>
      <c r="D7" s="142">
        <v>12</v>
      </c>
      <c r="E7" s="142">
        <v>24</v>
      </c>
      <c r="F7" s="142">
        <v>20</v>
      </c>
      <c r="G7" s="142">
        <v>11</v>
      </c>
      <c r="H7" s="142">
        <v>20</v>
      </c>
      <c r="I7">
        <f>Holds!H61</f>
        <v>21</v>
      </c>
      <c r="J7" s="87">
        <v>12</v>
      </c>
      <c r="K7" s="162">
        <v>24</v>
      </c>
      <c r="L7" s="87">
        <v>27</v>
      </c>
      <c r="M7" s="87">
        <v>26</v>
      </c>
      <c r="N7" s="180">
        <v>28</v>
      </c>
      <c r="O7" s="87">
        <v>21</v>
      </c>
    </row>
    <row r="8" spans="1:15" x14ac:dyDescent="0.25">
      <c r="A8" s="141" t="s">
        <v>6</v>
      </c>
      <c r="B8" s="142">
        <v>29</v>
      </c>
      <c r="C8" s="142">
        <v>37</v>
      </c>
      <c r="D8" s="142">
        <v>28</v>
      </c>
      <c r="E8" s="142">
        <v>31</v>
      </c>
      <c r="F8" s="142">
        <v>36</v>
      </c>
      <c r="G8" s="142">
        <v>35</v>
      </c>
      <c r="H8" s="142">
        <v>26</v>
      </c>
      <c r="I8">
        <f>Holds!H67</f>
        <v>33</v>
      </c>
      <c r="J8" s="87">
        <v>36</v>
      </c>
      <c r="K8" s="162">
        <v>36</v>
      </c>
      <c r="L8" s="87">
        <v>37</v>
      </c>
      <c r="M8" s="87">
        <v>34</v>
      </c>
      <c r="N8" s="180">
        <v>42</v>
      </c>
      <c r="O8" s="87">
        <v>33</v>
      </c>
    </row>
    <row r="9" spans="1:15" x14ac:dyDescent="0.25">
      <c r="A9" s="141" t="s">
        <v>77</v>
      </c>
      <c r="B9" s="143">
        <v>431</v>
      </c>
      <c r="C9" s="143">
        <v>381</v>
      </c>
      <c r="D9" s="143">
        <v>376</v>
      </c>
      <c r="E9" s="143">
        <v>427</v>
      </c>
      <c r="F9" s="143">
        <v>417</v>
      </c>
      <c r="G9" s="143">
        <v>397</v>
      </c>
      <c r="H9" s="143">
        <v>389</v>
      </c>
      <c r="I9">
        <f>Holds!H78</f>
        <v>437</v>
      </c>
      <c r="J9" s="87">
        <v>450</v>
      </c>
      <c r="K9" s="148">
        <f>SUM(K2:K8)</f>
        <v>449</v>
      </c>
      <c r="L9" s="87">
        <v>488</v>
      </c>
      <c r="M9" s="87">
        <v>455</v>
      </c>
      <c r="N9" s="181">
        <v>412</v>
      </c>
      <c r="O9" s="87">
        <v>437</v>
      </c>
    </row>
    <row r="15" spans="1:15" x14ac:dyDescent="0.25">
      <c r="B15" s="87"/>
      <c r="C15" s="87"/>
      <c r="D15" s="87"/>
      <c r="E15" s="87"/>
    </row>
    <row r="16" spans="1:15" x14ac:dyDescent="0.25">
      <c r="B16" s="87"/>
      <c r="C16" s="87"/>
      <c r="D16" s="87"/>
      <c r="E16" s="87"/>
    </row>
    <row r="17" spans="2:18" x14ac:dyDescent="0.25"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</row>
    <row r="18" spans="2:18" x14ac:dyDescent="0.25">
      <c r="E18" s="180"/>
      <c r="F18" s="180"/>
      <c r="G18" s="180"/>
      <c r="H18" s="180"/>
      <c r="I18" s="180"/>
      <c r="J18" s="180"/>
      <c r="K18" s="180"/>
      <c r="L18" s="181"/>
    </row>
    <row r="23" spans="2:18" x14ac:dyDescent="0.25">
      <c r="K23" s="87"/>
      <c r="L23" s="87"/>
      <c r="M23" s="87"/>
      <c r="N23" s="87"/>
      <c r="O23" s="87"/>
      <c r="P23" s="87"/>
      <c r="Q23" s="87"/>
      <c r="R23" s="87"/>
    </row>
    <row r="26" spans="2:18" x14ac:dyDescent="0.25">
      <c r="H26" s="87"/>
      <c r="I26" s="87"/>
      <c r="J26" s="87"/>
      <c r="K26" s="87"/>
      <c r="L26" s="87"/>
      <c r="M26" s="87"/>
      <c r="N26" s="87"/>
      <c r="O26" s="87"/>
    </row>
    <row r="27" spans="2:18" x14ac:dyDescent="0.25">
      <c r="G27" s="87"/>
      <c r="H27" s="87"/>
      <c r="I27" s="87"/>
      <c r="J27" s="87"/>
      <c r="K27" s="87"/>
      <c r="L27" s="87"/>
      <c r="M27" s="87"/>
      <c r="N27" s="87"/>
      <c r="O27" s="8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6"/>
  <sheetViews>
    <sheetView workbookViewId="0">
      <selection activeCell="N29" sqref="N29"/>
    </sheetView>
  </sheetViews>
  <sheetFormatPr defaultRowHeight="15" x14ac:dyDescent="0.25"/>
  <cols>
    <col min="1" max="1" width="18.7109375" customWidth="1"/>
    <col min="2" max="2" width="6.28515625" customWidth="1"/>
    <col min="3" max="3" width="6.85546875" customWidth="1"/>
    <col min="4" max="4" width="7.140625" customWidth="1"/>
    <col min="5" max="5" width="6.7109375" customWidth="1"/>
    <col min="6" max="6" width="6.42578125" customWidth="1"/>
    <col min="7" max="7" width="7" customWidth="1"/>
    <col min="8" max="8" width="6.7109375" customWidth="1"/>
    <col min="9" max="9" width="6.42578125" customWidth="1"/>
    <col min="10" max="10" width="6.85546875" customWidth="1"/>
    <col min="11" max="13" width="7" customWidth="1"/>
    <col min="14" max="14" width="6.140625" customWidth="1"/>
    <col min="15" max="15" width="6.7109375" customWidth="1"/>
    <col min="16" max="16" width="7" customWidth="1"/>
    <col min="17" max="17" width="7.140625" customWidth="1"/>
  </cols>
  <sheetData>
    <row r="2" spans="1:17" x14ac:dyDescent="0.25">
      <c r="A2" t="s">
        <v>100</v>
      </c>
      <c r="B2" s="145">
        <v>41091</v>
      </c>
      <c r="C2" s="145">
        <v>41122</v>
      </c>
      <c r="D2" s="145">
        <v>41153</v>
      </c>
      <c r="E2" s="145">
        <v>41183</v>
      </c>
      <c r="F2" s="145">
        <v>41214</v>
      </c>
      <c r="G2" s="145">
        <v>41244</v>
      </c>
      <c r="H2" s="145">
        <v>41275</v>
      </c>
      <c r="I2" s="145">
        <v>41306</v>
      </c>
      <c r="J2" s="145">
        <v>41334</v>
      </c>
      <c r="K2" s="144">
        <v>41365</v>
      </c>
      <c r="L2" s="144">
        <v>41395</v>
      </c>
      <c r="M2" s="144">
        <v>41426</v>
      </c>
      <c r="N2" s="144">
        <v>41456</v>
      </c>
      <c r="O2" s="144">
        <v>41487</v>
      </c>
      <c r="P2" s="144">
        <v>41518</v>
      </c>
      <c r="Q2" s="144">
        <v>41548</v>
      </c>
    </row>
    <row r="3" spans="1:17" x14ac:dyDescent="0.25">
      <c r="A3" s="146" t="s">
        <v>0</v>
      </c>
      <c r="B3" s="87">
        <v>68</v>
      </c>
      <c r="C3" s="87">
        <v>65</v>
      </c>
      <c r="D3" s="87">
        <v>55</v>
      </c>
      <c r="E3" s="87">
        <v>63</v>
      </c>
      <c r="F3" s="87">
        <v>57</v>
      </c>
      <c r="G3" s="87">
        <v>63</v>
      </c>
      <c r="H3" s="87">
        <v>69</v>
      </c>
      <c r="I3" s="87">
        <v>68</v>
      </c>
      <c r="J3" s="87">
        <v>70</v>
      </c>
      <c r="K3" s="153">
        <v>76</v>
      </c>
      <c r="L3" s="156">
        <v>68</v>
      </c>
      <c r="M3" s="85">
        <v>61</v>
      </c>
      <c r="N3" s="153">
        <v>66</v>
      </c>
      <c r="O3" s="153">
        <v>74</v>
      </c>
      <c r="P3" s="153">
        <v>79</v>
      </c>
      <c r="Q3" s="153">
        <v>79</v>
      </c>
    </row>
    <row r="4" spans="1:17" x14ac:dyDescent="0.25">
      <c r="A4" s="146" t="s">
        <v>1</v>
      </c>
      <c r="B4" s="87">
        <v>67</v>
      </c>
      <c r="C4" s="87">
        <v>70</v>
      </c>
      <c r="D4" s="87">
        <v>69</v>
      </c>
      <c r="E4" s="87">
        <v>73</v>
      </c>
      <c r="F4" s="87">
        <v>71</v>
      </c>
      <c r="G4" s="87">
        <v>80</v>
      </c>
      <c r="H4" s="87">
        <v>84</v>
      </c>
      <c r="I4" s="87">
        <v>69</v>
      </c>
      <c r="J4" s="87">
        <v>85</v>
      </c>
      <c r="K4" s="153">
        <v>80</v>
      </c>
      <c r="L4" s="156">
        <v>81</v>
      </c>
      <c r="M4" s="156">
        <v>74</v>
      </c>
      <c r="N4" s="153">
        <v>72</v>
      </c>
      <c r="O4" s="153">
        <v>60</v>
      </c>
      <c r="P4" s="153">
        <v>68</v>
      </c>
      <c r="Q4" s="153">
        <v>75</v>
      </c>
    </row>
    <row r="5" spans="1:17" x14ac:dyDescent="0.25">
      <c r="A5" s="146" t="s">
        <v>2</v>
      </c>
      <c r="B5" s="87">
        <v>70</v>
      </c>
      <c r="C5" s="87">
        <v>76</v>
      </c>
      <c r="D5" s="87">
        <v>67</v>
      </c>
      <c r="E5" s="87">
        <v>67</v>
      </c>
      <c r="F5" s="87">
        <v>81</v>
      </c>
      <c r="G5" s="87">
        <v>72</v>
      </c>
      <c r="H5" s="87">
        <v>77</v>
      </c>
      <c r="I5" s="87">
        <v>79</v>
      </c>
      <c r="J5" s="87">
        <v>81</v>
      </c>
      <c r="K5" s="153">
        <v>82</v>
      </c>
      <c r="L5" s="156">
        <v>86</v>
      </c>
      <c r="M5" s="156">
        <v>83</v>
      </c>
      <c r="N5" s="153">
        <v>89</v>
      </c>
      <c r="O5" s="153">
        <v>80</v>
      </c>
      <c r="P5" s="153">
        <v>80</v>
      </c>
      <c r="Q5" s="153">
        <v>86</v>
      </c>
    </row>
    <row r="6" spans="1:17" x14ac:dyDescent="0.25">
      <c r="A6" s="146" t="s">
        <v>3</v>
      </c>
      <c r="B6" s="87">
        <v>132</v>
      </c>
      <c r="C6" s="87">
        <v>130</v>
      </c>
      <c r="D6" s="87">
        <v>126</v>
      </c>
      <c r="E6" s="87">
        <v>153</v>
      </c>
      <c r="F6" s="87">
        <v>152</v>
      </c>
      <c r="G6" s="87">
        <v>158</v>
      </c>
      <c r="H6" s="87">
        <v>175</v>
      </c>
      <c r="I6" s="87">
        <v>161</v>
      </c>
      <c r="J6" s="87">
        <v>181</v>
      </c>
      <c r="K6" s="153">
        <v>187</v>
      </c>
      <c r="L6" s="156">
        <v>169</v>
      </c>
      <c r="M6" s="156">
        <v>166</v>
      </c>
      <c r="N6" s="153">
        <v>170</v>
      </c>
      <c r="O6" s="153">
        <v>158</v>
      </c>
      <c r="P6" s="153">
        <v>165</v>
      </c>
      <c r="Q6" s="153">
        <v>162</v>
      </c>
    </row>
    <row r="7" spans="1:17" x14ac:dyDescent="0.25">
      <c r="A7" s="146" t="s">
        <v>4</v>
      </c>
      <c r="B7" s="87">
        <v>72</v>
      </c>
      <c r="C7" s="87">
        <v>67</v>
      </c>
      <c r="D7" s="87">
        <v>69</v>
      </c>
      <c r="E7" s="87">
        <v>87</v>
      </c>
      <c r="F7" s="87">
        <v>75</v>
      </c>
      <c r="G7" s="87">
        <v>77</v>
      </c>
      <c r="H7" s="87">
        <v>85</v>
      </c>
      <c r="I7" s="87">
        <v>86</v>
      </c>
      <c r="J7" s="87">
        <v>95</v>
      </c>
      <c r="K7" s="153">
        <v>96</v>
      </c>
      <c r="L7" s="156">
        <v>99</v>
      </c>
      <c r="M7" s="156">
        <v>90</v>
      </c>
      <c r="N7" s="153">
        <v>85</v>
      </c>
      <c r="O7" s="153">
        <v>89</v>
      </c>
      <c r="P7" s="153">
        <v>82</v>
      </c>
      <c r="Q7" s="153">
        <v>91</v>
      </c>
    </row>
    <row r="8" spans="1:17" x14ac:dyDescent="0.25">
      <c r="A8" s="146" t="s">
        <v>5</v>
      </c>
      <c r="B8" s="87">
        <v>54</v>
      </c>
      <c r="C8" s="87">
        <v>48</v>
      </c>
      <c r="D8" s="87">
        <v>53</v>
      </c>
      <c r="E8" s="87">
        <v>58</v>
      </c>
      <c r="F8" s="87">
        <v>55</v>
      </c>
      <c r="G8" s="87">
        <v>51</v>
      </c>
      <c r="H8" s="87">
        <v>58</v>
      </c>
      <c r="I8" s="87">
        <v>61</v>
      </c>
      <c r="J8" s="87">
        <v>69</v>
      </c>
      <c r="K8" s="153">
        <v>65</v>
      </c>
      <c r="L8" s="156">
        <v>68</v>
      </c>
      <c r="M8" s="156">
        <v>59</v>
      </c>
      <c r="N8" s="153">
        <v>51</v>
      </c>
      <c r="O8" s="153">
        <v>47</v>
      </c>
      <c r="P8" s="153">
        <v>49</v>
      </c>
      <c r="Q8" s="153">
        <v>60</v>
      </c>
    </row>
    <row r="9" spans="1:17" x14ac:dyDescent="0.25">
      <c r="A9" s="146" t="s">
        <v>6</v>
      </c>
      <c r="B9" s="87">
        <v>167</v>
      </c>
      <c r="C9" s="87">
        <v>188</v>
      </c>
      <c r="D9" s="87">
        <v>185</v>
      </c>
      <c r="E9" s="87">
        <v>180</v>
      </c>
      <c r="F9" s="87">
        <v>172</v>
      </c>
      <c r="G9" s="87">
        <v>157</v>
      </c>
      <c r="H9" s="87">
        <v>170</v>
      </c>
      <c r="I9" s="87">
        <v>172</v>
      </c>
      <c r="J9" s="87">
        <v>189</v>
      </c>
      <c r="K9" s="153">
        <v>180</v>
      </c>
      <c r="L9" s="156">
        <v>189</v>
      </c>
      <c r="M9" s="156">
        <v>206</v>
      </c>
      <c r="N9" s="153">
        <v>203</v>
      </c>
      <c r="O9" s="153">
        <v>179</v>
      </c>
      <c r="P9" s="153">
        <v>167</v>
      </c>
      <c r="Q9" s="153">
        <v>164</v>
      </c>
    </row>
    <row r="10" spans="1:17" x14ac:dyDescent="0.25">
      <c r="A10" t="s">
        <v>100</v>
      </c>
      <c r="B10">
        <f t="shared" ref="B10:J10" si="0">SUM(B3:B9)</f>
        <v>630</v>
      </c>
      <c r="C10">
        <f t="shared" si="0"/>
        <v>644</v>
      </c>
      <c r="D10">
        <f t="shared" si="0"/>
        <v>624</v>
      </c>
      <c r="E10">
        <f t="shared" si="0"/>
        <v>681</v>
      </c>
      <c r="F10">
        <f t="shared" si="0"/>
        <v>663</v>
      </c>
      <c r="G10">
        <f t="shared" si="0"/>
        <v>658</v>
      </c>
      <c r="H10">
        <f t="shared" si="0"/>
        <v>718</v>
      </c>
      <c r="I10">
        <f t="shared" si="0"/>
        <v>696</v>
      </c>
      <c r="J10">
        <f t="shared" si="0"/>
        <v>770</v>
      </c>
      <c r="K10" s="154">
        <v>766</v>
      </c>
      <c r="L10">
        <v>760</v>
      </c>
      <c r="M10" s="161">
        <f>SUM(M3:M9)</f>
        <v>739</v>
      </c>
      <c r="N10" s="154">
        <v>736</v>
      </c>
      <c r="O10" s="154">
        <v>687</v>
      </c>
      <c r="P10" s="154">
        <v>690</v>
      </c>
      <c r="Q10" s="154">
        <v>717</v>
      </c>
    </row>
    <row r="13" spans="1:17" x14ac:dyDescent="0.25">
      <c r="A13" t="s">
        <v>101</v>
      </c>
      <c r="B13" s="145">
        <v>41091</v>
      </c>
      <c r="C13" s="145">
        <v>41122</v>
      </c>
      <c r="D13" s="145">
        <v>41153</v>
      </c>
      <c r="E13" s="145">
        <v>41183</v>
      </c>
      <c r="F13" s="145">
        <v>41214</v>
      </c>
      <c r="G13" s="145">
        <v>41244</v>
      </c>
      <c r="H13" s="145">
        <v>41275</v>
      </c>
      <c r="I13" s="145">
        <v>41306</v>
      </c>
      <c r="J13" s="145">
        <v>41334</v>
      </c>
      <c r="K13" s="144">
        <v>41365</v>
      </c>
      <c r="L13" s="144">
        <v>41395</v>
      </c>
      <c r="M13" s="144">
        <v>41426</v>
      </c>
      <c r="N13" s="144">
        <v>41456</v>
      </c>
      <c r="O13" s="144">
        <v>41487</v>
      </c>
      <c r="P13" s="144">
        <v>41518</v>
      </c>
      <c r="Q13" s="144">
        <v>41548</v>
      </c>
    </row>
    <row r="14" spans="1:17" x14ac:dyDescent="0.25">
      <c r="A14" s="146" t="s">
        <v>0</v>
      </c>
      <c r="B14" s="87">
        <v>324</v>
      </c>
      <c r="C14" s="87">
        <v>336</v>
      </c>
      <c r="D14" s="87">
        <v>305</v>
      </c>
      <c r="E14" s="87">
        <v>342</v>
      </c>
      <c r="F14" s="87">
        <v>349</v>
      </c>
      <c r="G14" s="87">
        <v>348</v>
      </c>
      <c r="H14" s="87">
        <v>323</v>
      </c>
      <c r="I14" s="87">
        <v>302</v>
      </c>
      <c r="J14" s="87">
        <v>329</v>
      </c>
      <c r="K14" s="153">
        <v>337</v>
      </c>
      <c r="L14" s="156">
        <v>334</v>
      </c>
      <c r="M14" s="156">
        <v>333</v>
      </c>
      <c r="N14" s="153">
        <v>361</v>
      </c>
      <c r="O14" s="177">
        <v>348</v>
      </c>
      <c r="P14" s="153">
        <v>343</v>
      </c>
      <c r="Q14" s="177">
        <v>379</v>
      </c>
    </row>
    <row r="15" spans="1:17" x14ac:dyDescent="0.25">
      <c r="A15" s="146" t="s">
        <v>1</v>
      </c>
      <c r="B15" s="87">
        <v>220</v>
      </c>
      <c r="C15" s="87">
        <v>221</v>
      </c>
      <c r="D15" s="87">
        <v>230</v>
      </c>
      <c r="E15" s="87">
        <v>251</v>
      </c>
      <c r="F15" s="87">
        <v>221</v>
      </c>
      <c r="G15" s="87">
        <v>223</v>
      </c>
      <c r="H15" s="87">
        <v>227</v>
      </c>
      <c r="I15" s="87">
        <v>205</v>
      </c>
      <c r="J15" s="87">
        <v>226</v>
      </c>
      <c r="K15" s="153">
        <v>225</v>
      </c>
      <c r="L15" s="156">
        <v>200</v>
      </c>
      <c r="M15" s="156">
        <v>197</v>
      </c>
      <c r="N15" s="153">
        <v>213</v>
      </c>
      <c r="O15" s="177">
        <v>189</v>
      </c>
      <c r="P15" s="153">
        <v>182</v>
      </c>
      <c r="Q15" s="177">
        <v>195</v>
      </c>
    </row>
    <row r="16" spans="1:17" x14ac:dyDescent="0.25">
      <c r="A16" s="146" t="s">
        <v>2</v>
      </c>
      <c r="B16" s="87">
        <v>438</v>
      </c>
      <c r="C16" s="87">
        <v>430</v>
      </c>
      <c r="D16" s="87">
        <v>426</v>
      </c>
      <c r="E16" s="87">
        <v>475</v>
      </c>
      <c r="F16" s="87">
        <v>484</v>
      </c>
      <c r="G16" s="87">
        <v>584</v>
      </c>
      <c r="H16" s="87">
        <v>615</v>
      </c>
      <c r="I16" s="87">
        <v>580</v>
      </c>
      <c r="J16" s="87">
        <v>571</v>
      </c>
      <c r="K16" s="153">
        <v>615</v>
      </c>
      <c r="L16" s="156">
        <v>623</v>
      </c>
      <c r="M16" s="156">
        <v>578</v>
      </c>
      <c r="N16" s="153">
        <v>638</v>
      </c>
      <c r="O16" s="177">
        <v>653</v>
      </c>
      <c r="P16" s="153">
        <v>631</v>
      </c>
      <c r="Q16" s="177">
        <v>676</v>
      </c>
    </row>
    <row r="17" spans="1:17" x14ac:dyDescent="0.25">
      <c r="A17" s="146" t="s">
        <v>3</v>
      </c>
      <c r="B17" s="87">
        <v>608</v>
      </c>
      <c r="C17" s="87">
        <v>644</v>
      </c>
      <c r="D17" s="87">
        <v>627</v>
      </c>
      <c r="E17" s="87">
        <v>648</v>
      </c>
      <c r="F17" s="87">
        <v>572</v>
      </c>
      <c r="G17" s="87">
        <v>602</v>
      </c>
      <c r="H17" s="87">
        <v>649</v>
      </c>
      <c r="I17" s="87">
        <v>647</v>
      </c>
      <c r="J17" s="87">
        <v>625</v>
      </c>
      <c r="K17" s="153">
        <v>652</v>
      </c>
      <c r="L17" s="156">
        <v>683</v>
      </c>
      <c r="M17" s="156">
        <v>662</v>
      </c>
      <c r="N17" s="153">
        <v>688</v>
      </c>
      <c r="O17" s="177">
        <v>710</v>
      </c>
      <c r="P17" s="153">
        <v>713</v>
      </c>
      <c r="Q17" s="177">
        <v>676</v>
      </c>
    </row>
    <row r="18" spans="1:17" x14ac:dyDescent="0.25">
      <c r="A18" s="146" t="s">
        <v>4</v>
      </c>
      <c r="B18" s="87">
        <v>302</v>
      </c>
      <c r="C18" s="87">
        <v>245</v>
      </c>
      <c r="D18" s="87">
        <v>221</v>
      </c>
      <c r="E18" s="87">
        <v>248</v>
      </c>
      <c r="F18" s="87">
        <v>243</v>
      </c>
      <c r="G18" s="87">
        <v>234</v>
      </c>
      <c r="H18" s="87">
        <v>250</v>
      </c>
      <c r="I18" s="87">
        <v>240</v>
      </c>
      <c r="J18" s="87">
        <v>239</v>
      </c>
      <c r="K18" s="153">
        <v>231</v>
      </c>
      <c r="L18" s="156">
        <v>247</v>
      </c>
      <c r="M18" s="156">
        <v>258</v>
      </c>
      <c r="N18" s="153">
        <v>265</v>
      </c>
      <c r="O18" s="177">
        <v>271</v>
      </c>
      <c r="P18" s="153">
        <v>258</v>
      </c>
      <c r="Q18" s="177">
        <v>262</v>
      </c>
    </row>
    <row r="19" spans="1:17" x14ac:dyDescent="0.25">
      <c r="A19" s="146" t="s">
        <v>5</v>
      </c>
      <c r="B19" s="87">
        <v>269</v>
      </c>
      <c r="C19" s="87">
        <v>249</v>
      </c>
      <c r="D19" s="87">
        <v>220</v>
      </c>
      <c r="E19" s="87">
        <v>225</v>
      </c>
      <c r="F19" s="87">
        <v>231</v>
      </c>
      <c r="G19" s="87">
        <v>228</v>
      </c>
      <c r="H19" s="87">
        <v>244</v>
      </c>
      <c r="I19" s="87">
        <v>219</v>
      </c>
      <c r="J19" s="87">
        <v>256</v>
      </c>
      <c r="K19" s="153">
        <v>268</v>
      </c>
      <c r="L19" s="156">
        <v>261</v>
      </c>
      <c r="M19" s="156">
        <v>255</v>
      </c>
      <c r="N19" s="153">
        <v>242</v>
      </c>
      <c r="O19" s="177">
        <v>275</v>
      </c>
      <c r="P19" s="153">
        <v>249</v>
      </c>
      <c r="Q19" s="177">
        <v>270</v>
      </c>
    </row>
    <row r="20" spans="1:17" x14ac:dyDescent="0.25">
      <c r="A20" s="146" t="s">
        <v>6</v>
      </c>
      <c r="B20" s="87">
        <v>478</v>
      </c>
      <c r="C20" s="87">
        <v>545</v>
      </c>
      <c r="D20" s="87">
        <v>449</v>
      </c>
      <c r="E20" s="87">
        <v>486</v>
      </c>
      <c r="F20" s="87">
        <v>462</v>
      </c>
      <c r="G20" s="87">
        <v>488</v>
      </c>
      <c r="H20" s="87">
        <v>477</v>
      </c>
      <c r="I20" s="87">
        <v>459</v>
      </c>
      <c r="J20" s="87">
        <v>495</v>
      </c>
      <c r="K20" s="153">
        <v>518</v>
      </c>
      <c r="L20" s="156">
        <v>480</v>
      </c>
      <c r="M20" s="156">
        <v>530</v>
      </c>
      <c r="N20" s="153">
        <v>539</v>
      </c>
      <c r="O20" s="177">
        <v>555</v>
      </c>
      <c r="P20" s="153">
        <v>538</v>
      </c>
      <c r="Q20" s="177">
        <v>583</v>
      </c>
    </row>
    <row r="21" spans="1:17" x14ac:dyDescent="0.25">
      <c r="A21" t="s">
        <v>101</v>
      </c>
      <c r="B21">
        <f t="shared" ref="B21:J21" si="1">SUM(B14:B20)</f>
        <v>2639</v>
      </c>
      <c r="C21">
        <f t="shared" si="1"/>
        <v>2670</v>
      </c>
      <c r="D21">
        <f t="shared" si="1"/>
        <v>2478</v>
      </c>
      <c r="E21">
        <f t="shared" si="1"/>
        <v>2675</v>
      </c>
      <c r="F21">
        <f t="shared" si="1"/>
        <v>2562</v>
      </c>
      <c r="G21">
        <f t="shared" si="1"/>
        <v>2707</v>
      </c>
      <c r="H21">
        <f t="shared" si="1"/>
        <v>2785</v>
      </c>
      <c r="I21">
        <f t="shared" si="1"/>
        <v>2652</v>
      </c>
      <c r="J21">
        <f t="shared" si="1"/>
        <v>2741</v>
      </c>
      <c r="K21" s="154">
        <v>2846</v>
      </c>
      <c r="L21" s="156">
        <v>2828</v>
      </c>
      <c r="M21">
        <f>SUM(M14:M20)</f>
        <v>2813</v>
      </c>
      <c r="N21" s="154">
        <v>2946</v>
      </c>
      <c r="O21" s="178">
        <v>3001</v>
      </c>
      <c r="P21" s="154">
        <v>2914</v>
      </c>
      <c r="Q21" s="178">
        <v>3041</v>
      </c>
    </row>
    <row r="24" spans="1:17" x14ac:dyDescent="0.25">
      <c r="F24" s="268"/>
      <c r="G24" s="268"/>
      <c r="H24" s="153"/>
      <c r="I24" s="153"/>
      <c r="J24" s="153"/>
      <c r="K24" s="153"/>
      <c r="L24" s="153"/>
      <c r="M24" s="153"/>
      <c r="N24" s="153"/>
      <c r="O24" s="154"/>
    </row>
    <row r="26" spans="1:17" x14ac:dyDescent="0.25">
      <c r="E26" s="153"/>
      <c r="F26" s="153"/>
      <c r="G26" s="153"/>
      <c r="H26" s="153"/>
      <c r="I26" s="153"/>
      <c r="J26" s="153"/>
      <c r="K26" s="153"/>
      <c r="L26" s="153"/>
      <c r="M26" s="154"/>
    </row>
  </sheetData>
  <mergeCells count="1">
    <mergeCell ref="F24:G24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selection activeCell="N36" sqref="N36"/>
    </sheetView>
  </sheetViews>
  <sheetFormatPr defaultRowHeight="15" x14ac:dyDescent="0.25"/>
  <cols>
    <col min="1" max="1" width="13.7109375" customWidth="1"/>
  </cols>
  <sheetData>
    <row r="1" spans="1:27" x14ac:dyDescent="0.25">
      <c r="A1" s="73" t="s">
        <v>94</v>
      </c>
      <c r="B1" s="145">
        <v>41153</v>
      </c>
      <c r="C1" s="145">
        <v>41183</v>
      </c>
      <c r="D1" s="145">
        <v>41214</v>
      </c>
      <c r="E1" s="145">
        <v>41244</v>
      </c>
      <c r="F1" s="145">
        <v>41275</v>
      </c>
      <c r="G1" s="145">
        <v>41306</v>
      </c>
      <c r="H1" s="145">
        <v>41334</v>
      </c>
      <c r="I1" s="144">
        <v>41365</v>
      </c>
      <c r="J1" s="144">
        <v>41395</v>
      </c>
      <c r="K1" s="163">
        <v>41426</v>
      </c>
      <c r="L1" s="163">
        <v>41456</v>
      </c>
      <c r="M1" s="163">
        <v>41487</v>
      </c>
      <c r="N1" s="163">
        <v>41518</v>
      </c>
      <c r="O1" s="144">
        <v>41548</v>
      </c>
    </row>
    <row r="2" spans="1:27" x14ac:dyDescent="0.25">
      <c r="A2" s="141" t="s">
        <v>0</v>
      </c>
      <c r="B2" s="64">
        <v>8</v>
      </c>
      <c r="C2" s="64">
        <v>12</v>
      </c>
      <c r="D2" s="64">
        <v>15</v>
      </c>
      <c r="E2" s="64">
        <v>12</v>
      </c>
      <c r="F2" s="64">
        <v>8</v>
      </c>
      <c r="G2" s="64">
        <v>13</v>
      </c>
      <c r="H2" s="64">
        <v>10</v>
      </c>
      <c r="I2" s="150">
        <v>16</v>
      </c>
      <c r="J2" s="134">
        <v>17</v>
      </c>
      <c r="K2" s="164">
        <v>4</v>
      </c>
      <c r="L2" s="134">
        <v>9</v>
      </c>
      <c r="M2" s="134">
        <v>11</v>
      </c>
      <c r="N2" s="150">
        <v>15</v>
      </c>
      <c r="O2" s="64">
        <v>9</v>
      </c>
      <c r="P2" s="150"/>
      <c r="Q2" s="150"/>
      <c r="T2" s="64"/>
      <c r="U2" s="64"/>
      <c r="V2" s="64"/>
      <c r="W2" s="64"/>
      <c r="X2" s="64"/>
      <c r="Y2" s="64"/>
      <c r="Z2" s="64"/>
      <c r="AA2" s="64"/>
    </row>
    <row r="3" spans="1:27" x14ac:dyDescent="0.25">
      <c r="A3" s="141" t="s">
        <v>1</v>
      </c>
      <c r="B3" s="64">
        <v>5</v>
      </c>
      <c r="C3" s="64">
        <v>9</v>
      </c>
      <c r="D3" s="64">
        <v>4</v>
      </c>
      <c r="E3" s="64">
        <v>10</v>
      </c>
      <c r="F3" s="64">
        <v>11</v>
      </c>
      <c r="G3" s="64">
        <v>4</v>
      </c>
      <c r="H3" s="64">
        <v>8</v>
      </c>
      <c r="I3" s="150">
        <v>7</v>
      </c>
      <c r="J3" s="134">
        <v>7</v>
      </c>
      <c r="K3" s="125">
        <v>8</v>
      </c>
      <c r="L3" s="134">
        <v>2</v>
      </c>
      <c r="M3" s="134">
        <v>2</v>
      </c>
      <c r="N3" s="179">
        <v>9</v>
      </c>
      <c r="O3" s="64">
        <v>5</v>
      </c>
    </row>
    <row r="4" spans="1:27" x14ac:dyDescent="0.25">
      <c r="A4" s="141" t="s">
        <v>2</v>
      </c>
      <c r="B4" s="64">
        <v>8</v>
      </c>
      <c r="C4" s="64">
        <v>19</v>
      </c>
      <c r="D4" s="64">
        <v>15</v>
      </c>
      <c r="E4" s="64">
        <v>16</v>
      </c>
      <c r="F4" s="64">
        <v>14</v>
      </c>
      <c r="G4" s="64">
        <v>15</v>
      </c>
      <c r="H4" s="64">
        <v>25</v>
      </c>
      <c r="I4" s="150">
        <v>14</v>
      </c>
      <c r="J4" s="134">
        <v>15</v>
      </c>
      <c r="K4" s="125">
        <v>19</v>
      </c>
      <c r="L4" s="134">
        <v>20</v>
      </c>
      <c r="M4" s="134">
        <v>12</v>
      </c>
      <c r="N4" s="179">
        <v>8</v>
      </c>
      <c r="O4" s="64">
        <v>19</v>
      </c>
    </row>
    <row r="5" spans="1:27" x14ac:dyDescent="0.25">
      <c r="A5" s="141" t="s">
        <v>3</v>
      </c>
      <c r="B5" s="64">
        <v>21</v>
      </c>
      <c r="C5" s="64">
        <v>33</v>
      </c>
      <c r="D5" s="64">
        <v>27</v>
      </c>
      <c r="E5" s="64">
        <v>20</v>
      </c>
      <c r="F5" s="64">
        <v>28</v>
      </c>
      <c r="G5" s="64">
        <v>20</v>
      </c>
      <c r="H5" s="64">
        <v>29</v>
      </c>
      <c r="I5" s="150">
        <v>40</v>
      </c>
      <c r="J5" s="134">
        <v>21</v>
      </c>
      <c r="K5" s="125">
        <v>21</v>
      </c>
      <c r="L5" s="134">
        <v>24</v>
      </c>
      <c r="M5" s="134">
        <v>16</v>
      </c>
      <c r="N5" s="179">
        <v>30</v>
      </c>
      <c r="O5" s="64">
        <v>26</v>
      </c>
    </row>
    <row r="6" spans="1:27" x14ac:dyDescent="0.25">
      <c r="A6" s="141" t="s">
        <v>4</v>
      </c>
      <c r="B6" s="64">
        <v>22</v>
      </c>
      <c r="C6" s="64">
        <v>18</v>
      </c>
      <c r="D6" s="64">
        <v>21</v>
      </c>
      <c r="E6" s="64">
        <v>20</v>
      </c>
      <c r="F6" s="64">
        <v>16</v>
      </c>
      <c r="G6" s="64">
        <v>14</v>
      </c>
      <c r="H6" s="64">
        <v>21</v>
      </c>
      <c r="I6" s="150">
        <v>18</v>
      </c>
      <c r="J6" s="134">
        <v>18</v>
      </c>
      <c r="K6" s="125">
        <v>13</v>
      </c>
      <c r="L6" s="134">
        <v>18</v>
      </c>
      <c r="M6" s="134">
        <v>12</v>
      </c>
      <c r="N6" s="179">
        <v>15</v>
      </c>
      <c r="O6" s="64">
        <v>11</v>
      </c>
    </row>
    <row r="7" spans="1:27" x14ac:dyDescent="0.25">
      <c r="A7" s="141" t="s">
        <v>5</v>
      </c>
      <c r="B7" s="64">
        <v>11</v>
      </c>
      <c r="C7" s="64">
        <v>18</v>
      </c>
      <c r="D7" s="64">
        <v>7</v>
      </c>
      <c r="E7" s="64">
        <v>6</v>
      </c>
      <c r="F7" s="64">
        <v>11</v>
      </c>
      <c r="G7" s="64">
        <v>11</v>
      </c>
      <c r="H7" s="64">
        <v>22</v>
      </c>
      <c r="I7" s="150">
        <v>7</v>
      </c>
      <c r="J7" s="134">
        <v>11</v>
      </c>
      <c r="K7" s="125">
        <v>9</v>
      </c>
      <c r="L7" s="134">
        <v>5</v>
      </c>
      <c r="M7" s="134">
        <v>6</v>
      </c>
      <c r="N7" s="179">
        <v>8</v>
      </c>
      <c r="O7" s="64">
        <v>23</v>
      </c>
    </row>
    <row r="8" spans="1:27" x14ac:dyDescent="0.25">
      <c r="A8" s="141" t="s">
        <v>6</v>
      </c>
      <c r="B8" s="64">
        <v>29</v>
      </c>
      <c r="C8" s="64">
        <v>35</v>
      </c>
      <c r="D8" s="64">
        <v>36</v>
      </c>
      <c r="E8" s="64">
        <v>23</v>
      </c>
      <c r="F8" s="64">
        <v>24</v>
      </c>
      <c r="G8" s="64">
        <v>29</v>
      </c>
      <c r="H8" s="64">
        <v>28</v>
      </c>
      <c r="I8" s="150">
        <v>42</v>
      </c>
      <c r="J8" s="134">
        <v>29</v>
      </c>
      <c r="K8" s="125">
        <v>44</v>
      </c>
      <c r="L8" s="134">
        <v>25</v>
      </c>
      <c r="M8" s="134">
        <v>22</v>
      </c>
      <c r="N8" s="179">
        <v>25</v>
      </c>
      <c r="O8" s="64">
        <v>18</v>
      </c>
    </row>
    <row r="9" spans="1:27" x14ac:dyDescent="0.25">
      <c r="A9" s="73" t="s">
        <v>94</v>
      </c>
      <c r="B9" s="64">
        <v>104</v>
      </c>
      <c r="C9" s="64">
        <v>144</v>
      </c>
      <c r="D9" s="64">
        <v>125</v>
      </c>
      <c r="E9" s="64">
        <v>107</v>
      </c>
      <c r="F9" s="64">
        <v>112</v>
      </c>
      <c r="G9" s="64">
        <v>106</v>
      </c>
      <c r="H9" s="64">
        <v>143</v>
      </c>
      <c r="I9" s="151">
        <v>144</v>
      </c>
      <c r="J9" s="134">
        <v>118</v>
      </c>
      <c r="K9" s="165">
        <f>SUM(K2:K8)</f>
        <v>118</v>
      </c>
      <c r="L9" s="134">
        <v>103</v>
      </c>
      <c r="M9" s="134">
        <v>81</v>
      </c>
      <c r="N9" s="179">
        <v>110</v>
      </c>
      <c r="O9" s="64">
        <v>111</v>
      </c>
    </row>
    <row r="12" spans="1:27" x14ac:dyDescent="0.25">
      <c r="A12" s="73" t="s">
        <v>95</v>
      </c>
      <c r="B12" s="145">
        <v>41153</v>
      </c>
      <c r="C12" s="145">
        <v>41183</v>
      </c>
      <c r="D12" s="145">
        <v>41214</v>
      </c>
      <c r="E12" s="145">
        <v>41244</v>
      </c>
      <c r="F12" s="145">
        <v>41275</v>
      </c>
      <c r="G12" s="145">
        <v>41306</v>
      </c>
      <c r="H12" s="145">
        <v>41334</v>
      </c>
      <c r="I12" s="144">
        <v>41365</v>
      </c>
      <c r="J12" s="144">
        <v>41395</v>
      </c>
      <c r="K12" s="163">
        <v>41426</v>
      </c>
      <c r="L12" s="163">
        <v>41456</v>
      </c>
      <c r="M12" s="163">
        <v>41487</v>
      </c>
      <c r="N12" s="163">
        <v>41518</v>
      </c>
      <c r="O12" s="144">
        <v>41548</v>
      </c>
    </row>
    <row r="13" spans="1:27" x14ac:dyDescent="0.25">
      <c r="A13" s="141" t="s">
        <v>0</v>
      </c>
      <c r="B13" s="64">
        <v>59</v>
      </c>
      <c r="C13" s="64">
        <v>83</v>
      </c>
      <c r="D13" s="64">
        <v>80</v>
      </c>
      <c r="E13" s="64">
        <v>67</v>
      </c>
      <c r="F13" s="64">
        <v>66</v>
      </c>
      <c r="G13" s="64">
        <v>70</v>
      </c>
      <c r="H13" s="64">
        <v>81</v>
      </c>
      <c r="I13" s="150">
        <v>79</v>
      </c>
      <c r="J13" s="134">
        <v>92</v>
      </c>
      <c r="K13" s="164">
        <v>73</v>
      </c>
      <c r="L13" s="134">
        <v>103</v>
      </c>
      <c r="M13" s="150">
        <v>94</v>
      </c>
      <c r="N13" s="150">
        <v>97</v>
      </c>
      <c r="O13" s="64">
        <v>114</v>
      </c>
      <c r="P13" s="150"/>
      <c r="Q13" s="150"/>
      <c r="R13" s="150"/>
      <c r="S13" s="64"/>
      <c r="T13" s="64"/>
      <c r="U13" s="64"/>
      <c r="V13" s="64"/>
      <c r="W13" s="64"/>
      <c r="X13" s="64"/>
      <c r="Y13" s="64"/>
      <c r="Z13" s="64"/>
    </row>
    <row r="14" spans="1:27" x14ac:dyDescent="0.25">
      <c r="A14" s="141" t="s">
        <v>1</v>
      </c>
      <c r="B14" s="64">
        <v>40</v>
      </c>
      <c r="C14" s="64">
        <v>52</v>
      </c>
      <c r="D14" s="64">
        <v>46</v>
      </c>
      <c r="E14" s="64">
        <v>36</v>
      </c>
      <c r="F14" s="64">
        <v>46</v>
      </c>
      <c r="G14" s="64">
        <v>42</v>
      </c>
      <c r="H14" s="64">
        <v>32</v>
      </c>
      <c r="I14" s="150">
        <v>34</v>
      </c>
      <c r="J14" s="134">
        <v>40</v>
      </c>
      <c r="K14" s="125">
        <v>30</v>
      </c>
      <c r="L14" s="134">
        <v>50</v>
      </c>
      <c r="M14">
        <v>43</v>
      </c>
      <c r="N14">
        <v>33</v>
      </c>
      <c r="O14" s="64">
        <v>42</v>
      </c>
    </row>
    <row r="15" spans="1:27" x14ac:dyDescent="0.25">
      <c r="A15" s="141" t="s">
        <v>2</v>
      </c>
      <c r="B15" s="64">
        <v>117</v>
      </c>
      <c r="C15" s="64">
        <v>122</v>
      </c>
      <c r="D15" s="64">
        <v>105</v>
      </c>
      <c r="E15" s="64">
        <v>159</v>
      </c>
      <c r="F15" s="64">
        <v>175</v>
      </c>
      <c r="G15" s="64">
        <v>116</v>
      </c>
      <c r="H15" s="64">
        <v>125</v>
      </c>
      <c r="I15" s="150">
        <v>139</v>
      </c>
      <c r="J15" s="134">
        <v>174</v>
      </c>
      <c r="K15" s="125">
        <v>139</v>
      </c>
      <c r="L15" s="134">
        <v>180</v>
      </c>
      <c r="M15">
        <v>190</v>
      </c>
      <c r="N15">
        <v>183</v>
      </c>
      <c r="O15" s="64">
        <v>198</v>
      </c>
    </row>
    <row r="16" spans="1:27" x14ac:dyDescent="0.25">
      <c r="A16" s="141" t="s">
        <v>3</v>
      </c>
      <c r="B16" s="64">
        <v>203</v>
      </c>
      <c r="C16" s="64">
        <v>194</v>
      </c>
      <c r="D16" s="64">
        <v>191</v>
      </c>
      <c r="E16" s="64">
        <v>210</v>
      </c>
      <c r="F16" s="64">
        <v>214</v>
      </c>
      <c r="G16" s="64">
        <v>221</v>
      </c>
      <c r="H16" s="64">
        <v>223</v>
      </c>
      <c r="I16" s="150">
        <v>246</v>
      </c>
      <c r="J16" s="134">
        <v>311</v>
      </c>
      <c r="K16" s="125">
        <v>264</v>
      </c>
      <c r="L16" s="134">
        <v>280</v>
      </c>
      <c r="M16">
        <v>302</v>
      </c>
      <c r="N16">
        <v>244</v>
      </c>
      <c r="O16" s="64">
        <v>293</v>
      </c>
    </row>
    <row r="17" spans="1:17" x14ac:dyDescent="0.25">
      <c r="A17" s="141" t="s">
        <v>4</v>
      </c>
      <c r="B17" s="64">
        <v>79</v>
      </c>
      <c r="C17" s="64">
        <v>75</v>
      </c>
      <c r="D17" s="64">
        <v>80</v>
      </c>
      <c r="E17" s="64">
        <v>67</v>
      </c>
      <c r="F17" s="64">
        <v>75</v>
      </c>
      <c r="G17" s="64">
        <v>79</v>
      </c>
      <c r="H17" s="64">
        <v>79</v>
      </c>
      <c r="I17" s="150">
        <v>85</v>
      </c>
      <c r="J17" s="134">
        <v>106</v>
      </c>
      <c r="K17" s="125">
        <v>117</v>
      </c>
      <c r="L17" s="134">
        <v>118</v>
      </c>
      <c r="M17">
        <v>117</v>
      </c>
      <c r="N17">
        <v>99</v>
      </c>
      <c r="O17" s="64">
        <v>98</v>
      </c>
    </row>
    <row r="18" spans="1:17" x14ac:dyDescent="0.25">
      <c r="A18" s="141" t="s">
        <v>5</v>
      </c>
      <c r="B18" s="64">
        <v>54</v>
      </c>
      <c r="C18" s="64">
        <v>40</v>
      </c>
      <c r="D18" s="64">
        <v>50</v>
      </c>
      <c r="E18" s="64">
        <v>53</v>
      </c>
      <c r="F18" s="64">
        <v>48</v>
      </c>
      <c r="G18" s="64">
        <v>46</v>
      </c>
      <c r="H18" s="64">
        <v>53</v>
      </c>
      <c r="I18" s="150">
        <v>75</v>
      </c>
      <c r="J18" s="134">
        <v>52</v>
      </c>
      <c r="K18" s="125">
        <v>56</v>
      </c>
      <c r="L18" s="134">
        <v>42</v>
      </c>
      <c r="M18">
        <v>93</v>
      </c>
      <c r="N18">
        <v>54</v>
      </c>
      <c r="O18" s="64">
        <v>60</v>
      </c>
    </row>
    <row r="19" spans="1:17" x14ac:dyDescent="0.25">
      <c r="A19" s="141" t="s">
        <v>6</v>
      </c>
      <c r="B19" s="64">
        <v>72</v>
      </c>
      <c r="C19" s="64">
        <v>87</v>
      </c>
      <c r="D19" s="64">
        <v>91</v>
      </c>
      <c r="E19" s="64">
        <v>82</v>
      </c>
      <c r="F19" s="64">
        <v>81</v>
      </c>
      <c r="G19" s="64">
        <v>82</v>
      </c>
      <c r="H19" s="64">
        <v>85</v>
      </c>
      <c r="I19" s="150">
        <v>80</v>
      </c>
      <c r="J19" s="134">
        <v>80</v>
      </c>
      <c r="K19" s="125">
        <v>63</v>
      </c>
      <c r="L19" s="134">
        <v>99</v>
      </c>
      <c r="M19">
        <v>105</v>
      </c>
      <c r="N19">
        <v>113</v>
      </c>
      <c r="O19" s="64">
        <v>118</v>
      </c>
    </row>
    <row r="20" spans="1:17" x14ac:dyDescent="0.25">
      <c r="A20" s="73" t="s">
        <v>95</v>
      </c>
      <c r="B20" s="64">
        <v>624</v>
      </c>
      <c r="C20" s="64">
        <v>653</v>
      </c>
      <c r="D20" s="64">
        <v>643</v>
      </c>
      <c r="E20" s="64">
        <v>674</v>
      </c>
      <c r="F20" s="64">
        <v>705</v>
      </c>
      <c r="G20" s="64">
        <v>656</v>
      </c>
      <c r="H20" s="64">
        <v>678</v>
      </c>
      <c r="I20" s="150">
        <v>738</v>
      </c>
      <c r="J20" s="134">
        <v>855</v>
      </c>
      <c r="K20" s="165">
        <f>SUM(K13:K19)</f>
        <v>742</v>
      </c>
      <c r="L20" s="134">
        <v>872</v>
      </c>
      <c r="M20">
        <v>960</v>
      </c>
      <c r="N20">
        <v>823</v>
      </c>
      <c r="O20" s="64">
        <v>923</v>
      </c>
    </row>
    <row r="23" spans="1:17" x14ac:dyDescent="0.25">
      <c r="C23" s="134"/>
      <c r="D23" s="134"/>
      <c r="E23" s="134"/>
      <c r="F23" s="134"/>
      <c r="G23" s="134"/>
      <c r="H23" s="134"/>
      <c r="I23" s="134"/>
      <c r="J23" s="134"/>
    </row>
    <row r="24" spans="1:17" x14ac:dyDescent="0.25">
      <c r="B24" s="134"/>
      <c r="C24" s="134"/>
      <c r="D24" s="134"/>
      <c r="E24" s="134"/>
    </row>
    <row r="25" spans="1:17" x14ac:dyDescent="0.25">
      <c r="J25" s="134"/>
      <c r="K25" s="134"/>
      <c r="L25" s="134"/>
      <c r="M25" s="134"/>
      <c r="N25" s="134"/>
      <c r="O25" s="134"/>
      <c r="P25" s="134"/>
      <c r="Q25" s="134"/>
    </row>
  </sheetData>
  <pageMargins left="0.7" right="0.7" top="0.75" bottom="0.75" header="0.3" footer="0.3"/>
  <pageSetup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>
      <selection activeCell="S8" sqref="S8"/>
    </sheetView>
  </sheetViews>
  <sheetFormatPr defaultRowHeight="15" x14ac:dyDescent="0.25"/>
  <cols>
    <col min="1" max="1" width="19.140625" customWidth="1"/>
    <col min="2" max="2" width="6.42578125" customWidth="1"/>
    <col min="3" max="3" width="7.28515625" customWidth="1"/>
    <col min="4" max="4" width="7.140625" customWidth="1"/>
    <col min="5" max="5" width="6.42578125" customWidth="1"/>
    <col min="6" max="6" width="6.28515625" customWidth="1"/>
    <col min="7" max="7" width="7" customWidth="1"/>
    <col min="8" max="8" width="7.140625" customWidth="1"/>
    <col min="9" max="9" width="6.140625" customWidth="1"/>
    <col min="10" max="10" width="6.42578125" customWidth="1"/>
    <col min="11" max="11" width="6.5703125" customWidth="1"/>
    <col min="12" max="12" width="7" customWidth="1"/>
    <col min="13" max="13" width="6.7109375" customWidth="1"/>
    <col min="14" max="14" width="5.85546875" customWidth="1"/>
    <col min="15" max="15" width="6.42578125" customWidth="1"/>
    <col min="16" max="17" width="6.85546875" customWidth="1"/>
  </cols>
  <sheetData>
    <row r="1" spans="1:20" x14ac:dyDescent="0.25">
      <c r="A1" s="73" t="s">
        <v>96</v>
      </c>
      <c r="B1" s="145">
        <v>41091</v>
      </c>
      <c r="C1" s="145">
        <v>41122</v>
      </c>
      <c r="D1" s="145">
        <v>41153</v>
      </c>
      <c r="E1" s="145">
        <v>41183</v>
      </c>
      <c r="F1" s="145">
        <v>41214</v>
      </c>
      <c r="G1" s="145">
        <v>41244</v>
      </c>
      <c r="H1" s="145">
        <v>41275</v>
      </c>
      <c r="I1" s="145">
        <v>41306</v>
      </c>
      <c r="J1" s="145">
        <v>41334</v>
      </c>
      <c r="K1" s="144">
        <v>41365</v>
      </c>
      <c r="L1" s="144">
        <v>41395</v>
      </c>
      <c r="M1" s="144">
        <v>41426</v>
      </c>
      <c r="N1" s="144">
        <v>41456</v>
      </c>
      <c r="O1" s="144">
        <v>41487</v>
      </c>
      <c r="P1" s="144">
        <v>41518</v>
      </c>
      <c r="Q1" s="144">
        <v>41548</v>
      </c>
    </row>
    <row r="2" spans="1:20" x14ac:dyDescent="0.25">
      <c r="A2" s="146" t="s">
        <v>0</v>
      </c>
      <c r="B2" s="63">
        <v>8</v>
      </c>
      <c r="C2" s="63">
        <v>5</v>
      </c>
      <c r="D2" s="63">
        <v>4</v>
      </c>
      <c r="E2" s="63">
        <v>6</v>
      </c>
      <c r="F2" s="63">
        <v>12</v>
      </c>
      <c r="G2" s="63">
        <v>6</v>
      </c>
      <c r="H2" s="63">
        <v>7</v>
      </c>
      <c r="I2" s="63">
        <v>9</v>
      </c>
      <c r="J2" s="63">
        <v>5</v>
      </c>
      <c r="K2" s="152">
        <v>6</v>
      </c>
      <c r="L2" s="87">
        <v>11</v>
      </c>
      <c r="M2" s="159">
        <v>7</v>
      </c>
      <c r="N2" s="152"/>
      <c r="O2" s="87">
        <v>5</v>
      </c>
      <c r="P2" s="152">
        <v>9</v>
      </c>
      <c r="Q2" s="87">
        <v>5</v>
      </c>
      <c r="R2" s="152"/>
      <c r="S2" s="152"/>
      <c r="T2" s="152"/>
    </row>
    <row r="3" spans="1:20" x14ac:dyDescent="0.25">
      <c r="A3" s="146" t="s">
        <v>1</v>
      </c>
      <c r="B3" s="63">
        <v>1</v>
      </c>
      <c r="C3" s="63">
        <v>1</v>
      </c>
      <c r="D3" s="63">
        <v>3</v>
      </c>
      <c r="E3" s="63">
        <v>4</v>
      </c>
      <c r="F3" s="63">
        <v>4</v>
      </c>
      <c r="G3" s="63">
        <v>7</v>
      </c>
      <c r="H3" s="63">
        <v>4</v>
      </c>
      <c r="I3" s="63">
        <v>4</v>
      </c>
      <c r="J3" s="63">
        <v>6</v>
      </c>
      <c r="K3" s="152">
        <v>5</v>
      </c>
      <c r="L3" s="87">
        <v>2</v>
      </c>
      <c r="M3" s="159">
        <v>3</v>
      </c>
      <c r="N3" s="87">
        <v>3</v>
      </c>
      <c r="O3" s="87">
        <v>2</v>
      </c>
      <c r="P3" s="87">
        <v>5</v>
      </c>
      <c r="Q3" s="87"/>
      <c r="R3" s="87"/>
      <c r="S3" s="87"/>
      <c r="T3" s="87"/>
    </row>
    <row r="4" spans="1:20" x14ac:dyDescent="0.25">
      <c r="A4" s="146" t="s">
        <v>2</v>
      </c>
      <c r="B4" s="63">
        <v>7</v>
      </c>
      <c r="C4" s="63">
        <v>3</v>
      </c>
      <c r="D4" s="63">
        <v>6</v>
      </c>
      <c r="E4" s="63">
        <v>5</v>
      </c>
      <c r="F4" s="63">
        <v>10</v>
      </c>
      <c r="G4" s="63">
        <v>8</v>
      </c>
      <c r="H4" s="63">
        <v>9</v>
      </c>
      <c r="I4" s="63">
        <v>10</v>
      </c>
      <c r="J4" s="63">
        <v>10</v>
      </c>
      <c r="K4" s="152">
        <v>5</v>
      </c>
      <c r="L4" s="87">
        <v>8</v>
      </c>
      <c r="M4" s="159">
        <v>5</v>
      </c>
      <c r="N4" s="87">
        <v>19</v>
      </c>
      <c r="O4" s="87">
        <v>5</v>
      </c>
      <c r="P4" s="156">
        <v>5</v>
      </c>
      <c r="Q4" s="87">
        <v>6</v>
      </c>
    </row>
    <row r="5" spans="1:20" x14ac:dyDescent="0.25">
      <c r="A5" s="146" t="s">
        <v>3</v>
      </c>
      <c r="B5" s="63">
        <v>13</v>
      </c>
      <c r="C5" s="63">
        <v>14</v>
      </c>
      <c r="D5" s="63">
        <v>11</v>
      </c>
      <c r="E5" s="63">
        <v>17</v>
      </c>
      <c r="F5" s="63">
        <v>22</v>
      </c>
      <c r="G5" s="63">
        <v>15</v>
      </c>
      <c r="H5" s="63">
        <v>25</v>
      </c>
      <c r="I5" s="63">
        <v>15</v>
      </c>
      <c r="J5" s="63">
        <v>17</v>
      </c>
      <c r="K5" s="152">
        <v>19</v>
      </c>
      <c r="L5" s="87">
        <v>21</v>
      </c>
      <c r="M5" s="159">
        <v>15</v>
      </c>
      <c r="N5" s="87">
        <v>14</v>
      </c>
      <c r="O5" s="87">
        <v>8</v>
      </c>
      <c r="P5" s="156">
        <v>11</v>
      </c>
      <c r="Q5" s="87">
        <v>17</v>
      </c>
    </row>
    <row r="6" spans="1:20" x14ac:dyDescent="0.25">
      <c r="A6" s="146" t="s">
        <v>4</v>
      </c>
      <c r="B6" s="63">
        <v>3</v>
      </c>
      <c r="C6" s="63">
        <v>7</v>
      </c>
      <c r="D6" s="63">
        <v>9</v>
      </c>
      <c r="E6" s="63">
        <v>13</v>
      </c>
      <c r="F6" s="63">
        <v>13</v>
      </c>
      <c r="G6" s="63">
        <v>8</v>
      </c>
      <c r="H6" s="63">
        <v>12</v>
      </c>
      <c r="I6" s="63">
        <v>14</v>
      </c>
      <c r="J6" s="63">
        <v>12</v>
      </c>
      <c r="K6" s="152">
        <v>11</v>
      </c>
      <c r="L6" s="87">
        <v>8</v>
      </c>
      <c r="M6" s="159">
        <v>9</v>
      </c>
      <c r="N6" s="87">
        <v>10</v>
      </c>
      <c r="O6" s="87">
        <v>8</v>
      </c>
      <c r="P6" s="156">
        <v>7</v>
      </c>
      <c r="Q6" s="87">
        <v>8</v>
      </c>
    </row>
    <row r="7" spans="1:20" x14ac:dyDescent="0.25">
      <c r="A7" s="146" t="s">
        <v>5</v>
      </c>
      <c r="B7" s="63">
        <v>3</v>
      </c>
      <c r="C7" s="63">
        <v>8</v>
      </c>
      <c r="D7" s="63">
        <v>5</v>
      </c>
      <c r="E7" s="63">
        <v>8</v>
      </c>
      <c r="F7" s="63">
        <v>9</v>
      </c>
      <c r="G7" s="63">
        <v>3</v>
      </c>
      <c r="H7" s="63">
        <v>4</v>
      </c>
      <c r="I7" s="63">
        <v>8</v>
      </c>
      <c r="J7" s="63">
        <v>9</v>
      </c>
      <c r="K7" s="152">
        <v>6</v>
      </c>
      <c r="L7" s="87">
        <v>4</v>
      </c>
      <c r="M7" s="159">
        <v>5</v>
      </c>
      <c r="N7" s="87">
        <v>4</v>
      </c>
      <c r="O7" s="87">
        <v>7</v>
      </c>
      <c r="P7" s="156">
        <v>1</v>
      </c>
      <c r="Q7" s="87">
        <v>9</v>
      </c>
    </row>
    <row r="8" spans="1:20" x14ac:dyDescent="0.25">
      <c r="A8" s="146" t="s">
        <v>6</v>
      </c>
      <c r="B8" s="63">
        <v>11</v>
      </c>
      <c r="C8" s="63">
        <v>20</v>
      </c>
      <c r="D8" s="63">
        <v>9</v>
      </c>
      <c r="E8" s="63">
        <v>20</v>
      </c>
      <c r="F8" s="63">
        <v>14</v>
      </c>
      <c r="G8" s="63">
        <v>13</v>
      </c>
      <c r="H8" s="63">
        <v>15</v>
      </c>
      <c r="I8" s="63">
        <v>7</v>
      </c>
      <c r="J8" s="63">
        <v>12</v>
      </c>
      <c r="K8" s="152">
        <v>9</v>
      </c>
      <c r="L8" s="87">
        <v>15</v>
      </c>
      <c r="M8" s="159">
        <v>6</v>
      </c>
      <c r="N8" s="87">
        <v>16</v>
      </c>
      <c r="O8" s="87">
        <v>12</v>
      </c>
      <c r="P8" s="156">
        <v>8</v>
      </c>
      <c r="Q8" s="87">
        <v>9</v>
      </c>
    </row>
    <row r="9" spans="1:20" x14ac:dyDescent="0.25">
      <c r="A9" s="73" t="s">
        <v>96</v>
      </c>
      <c r="B9" s="64">
        <v>46</v>
      </c>
      <c r="C9" s="64">
        <v>58</v>
      </c>
      <c r="D9" s="64">
        <v>47</v>
      </c>
      <c r="E9" s="64">
        <v>73</v>
      </c>
      <c r="F9" s="64">
        <v>84</v>
      </c>
      <c r="G9" s="64">
        <v>60</v>
      </c>
      <c r="H9" s="64">
        <v>76</v>
      </c>
      <c r="I9" s="64">
        <v>67</v>
      </c>
      <c r="J9" s="64">
        <v>71</v>
      </c>
      <c r="K9" s="152">
        <v>61</v>
      </c>
      <c r="L9" s="87">
        <v>69</v>
      </c>
      <c r="M9" s="160">
        <v>50</v>
      </c>
      <c r="N9" s="87">
        <v>66</v>
      </c>
      <c r="O9" s="87">
        <v>47</v>
      </c>
      <c r="P9" s="156">
        <v>46</v>
      </c>
      <c r="Q9" s="87">
        <v>54</v>
      </c>
    </row>
    <row r="12" spans="1:20" x14ac:dyDescent="0.25">
      <c r="A12" s="73" t="s">
        <v>97</v>
      </c>
      <c r="B12" s="145">
        <v>41091</v>
      </c>
      <c r="C12" s="145">
        <v>41122</v>
      </c>
      <c r="D12" s="145">
        <v>41153</v>
      </c>
      <c r="E12" s="145">
        <v>41183</v>
      </c>
      <c r="F12" s="145">
        <v>41214</v>
      </c>
      <c r="G12" s="145">
        <v>41244</v>
      </c>
      <c r="H12" s="145">
        <v>41275</v>
      </c>
      <c r="I12" s="145">
        <v>41306</v>
      </c>
      <c r="J12" s="145">
        <v>41334</v>
      </c>
      <c r="K12" s="144">
        <v>41365</v>
      </c>
      <c r="L12" s="144">
        <v>41395</v>
      </c>
      <c r="M12" s="144">
        <v>41426</v>
      </c>
      <c r="N12" s="144">
        <v>41456</v>
      </c>
      <c r="O12" s="144">
        <v>41487</v>
      </c>
      <c r="P12" s="144">
        <v>41518</v>
      </c>
      <c r="Q12" s="144">
        <v>41548</v>
      </c>
    </row>
    <row r="13" spans="1:20" x14ac:dyDescent="0.25">
      <c r="A13" s="146" t="s">
        <v>0</v>
      </c>
      <c r="B13" s="63">
        <v>23</v>
      </c>
      <c r="C13" s="63">
        <v>22</v>
      </c>
      <c r="D13" s="63">
        <v>15</v>
      </c>
      <c r="E13" s="63">
        <v>29</v>
      </c>
      <c r="F13" s="63">
        <v>17</v>
      </c>
      <c r="G13" s="63">
        <v>13</v>
      </c>
      <c r="H13" s="63">
        <v>17</v>
      </c>
      <c r="I13" s="63">
        <v>13</v>
      </c>
      <c r="J13" s="63">
        <v>18</v>
      </c>
      <c r="K13" s="152">
        <v>15</v>
      </c>
      <c r="L13" s="87">
        <v>15</v>
      </c>
      <c r="M13" s="159">
        <v>14</v>
      </c>
      <c r="N13" s="87">
        <v>20</v>
      </c>
      <c r="O13" s="87">
        <v>9</v>
      </c>
      <c r="P13" s="152">
        <v>16</v>
      </c>
      <c r="Q13" s="87">
        <v>23</v>
      </c>
      <c r="R13" s="152"/>
      <c r="S13" s="152"/>
      <c r="T13" s="152"/>
    </row>
    <row r="14" spans="1:20" x14ac:dyDescent="0.25">
      <c r="A14" s="146" t="s">
        <v>1</v>
      </c>
      <c r="B14" s="63">
        <v>9</v>
      </c>
      <c r="C14" s="63">
        <v>5</v>
      </c>
      <c r="D14" s="63">
        <v>13</v>
      </c>
      <c r="E14" s="63">
        <v>14</v>
      </c>
      <c r="F14" s="63">
        <v>19</v>
      </c>
      <c r="G14" s="63">
        <v>15</v>
      </c>
      <c r="H14" s="63">
        <v>16</v>
      </c>
      <c r="I14" s="63">
        <v>20</v>
      </c>
      <c r="J14" s="63">
        <v>10</v>
      </c>
      <c r="K14" s="152">
        <v>6</v>
      </c>
      <c r="L14" s="87">
        <v>6</v>
      </c>
      <c r="M14" s="159">
        <v>11</v>
      </c>
      <c r="N14" s="87">
        <v>7</v>
      </c>
      <c r="O14" s="87">
        <v>9</v>
      </c>
      <c r="P14" s="156">
        <v>7</v>
      </c>
      <c r="Q14" s="87">
        <v>13</v>
      </c>
    </row>
    <row r="15" spans="1:20" x14ac:dyDescent="0.25">
      <c r="A15" s="146" t="s">
        <v>2</v>
      </c>
      <c r="B15" s="63">
        <v>19</v>
      </c>
      <c r="C15" s="63">
        <v>11</v>
      </c>
      <c r="D15" s="63">
        <v>12</v>
      </c>
      <c r="E15" s="63">
        <v>21</v>
      </c>
      <c r="F15" s="63">
        <v>23</v>
      </c>
      <c r="G15" s="63">
        <v>9</v>
      </c>
      <c r="H15" s="63">
        <v>15</v>
      </c>
      <c r="I15" s="63">
        <v>17</v>
      </c>
      <c r="J15" s="63">
        <v>17</v>
      </c>
      <c r="K15" s="152">
        <v>19</v>
      </c>
      <c r="L15" s="87">
        <v>22</v>
      </c>
      <c r="M15" s="159">
        <v>14</v>
      </c>
      <c r="N15" s="87">
        <v>17</v>
      </c>
      <c r="O15" s="87">
        <v>14</v>
      </c>
      <c r="P15" s="156">
        <v>16</v>
      </c>
      <c r="Q15" s="87">
        <v>24</v>
      </c>
    </row>
    <row r="16" spans="1:20" x14ac:dyDescent="0.25">
      <c r="A16" s="146" t="s">
        <v>3</v>
      </c>
      <c r="B16" s="63">
        <v>18</v>
      </c>
      <c r="C16" s="63">
        <v>23</v>
      </c>
      <c r="D16" s="63">
        <v>22</v>
      </c>
      <c r="E16" s="63">
        <v>15</v>
      </c>
      <c r="F16" s="63">
        <v>14</v>
      </c>
      <c r="G16" s="63">
        <v>19</v>
      </c>
      <c r="H16" s="63">
        <v>19</v>
      </c>
      <c r="I16" s="63">
        <v>23</v>
      </c>
      <c r="J16" s="63">
        <v>13</v>
      </c>
      <c r="K16" s="152">
        <v>18</v>
      </c>
      <c r="L16" s="87">
        <v>17</v>
      </c>
      <c r="M16" s="159">
        <v>10</v>
      </c>
      <c r="N16" s="87">
        <v>15</v>
      </c>
      <c r="O16" s="87">
        <v>13</v>
      </c>
      <c r="P16" s="156">
        <v>20</v>
      </c>
      <c r="Q16" s="87">
        <v>23</v>
      </c>
    </row>
    <row r="17" spans="1:20" x14ac:dyDescent="0.25">
      <c r="A17" s="146" t="s">
        <v>4</v>
      </c>
      <c r="B17" s="63">
        <v>9</v>
      </c>
      <c r="C17" s="63">
        <v>19</v>
      </c>
      <c r="D17" s="63">
        <v>12</v>
      </c>
      <c r="E17" s="63">
        <v>19</v>
      </c>
      <c r="F17" s="63">
        <v>15</v>
      </c>
      <c r="G17" s="63">
        <v>8</v>
      </c>
      <c r="H17" s="63">
        <v>13</v>
      </c>
      <c r="I17" s="63">
        <v>7</v>
      </c>
      <c r="J17" s="63">
        <v>12</v>
      </c>
      <c r="K17" s="152">
        <v>15</v>
      </c>
      <c r="L17" s="87">
        <v>6</v>
      </c>
      <c r="M17" s="159">
        <v>11</v>
      </c>
      <c r="N17" s="87">
        <v>10</v>
      </c>
      <c r="O17" s="87">
        <v>11</v>
      </c>
      <c r="P17" s="156">
        <v>8</v>
      </c>
      <c r="Q17" s="87">
        <v>14</v>
      </c>
    </row>
    <row r="18" spans="1:20" x14ac:dyDescent="0.25">
      <c r="A18" s="146" t="s">
        <v>5</v>
      </c>
      <c r="B18" s="63">
        <v>11</v>
      </c>
      <c r="C18" s="63">
        <v>7</v>
      </c>
      <c r="D18" s="63">
        <v>25</v>
      </c>
      <c r="E18" s="63">
        <v>11</v>
      </c>
      <c r="F18" s="63">
        <v>20</v>
      </c>
      <c r="G18" s="63">
        <v>10</v>
      </c>
      <c r="H18" s="63">
        <v>13</v>
      </c>
      <c r="I18" s="63">
        <v>8</v>
      </c>
      <c r="J18" s="63">
        <v>14</v>
      </c>
      <c r="K18" s="152">
        <v>14</v>
      </c>
      <c r="L18" s="87">
        <v>10</v>
      </c>
      <c r="M18" s="159">
        <v>13</v>
      </c>
      <c r="N18" s="87">
        <v>11</v>
      </c>
      <c r="O18" s="87">
        <v>10</v>
      </c>
      <c r="P18" s="156">
        <v>11</v>
      </c>
      <c r="Q18" s="87">
        <v>10</v>
      </c>
    </row>
    <row r="19" spans="1:20" x14ac:dyDescent="0.25">
      <c r="A19" s="146" t="s">
        <v>6</v>
      </c>
      <c r="B19" s="63">
        <v>28</v>
      </c>
      <c r="C19" s="63">
        <v>44</v>
      </c>
      <c r="D19" s="63">
        <v>24</v>
      </c>
      <c r="E19" s="63">
        <v>33</v>
      </c>
      <c r="F19" s="63">
        <v>33</v>
      </c>
      <c r="G19" s="63">
        <v>20</v>
      </c>
      <c r="H19" s="63">
        <v>25</v>
      </c>
      <c r="I19" s="63">
        <v>39</v>
      </c>
      <c r="J19" s="63">
        <v>40</v>
      </c>
      <c r="K19" s="152">
        <v>38</v>
      </c>
      <c r="L19" s="87">
        <v>33</v>
      </c>
      <c r="M19" s="159">
        <v>17</v>
      </c>
      <c r="N19" s="87">
        <v>37</v>
      </c>
      <c r="O19" s="87">
        <v>37</v>
      </c>
      <c r="P19" s="156">
        <v>31</v>
      </c>
      <c r="Q19" s="87">
        <v>43</v>
      </c>
    </row>
    <row r="20" spans="1:20" x14ac:dyDescent="0.25">
      <c r="A20" s="73" t="s">
        <v>97</v>
      </c>
      <c r="B20" s="64">
        <v>117</v>
      </c>
      <c r="C20" s="64">
        <v>131</v>
      </c>
      <c r="D20" s="64">
        <v>123</v>
      </c>
      <c r="E20" s="64">
        <v>142</v>
      </c>
      <c r="F20" s="64">
        <v>141</v>
      </c>
      <c r="G20" s="64">
        <v>94</v>
      </c>
      <c r="H20" s="64">
        <v>118</v>
      </c>
      <c r="I20" s="64">
        <v>127</v>
      </c>
      <c r="J20" s="64">
        <v>124</v>
      </c>
      <c r="K20" s="152">
        <v>125</v>
      </c>
      <c r="L20" s="87">
        <v>109</v>
      </c>
      <c r="M20" s="160">
        <v>90</v>
      </c>
      <c r="N20" s="87">
        <v>117</v>
      </c>
      <c r="O20" s="87">
        <v>103</v>
      </c>
      <c r="P20" s="156">
        <v>109</v>
      </c>
      <c r="Q20" s="87">
        <v>150</v>
      </c>
    </row>
    <row r="23" spans="1:20" x14ac:dyDescent="0.25">
      <c r="F23" s="87"/>
      <c r="G23" s="87"/>
      <c r="H23" s="87"/>
      <c r="I23" s="87"/>
      <c r="J23" s="87"/>
      <c r="K23" s="87"/>
      <c r="L23" s="87"/>
      <c r="M23" s="87"/>
    </row>
    <row r="24" spans="1:20" x14ac:dyDescent="0.25">
      <c r="H24" s="87"/>
      <c r="I24" s="87"/>
      <c r="J24" s="87"/>
      <c r="K24" s="87"/>
      <c r="L24" s="87"/>
      <c r="M24" s="87"/>
      <c r="N24" s="87"/>
    </row>
    <row r="25" spans="1:20" x14ac:dyDescent="0.25"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</row>
    <row r="26" spans="1:20" x14ac:dyDescent="0.25">
      <c r="L26" s="87"/>
      <c r="M26" s="87"/>
      <c r="N26" s="87"/>
      <c r="O26" s="87"/>
      <c r="P26" s="87"/>
      <c r="Q26" s="87"/>
      <c r="R26" s="87"/>
      <c r="S26" s="87"/>
    </row>
    <row r="27" spans="1:20" x14ac:dyDescent="0.25">
      <c r="M27" s="87"/>
      <c r="N27" s="87"/>
      <c r="O27" s="87"/>
      <c r="P27" s="87"/>
      <c r="Q27" s="87"/>
      <c r="R27" s="87"/>
      <c r="S27" s="87"/>
      <c r="T27" s="87"/>
    </row>
    <row r="29" spans="1:20" x14ac:dyDescent="0.25">
      <c r="I29" s="87"/>
      <c r="J29" s="87"/>
      <c r="K29" s="87"/>
      <c r="L29" s="87"/>
      <c r="M29" s="87"/>
      <c r="N29" s="87"/>
      <c r="O29" s="87"/>
      <c r="P29" s="8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workbookViewId="0">
      <selection activeCell="AA21" sqref="AA21"/>
    </sheetView>
  </sheetViews>
  <sheetFormatPr defaultRowHeight="15" x14ac:dyDescent="0.25"/>
  <cols>
    <col min="1" max="1" width="20.85546875" customWidth="1"/>
    <col min="2" max="2" width="6.7109375" customWidth="1"/>
    <col min="3" max="3" width="7.42578125" customWidth="1"/>
    <col min="4" max="4" width="6.85546875" customWidth="1"/>
    <col min="5" max="6" width="6.5703125" customWidth="1"/>
    <col min="7" max="7" width="6.85546875" customWidth="1"/>
    <col min="8" max="8" width="6.7109375" customWidth="1"/>
    <col min="9" max="9" width="6.5703125" customWidth="1"/>
    <col min="10" max="10" width="7" customWidth="1"/>
    <col min="11" max="11" width="6.28515625" customWidth="1"/>
    <col min="12" max="12" width="7.28515625" customWidth="1"/>
    <col min="13" max="13" width="6.5703125" customWidth="1"/>
    <col min="14" max="14" width="6.28515625" customWidth="1"/>
    <col min="15" max="15" width="7.28515625" customWidth="1"/>
    <col min="16" max="17" width="7.140625" customWidth="1"/>
  </cols>
  <sheetData>
    <row r="1" spans="1:26" x14ac:dyDescent="0.25">
      <c r="A1" s="73" t="s">
        <v>98</v>
      </c>
      <c r="B1" s="145">
        <v>41091</v>
      </c>
      <c r="C1" s="145">
        <v>41122</v>
      </c>
      <c r="D1" s="145">
        <v>41153</v>
      </c>
      <c r="E1" s="145">
        <v>41183</v>
      </c>
      <c r="F1" s="145">
        <v>41214</v>
      </c>
      <c r="G1" s="145">
        <v>41244</v>
      </c>
      <c r="H1" s="145">
        <v>41275</v>
      </c>
      <c r="I1" s="145">
        <v>41306</v>
      </c>
      <c r="J1" s="145">
        <v>41334</v>
      </c>
      <c r="K1" s="144">
        <v>41365</v>
      </c>
      <c r="L1" s="144">
        <v>41395</v>
      </c>
      <c r="M1" s="144">
        <v>41426</v>
      </c>
      <c r="N1" s="144">
        <v>41456</v>
      </c>
      <c r="O1" s="144">
        <v>41487</v>
      </c>
      <c r="P1" s="144">
        <v>41518</v>
      </c>
      <c r="Q1" s="144">
        <v>41548</v>
      </c>
    </row>
    <row r="2" spans="1:26" x14ac:dyDescent="0.25">
      <c r="A2" s="146" t="s">
        <v>0</v>
      </c>
      <c r="B2" s="63">
        <v>7</v>
      </c>
      <c r="C2" s="63">
        <v>9</v>
      </c>
      <c r="D2" s="63">
        <v>12</v>
      </c>
      <c r="E2" s="63">
        <v>9</v>
      </c>
      <c r="F2" s="63">
        <v>5</v>
      </c>
      <c r="G2" s="63">
        <v>2</v>
      </c>
      <c r="H2" s="63">
        <v>6</v>
      </c>
      <c r="I2" s="63">
        <v>8</v>
      </c>
      <c r="J2" s="63">
        <v>6</v>
      </c>
      <c r="K2" s="152">
        <v>9</v>
      </c>
      <c r="L2" s="87">
        <v>5</v>
      </c>
      <c r="M2" s="159">
        <v>7</v>
      </c>
      <c r="N2" s="87">
        <v>4</v>
      </c>
      <c r="O2" s="87">
        <v>8</v>
      </c>
      <c r="P2" s="152">
        <v>8</v>
      </c>
      <c r="Q2" s="87">
        <v>7</v>
      </c>
      <c r="R2" s="152"/>
      <c r="S2" s="87"/>
      <c r="T2" s="87"/>
      <c r="U2" s="87"/>
      <c r="V2" s="87"/>
      <c r="W2" s="87"/>
      <c r="X2" s="87"/>
      <c r="Y2" s="87"/>
      <c r="Z2" s="87"/>
    </row>
    <row r="3" spans="1:26" x14ac:dyDescent="0.25">
      <c r="A3" s="146" t="s">
        <v>1</v>
      </c>
      <c r="B3" s="63">
        <v>2</v>
      </c>
      <c r="C3" s="63">
        <v>3</v>
      </c>
      <c r="D3" s="63">
        <v>4</v>
      </c>
      <c r="E3" s="63">
        <v>4</v>
      </c>
      <c r="F3" s="63">
        <v>1</v>
      </c>
      <c r="G3" s="63">
        <v>4</v>
      </c>
      <c r="H3" s="63">
        <v>6</v>
      </c>
      <c r="I3" s="63">
        <v>1</v>
      </c>
      <c r="J3" s="63">
        <v>7</v>
      </c>
      <c r="K3" s="152">
        <v>2</v>
      </c>
      <c r="L3" s="87">
        <v>4</v>
      </c>
      <c r="M3" s="159">
        <v>5</v>
      </c>
      <c r="N3" s="87">
        <v>7</v>
      </c>
      <c r="O3" s="87">
        <v>1</v>
      </c>
      <c r="P3" s="156">
        <v>1</v>
      </c>
      <c r="Q3" s="87">
        <v>2</v>
      </c>
    </row>
    <row r="4" spans="1:26" x14ac:dyDescent="0.25">
      <c r="A4" s="146" t="s">
        <v>2</v>
      </c>
      <c r="B4" s="63">
        <v>2</v>
      </c>
      <c r="C4" s="63">
        <v>11</v>
      </c>
      <c r="D4" s="63">
        <v>8</v>
      </c>
      <c r="E4" s="63">
        <v>5</v>
      </c>
      <c r="F4" s="63">
        <v>9</v>
      </c>
      <c r="G4" s="63">
        <v>8</v>
      </c>
      <c r="H4" s="63">
        <v>6</v>
      </c>
      <c r="I4" s="63">
        <v>13</v>
      </c>
      <c r="J4" s="63">
        <v>3</v>
      </c>
      <c r="K4" s="152">
        <v>3</v>
      </c>
      <c r="L4" s="87">
        <v>10</v>
      </c>
      <c r="M4" s="159">
        <v>8</v>
      </c>
      <c r="N4" s="87">
        <v>10</v>
      </c>
      <c r="O4" s="87">
        <v>6</v>
      </c>
      <c r="P4" s="156">
        <v>10</v>
      </c>
      <c r="Q4" s="87">
        <v>4</v>
      </c>
    </row>
    <row r="5" spans="1:26" x14ac:dyDescent="0.25">
      <c r="A5" s="146" t="s">
        <v>3</v>
      </c>
      <c r="B5" s="63">
        <v>15</v>
      </c>
      <c r="C5" s="63">
        <v>5</v>
      </c>
      <c r="D5" s="63">
        <v>15</v>
      </c>
      <c r="E5" s="63">
        <v>11</v>
      </c>
      <c r="F5" s="63">
        <v>14</v>
      </c>
      <c r="G5" s="63">
        <v>12</v>
      </c>
      <c r="H5" s="63">
        <v>18</v>
      </c>
      <c r="I5" s="63">
        <v>11</v>
      </c>
      <c r="J5" s="63">
        <v>24</v>
      </c>
      <c r="K5" s="152">
        <v>25</v>
      </c>
      <c r="L5" s="87">
        <v>21</v>
      </c>
      <c r="M5" s="159">
        <v>15</v>
      </c>
      <c r="N5" s="87">
        <v>18</v>
      </c>
      <c r="O5" s="87">
        <v>14</v>
      </c>
      <c r="P5" s="156">
        <v>14</v>
      </c>
      <c r="Q5" s="87">
        <v>17</v>
      </c>
    </row>
    <row r="6" spans="1:26" x14ac:dyDescent="0.25">
      <c r="A6" s="146" t="s">
        <v>4</v>
      </c>
      <c r="B6" s="63">
        <v>9</v>
      </c>
      <c r="C6" s="63">
        <v>7</v>
      </c>
      <c r="D6" s="63">
        <v>7</v>
      </c>
      <c r="E6" s="63">
        <v>11</v>
      </c>
      <c r="F6" s="63">
        <v>11</v>
      </c>
      <c r="G6" s="63">
        <v>7</v>
      </c>
      <c r="H6" s="63">
        <v>12</v>
      </c>
      <c r="I6" s="63">
        <v>8</v>
      </c>
      <c r="J6" s="63">
        <v>6</v>
      </c>
      <c r="K6" s="152">
        <v>5</v>
      </c>
      <c r="L6" s="87">
        <v>11</v>
      </c>
      <c r="M6" s="159">
        <v>14</v>
      </c>
      <c r="N6" s="87">
        <v>2</v>
      </c>
      <c r="O6" s="87">
        <v>12</v>
      </c>
      <c r="P6" s="156">
        <v>4</v>
      </c>
      <c r="Q6" s="87">
        <v>12</v>
      </c>
    </row>
    <row r="7" spans="1:26" x14ac:dyDescent="0.25">
      <c r="A7" s="146" t="s">
        <v>5</v>
      </c>
      <c r="B7" s="63">
        <v>9</v>
      </c>
      <c r="C7" s="63">
        <v>6</v>
      </c>
      <c r="D7" s="63">
        <v>4</v>
      </c>
      <c r="E7" s="63">
        <v>4</v>
      </c>
      <c r="F7" s="63">
        <v>6</v>
      </c>
      <c r="G7" s="63">
        <v>4</v>
      </c>
      <c r="H7" s="63">
        <v>3</v>
      </c>
      <c r="I7" s="63">
        <v>9</v>
      </c>
      <c r="J7" s="63">
        <v>6</v>
      </c>
      <c r="K7" s="152">
        <v>3</v>
      </c>
      <c r="L7" s="87">
        <v>7</v>
      </c>
      <c r="M7" s="159">
        <v>10</v>
      </c>
      <c r="N7" s="87">
        <v>9</v>
      </c>
      <c r="O7" s="87">
        <v>5</v>
      </c>
      <c r="P7" s="156">
        <v>5</v>
      </c>
      <c r="Q7" s="87">
        <v>11</v>
      </c>
    </row>
    <row r="8" spans="1:26" x14ac:dyDescent="0.25">
      <c r="A8" s="146" t="s">
        <v>6</v>
      </c>
      <c r="B8" s="63">
        <v>13</v>
      </c>
      <c r="C8" s="63">
        <v>14</v>
      </c>
      <c r="D8" s="63">
        <v>8</v>
      </c>
      <c r="E8" s="63">
        <v>15</v>
      </c>
      <c r="F8" s="63">
        <v>15</v>
      </c>
      <c r="G8" s="63">
        <v>19</v>
      </c>
      <c r="H8" s="63">
        <v>13</v>
      </c>
      <c r="I8" s="63">
        <v>15</v>
      </c>
      <c r="J8" s="63">
        <v>14</v>
      </c>
      <c r="K8" s="152">
        <v>9</v>
      </c>
      <c r="L8" s="87">
        <v>5</v>
      </c>
      <c r="M8" s="159">
        <v>11</v>
      </c>
      <c r="N8" s="87">
        <v>22</v>
      </c>
      <c r="O8" s="87">
        <v>20</v>
      </c>
      <c r="P8" s="156">
        <v>17</v>
      </c>
      <c r="Q8" s="87">
        <v>18</v>
      </c>
    </row>
    <row r="9" spans="1:26" x14ac:dyDescent="0.25">
      <c r="A9" s="73" t="s">
        <v>98</v>
      </c>
      <c r="B9" s="148">
        <f t="shared" ref="B9:J9" si="0">SUM(B2:B8)</f>
        <v>57</v>
      </c>
      <c r="C9" s="148">
        <f t="shared" si="0"/>
        <v>55</v>
      </c>
      <c r="D9" s="148">
        <f t="shared" si="0"/>
        <v>58</v>
      </c>
      <c r="E9" s="148">
        <f t="shared" si="0"/>
        <v>59</v>
      </c>
      <c r="F9" s="148">
        <f t="shared" si="0"/>
        <v>61</v>
      </c>
      <c r="G9" s="148">
        <f t="shared" si="0"/>
        <v>56</v>
      </c>
      <c r="H9" s="148">
        <f t="shared" si="0"/>
        <v>64</v>
      </c>
      <c r="I9" s="148">
        <f t="shared" si="0"/>
        <v>65</v>
      </c>
      <c r="J9" s="148">
        <f t="shared" si="0"/>
        <v>66</v>
      </c>
      <c r="K9" s="152">
        <v>56</v>
      </c>
      <c r="L9" s="87">
        <v>63</v>
      </c>
      <c r="M9" s="160">
        <v>70</v>
      </c>
      <c r="N9" s="87">
        <v>72</v>
      </c>
      <c r="O9" s="87">
        <v>66</v>
      </c>
      <c r="P9" s="156">
        <v>59</v>
      </c>
      <c r="Q9" s="87">
        <v>71</v>
      </c>
    </row>
    <row r="12" spans="1:26" x14ac:dyDescent="0.25">
      <c r="A12" s="147" t="s">
        <v>99</v>
      </c>
      <c r="B12" s="145">
        <v>41091</v>
      </c>
      <c r="C12" s="145">
        <v>41122</v>
      </c>
      <c r="D12" s="145">
        <v>41153</v>
      </c>
      <c r="E12" s="145">
        <v>41183</v>
      </c>
      <c r="F12" s="145">
        <v>41214</v>
      </c>
      <c r="G12" s="145">
        <v>41244</v>
      </c>
      <c r="H12" s="145">
        <v>41275</v>
      </c>
      <c r="I12" s="145">
        <v>41306</v>
      </c>
      <c r="J12" s="145">
        <v>41334</v>
      </c>
      <c r="K12" s="144">
        <v>41365</v>
      </c>
      <c r="L12" s="144">
        <v>41395</v>
      </c>
      <c r="M12" s="144">
        <v>41426</v>
      </c>
      <c r="N12" s="144">
        <v>41456</v>
      </c>
      <c r="O12" s="144">
        <v>41487</v>
      </c>
      <c r="P12" s="144">
        <v>41518</v>
      </c>
      <c r="Q12" s="144">
        <v>41548</v>
      </c>
      <c r="R12" s="87"/>
      <c r="S12" s="87"/>
      <c r="T12" s="87"/>
    </row>
    <row r="13" spans="1:26" x14ac:dyDescent="0.25">
      <c r="A13" s="146" t="s">
        <v>0</v>
      </c>
      <c r="B13" s="63">
        <v>35</v>
      </c>
      <c r="C13" s="63">
        <v>26</v>
      </c>
      <c r="D13" s="63">
        <v>17</v>
      </c>
      <c r="E13" s="63">
        <v>32</v>
      </c>
      <c r="F13" s="63">
        <v>23</v>
      </c>
      <c r="G13" s="63">
        <v>12</v>
      </c>
      <c r="H13" s="63">
        <v>20</v>
      </c>
      <c r="I13" s="63">
        <v>11</v>
      </c>
      <c r="J13" s="63">
        <v>14</v>
      </c>
      <c r="K13" s="152">
        <v>13</v>
      </c>
      <c r="L13" s="87">
        <v>19</v>
      </c>
      <c r="M13" s="159">
        <v>12</v>
      </c>
      <c r="N13" s="87">
        <v>18</v>
      </c>
      <c r="O13" s="87">
        <v>17</v>
      </c>
      <c r="P13" s="156">
        <v>24</v>
      </c>
      <c r="Q13" s="87">
        <v>22</v>
      </c>
    </row>
    <row r="14" spans="1:26" x14ac:dyDescent="0.25">
      <c r="A14" s="146" t="s">
        <v>1</v>
      </c>
      <c r="B14" s="63">
        <v>20</v>
      </c>
      <c r="C14" s="63">
        <v>17</v>
      </c>
      <c r="D14" s="63">
        <v>9</v>
      </c>
      <c r="E14" s="63">
        <v>24</v>
      </c>
      <c r="F14" s="63">
        <v>15</v>
      </c>
      <c r="G14" s="63">
        <v>20</v>
      </c>
      <c r="H14" s="63">
        <v>28</v>
      </c>
      <c r="I14" s="63">
        <v>18</v>
      </c>
      <c r="J14" s="63">
        <v>13</v>
      </c>
      <c r="K14" s="152">
        <v>16</v>
      </c>
      <c r="L14" s="87">
        <v>23</v>
      </c>
      <c r="M14" s="159">
        <v>13</v>
      </c>
      <c r="N14" s="87">
        <v>16</v>
      </c>
      <c r="O14" s="87">
        <v>5</v>
      </c>
      <c r="P14" s="156">
        <v>12</v>
      </c>
      <c r="Q14" s="87">
        <v>8</v>
      </c>
      <c r="S14" s="87"/>
      <c r="T14" s="87"/>
      <c r="U14" s="87"/>
      <c r="V14" s="87"/>
      <c r="W14" s="87"/>
      <c r="X14" s="87"/>
      <c r="Y14" s="87"/>
      <c r="Z14" s="87"/>
    </row>
    <row r="15" spans="1:26" x14ac:dyDescent="0.25">
      <c r="A15" s="146" t="s">
        <v>2</v>
      </c>
      <c r="B15" s="63">
        <v>15</v>
      </c>
      <c r="C15" s="63">
        <v>24</v>
      </c>
      <c r="D15" s="63">
        <v>10</v>
      </c>
      <c r="E15" s="63">
        <v>16</v>
      </c>
      <c r="F15" s="63">
        <v>20</v>
      </c>
      <c r="G15" s="63">
        <v>14</v>
      </c>
      <c r="H15" s="63">
        <v>13</v>
      </c>
      <c r="I15" s="63">
        <v>16</v>
      </c>
      <c r="J15" s="63">
        <v>15</v>
      </c>
      <c r="K15" s="152">
        <v>18</v>
      </c>
      <c r="L15" s="87">
        <v>20</v>
      </c>
      <c r="M15" s="159">
        <v>18</v>
      </c>
      <c r="N15" s="87">
        <v>13</v>
      </c>
      <c r="O15" s="87">
        <v>18</v>
      </c>
      <c r="P15" s="156">
        <v>17</v>
      </c>
      <c r="Q15" s="87">
        <v>51</v>
      </c>
    </row>
    <row r="16" spans="1:26" x14ac:dyDescent="0.25">
      <c r="A16" s="146" t="s">
        <v>3</v>
      </c>
      <c r="B16" s="63">
        <v>18</v>
      </c>
      <c r="C16" s="63">
        <v>29</v>
      </c>
      <c r="D16" s="63">
        <v>15</v>
      </c>
      <c r="E16" s="63">
        <v>21</v>
      </c>
      <c r="F16" s="63">
        <v>29</v>
      </c>
      <c r="G16" s="63">
        <v>8</v>
      </c>
      <c r="H16" s="63">
        <v>20</v>
      </c>
      <c r="I16" s="63">
        <v>23</v>
      </c>
      <c r="J16" s="63">
        <v>16</v>
      </c>
      <c r="K16" s="152">
        <v>19</v>
      </c>
      <c r="L16" s="87">
        <v>20</v>
      </c>
      <c r="M16" s="159">
        <v>19</v>
      </c>
      <c r="N16" s="87">
        <v>18</v>
      </c>
      <c r="O16" s="87">
        <v>13</v>
      </c>
      <c r="P16" s="156">
        <v>36</v>
      </c>
      <c r="Q16" s="87">
        <v>13</v>
      </c>
    </row>
    <row r="17" spans="1:20" x14ac:dyDescent="0.25">
      <c r="A17" s="146" t="s">
        <v>4</v>
      </c>
      <c r="B17" s="63">
        <v>18</v>
      </c>
      <c r="C17" s="63">
        <v>20</v>
      </c>
      <c r="D17" s="63">
        <v>14</v>
      </c>
      <c r="E17" s="63">
        <v>19</v>
      </c>
      <c r="F17" s="63">
        <v>21</v>
      </c>
      <c r="G17" s="63">
        <v>7</v>
      </c>
      <c r="H17" s="63">
        <v>14</v>
      </c>
      <c r="I17" s="63">
        <v>10</v>
      </c>
      <c r="J17" s="63">
        <v>13</v>
      </c>
      <c r="K17" s="152">
        <v>14</v>
      </c>
      <c r="L17" s="87">
        <v>11</v>
      </c>
      <c r="M17" s="159">
        <v>13</v>
      </c>
      <c r="N17" s="87">
        <v>9</v>
      </c>
      <c r="O17" s="87">
        <v>10</v>
      </c>
      <c r="P17" s="156">
        <v>11</v>
      </c>
      <c r="Q17" s="87">
        <v>15</v>
      </c>
    </row>
    <row r="18" spans="1:20" x14ac:dyDescent="0.25">
      <c r="A18" s="146" t="s">
        <v>5</v>
      </c>
      <c r="B18" s="63">
        <v>16</v>
      </c>
      <c r="C18" s="63">
        <v>15</v>
      </c>
      <c r="D18" s="63">
        <v>11</v>
      </c>
      <c r="E18" s="63">
        <v>11</v>
      </c>
      <c r="F18" s="63">
        <v>15</v>
      </c>
      <c r="G18" s="63">
        <v>8</v>
      </c>
      <c r="H18" s="63">
        <v>10</v>
      </c>
      <c r="I18" s="63">
        <v>10</v>
      </c>
      <c r="J18" s="63">
        <v>13</v>
      </c>
      <c r="K18" s="152">
        <v>15</v>
      </c>
      <c r="L18" s="87">
        <v>11</v>
      </c>
      <c r="M18" s="159">
        <v>9</v>
      </c>
      <c r="N18" s="87">
        <v>13</v>
      </c>
      <c r="O18" s="87">
        <v>11</v>
      </c>
      <c r="P18" s="156">
        <v>21</v>
      </c>
      <c r="Q18" s="87">
        <v>11</v>
      </c>
    </row>
    <row r="19" spans="1:20" x14ac:dyDescent="0.25">
      <c r="A19" s="146" t="s">
        <v>6</v>
      </c>
      <c r="B19" s="63">
        <v>32</v>
      </c>
      <c r="C19" s="63">
        <v>54</v>
      </c>
      <c r="D19" s="63">
        <v>41</v>
      </c>
      <c r="E19" s="63">
        <v>28</v>
      </c>
      <c r="F19" s="63">
        <v>28</v>
      </c>
      <c r="G19" s="63">
        <v>23</v>
      </c>
      <c r="H19" s="63">
        <v>18</v>
      </c>
      <c r="I19" s="63">
        <v>21</v>
      </c>
      <c r="J19" s="63">
        <v>36</v>
      </c>
      <c r="K19" s="152">
        <v>34</v>
      </c>
      <c r="L19" s="87">
        <v>18</v>
      </c>
      <c r="M19" s="159">
        <v>48</v>
      </c>
      <c r="N19" s="87">
        <v>41</v>
      </c>
      <c r="O19" s="87">
        <v>43</v>
      </c>
      <c r="P19" s="156">
        <v>22</v>
      </c>
      <c r="Q19" s="87">
        <v>46</v>
      </c>
    </row>
    <row r="20" spans="1:20" x14ac:dyDescent="0.25">
      <c r="A20" s="147" t="s">
        <v>99</v>
      </c>
      <c r="B20" s="148">
        <f t="shared" ref="B20:J20" si="1">SUM(B13:B19)</f>
        <v>154</v>
      </c>
      <c r="C20" s="148">
        <f t="shared" si="1"/>
        <v>185</v>
      </c>
      <c r="D20" s="148">
        <f t="shared" si="1"/>
        <v>117</v>
      </c>
      <c r="E20" s="148">
        <f t="shared" si="1"/>
        <v>151</v>
      </c>
      <c r="F20" s="148">
        <f t="shared" si="1"/>
        <v>151</v>
      </c>
      <c r="G20" s="148">
        <f t="shared" si="1"/>
        <v>92</v>
      </c>
      <c r="H20" s="148">
        <f t="shared" si="1"/>
        <v>123</v>
      </c>
      <c r="I20" s="148">
        <f t="shared" si="1"/>
        <v>109</v>
      </c>
      <c r="J20" s="148">
        <f t="shared" si="1"/>
        <v>120</v>
      </c>
      <c r="K20" s="152">
        <v>129</v>
      </c>
      <c r="L20" s="87">
        <v>122</v>
      </c>
      <c r="M20" s="160">
        <v>132</v>
      </c>
      <c r="N20" s="87">
        <v>128</v>
      </c>
      <c r="O20" s="87">
        <v>117</v>
      </c>
      <c r="P20" s="156">
        <v>143</v>
      </c>
      <c r="Q20" s="87">
        <v>166</v>
      </c>
    </row>
    <row r="22" spans="1:20" x14ac:dyDescent="0.25">
      <c r="G22" s="87"/>
      <c r="H22" s="87"/>
      <c r="I22" s="87"/>
      <c r="J22" s="87"/>
      <c r="K22" s="87"/>
      <c r="L22" s="87"/>
      <c r="M22" s="87"/>
      <c r="N22" s="87"/>
    </row>
    <row r="23" spans="1:20" x14ac:dyDescent="0.25"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</row>
    <row r="24" spans="1:20" x14ac:dyDescent="0.25">
      <c r="E24" s="87"/>
      <c r="F24" s="87"/>
      <c r="G24" s="87"/>
      <c r="H24" s="87"/>
      <c r="I24" s="87"/>
      <c r="J24" s="87"/>
      <c r="K24" s="87"/>
      <c r="L24" s="87"/>
    </row>
    <row r="25" spans="1:20" x14ac:dyDescent="0.25">
      <c r="E25" s="87"/>
      <c r="F25" s="87"/>
      <c r="G25" s="87"/>
      <c r="H25" s="87"/>
      <c r="I25" s="87"/>
      <c r="J25" s="87"/>
      <c r="K25" s="87"/>
      <c r="L25" s="8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5"/>
  <sheetViews>
    <sheetView workbookViewId="0">
      <selection activeCell="T10" sqref="T10"/>
    </sheetView>
  </sheetViews>
  <sheetFormatPr defaultRowHeight="15" x14ac:dyDescent="0.25"/>
  <cols>
    <col min="1" max="1" width="16.140625" customWidth="1"/>
    <col min="2" max="2" width="5.7109375" customWidth="1"/>
    <col min="3" max="3" width="6" customWidth="1"/>
    <col min="4" max="4" width="5.140625" customWidth="1"/>
    <col min="5" max="5" width="5.5703125" customWidth="1"/>
    <col min="6" max="6" width="5" customWidth="1"/>
    <col min="14" max="14" width="7.7109375" customWidth="1"/>
  </cols>
  <sheetData>
    <row r="1" spans="1:44" x14ac:dyDescent="0.25">
      <c r="A1" s="73"/>
      <c r="B1" s="145">
        <v>41091</v>
      </c>
      <c r="C1" s="145">
        <v>41122</v>
      </c>
      <c r="D1" s="145">
        <v>41153</v>
      </c>
      <c r="E1" s="145">
        <v>41183</v>
      </c>
      <c r="F1" s="145">
        <v>41214</v>
      </c>
      <c r="G1" s="145">
        <v>41244</v>
      </c>
      <c r="H1" s="145">
        <v>41275</v>
      </c>
      <c r="I1" s="145">
        <v>41306</v>
      </c>
      <c r="J1" s="145">
        <v>41334</v>
      </c>
      <c r="K1" s="144">
        <v>41365</v>
      </c>
      <c r="L1" s="144">
        <v>41395</v>
      </c>
      <c r="M1" s="144">
        <v>41426</v>
      </c>
      <c r="N1" s="144">
        <v>41456</v>
      </c>
      <c r="O1" s="144">
        <v>41487</v>
      </c>
      <c r="P1" s="144">
        <v>41518</v>
      </c>
      <c r="Q1" s="144">
        <v>41548</v>
      </c>
    </row>
    <row r="2" spans="1:44" ht="43.5" customHeight="1" x14ac:dyDescent="0.25">
      <c r="A2" s="146" t="s">
        <v>68</v>
      </c>
      <c r="B2" s="173">
        <v>85</v>
      </c>
      <c r="C2" s="173">
        <v>100</v>
      </c>
      <c r="D2" s="173">
        <v>87</v>
      </c>
      <c r="E2" s="173">
        <v>105</v>
      </c>
      <c r="F2" s="173">
        <v>104</v>
      </c>
      <c r="G2" s="173">
        <v>83</v>
      </c>
      <c r="H2" s="173">
        <v>102</v>
      </c>
      <c r="I2" s="173">
        <v>93</v>
      </c>
      <c r="J2" s="173">
        <v>110</v>
      </c>
      <c r="K2" s="174">
        <f>K15</f>
        <v>137</v>
      </c>
      <c r="L2" s="175">
        <v>63</v>
      </c>
      <c r="M2" s="174">
        <f>M15</f>
        <v>58</v>
      </c>
      <c r="N2" s="176">
        <v>25</v>
      </c>
      <c r="O2" s="94">
        <v>36</v>
      </c>
      <c r="P2" s="94">
        <f>P15</f>
        <v>38</v>
      </c>
      <c r="Q2" s="94">
        <v>47</v>
      </c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</row>
    <row r="3" spans="1:44" x14ac:dyDescent="0.25">
      <c r="A3" t="s">
        <v>112</v>
      </c>
      <c r="B3" s="173">
        <v>437</v>
      </c>
      <c r="C3" s="173">
        <v>434</v>
      </c>
      <c r="D3" s="173">
        <v>420</v>
      </c>
      <c r="E3" s="173">
        <v>368</v>
      </c>
      <c r="F3" s="173">
        <v>364</v>
      </c>
      <c r="G3" s="173">
        <v>413</v>
      </c>
      <c r="H3" s="173">
        <v>399</v>
      </c>
      <c r="I3" s="173">
        <v>387</v>
      </c>
      <c r="J3" s="173">
        <v>378</v>
      </c>
      <c r="K3" s="174">
        <f>K26</f>
        <v>360</v>
      </c>
      <c r="L3" s="175">
        <v>437</v>
      </c>
      <c r="M3" s="174">
        <f>M26</f>
        <v>432</v>
      </c>
      <c r="N3" s="176">
        <v>457</v>
      </c>
      <c r="O3" s="87">
        <v>439</v>
      </c>
      <c r="P3" s="94">
        <f>P26</f>
        <v>396</v>
      </c>
      <c r="Q3" s="94">
        <v>419</v>
      </c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</row>
    <row r="4" spans="1:44" ht="27" customHeight="1" x14ac:dyDescent="0.25">
      <c r="A4" t="s">
        <v>113</v>
      </c>
      <c r="B4" s="173">
        <v>89</v>
      </c>
      <c r="C4" s="173">
        <v>115</v>
      </c>
      <c r="D4" s="173">
        <v>77</v>
      </c>
      <c r="E4" s="173">
        <v>85</v>
      </c>
      <c r="F4" s="173">
        <v>88</v>
      </c>
      <c r="G4" s="173">
        <v>70</v>
      </c>
      <c r="H4" s="173">
        <v>88</v>
      </c>
      <c r="I4" s="173">
        <v>68</v>
      </c>
      <c r="J4" s="173">
        <v>61</v>
      </c>
      <c r="K4" s="174">
        <f>K37</f>
        <v>71</v>
      </c>
      <c r="L4" s="175">
        <v>94</v>
      </c>
      <c r="M4" s="174">
        <f>M37</f>
        <v>91</v>
      </c>
      <c r="N4" s="176">
        <v>105</v>
      </c>
      <c r="O4" s="87">
        <v>92</v>
      </c>
      <c r="P4" s="174">
        <f>P37</f>
        <v>89</v>
      </c>
      <c r="Q4" s="94">
        <v>82</v>
      </c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</row>
    <row r="7" spans="1:44" x14ac:dyDescent="0.25">
      <c r="A7" s="73">
        <v>192524</v>
      </c>
      <c r="B7" s="145">
        <v>41091</v>
      </c>
      <c r="C7" s="145">
        <v>41122</v>
      </c>
      <c r="D7" s="145">
        <v>41153</v>
      </c>
      <c r="E7" s="145">
        <v>41183</v>
      </c>
      <c r="F7" s="145">
        <v>41214</v>
      </c>
      <c r="G7" s="145">
        <v>41244</v>
      </c>
      <c r="H7" s="145">
        <v>41275</v>
      </c>
      <c r="I7" s="145">
        <v>41306</v>
      </c>
      <c r="J7" s="145">
        <v>41334</v>
      </c>
      <c r="K7" s="144">
        <v>41365</v>
      </c>
      <c r="L7" s="144">
        <v>41395</v>
      </c>
      <c r="M7" s="163">
        <v>41426</v>
      </c>
      <c r="N7" s="144">
        <v>41456</v>
      </c>
      <c r="O7" s="144">
        <v>41487</v>
      </c>
      <c r="P7" s="144">
        <v>41518</v>
      </c>
      <c r="Q7" s="144">
        <v>41548</v>
      </c>
    </row>
    <row r="8" spans="1:44" x14ac:dyDescent="0.25">
      <c r="A8" s="146" t="s">
        <v>0</v>
      </c>
      <c r="B8" s="63">
        <v>4</v>
      </c>
      <c r="C8" s="63">
        <v>12</v>
      </c>
      <c r="D8" s="63">
        <v>7</v>
      </c>
      <c r="E8" s="63">
        <v>6</v>
      </c>
      <c r="F8" s="63">
        <v>8</v>
      </c>
      <c r="G8" s="63">
        <v>9</v>
      </c>
      <c r="H8" s="63">
        <v>7</v>
      </c>
      <c r="I8" s="63">
        <v>4</v>
      </c>
      <c r="J8" s="63">
        <v>9</v>
      </c>
      <c r="K8" s="152">
        <v>8</v>
      </c>
      <c r="L8" s="87">
        <v>11</v>
      </c>
      <c r="M8" s="166">
        <v>10</v>
      </c>
      <c r="N8" s="87">
        <v>2</v>
      </c>
      <c r="O8" s="87">
        <v>2</v>
      </c>
      <c r="P8" s="87"/>
      <c r="Q8" s="185">
        <v>5</v>
      </c>
      <c r="R8" s="87"/>
      <c r="S8" s="87"/>
      <c r="T8" s="87"/>
      <c r="U8" s="87"/>
      <c r="V8" s="87"/>
      <c r="W8" s="87"/>
    </row>
    <row r="9" spans="1:44" x14ac:dyDescent="0.25">
      <c r="A9" s="146" t="s">
        <v>1</v>
      </c>
      <c r="B9" s="63">
        <v>1</v>
      </c>
      <c r="C9" s="63">
        <v>2</v>
      </c>
      <c r="D9" s="63">
        <v>5</v>
      </c>
      <c r="E9" s="63">
        <v>8</v>
      </c>
      <c r="F9" s="63">
        <v>6</v>
      </c>
      <c r="G9" s="63">
        <v>5</v>
      </c>
      <c r="H9" s="63">
        <v>2</v>
      </c>
      <c r="I9" s="63">
        <v>2</v>
      </c>
      <c r="J9" s="63">
        <v>3</v>
      </c>
      <c r="K9" s="152">
        <v>4</v>
      </c>
      <c r="L9" s="87">
        <v>2</v>
      </c>
      <c r="M9" s="124">
        <v>3</v>
      </c>
      <c r="N9" s="87">
        <v>1</v>
      </c>
      <c r="O9" s="87">
        <v>2</v>
      </c>
      <c r="P9" s="156">
        <v>2</v>
      </c>
      <c r="Q9" s="185">
        <v>2</v>
      </c>
    </row>
    <row r="10" spans="1:44" x14ac:dyDescent="0.25">
      <c r="A10" s="146" t="s">
        <v>2</v>
      </c>
      <c r="B10" s="63">
        <v>20</v>
      </c>
      <c r="C10" s="63">
        <v>20</v>
      </c>
      <c r="D10" s="63">
        <v>17</v>
      </c>
      <c r="E10" s="63">
        <v>19</v>
      </c>
      <c r="F10" s="63">
        <v>16</v>
      </c>
      <c r="G10" s="63">
        <v>15</v>
      </c>
      <c r="H10" s="63">
        <v>19</v>
      </c>
      <c r="I10" s="63">
        <v>15</v>
      </c>
      <c r="J10" s="63">
        <v>18</v>
      </c>
      <c r="K10" s="152">
        <v>18</v>
      </c>
      <c r="L10" s="87">
        <v>10</v>
      </c>
      <c r="M10" s="124">
        <v>3</v>
      </c>
      <c r="N10" s="87">
        <v>1</v>
      </c>
      <c r="O10" s="87">
        <v>6</v>
      </c>
      <c r="P10" s="156">
        <v>9</v>
      </c>
      <c r="Q10" s="185">
        <v>19</v>
      </c>
      <c r="R10" s="87"/>
      <c r="S10" s="87"/>
      <c r="T10" s="87"/>
      <c r="U10" s="87"/>
      <c r="V10" s="87"/>
      <c r="W10" s="87"/>
      <c r="X10" s="87"/>
    </row>
    <row r="11" spans="1:44" x14ac:dyDescent="0.25">
      <c r="A11" s="146" t="s">
        <v>3</v>
      </c>
      <c r="B11" s="63">
        <v>24</v>
      </c>
      <c r="C11" s="63">
        <v>27</v>
      </c>
      <c r="D11" s="63">
        <v>19</v>
      </c>
      <c r="E11" s="63">
        <v>29</v>
      </c>
      <c r="F11" s="63">
        <v>30</v>
      </c>
      <c r="G11" s="63">
        <v>16</v>
      </c>
      <c r="H11" s="63">
        <v>28</v>
      </c>
      <c r="I11" s="63">
        <v>35</v>
      </c>
      <c r="J11" s="63">
        <v>33</v>
      </c>
      <c r="K11" s="152">
        <v>49</v>
      </c>
      <c r="L11" s="87">
        <v>12</v>
      </c>
      <c r="M11" s="124">
        <v>8</v>
      </c>
      <c r="N11" s="87">
        <v>4</v>
      </c>
      <c r="O11" s="87">
        <v>7</v>
      </c>
      <c r="P11" s="156">
        <v>5</v>
      </c>
      <c r="Q11" s="185">
        <v>1</v>
      </c>
    </row>
    <row r="12" spans="1:44" x14ac:dyDescent="0.25">
      <c r="A12" s="146" t="s">
        <v>4</v>
      </c>
      <c r="B12" s="63">
        <v>10</v>
      </c>
      <c r="C12" s="63">
        <v>8</v>
      </c>
      <c r="D12" s="63">
        <v>9</v>
      </c>
      <c r="E12" s="63">
        <v>9</v>
      </c>
      <c r="F12" s="63">
        <v>9</v>
      </c>
      <c r="G12" s="63">
        <v>13</v>
      </c>
      <c r="H12" s="63">
        <v>19</v>
      </c>
      <c r="I12" s="63">
        <v>15</v>
      </c>
      <c r="J12" s="63">
        <v>14</v>
      </c>
      <c r="K12" s="152">
        <v>15</v>
      </c>
      <c r="L12" s="87">
        <v>5</v>
      </c>
      <c r="M12" s="124">
        <v>7</v>
      </c>
      <c r="N12" s="87"/>
      <c r="O12" s="87">
        <v>9</v>
      </c>
      <c r="P12" s="156">
        <v>11</v>
      </c>
      <c r="Q12" s="185">
        <v>7</v>
      </c>
    </row>
    <row r="13" spans="1:44" x14ac:dyDescent="0.25">
      <c r="A13" s="146" t="s">
        <v>5</v>
      </c>
      <c r="B13" s="63">
        <v>11</v>
      </c>
      <c r="C13" s="63">
        <v>12</v>
      </c>
      <c r="D13" s="63">
        <v>14</v>
      </c>
      <c r="E13" s="63">
        <v>12</v>
      </c>
      <c r="F13" s="63">
        <v>10</v>
      </c>
      <c r="G13" s="63">
        <v>12</v>
      </c>
      <c r="H13" s="63">
        <v>14</v>
      </c>
      <c r="I13" s="63">
        <v>11</v>
      </c>
      <c r="J13" s="63">
        <v>13</v>
      </c>
      <c r="K13" s="152">
        <v>15</v>
      </c>
      <c r="L13" s="87">
        <v>11</v>
      </c>
      <c r="M13" s="124">
        <v>14</v>
      </c>
      <c r="N13" s="87">
        <v>8</v>
      </c>
      <c r="O13" s="87">
        <v>4</v>
      </c>
      <c r="P13" s="156">
        <v>7</v>
      </c>
      <c r="Q13" s="185">
        <v>2</v>
      </c>
    </row>
    <row r="14" spans="1:44" x14ac:dyDescent="0.25">
      <c r="A14" s="146" t="s">
        <v>6</v>
      </c>
      <c r="B14" s="63">
        <v>15</v>
      </c>
      <c r="C14" s="63">
        <v>19</v>
      </c>
      <c r="D14" s="63">
        <v>16</v>
      </c>
      <c r="E14" s="63">
        <v>22</v>
      </c>
      <c r="F14" s="63">
        <v>25</v>
      </c>
      <c r="G14" s="63">
        <v>13</v>
      </c>
      <c r="H14" s="63">
        <v>13</v>
      </c>
      <c r="I14" s="63">
        <v>11</v>
      </c>
      <c r="J14" s="63">
        <v>20</v>
      </c>
      <c r="K14" s="152">
        <v>28</v>
      </c>
      <c r="L14" s="87">
        <v>12</v>
      </c>
      <c r="M14" s="124">
        <v>13</v>
      </c>
      <c r="N14" s="87">
        <v>9</v>
      </c>
      <c r="O14" s="87">
        <v>6</v>
      </c>
      <c r="P14" s="156">
        <v>4</v>
      </c>
      <c r="Q14" s="185">
        <v>8</v>
      </c>
    </row>
    <row r="15" spans="1:44" x14ac:dyDescent="0.25">
      <c r="A15" s="146" t="s">
        <v>77</v>
      </c>
      <c r="B15" s="64">
        <v>85</v>
      </c>
      <c r="C15" s="64">
        <v>100</v>
      </c>
      <c r="D15" s="64">
        <v>87</v>
      </c>
      <c r="E15" s="64">
        <v>105</v>
      </c>
      <c r="F15" s="64">
        <v>104</v>
      </c>
      <c r="G15" s="64">
        <v>83</v>
      </c>
      <c r="H15" s="64">
        <v>102</v>
      </c>
      <c r="I15" s="64">
        <v>93</v>
      </c>
      <c r="J15" s="64">
        <v>110</v>
      </c>
      <c r="K15" s="152">
        <v>137</v>
      </c>
      <c r="L15" s="87">
        <v>63</v>
      </c>
      <c r="M15" s="166">
        <f>SUM(M8:M14)</f>
        <v>58</v>
      </c>
      <c r="N15" s="87">
        <v>25</v>
      </c>
      <c r="O15" s="87">
        <v>36</v>
      </c>
      <c r="P15" s="87">
        <v>38</v>
      </c>
      <c r="Q15" s="184">
        <v>44</v>
      </c>
      <c r="R15" s="87"/>
      <c r="S15" s="87"/>
      <c r="T15" s="87"/>
    </row>
    <row r="18" spans="1:25" x14ac:dyDescent="0.25">
      <c r="A18" s="73" t="s">
        <v>111</v>
      </c>
      <c r="B18" s="145">
        <v>41091</v>
      </c>
      <c r="C18" s="145">
        <v>41122</v>
      </c>
      <c r="D18" s="145">
        <v>41153</v>
      </c>
      <c r="E18" s="145">
        <v>41183</v>
      </c>
      <c r="F18" s="145">
        <v>41214</v>
      </c>
      <c r="G18" s="145">
        <v>41244</v>
      </c>
      <c r="H18" s="145">
        <v>41275</v>
      </c>
      <c r="I18" s="145">
        <v>41306</v>
      </c>
      <c r="J18" s="145">
        <v>41334</v>
      </c>
      <c r="K18" s="144">
        <v>41365</v>
      </c>
      <c r="L18" s="144">
        <v>41395</v>
      </c>
      <c r="M18" s="163">
        <v>41426</v>
      </c>
      <c r="N18" s="144">
        <v>41456</v>
      </c>
      <c r="O18" s="144">
        <v>41487</v>
      </c>
      <c r="P18" s="144">
        <v>41518</v>
      </c>
      <c r="Q18" s="144">
        <v>41548</v>
      </c>
    </row>
    <row r="19" spans="1:25" x14ac:dyDescent="0.25">
      <c r="A19" s="146" t="s">
        <v>0</v>
      </c>
      <c r="B19" s="63">
        <v>45</v>
      </c>
      <c r="C19" s="63">
        <v>60</v>
      </c>
      <c r="D19" s="63">
        <v>44</v>
      </c>
      <c r="E19" s="63">
        <v>47</v>
      </c>
      <c r="F19" s="63">
        <v>56</v>
      </c>
      <c r="G19" s="63">
        <v>39</v>
      </c>
      <c r="H19" s="63">
        <v>46</v>
      </c>
      <c r="I19" s="63">
        <v>55</v>
      </c>
      <c r="J19" s="63">
        <v>49</v>
      </c>
      <c r="K19" s="152">
        <v>61</v>
      </c>
      <c r="L19" s="87">
        <v>65</v>
      </c>
      <c r="M19" s="166">
        <v>56</v>
      </c>
      <c r="N19" s="87">
        <v>79</v>
      </c>
      <c r="O19" s="87">
        <v>69</v>
      </c>
      <c r="P19" s="87">
        <v>50</v>
      </c>
      <c r="Q19" s="87">
        <v>55</v>
      </c>
      <c r="R19" s="87"/>
      <c r="S19" s="87"/>
      <c r="T19" s="87"/>
      <c r="U19" s="87"/>
      <c r="V19" s="87"/>
      <c r="W19" s="87"/>
      <c r="X19" s="87"/>
      <c r="Y19" s="87"/>
    </row>
    <row r="20" spans="1:25" x14ac:dyDescent="0.25">
      <c r="A20" s="146" t="s">
        <v>1</v>
      </c>
      <c r="B20" s="63">
        <v>21</v>
      </c>
      <c r="C20" s="63">
        <v>15</v>
      </c>
      <c r="D20" s="63">
        <v>27</v>
      </c>
      <c r="E20" s="63">
        <v>12</v>
      </c>
      <c r="F20" s="63">
        <v>17</v>
      </c>
      <c r="G20" s="63">
        <v>10</v>
      </c>
      <c r="H20" s="63">
        <v>19</v>
      </c>
      <c r="I20" s="63">
        <v>15</v>
      </c>
      <c r="J20" s="63">
        <v>20</v>
      </c>
      <c r="K20" s="152">
        <v>19</v>
      </c>
      <c r="L20" s="87">
        <v>24</v>
      </c>
      <c r="M20" s="167">
        <v>14</v>
      </c>
      <c r="N20" s="87">
        <v>28</v>
      </c>
      <c r="O20" s="87">
        <v>21</v>
      </c>
      <c r="P20" s="87">
        <v>17</v>
      </c>
      <c r="Q20" s="87">
        <v>20</v>
      </c>
      <c r="R20" s="87"/>
      <c r="S20" s="87"/>
      <c r="T20" s="87"/>
    </row>
    <row r="21" spans="1:25" x14ac:dyDescent="0.25">
      <c r="A21" s="146" t="s">
        <v>2</v>
      </c>
      <c r="B21" s="63">
        <v>90</v>
      </c>
      <c r="C21" s="63">
        <v>80</v>
      </c>
      <c r="D21" s="63">
        <v>88</v>
      </c>
      <c r="E21" s="63">
        <v>80</v>
      </c>
      <c r="F21" s="63">
        <v>57</v>
      </c>
      <c r="G21" s="63">
        <v>101</v>
      </c>
      <c r="H21" s="63">
        <v>84</v>
      </c>
      <c r="I21" s="63">
        <v>78</v>
      </c>
      <c r="J21" s="63">
        <v>74</v>
      </c>
      <c r="K21" s="152">
        <v>85</v>
      </c>
      <c r="L21" s="87">
        <v>90</v>
      </c>
      <c r="M21" s="124">
        <v>80</v>
      </c>
      <c r="N21" s="87">
        <v>99</v>
      </c>
      <c r="O21" s="87">
        <v>90</v>
      </c>
      <c r="P21" s="156">
        <v>75</v>
      </c>
      <c r="Q21" s="87">
        <v>85</v>
      </c>
    </row>
    <row r="22" spans="1:25" x14ac:dyDescent="0.25">
      <c r="A22" s="146" t="s">
        <v>3</v>
      </c>
      <c r="B22" s="63">
        <v>166</v>
      </c>
      <c r="C22" s="63">
        <v>163</v>
      </c>
      <c r="D22" s="63">
        <v>159</v>
      </c>
      <c r="E22" s="63">
        <v>142</v>
      </c>
      <c r="F22" s="63">
        <v>142</v>
      </c>
      <c r="G22" s="63">
        <v>171</v>
      </c>
      <c r="H22" s="63">
        <v>154</v>
      </c>
      <c r="I22" s="63">
        <v>152</v>
      </c>
      <c r="J22" s="63">
        <v>143</v>
      </c>
      <c r="K22" s="152">
        <v>114</v>
      </c>
      <c r="L22" s="87">
        <v>166</v>
      </c>
      <c r="M22" s="124">
        <v>162</v>
      </c>
      <c r="N22" s="87">
        <v>139</v>
      </c>
      <c r="O22" s="87">
        <v>150</v>
      </c>
      <c r="P22" s="156">
        <v>146</v>
      </c>
      <c r="Q22" s="87">
        <v>167</v>
      </c>
    </row>
    <row r="23" spans="1:25" x14ac:dyDescent="0.25">
      <c r="A23" s="146" t="s">
        <v>4</v>
      </c>
      <c r="B23" s="63">
        <v>49</v>
      </c>
      <c r="C23" s="63">
        <v>48</v>
      </c>
      <c r="D23" s="63">
        <v>44</v>
      </c>
      <c r="E23" s="63">
        <v>38</v>
      </c>
      <c r="F23" s="63">
        <v>53</v>
      </c>
      <c r="G23" s="63">
        <v>38</v>
      </c>
      <c r="H23" s="63">
        <v>40</v>
      </c>
      <c r="I23" s="63">
        <v>44</v>
      </c>
      <c r="J23" s="63">
        <v>47</v>
      </c>
      <c r="K23" s="152">
        <v>43</v>
      </c>
      <c r="L23" s="87">
        <v>45</v>
      </c>
      <c r="M23" s="124">
        <v>62</v>
      </c>
      <c r="N23" s="87">
        <v>48</v>
      </c>
      <c r="O23" s="87">
        <v>50</v>
      </c>
      <c r="P23" s="156">
        <v>39</v>
      </c>
      <c r="Q23" s="87">
        <v>39</v>
      </c>
    </row>
    <row r="24" spans="1:25" x14ac:dyDescent="0.25">
      <c r="A24" s="146" t="s">
        <v>5</v>
      </c>
      <c r="B24" s="63">
        <v>30</v>
      </c>
      <c r="C24" s="63">
        <v>26</v>
      </c>
      <c r="D24" s="63">
        <v>29</v>
      </c>
      <c r="E24" s="63">
        <v>13</v>
      </c>
      <c r="F24" s="63">
        <v>12</v>
      </c>
      <c r="G24" s="63">
        <v>24</v>
      </c>
      <c r="H24" s="63">
        <v>20</v>
      </c>
      <c r="I24" s="63">
        <v>11</v>
      </c>
      <c r="J24" s="63">
        <v>20</v>
      </c>
      <c r="K24" s="152">
        <v>20</v>
      </c>
      <c r="L24" s="87">
        <v>12</v>
      </c>
      <c r="M24" s="124">
        <v>24</v>
      </c>
      <c r="N24" s="87">
        <v>27</v>
      </c>
      <c r="O24" s="87">
        <v>26</v>
      </c>
      <c r="P24" s="156">
        <v>28</v>
      </c>
      <c r="Q24" s="87">
        <v>21</v>
      </c>
    </row>
    <row r="25" spans="1:25" x14ac:dyDescent="0.25">
      <c r="A25" s="146" t="s">
        <v>6</v>
      </c>
      <c r="B25" s="63">
        <v>36</v>
      </c>
      <c r="C25" s="63">
        <v>42</v>
      </c>
      <c r="D25" s="63">
        <v>29</v>
      </c>
      <c r="E25" s="63">
        <v>36</v>
      </c>
      <c r="F25" s="63">
        <v>27</v>
      </c>
      <c r="G25" s="63">
        <v>30</v>
      </c>
      <c r="H25" s="63">
        <v>36</v>
      </c>
      <c r="I25" s="63">
        <v>32</v>
      </c>
      <c r="J25" s="63">
        <v>25</v>
      </c>
      <c r="K25" s="152">
        <v>18</v>
      </c>
      <c r="L25" s="87">
        <v>35</v>
      </c>
      <c r="M25" s="124">
        <v>34</v>
      </c>
      <c r="N25" s="87">
        <v>37</v>
      </c>
      <c r="O25" s="87">
        <v>33</v>
      </c>
      <c r="P25" s="156">
        <v>41</v>
      </c>
      <c r="Q25" s="87">
        <v>32</v>
      </c>
    </row>
    <row r="26" spans="1:25" x14ac:dyDescent="0.25">
      <c r="A26" s="146" t="s">
        <v>77</v>
      </c>
      <c r="B26" s="64">
        <v>437</v>
      </c>
      <c r="C26" s="64">
        <v>434</v>
      </c>
      <c r="D26" s="64">
        <v>420</v>
      </c>
      <c r="E26" s="64">
        <v>368</v>
      </c>
      <c r="F26" s="64">
        <v>364</v>
      </c>
      <c r="G26" s="64">
        <v>413</v>
      </c>
      <c r="H26" s="64">
        <v>399</v>
      </c>
      <c r="I26" s="64">
        <v>387</v>
      </c>
      <c r="J26" s="64">
        <v>378</v>
      </c>
      <c r="K26" s="152">
        <v>360</v>
      </c>
      <c r="L26" s="87">
        <v>437</v>
      </c>
      <c r="M26" s="165">
        <f>SUM(M19:M25)</f>
        <v>432</v>
      </c>
      <c r="N26" s="87">
        <v>457</v>
      </c>
      <c r="O26" s="87">
        <v>439</v>
      </c>
      <c r="P26" s="156">
        <v>396</v>
      </c>
      <c r="Q26" s="87">
        <v>419</v>
      </c>
    </row>
    <row r="29" spans="1:25" x14ac:dyDescent="0.25">
      <c r="A29" s="149" t="s">
        <v>120</v>
      </c>
      <c r="B29" s="149" t="s">
        <v>102</v>
      </c>
      <c r="C29" s="149" t="s">
        <v>103</v>
      </c>
      <c r="D29" s="149" t="s">
        <v>104</v>
      </c>
      <c r="E29" s="149" t="s">
        <v>105</v>
      </c>
      <c r="F29" s="149" t="s">
        <v>106</v>
      </c>
      <c r="G29" s="149" t="s">
        <v>107</v>
      </c>
      <c r="H29" s="149" t="s">
        <v>108</v>
      </c>
      <c r="I29" s="149" t="s">
        <v>109</v>
      </c>
      <c r="J29" s="149" t="s">
        <v>110</v>
      </c>
      <c r="K29" s="144">
        <v>41365</v>
      </c>
      <c r="L29" s="144">
        <v>41395</v>
      </c>
      <c r="M29" s="163">
        <v>41426</v>
      </c>
      <c r="N29" s="144">
        <v>41456</v>
      </c>
      <c r="O29" s="144">
        <v>41487</v>
      </c>
      <c r="P29" s="144">
        <v>41518</v>
      </c>
      <c r="Q29" s="144">
        <v>41548</v>
      </c>
    </row>
    <row r="30" spans="1:25" x14ac:dyDescent="0.25">
      <c r="A30" s="146" t="s">
        <v>0</v>
      </c>
      <c r="B30" s="63">
        <v>15</v>
      </c>
      <c r="C30" s="63">
        <v>10</v>
      </c>
      <c r="D30" s="63">
        <v>11</v>
      </c>
      <c r="E30" s="63">
        <v>10</v>
      </c>
      <c r="F30" s="63">
        <v>11</v>
      </c>
      <c r="G30" s="63">
        <v>5</v>
      </c>
      <c r="H30" s="63">
        <v>12</v>
      </c>
      <c r="I30" s="63">
        <v>9</v>
      </c>
      <c r="J30" s="63">
        <v>4</v>
      </c>
      <c r="K30" s="63">
        <v>10</v>
      </c>
      <c r="L30" s="168">
        <v>10</v>
      </c>
      <c r="M30" s="170">
        <v>11</v>
      </c>
      <c r="N30" s="159">
        <v>9</v>
      </c>
      <c r="O30" s="87">
        <v>7</v>
      </c>
      <c r="P30" s="183">
        <v>9</v>
      </c>
      <c r="Q30" s="87">
        <v>12</v>
      </c>
    </row>
    <row r="31" spans="1:25" x14ac:dyDescent="0.25">
      <c r="A31" s="146" t="s">
        <v>1</v>
      </c>
      <c r="B31" s="63">
        <v>8</v>
      </c>
      <c r="C31" s="63">
        <v>6</v>
      </c>
      <c r="D31" s="63">
        <v>7</v>
      </c>
      <c r="E31" s="63">
        <v>3</v>
      </c>
      <c r="F31" s="63">
        <v>7</v>
      </c>
      <c r="G31" s="63">
        <v>4</v>
      </c>
      <c r="H31" s="63">
        <v>3</v>
      </c>
      <c r="I31" s="63">
        <v>3</v>
      </c>
      <c r="J31" s="63">
        <v>5</v>
      </c>
      <c r="K31" s="63">
        <v>6</v>
      </c>
      <c r="L31" s="168">
        <v>7</v>
      </c>
      <c r="M31" s="170">
        <v>5</v>
      </c>
      <c r="N31" s="159">
        <v>2</v>
      </c>
      <c r="O31" s="87">
        <v>5</v>
      </c>
      <c r="P31" s="183">
        <v>6</v>
      </c>
      <c r="Q31" s="87">
        <v>2</v>
      </c>
    </row>
    <row r="32" spans="1:25" x14ac:dyDescent="0.25">
      <c r="A32" s="146" t="s">
        <v>2</v>
      </c>
      <c r="B32" s="63">
        <v>11</v>
      </c>
      <c r="C32" s="63">
        <v>17</v>
      </c>
      <c r="D32" s="63">
        <v>12</v>
      </c>
      <c r="E32" s="63">
        <v>16</v>
      </c>
      <c r="F32" s="63">
        <v>13</v>
      </c>
      <c r="G32" s="63">
        <v>11</v>
      </c>
      <c r="H32" s="63">
        <v>11</v>
      </c>
      <c r="I32" s="63">
        <v>13</v>
      </c>
      <c r="J32" s="63">
        <v>10</v>
      </c>
      <c r="K32" s="63">
        <v>14</v>
      </c>
      <c r="L32" s="168">
        <v>21</v>
      </c>
      <c r="M32" s="170">
        <v>12</v>
      </c>
      <c r="N32" s="159">
        <v>19</v>
      </c>
      <c r="O32" s="87">
        <v>11</v>
      </c>
      <c r="P32" s="183">
        <v>10</v>
      </c>
      <c r="Q32" s="87">
        <v>11</v>
      </c>
    </row>
    <row r="33" spans="1:17" x14ac:dyDescent="0.25">
      <c r="A33" s="146" t="s">
        <v>3</v>
      </c>
      <c r="B33" s="63">
        <v>29</v>
      </c>
      <c r="C33" s="63">
        <v>48</v>
      </c>
      <c r="D33" s="63">
        <v>21</v>
      </c>
      <c r="E33" s="63">
        <v>28</v>
      </c>
      <c r="F33" s="63">
        <v>39</v>
      </c>
      <c r="G33" s="63">
        <v>26</v>
      </c>
      <c r="H33" s="63">
        <v>38</v>
      </c>
      <c r="I33" s="63">
        <v>21</v>
      </c>
      <c r="J33" s="63">
        <v>17</v>
      </c>
      <c r="K33" s="63">
        <v>24</v>
      </c>
      <c r="L33" s="168">
        <v>32</v>
      </c>
      <c r="M33" s="170">
        <v>37</v>
      </c>
      <c r="N33" s="159">
        <v>38</v>
      </c>
      <c r="O33" s="87">
        <v>37</v>
      </c>
      <c r="P33" s="183">
        <v>34</v>
      </c>
      <c r="Q33" s="87">
        <v>34</v>
      </c>
    </row>
    <row r="34" spans="1:17" x14ac:dyDescent="0.25">
      <c r="A34" s="146" t="s">
        <v>4</v>
      </c>
      <c r="B34" s="63">
        <v>5</v>
      </c>
      <c r="C34" s="63">
        <v>7</v>
      </c>
      <c r="D34" s="63">
        <v>3</v>
      </c>
      <c r="E34" s="63">
        <v>5</v>
      </c>
      <c r="F34" s="63">
        <v>3</v>
      </c>
      <c r="G34" s="63">
        <v>5</v>
      </c>
      <c r="H34" s="63">
        <v>4</v>
      </c>
      <c r="I34" s="63">
        <v>3</v>
      </c>
      <c r="J34" s="63">
        <v>5</v>
      </c>
      <c r="K34" s="63">
        <v>6</v>
      </c>
      <c r="L34" s="168">
        <v>5</v>
      </c>
      <c r="M34" s="170">
        <v>9</v>
      </c>
      <c r="N34" s="159">
        <v>6</v>
      </c>
      <c r="O34" s="87">
        <v>12</v>
      </c>
      <c r="P34" s="183">
        <v>4</v>
      </c>
      <c r="Q34" s="87">
        <v>3</v>
      </c>
    </row>
    <row r="35" spans="1:17" x14ac:dyDescent="0.25">
      <c r="A35" s="146" t="s">
        <v>5</v>
      </c>
      <c r="B35" s="63">
        <v>11</v>
      </c>
      <c r="C35" s="63">
        <v>10</v>
      </c>
      <c r="D35" s="63">
        <v>14</v>
      </c>
      <c r="E35" s="63">
        <v>9</v>
      </c>
      <c r="F35" s="63">
        <v>4</v>
      </c>
      <c r="G35" s="63">
        <v>8</v>
      </c>
      <c r="H35" s="63">
        <v>8</v>
      </c>
      <c r="I35" s="63">
        <v>4</v>
      </c>
      <c r="J35" s="63">
        <v>9</v>
      </c>
      <c r="K35" s="63">
        <v>6</v>
      </c>
      <c r="L35" s="168">
        <v>2</v>
      </c>
      <c r="M35" s="170">
        <v>6</v>
      </c>
      <c r="N35" s="159">
        <v>15</v>
      </c>
      <c r="O35" s="87">
        <v>8</v>
      </c>
      <c r="P35" s="183">
        <v>10</v>
      </c>
      <c r="Q35" s="87">
        <v>8</v>
      </c>
    </row>
    <row r="36" spans="1:17" x14ac:dyDescent="0.25">
      <c r="A36" s="146" t="s">
        <v>6</v>
      </c>
      <c r="B36" s="63">
        <v>10</v>
      </c>
      <c r="C36" s="63">
        <v>17</v>
      </c>
      <c r="D36" s="63">
        <v>9</v>
      </c>
      <c r="E36" s="63">
        <v>14</v>
      </c>
      <c r="F36" s="63">
        <v>11</v>
      </c>
      <c r="G36" s="63">
        <v>11</v>
      </c>
      <c r="H36" s="63">
        <v>12</v>
      </c>
      <c r="I36" s="63">
        <v>15</v>
      </c>
      <c r="J36" s="63">
        <v>11</v>
      </c>
      <c r="K36" s="63">
        <v>5</v>
      </c>
      <c r="L36" s="168">
        <v>17</v>
      </c>
      <c r="M36" s="170">
        <v>11</v>
      </c>
      <c r="N36" s="159">
        <v>16</v>
      </c>
      <c r="O36" s="87">
        <v>12</v>
      </c>
      <c r="P36" s="183">
        <v>16</v>
      </c>
      <c r="Q36" s="87">
        <v>12</v>
      </c>
    </row>
    <row r="37" spans="1:17" x14ac:dyDescent="0.25">
      <c r="A37" s="146" t="s">
        <v>77</v>
      </c>
      <c r="B37" s="64">
        <v>89</v>
      </c>
      <c r="C37" s="64">
        <v>115</v>
      </c>
      <c r="D37" s="64">
        <v>77</v>
      </c>
      <c r="E37" s="64">
        <v>85</v>
      </c>
      <c r="F37" s="64">
        <v>88</v>
      </c>
      <c r="G37" s="64">
        <v>70</v>
      </c>
      <c r="H37" s="64">
        <v>88</v>
      </c>
      <c r="I37" s="64">
        <v>68</v>
      </c>
      <c r="J37" s="64">
        <v>61</v>
      </c>
      <c r="K37" s="64">
        <v>71</v>
      </c>
      <c r="L37" s="169">
        <v>94</v>
      </c>
      <c r="M37" s="165">
        <f>SUM(M30:M36)</f>
        <v>91</v>
      </c>
      <c r="N37" s="160">
        <v>105</v>
      </c>
      <c r="O37" s="87">
        <v>92</v>
      </c>
      <c r="P37" s="183">
        <v>89</v>
      </c>
      <c r="Q37" s="87">
        <v>82</v>
      </c>
    </row>
    <row r="39" spans="1:17" x14ac:dyDescent="0.25">
      <c r="F39" s="87"/>
      <c r="G39" s="87"/>
      <c r="H39" s="157"/>
      <c r="I39" s="158"/>
    </row>
    <row r="40" spans="1:17" x14ac:dyDescent="0.25">
      <c r="B40" s="157"/>
      <c r="C40" s="157"/>
      <c r="D40" s="157"/>
      <c r="E40" s="157"/>
      <c r="F40" s="157"/>
      <c r="G40" s="157"/>
    </row>
    <row r="42" spans="1:17" x14ac:dyDescent="0.25">
      <c r="H42" s="159"/>
      <c r="I42" s="159"/>
      <c r="J42" s="159"/>
      <c r="K42" s="159"/>
      <c r="L42" s="159"/>
      <c r="M42" s="160"/>
    </row>
    <row r="43" spans="1:17" x14ac:dyDescent="0.25">
      <c r="C43" s="87"/>
      <c r="D43" s="87"/>
      <c r="E43" s="87"/>
      <c r="F43" s="159"/>
      <c r="G43" s="159"/>
    </row>
    <row r="44" spans="1:17" x14ac:dyDescent="0.25">
      <c r="H44" s="87"/>
      <c r="I44" s="87"/>
      <c r="J44" s="87"/>
    </row>
    <row r="45" spans="1:17" x14ac:dyDescent="0.25">
      <c r="C45" s="87"/>
      <c r="D45" s="87"/>
      <c r="E45" s="87"/>
      <c r="F45" s="87"/>
      <c r="G45" s="87"/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BAC72FF4AEF4DACAD84F54EF6EBF6" ma:contentTypeVersion="0" ma:contentTypeDescription="Create a new document." ma:contentTypeScope="" ma:versionID="c17ca01ceaf579f6bef8eb80b870818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43EFAE-94F7-4F62-AC73-4DC922ABE8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8C8723-4899-4A31-A790-D592B38C64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2F40C65A-F8DE-431F-ACD8-F56EFCA5B4CD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Holds</vt:lpstr>
      <vt:lpstr>Intakes, Admins, Discharges</vt:lpstr>
      <vt:lpstr>AMH CMH Patients Served</vt:lpstr>
      <vt:lpstr>Invsigtns, Exams, and Commits</vt:lpstr>
      <vt:lpstr>Hold Tracking</vt:lpstr>
      <vt:lpstr>Served Tracking</vt:lpstr>
      <vt:lpstr>Intake Tracking</vt:lpstr>
      <vt:lpstr>Admissions Tracking</vt:lpstr>
      <vt:lpstr>Discharge Tracking</vt:lpstr>
      <vt:lpstr>TDC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Employee</dc:creator>
  <cp:lastModifiedBy>Wilmoth, Boyd E. - CO 3rd</cp:lastModifiedBy>
  <cp:lastPrinted>2013-10-29T20:46:07Z</cp:lastPrinted>
  <dcterms:created xsi:type="dcterms:W3CDTF">2012-01-06T15:16:49Z</dcterms:created>
  <dcterms:modified xsi:type="dcterms:W3CDTF">2013-12-12T18:09:59Z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0x010100E36BAC72FF4AEF4DACAD84F54EF6EBF6</vt:lpwstr>
  </property>
  <property fmtid="{D5CDD505-2E9C-101B-9397-08002B2CF9AE}" pid="3" name="Order">
    <vt:r8>6900</vt:r8>
  </property>
</Properties>
</file>