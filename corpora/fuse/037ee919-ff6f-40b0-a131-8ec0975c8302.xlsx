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3804" yWindow="1356" windowWidth="17376" windowHeight="10896" tabRatio="500"/>
  </bookViews>
  <sheets>
    <sheet name="EE Curriculum" sheetId="2" r:id="rId1"/>
    <sheet name="EE CurriculumCO-OP" sheetId="3" r:id="rId2"/>
    <sheet name="Flowchart" sheetId="4" r:id="rId3"/>
    <sheet name="Summary Checklist" sheetId="5" r:id="rId4"/>
  </sheets>
  <externalReferences>
    <externalReference r:id="rId5"/>
  </externalReferences>
  <definedNames>
    <definedName name="_ftn1" localSheetId="0">'EE Curriculum'!$O$40</definedName>
    <definedName name="_ftn1" localSheetId="1">'EE CurriculumCO-OP'!$O$50</definedName>
    <definedName name="_ftnref1" localSheetId="0">'EE Curriculum'!#REF!</definedName>
    <definedName name="_ftnref1" localSheetId="1">'EE CurriculumCO-OP'!#REF!</definedName>
    <definedName name="flow_chart_print">Flowchart!$A$1:$P$32</definedName>
    <definedName name="_xlnm.Print_Area" localSheetId="0">'EE Curriculum'!$A$1:$L$52</definedName>
    <definedName name="_xlnm.Print_Area" localSheetId="1">'EE CurriculumCO-OP'!$A$1:$L$61</definedName>
    <definedName name="_xlnm.Print_Area" localSheetId="2">Flowchart!$B$2:$L$30</definedName>
    <definedName name="_xlnm.Print_Area">#N/A</definedName>
    <definedName name="Workloads" localSheetId="1">#REF!</definedName>
    <definedName name="Workloads" localSheetId="2">#REF!</definedName>
    <definedName name="Workloads">#REF!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3" i="2" l="1"/>
  <c r="J13" i="2"/>
  <c r="C22" i="2"/>
  <c r="J22" i="2"/>
  <c r="C31" i="2"/>
  <c r="J31" i="2"/>
  <c r="C40" i="2"/>
  <c r="J40" i="2"/>
  <c r="O34" i="2"/>
  <c r="E34" i="5"/>
  <c r="F34" i="5"/>
  <c r="D34" i="5"/>
  <c r="E32" i="5"/>
  <c r="F32" i="5"/>
  <c r="D32" i="5"/>
  <c r="AH31" i="4"/>
  <c r="AI31" i="4"/>
  <c r="L16" i="4"/>
  <c r="AA30" i="4"/>
  <c r="AB30" i="4"/>
  <c r="J16" i="4"/>
  <c r="AA31" i="4"/>
  <c r="AB31" i="4"/>
  <c r="J18" i="4"/>
  <c r="AK31" i="4"/>
  <c r="AJ31" i="4"/>
  <c r="AD31" i="4"/>
  <c r="AC31" i="4"/>
  <c r="F54" i="5"/>
  <c r="F53" i="5"/>
  <c r="F52" i="5"/>
  <c r="F50" i="5"/>
  <c r="F49" i="5"/>
  <c r="F46" i="5"/>
  <c r="F44" i="5"/>
  <c r="F43" i="5"/>
  <c r="E38" i="5"/>
  <c r="F38" i="5"/>
  <c r="E37" i="5"/>
  <c r="F37" i="5"/>
  <c r="E36" i="5"/>
  <c r="F36" i="5"/>
  <c r="E35" i="5"/>
  <c r="F35" i="5"/>
  <c r="E31" i="5"/>
  <c r="F31" i="5"/>
  <c r="E30" i="5"/>
  <c r="F30" i="5"/>
  <c r="E29" i="5"/>
  <c r="F29" i="5"/>
  <c r="E28" i="5"/>
  <c r="F28" i="5"/>
  <c r="E27" i="5"/>
  <c r="F27" i="5"/>
  <c r="E26" i="5"/>
  <c r="F26" i="5"/>
  <c r="E25" i="5"/>
  <c r="F25" i="5"/>
  <c r="E24" i="5"/>
  <c r="F24" i="5"/>
  <c r="E23" i="5"/>
  <c r="F23" i="5"/>
  <c r="E22" i="5"/>
  <c r="F22" i="5"/>
  <c r="E21" i="5"/>
  <c r="F21" i="5"/>
  <c r="E20" i="5"/>
  <c r="F20" i="5"/>
  <c r="E14" i="5"/>
  <c r="F14" i="5"/>
  <c r="E13" i="5"/>
  <c r="F13" i="5"/>
  <c r="E12" i="5"/>
  <c r="F12" i="5"/>
  <c r="E11" i="5"/>
  <c r="F11" i="5"/>
  <c r="E9" i="5"/>
  <c r="F9" i="5"/>
  <c r="E8" i="5"/>
  <c r="F8" i="5"/>
  <c r="E7" i="5"/>
  <c r="F7" i="5"/>
  <c r="E6" i="5"/>
  <c r="F6" i="5"/>
  <c r="E5" i="5"/>
  <c r="F5" i="5"/>
  <c r="F56" i="5"/>
  <c r="F55" i="5"/>
  <c r="F51" i="5"/>
  <c r="F39" i="5"/>
  <c r="E39" i="5"/>
  <c r="D38" i="5"/>
  <c r="D37" i="5"/>
  <c r="D36" i="5"/>
  <c r="D35" i="5"/>
  <c r="D31" i="5"/>
  <c r="D30" i="5"/>
  <c r="D29" i="5"/>
  <c r="D28" i="5"/>
  <c r="D27" i="5"/>
  <c r="D26" i="5"/>
  <c r="D25" i="5"/>
  <c r="D24" i="5"/>
  <c r="D23" i="5"/>
  <c r="D22" i="5"/>
  <c r="D21" i="5"/>
  <c r="D20" i="5"/>
  <c r="F10" i="5"/>
  <c r="F16" i="5"/>
  <c r="F17" i="5"/>
  <c r="E10" i="5"/>
  <c r="E16" i="5"/>
  <c r="E17" i="5"/>
  <c r="D14" i="5"/>
  <c r="D13" i="5"/>
  <c r="D12" i="5"/>
  <c r="D11" i="5"/>
  <c r="D9" i="5"/>
  <c r="D8" i="5"/>
  <c r="D7" i="5"/>
  <c r="D6" i="5"/>
  <c r="D5" i="5"/>
  <c r="F63" i="5"/>
  <c r="E63" i="5"/>
  <c r="O4" i="4"/>
  <c r="AH32" i="4"/>
  <c r="AI32" i="4"/>
  <c r="L12" i="4"/>
  <c r="AA32" i="4"/>
  <c r="AB32" i="4"/>
  <c r="J12" i="4"/>
  <c r="AH30" i="4"/>
  <c r="AI30" i="4"/>
  <c r="L10" i="4"/>
  <c r="AA29" i="4"/>
  <c r="AB29" i="4"/>
  <c r="L6" i="4"/>
  <c r="AH22" i="4"/>
  <c r="AI22" i="4"/>
  <c r="L8" i="4"/>
  <c r="AH21" i="4"/>
  <c r="AI21" i="4"/>
  <c r="J10" i="4"/>
  <c r="AH20" i="4"/>
  <c r="AI20" i="4"/>
  <c r="J14" i="4"/>
  <c r="AA20" i="4"/>
  <c r="AB20" i="4"/>
  <c r="H14" i="4"/>
  <c r="AH13" i="4"/>
  <c r="AI13" i="4"/>
  <c r="H10" i="4"/>
  <c r="AA21" i="4"/>
  <c r="AB21" i="4"/>
  <c r="H12" i="4"/>
  <c r="AH12" i="4"/>
  <c r="AI12" i="4"/>
  <c r="H16" i="4"/>
  <c r="AA12" i="4"/>
  <c r="AB12" i="4"/>
  <c r="F16" i="4"/>
  <c r="AA13" i="4"/>
  <c r="AB13" i="4"/>
  <c r="F12" i="4"/>
  <c r="AH4" i="4"/>
  <c r="AI4" i="4"/>
  <c r="D12" i="4"/>
  <c r="AA4" i="4"/>
  <c r="AB4" i="4"/>
  <c r="B12" i="4"/>
  <c r="AA14" i="4"/>
  <c r="AB14" i="4"/>
  <c r="F10" i="4"/>
  <c r="AH5" i="4"/>
  <c r="AI5" i="4"/>
  <c r="D6" i="4"/>
  <c r="AA22" i="4"/>
  <c r="AB22" i="4"/>
  <c r="J8" i="4"/>
  <c r="AH11" i="4"/>
  <c r="AI11" i="4"/>
  <c r="H8" i="4"/>
  <c r="AA11" i="4"/>
  <c r="AB11" i="4"/>
  <c r="F8" i="4"/>
  <c r="AH3" i="4"/>
  <c r="AI3" i="4"/>
  <c r="D8" i="4"/>
  <c r="AA6" i="4"/>
  <c r="AB6" i="4"/>
  <c r="B10" i="4"/>
  <c r="AA7" i="4"/>
  <c r="AB7" i="4"/>
  <c r="B8" i="4"/>
  <c r="AH14" i="4"/>
  <c r="AI14" i="4"/>
  <c r="D20" i="4"/>
  <c r="AH23" i="4"/>
  <c r="AI23" i="4"/>
  <c r="B30" i="4"/>
  <c r="AH33" i="4"/>
  <c r="AI33" i="4"/>
  <c r="B28" i="4"/>
  <c r="AA15" i="4"/>
  <c r="AB15" i="4"/>
  <c r="B26" i="4"/>
  <c r="AA33" i="4"/>
  <c r="AB33" i="4"/>
  <c r="B24" i="4"/>
  <c r="AA5" i="4"/>
  <c r="AB5" i="4"/>
  <c r="B22" i="4"/>
  <c r="AA23" i="4"/>
  <c r="AB23" i="4"/>
  <c r="B20" i="4"/>
  <c r="AH6" i="4"/>
  <c r="AI6" i="4"/>
  <c r="B18" i="4"/>
  <c r="AK33" i="4"/>
  <c r="AJ33" i="4"/>
  <c r="AK32" i="4"/>
  <c r="AJ32" i="4"/>
  <c r="AK30" i="4"/>
  <c r="AJ30" i="4"/>
  <c r="AK29" i="4"/>
  <c r="AJ29" i="4"/>
  <c r="AI29" i="4"/>
  <c r="AH29" i="4"/>
  <c r="AD33" i="4"/>
  <c r="AC33" i="4"/>
  <c r="AD32" i="4"/>
  <c r="AC32" i="4"/>
  <c r="AD30" i="4"/>
  <c r="AC30" i="4"/>
  <c r="AD29" i="4"/>
  <c r="AC29" i="4"/>
  <c r="AK23" i="4"/>
  <c r="AJ23" i="4"/>
  <c r="AK22" i="4"/>
  <c r="AJ22" i="4"/>
  <c r="AK21" i="4"/>
  <c r="AJ21" i="4"/>
  <c r="AK20" i="4"/>
  <c r="AJ20" i="4"/>
  <c r="AD23" i="4"/>
  <c r="AC23" i="4"/>
  <c r="AD22" i="4"/>
  <c r="AC22" i="4"/>
  <c r="AD21" i="4"/>
  <c r="AC21" i="4"/>
  <c r="AD20" i="4"/>
  <c r="AC20" i="4"/>
  <c r="AK14" i="4"/>
  <c r="AJ14" i="4"/>
  <c r="AK13" i="4"/>
  <c r="AJ13" i="4"/>
  <c r="AK12" i="4"/>
  <c r="AJ12" i="4"/>
  <c r="AK11" i="4"/>
  <c r="AJ11" i="4"/>
  <c r="AD15" i="4"/>
  <c r="AC15" i="4"/>
  <c r="AD14" i="4"/>
  <c r="AC14" i="4"/>
  <c r="AD13" i="4"/>
  <c r="AC13" i="4"/>
  <c r="AD12" i="4"/>
  <c r="AC12" i="4"/>
  <c r="AD11" i="4"/>
  <c r="AC11" i="4"/>
  <c r="AK6" i="4"/>
  <c r="AJ6" i="4"/>
  <c r="AK5" i="4"/>
  <c r="AJ5" i="4"/>
  <c r="AK4" i="4"/>
  <c r="AJ4" i="4"/>
  <c r="AK3" i="4"/>
  <c r="AJ3" i="4"/>
  <c r="AD7" i="4"/>
  <c r="AC7" i="4"/>
  <c r="AD6" i="4"/>
  <c r="AC6" i="4"/>
  <c r="AD5" i="4"/>
  <c r="AC5" i="4"/>
  <c r="AD4" i="4"/>
  <c r="AC4" i="4"/>
  <c r="AD3" i="4"/>
  <c r="AC3" i="4"/>
  <c r="AB3" i="4"/>
  <c r="AA3" i="4"/>
  <c r="AF28" i="4"/>
  <c r="AF19" i="4"/>
  <c r="S14" i="4"/>
  <c r="S13" i="4"/>
  <c r="AF10" i="4"/>
  <c r="B6" i="4"/>
  <c r="H3" i="4"/>
  <c r="C39" i="3"/>
  <c r="J39" i="3"/>
  <c r="C30" i="3"/>
  <c r="BF13" i="3"/>
  <c r="BF58" i="3"/>
  <c r="BE13" i="3"/>
  <c r="BE58" i="3"/>
  <c r="BF15" i="3"/>
  <c r="BF57" i="3"/>
  <c r="BE15" i="3"/>
  <c r="BE57" i="3"/>
  <c r="BF17" i="3"/>
  <c r="BF53" i="3"/>
  <c r="BE17" i="3"/>
  <c r="BE53" i="3"/>
  <c r="BF10" i="3"/>
  <c r="BF52" i="3"/>
  <c r="BE10" i="3"/>
  <c r="BE52" i="3"/>
  <c r="BD8" i="3"/>
  <c r="BD52" i="3"/>
  <c r="BC8" i="3"/>
  <c r="BC52" i="3"/>
  <c r="BF12" i="3"/>
  <c r="BF49" i="3"/>
  <c r="BE12" i="3"/>
  <c r="BE49" i="3"/>
  <c r="BF11" i="3"/>
  <c r="BF46" i="3"/>
  <c r="BE11" i="3"/>
  <c r="BE46" i="3"/>
  <c r="BD10" i="3"/>
  <c r="BD46" i="3"/>
  <c r="BC10" i="3"/>
  <c r="BC46" i="3"/>
  <c r="BD15" i="3"/>
  <c r="BD43" i="3"/>
  <c r="BC15" i="3"/>
  <c r="BC43" i="3"/>
  <c r="BF9" i="3"/>
  <c r="BF42" i="3"/>
  <c r="BE9" i="3"/>
  <c r="BE42" i="3"/>
  <c r="BD12" i="3"/>
  <c r="BD42" i="3"/>
  <c r="BC12" i="3"/>
  <c r="BC42" i="3"/>
  <c r="J48" i="3"/>
  <c r="BD13" i="3"/>
  <c r="BD36" i="3"/>
  <c r="BC13" i="3"/>
  <c r="BC36" i="3"/>
  <c r="BD11" i="3"/>
  <c r="BD35" i="3"/>
  <c r="BC11" i="3"/>
  <c r="BC35" i="3"/>
  <c r="BF8" i="3"/>
  <c r="BF34" i="3"/>
  <c r="BE8" i="3"/>
  <c r="BE34" i="3"/>
  <c r="BD9" i="3"/>
  <c r="BD34" i="3"/>
  <c r="BC9" i="3"/>
  <c r="BC34" i="3"/>
  <c r="J22" i="3"/>
  <c r="C22" i="3"/>
  <c r="BF16" i="3"/>
  <c r="BE16" i="3"/>
  <c r="J13" i="3"/>
  <c r="C13" i="3"/>
  <c r="BF13" i="2"/>
  <c r="BF48" i="2"/>
  <c r="BE13" i="2"/>
  <c r="BE48" i="2"/>
  <c r="BF15" i="2"/>
  <c r="BF47" i="2"/>
  <c r="BE15" i="2"/>
  <c r="BE47" i="2"/>
  <c r="BF17" i="2"/>
  <c r="BF43" i="2"/>
  <c r="BE17" i="2"/>
  <c r="BE43" i="2"/>
  <c r="BF10" i="2"/>
  <c r="BF42" i="2"/>
  <c r="BE10" i="2"/>
  <c r="BE42" i="2"/>
  <c r="BD8" i="2"/>
  <c r="BD42" i="2"/>
  <c r="BC8" i="2"/>
  <c r="BC42" i="2"/>
  <c r="BF16" i="2"/>
  <c r="BE16" i="2"/>
  <c r="BF12" i="2"/>
  <c r="BF39" i="2"/>
  <c r="BE12" i="2"/>
  <c r="BE39" i="2"/>
  <c r="BF11" i="2"/>
  <c r="BF38" i="2"/>
  <c r="BE11" i="2"/>
  <c r="BE38" i="2"/>
  <c r="BD10" i="2"/>
  <c r="BD38" i="2"/>
  <c r="BC10" i="2"/>
  <c r="BC38" i="2"/>
  <c r="BD15" i="2"/>
  <c r="BD35" i="2"/>
  <c r="BC15" i="2"/>
  <c r="BC35" i="2"/>
  <c r="BF9" i="2"/>
  <c r="BF34" i="2"/>
  <c r="BE9" i="2"/>
  <c r="BE34" i="2"/>
  <c r="BD12" i="2"/>
  <c r="BD34" i="2"/>
  <c r="BC12" i="2"/>
  <c r="BC34" i="2"/>
  <c r="BD13" i="2"/>
  <c r="BD28" i="2"/>
  <c r="BC13" i="2"/>
  <c r="BC28" i="2"/>
  <c r="BD11" i="2"/>
  <c r="BD27" i="2"/>
  <c r="BC11" i="2"/>
  <c r="BC27" i="2"/>
  <c r="BF8" i="2"/>
  <c r="BF26" i="2"/>
  <c r="BE8" i="2"/>
  <c r="BE26" i="2"/>
  <c r="BD9" i="2"/>
  <c r="BD26" i="2"/>
  <c r="BC9" i="2"/>
  <c r="BC26" i="2"/>
</calcChain>
</file>

<file path=xl/sharedStrings.xml><?xml version="1.0" encoding="utf-8"?>
<sst xmlns="http://schemas.openxmlformats.org/spreadsheetml/2006/main" count="1523" uniqueCount="482">
  <si>
    <t xml:space="preserve">                        MERRIMACK COLLEGE</t>
  </si>
  <si>
    <t>ECO 1201  Introduction to Economics   </t>
  </si>
  <si>
    <t>ECO 1202  Topics in Introductory Economics </t>
  </si>
  <si>
    <t>Name</t>
  </si>
  <si>
    <t>ENTER NAME HERE</t>
    <phoneticPr fontId="0" type="noConversion"/>
  </si>
  <si>
    <t>ID #</t>
  </si>
  <si>
    <t>ID HERE</t>
    <phoneticPr fontId="0" type="noConversion"/>
  </si>
  <si>
    <t>Class year:</t>
  </si>
  <si>
    <t>CLASS YEAR HERE</t>
    <phoneticPr fontId="0" type="noConversion"/>
  </si>
  <si>
    <t xml:space="preserve">ADVISOR:  </t>
  </si>
  <si>
    <t>ADVISOR HERE</t>
    <phoneticPr fontId="0" type="noConversion"/>
  </si>
  <si>
    <t>ECO 3305  Ecological Economics</t>
  </si>
  <si>
    <t>FALL</t>
  </si>
  <si>
    <t>SPRING</t>
  </si>
  <si>
    <t>Workloads</t>
    <phoneticPr fontId="0" type="noConversion"/>
  </si>
  <si>
    <t>Arts and Literature</t>
    <phoneticPr fontId="0" type="noConversion"/>
  </si>
  <si>
    <t>Ethics</t>
    <phoneticPr fontId="0" type="noConversion"/>
  </si>
  <si>
    <t>FRESHMAN YEAR</t>
  </si>
  <si>
    <t>Fall</t>
    <phoneticPr fontId="0" type="noConversion"/>
  </si>
  <si>
    <t>Spring</t>
    <phoneticPr fontId="0" type="noConversion"/>
  </si>
  <si>
    <t>Historical Studies</t>
    <phoneticPr fontId="0" type="noConversion"/>
  </si>
  <si>
    <t>Social Science</t>
    <phoneticPr fontId="0" type="noConversion"/>
  </si>
  <si>
    <t>Science Elective</t>
    <phoneticPr fontId="0" type="noConversion"/>
  </si>
  <si>
    <t>GEN 1001</t>
    <phoneticPr fontId="0" type="noConversion"/>
  </si>
  <si>
    <t>Intro. to Eng.</t>
  </si>
  <si>
    <t>MTH 1505</t>
  </si>
  <si>
    <t>MTH 1217</t>
  </si>
  <si>
    <t>Calculus I</t>
  </si>
  <si>
    <t>MTH 1218</t>
  </si>
  <si>
    <t>Calculus II</t>
  </si>
  <si>
    <t>Communication Arts and Sciences</t>
  </si>
  <si>
    <t>WRT 2790  Public and Private Writing from the Civil War Era</t>
  </si>
  <si>
    <t>Management</t>
  </si>
  <si>
    <t>MGT 3325 Ethics and Social Responsibility</t>
  </si>
  <si>
    <t>Economics</t>
  </si>
  <si>
    <t>ECO 3314  U.S. Economic History</t>
  </si>
  <si>
    <t>COM 2201 Introduction to Interpersonal Communication</t>
  </si>
  <si>
    <t>AST 1101 Introduction to Astronomy</t>
  </si>
  <si>
    <t>PHL 1000</t>
    <phoneticPr fontId="0" type="noConversion"/>
  </si>
  <si>
    <t>Intro to Philosophy</t>
    <phoneticPr fontId="0" type="noConversion"/>
  </si>
  <si>
    <t>PHY 2211</t>
  </si>
  <si>
    <t>Physics I</t>
  </si>
  <si>
    <t>WRT 3060  Writing the Personal Memoir</t>
  </si>
  <si>
    <r>
      <t>Philosophy</t>
    </r>
    <r>
      <rPr>
        <b/>
        <sz val="12"/>
        <color indexed="10"/>
        <rFont val="Times New Roman"/>
        <family val="1"/>
      </rPr>
      <t xml:space="preserve"> </t>
    </r>
  </si>
  <si>
    <t>PHL 2020W  Perspectives on the Good Life</t>
  </si>
  <si>
    <t>ECO 3312  The History of Economic Thought</t>
  </si>
  <si>
    <t xml:space="preserve">COM 2301 Introduction to Organizational Communication </t>
  </si>
  <si>
    <t>BIO 1027 Principles of Biology I</t>
  </si>
  <si>
    <t>ENG 1050</t>
  </si>
  <si>
    <t>College Writing</t>
  </si>
  <si>
    <t>Arts &amp; Lit (AL)</t>
    <phoneticPr fontId="0" type="noConversion"/>
  </si>
  <si>
    <t>Elective (course here)</t>
  </si>
  <si>
    <t>English</t>
  </si>
  <si>
    <t>ENG 1060  Horror Fiction</t>
  </si>
  <si>
    <t>PHL 2030  Contemporary Moral Problems</t>
  </si>
  <si>
    <t>History</t>
  </si>
  <si>
    <t>HIS 1106  History of American Civilization, 1600-1877</t>
  </si>
  <si>
    <t xml:space="preserve">COM 2401 Introduction to Mass Communication </t>
  </si>
  <si>
    <t>BIO 3009 Environment, Ecology and Society</t>
  </si>
  <si>
    <t>ENG 1500  Major British and World Authors</t>
  </si>
  <si>
    <t>PHL 2040  Introduction to Political Philosophy</t>
  </si>
  <si>
    <t>HIS 1107  History of American Civilization, 1877-2000</t>
  </si>
  <si>
    <t>COM 3231 Intercultural Communication</t>
  </si>
  <si>
    <t>BIO 3090 – 3099 Global Field Studies Program Courses</t>
  </si>
  <si>
    <t>ENG 1550  Major American Authors</t>
  </si>
  <si>
    <t>PHL 2050  Ethics in the Professions</t>
  </si>
  <si>
    <t>HIS 1119  History of Western Civilization I</t>
  </si>
  <si>
    <t>CEN 4060 Geology</t>
  </si>
  <si>
    <t xml:space="preserve">    </t>
  </si>
  <si>
    <t>ENG 2050W  Introduction to Literary Studies</t>
  </si>
  <si>
    <t>PHL 2060  Biomedical Ethics</t>
  </si>
  <si>
    <t>HIS 1120  History of Western Civilization II</t>
  </si>
  <si>
    <t>CSC 1610 Computer Science I</t>
  </si>
  <si>
    <t>SOPHOMORE YEAR</t>
  </si>
  <si>
    <t>INSTRUCTIONS FOR USE</t>
    <phoneticPr fontId="0" type="noConversion"/>
  </si>
  <si>
    <t>ENG 2200  Introduction to Poetry</t>
  </si>
  <si>
    <t>PHL 2070  Environmental Ethics</t>
  </si>
  <si>
    <t>HIS 2329  American Social History</t>
  </si>
  <si>
    <t>ECO 1203  Principles of Economics – Micro  </t>
  </si>
  <si>
    <t>HSC 1104  Introduction to Human Disease</t>
  </si>
  <si>
    <t>1. Enter a 1 into the boxes outlined in green beside courses that you have completed successfully</t>
    <phoneticPr fontId="0" type="noConversion"/>
  </si>
  <si>
    <t>ENG 2300  Detective Fiction</t>
  </si>
  <si>
    <t>PHL 2080  Approaches to Ethics</t>
  </si>
  <si>
    <t>HIS 2340  History of Latin America (D)</t>
  </si>
  <si>
    <t>ECO 1204  Principles of Economics – Macro  </t>
  </si>
  <si>
    <t>HSC 1106  Human Biology</t>
  </si>
  <si>
    <t>MTH 2220</t>
  </si>
  <si>
    <t>ENG 2740  Politics in Literature</t>
  </si>
  <si>
    <t>PHL 2090  Values in a Technological Culture</t>
  </si>
  <si>
    <t>HIS 3350  Ancient History</t>
  </si>
  <si>
    <t>ECO 1225  Economics of Gender    </t>
  </si>
  <si>
    <t>HSC 1122  Anatomy and Physiology I</t>
  </si>
  <si>
    <t>MTH 2219</t>
  </si>
  <si>
    <t>Calculus III</t>
  </si>
  <si>
    <t>2. Now you're ready to begin planning the upcoming semester.  Enter a 1 into the green boxes beside courses in which you would like to enroll next semester.</t>
    <phoneticPr fontId="0" type="noConversion"/>
  </si>
  <si>
    <t>ENG 2750  Adapting the Graphic Novel to Film</t>
  </si>
  <si>
    <t>PHL 2100  Women, Ethics and Society (D)</t>
  </si>
  <si>
    <t>HIS 3360  Medieval Civilization</t>
  </si>
  <si>
    <t>ECO 2201  Intermediate Micro-Economics  </t>
  </si>
  <si>
    <t>HSC 2300  Nutrition, Diet and Health</t>
  </si>
  <si>
    <t>CHM 1180</t>
    <phoneticPr fontId="0" type="noConversion"/>
  </si>
  <si>
    <t>Engineering Chemistry</t>
    <phoneticPr fontId="0" type="noConversion"/>
  </si>
  <si>
    <t>ENG 2770  Literature and Film</t>
  </si>
  <si>
    <t>PHL 2310  Socrates and the Examined Life</t>
  </si>
  <si>
    <t>HIS 3370  Renaissance and Reformation</t>
  </si>
  <si>
    <t>ECO 2202  Intermediate Macro-Economics </t>
  </si>
  <si>
    <t>HSC 3302  Community Public Health</t>
  </si>
  <si>
    <t>ENG 3020  A History of the English Language</t>
  </si>
  <si>
    <t>PHL 2500 Theories of Justice</t>
  </si>
  <si>
    <t>HIS 3376  Era of the French Revolution</t>
  </si>
  <si>
    <t>ECO 3303  Economic Development</t>
  </si>
  <si>
    <r>
      <t xml:space="preserve">ENG 3100  </t>
    </r>
    <r>
      <rPr>
        <i/>
        <sz val="12"/>
        <rFont val="Times New Roman"/>
        <family val="1"/>
      </rPr>
      <t>Beowulf</t>
    </r>
    <r>
      <rPr>
        <sz val="12"/>
        <rFont val="Times New Roman"/>
        <family val="1"/>
      </rPr>
      <t xml:space="preserve"> and Old English Literature</t>
    </r>
  </si>
  <si>
    <t>PHL 3020 Philosophy of Law</t>
  </si>
  <si>
    <t>HIS 3378  History of Modern Britain</t>
  </si>
  <si>
    <t>ECO 3304  Economics of Education</t>
  </si>
  <si>
    <t>ENG 3140  Chaucer and Middle English Literature</t>
  </si>
  <si>
    <t>PHL 3030  Global Justice</t>
  </si>
  <si>
    <t>HIS 3380  History of Modern Technology</t>
  </si>
  <si>
    <t>ENG 3200  Renaissance Literature</t>
  </si>
  <si>
    <t>PHL 3180  Existentialism</t>
  </si>
  <si>
    <t>HIS 3390  Modern European Social History</t>
  </si>
  <si>
    <t>ECO 3306  International Economics</t>
  </si>
  <si>
    <t>JUNIOR YEAR</t>
  </si>
  <si>
    <t>ENG 3220  Renaissance Drama</t>
  </si>
  <si>
    <t>Religious and Theological Studies</t>
  </si>
  <si>
    <t>RTS 2800  Christian Social Ethics (D)</t>
  </si>
  <si>
    <t>HIS 3391  Women in Modern European History (D)</t>
  </si>
  <si>
    <t>ECO 3307  Labor Economics</t>
  </si>
  <si>
    <t>Marc</t>
    <phoneticPr fontId="0" type="noConversion"/>
  </si>
  <si>
    <t>ENG 3250  Shakespearean Drama</t>
  </si>
  <si>
    <t>RTS 2900  Holocaust: Theology, Reality and Aftermath (D)</t>
  </si>
  <si>
    <t>HIS 3320  The American City</t>
  </si>
  <si>
    <t>ECO 3308  Managerial Economics</t>
  </si>
  <si>
    <t>ENG 3280  Angels and Demons: Milton and the Culture of Revolution</t>
  </si>
  <si>
    <t>RTS 2950  Ethics in the Abrahamic Traditions</t>
  </si>
  <si>
    <t>HIS 3326  History of American Architecture</t>
  </si>
  <si>
    <t>ECO 3309  Marxian Economics</t>
  </si>
  <si>
    <t>ENG 3300  Restoration and Eighteenth-Century Literature</t>
  </si>
  <si>
    <t>RTS 3700  African-American Theology (D)</t>
  </si>
  <si>
    <t>HIS 3401  Topics in Nineteenth-Century Europe</t>
  </si>
  <si>
    <t>ECO 3310  Money and Finance</t>
  </si>
  <si>
    <t>RTS 1001</t>
  </si>
  <si>
    <t>Intro to Religious Studies</t>
  </si>
  <si>
    <t>Ethics (E)</t>
    <phoneticPr fontId="0" type="noConversion"/>
  </si>
  <si>
    <r>
      <t xml:space="preserve">Elective </t>
    </r>
    <r>
      <rPr>
        <i/>
        <sz val="12"/>
        <rFont val="Times New Roman"/>
        <family val="1"/>
      </rPr>
      <t>(course here)</t>
    </r>
  </si>
  <si>
    <t>ENG 3320  Eighteenth-Century Novel</t>
  </si>
  <si>
    <t>RTS 3710  Feminist Theology (D)</t>
  </si>
  <si>
    <t>HIS 3410  Twentieth-Century Europe</t>
  </si>
  <si>
    <t>ECO 3311  Public Finance</t>
  </si>
  <si>
    <t>Hist. Studies (H)</t>
    <phoneticPr fontId="0" type="noConversion"/>
  </si>
  <si>
    <t>ENG 3350  Sex, Race, and Empire: 1660-1814</t>
  </si>
  <si>
    <t>RTS 3800  The Catholic Thing: Merton and Day</t>
  </si>
  <si>
    <t>HIS 3425  Contemporary United States History</t>
  </si>
  <si>
    <t>ENG 3400  British Romanticism</t>
  </si>
  <si>
    <t>RTS 3850  War and Peace: Religious Perspectives</t>
  </si>
  <si>
    <t>HIS 3434  Age of the American Revolution, 1763-1800</t>
  </si>
  <si>
    <t>ECO 3313  Topics in Quantitative Economics</t>
  </si>
  <si>
    <t>ENG 3420  American Romanticism</t>
  </si>
  <si>
    <t>HIS 3435  American Colonial History</t>
  </si>
  <si>
    <t>ENG 3440  Victorian Literature</t>
  </si>
  <si>
    <t>HIS 3437  Civil War and Reconstruction</t>
  </si>
  <si>
    <t>ECO 3315  Urban and Regional Economics</t>
  </si>
  <si>
    <t>SENIOR YEAR</t>
  </si>
  <si>
    <t>Aaron</t>
    <phoneticPr fontId="0" type="noConversion"/>
  </si>
  <si>
    <t>ENG 3470  Realism and Naturalism in America</t>
  </si>
  <si>
    <t>HIS 3439  Slavery and Race in the Early Modern Atlantic World, 1400-1800</t>
  </si>
  <si>
    <t>ENG 3500  Modern British Literature</t>
  </si>
  <si>
    <t>HIS 3470  History of Imperial Russia</t>
  </si>
  <si>
    <t>ENG 3520  Modern Irish Literature</t>
  </si>
  <si>
    <t>HIS 3471  History of Twentieth-Century Russia</t>
  </si>
  <si>
    <t>Work with your advisor here.</t>
    <phoneticPr fontId="0" type="noConversion"/>
  </si>
  <si>
    <t>ENG 3550  Modern American Literature</t>
  </si>
  <si>
    <t>HIS 3525  Environmental History of North America</t>
  </si>
  <si>
    <t>HIS 3391  Women in Modern European History</t>
  </si>
  <si>
    <t>Soc. Science (SS)</t>
    <phoneticPr fontId="0" type="noConversion"/>
  </si>
  <si>
    <t>Dave</t>
    <phoneticPr fontId="0" type="noConversion"/>
  </si>
  <si>
    <t>ENG 3620  Contemporary American Literature</t>
  </si>
  <si>
    <t>Political Science</t>
  </si>
  <si>
    <t>POL 2581 Political Thought: Plato to Machiavelli</t>
  </si>
  <si>
    <r>
      <t>Political Science</t>
    </r>
    <r>
      <rPr>
        <b/>
        <sz val="12"/>
        <color indexed="10"/>
        <rFont val="Cambria"/>
        <family val="1"/>
      </rPr>
      <t xml:space="preserve"> </t>
    </r>
  </si>
  <si>
    <t>POL 1000  Current Issues in Politics and Government </t>
  </si>
  <si>
    <t>ENG 3650  Contemporary American Drama</t>
  </si>
  <si>
    <t>POL 2582 Political Thought: Machiavelli to Marx</t>
  </si>
  <si>
    <t>POL 1100  Politics of the United States   </t>
  </si>
  <si>
    <t>ENG 3680  World Drama</t>
  </si>
  <si>
    <t>RTS 2450  History of Christian Thought</t>
  </si>
  <si>
    <t>POL 1500  Comparative Politics    </t>
  </si>
  <si>
    <t>Visual and Performing Arts</t>
  </si>
  <si>
    <t>NOTES</t>
  </si>
  <si>
    <t>ENG 3730  Modern American Poetry</t>
  </si>
  <si>
    <t>FAA 2520  Theater History I</t>
  </si>
  <si>
    <t>POL 2121  Public Administration and Public Policy </t>
  </si>
  <si>
    <t># cr</t>
  </si>
  <si>
    <t>Gary</t>
    <phoneticPr fontId="0" type="noConversion"/>
  </si>
  <si>
    <t>ENG 3740  American Women’s Fiction</t>
  </si>
  <si>
    <t>FAA 2530  Theater History II</t>
  </si>
  <si>
    <t>POL 2181  American Political Thought   </t>
  </si>
  <si>
    <t>At least one of the general education courses must be chosen from the</t>
    <phoneticPr fontId="0" type="noConversion"/>
  </si>
  <si>
    <t>ENG 3750  Gods and Monsters: The Shelley Circle</t>
  </si>
  <si>
    <t>Women’s and Gender Studies</t>
  </si>
  <si>
    <t>WGS 3300  U.S. Women’s History</t>
  </si>
  <si>
    <t>POL 2510  International Politics    </t>
  </si>
  <si>
    <t>cultural diversity list of courses.</t>
    <phoneticPr fontId="0" type="noConversion"/>
  </si>
  <si>
    <t>ENG 3770  Caribbean Women Writers (D)</t>
  </si>
  <si>
    <t>POL 2581  Political Thought:  Plato to Machiavelli </t>
  </si>
  <si>
    <t>ENG 3780  Poets of New England</t>
  </si>
  <si>
    <t>POL 2582  Political Thought: Machiavelli to Marx</t>
  </si>
  <si>
    <t>ENG 3790  Poe, Hawthorne, and the American Short Story</t>
  </si>
  <si>
    <t>POL 3112  Congress and the Legislative Process</t>
  </si>
  <si>
    <t>Adjuncts</t>
    <phoneticPr fontId="0" type="noConversion"/>
  </si>
  <si>
    <t>ENG 3800  Post-Colonial Literature (D)</t>
  </si>
  <si>
    <t>POL 3113  American Presidency</t>
  </si>
  <si>
    <t>ENG 3810  American Literature by Women of Color (D)</t>
  </si>
  <si>
    <t>POL 3114  Political Parties and Interest Groups</t>
  </si>
  <si>
    <t>ENG 3820 Twentieth-Century Drama and Performance by Women (D)</t>
  </si>
  <si>
    <t>POL 3122  Issues in Public Policy</t>
  </si>
  <si>
    <t>ENG 3830  American Indian Renaissance (D)</t>
  </si>
  <si>
    <t>POL 3130  Campaigns and Elections</t>
  </si>
  <si>
    <t xml:space="preserve">Humanities </t>
  </si>
  <si>
    <t>HUM 2010  Approaching Modernism</t>
  </si>
  <si>
    <t>POL 3524  Politics of the Russia and Post-Soviet States</t>
  </si>
  <si>
    <t>HUM 2020  Approaching Postmodernism</t>
  </si>
  <si>
    <t>POL 3525  Politics of the Middle East (D)</t>
  </si>
  <si>
    <t>RTS 2200  Introduction to Hebrew Scripture</t>
  </si>
  <si>
    <t>POL 3526  Politics of the European Union</t>
  </si>
  <si>
    <t>RTS 2300  Introduction to the New Testament</t>
  </si>
  <si>
    <t>POL 3530  Comparative Foreign Policies</t>
  </si>
  <si>
    <t>RTS 3350  Reading Scripture after the Holocaust</t>
  </si>
  <si>
    <t>POL 3531  Politics of Developing Nations</t>
  </si>
  <si>
    <t xml:space="preserve">FAA 1210  Basic Drawing I </t>
  </si>
  <si>
    <t>POL 3540  International Political Economy</t>
  </si>
  <si>
    <t>FAA 1230  2-Dimensional Design</t>
  </si>
  <si>
    <t>POL 4199  Women and Politics (D)</t>
  </si>
  <si>
    <t>FAA 1270  Basic Painting I</t>
  </si>
  <si>
    <t>Psychology</t>
  </si>
  <si>
    <t>PSY 1000  Introduction to Psychology</t>
  </si>
  <si>
    <t>FAA 1310  The Nature of Music: Music and the Environment</t>
  </si>
  <si>
    <t>PSY 2200  Social Psychology</t>
  </si>
  <si>
    <t>FAA 1320  History of Rock &amp; Roll</t>
  </si>
  <si>
    <t>PSY 2280  Organizational Psychology</t>
  </si>
  <si>
    <t>FAA 1330  Survey of American Music</t>
  </si>
  <si>
    <t>PSY 2300  Developmental Psychology</t>
  </si>
  <si>
    <t>FAA 1510  Acting I</t>
  </si>
  <si>
    <t>PSY 2310  Lifespan Psychology</t>
  </si>
  <si>
    <t>FAA 1520  Voice for Stage</t>
  </si>
  <si>
    <t>PSY 2400  Personality</t>
  </si>
  <si>
    <t>FAA 1550  The Curtain Calls: An Introduction to Theatre for Everyone</t>
  </si>
  <si>
    <t>PSY 2420  Psychology of Sex Differences</t>
  </si>
  <si>
    <t>FAA 1600  Inside Art: Art History for Everyone</t>
  </si>
  <si>
    <t>PSY 2450  Love, Sex and Relationships</t>
  </si>
  <si>
    <t>FAA 1610  Art History I: Prehistory to the Renaissance</t>
  </si>
  <si>
    <t>PSY 3110  Sensation and Perception</t>
  </si>
  <si>
    <t>FAA 1620  Art History II: The Renaissance to the Present</t>
  </si>
  <si>
    <t>PSY 3120  Cognitive Psychology</t>
  </si>
  <si>
    <t>FAA 1670  American Art I</t>
  </si>
  <si>
    <t>PSY 3150  Behavioral Neuroscience</t>
  </si>
  <si>
    <t>FAA 1680  American Art II</t>
  </si>
  <si>
    <t>PSY 3250  Cultural Psychology</t>
  </si>
  <si>
    <t>FAA 1710  Foundations of Visual Arts</t>
  </si>
  <si>
    <t>PSY 3310  Development of Intelligence and Thinking</t>
  </si>
  <si>
    <t>FAA 2210  Basic Drawing II</t>
  </si>
  <si>
    <t>PSY 3320  Social and Personality Development</t>
  </si>
  <si>
    <t>FAA 2230  3-Dimensional Design</t>
  </si>
  <si>
    <t>PSY 3340  Developmental Psychopathology</t>
  </si>
  <si>
    <t>FAA 2250  Mixed Media Studio</t>
  </si>
  <si>
    <t>PSY 3380  Psychology of Aging</t>
  </si>
  <si>
    <t>FAA 2260  Art of the Portrait</t>
  </si>
  <si>
    <t>PSY 3410  Adult Psychopathology</t>
  </si>
  <si>
    <t xml:space="preserve">FAA 2270  Basic Painting II </t>
  </si>
  <si>
    <t>PSY 3450  Biological Bases of Abnormal Behavior</t>
  </si>
  <si>
    <t>FAA 2360  Elementary Music Theory</t>
  </si>
  <si>
    <t xml:space="preserve">Sociology </t>
  </si>
  <si>
    <t>SOC 1001  Principles of Sociology</t>
  </si>
  <si>
    <t>FAA 2380  The Architecture of Music: From Phrase to Opera</t>
  </si>
  <si>
    <t>SOC 2002  Social Problems</t>
  </si>
  <si>
    <t>FAA 2420  History of Photography</t>
  </si>
  <si>
    <t>SOC 2050  Social Work</t>
  </si>
  <si>
    <t>FAA 2450  Basic Digital Photography</t>
  </si>
  <si>
    <t>SOC 2200  Cultural Anthropology</t>
  </si>
  <si>
    <t>FAA 2500  Women in Theatre (D)</t>
  </si>
  <si>
    <t>SOC 3040  Juvenile Delinquency (D)</t>
  </si>
  <si>
    <t>FAA 2510  Acting II</t>
  </si>
  <si>
    <t>SOC 3050W  Female Deviance, Crime and Social Control (D)</t>
  </si>
  <si>
    <t>FAA 2520  Theatre History Part One: Origins to Renaissance</t>
  </si>
  <si>
    <t>SOC 3060  White Collar Crime</t>
  </si>
  <si>
    <t>FAA 2530  Theatre History Part Two: Restoration to the Present</t>
  </si>
  <si>
    <t>SOC 3100  Formal Organizations</t>
  </si>
  <si>
    <t>FAA 2540  Introduction to Playwriting</t>
  </si>
  <si>
    <t>SOC 3120  Sociology of Law</t>
  </si>
  <si>
    <t>FAA 2560  London Theatre</t>
  </si>
  <si>
    <t>SOC 3150  Social Movements</t>
  </si>
  <si>
    <t>FAA 2570  Technical Production for the Theatre</t>
  </si>
  <si>
    <t>SOC 3200  Criminology</t>
  </si>
  <si>
    <t>FAA 2580  Design for the Theatre</t>
  </si>
  <si>
    <t>SOC 3250  Social Change</t>
  </si>
  <si>
    <t>FAA 2610  The Art of Ancient Egypt, Hither Asia, and the Aegean</t>
  </si>
  <si>
    <t>SOC 3300W  Sociology of Education</t>
  </si>
  <si>
    <t>FAA 2620  Classical Art</t>
  </si>
  <si>
    <t>SOC 3330  Racial and Ethnic Minorities (D)</t>
  </si>
  <si>
    <t>FAA 2630  Angels and Demons: The Art of the Middle Ages</t>
  </si>
  <si>
    <t>SOC 3350  Alternative Approaches to Criminal Justice</t>
  </si>
  <si>
    <t>FAA 2640W  First Light: The Beginnings of Modernism in Western Art</t>
  </si>
  <si>
    <t>SOC 3370  Urban Sociology</t>
  </si>
  <si>
    <t>FAA 2650  Artists, Princes, and Popes: From Renaissance to Reformation</t>
  </si>
  <si>
    <t>SOC 3400  Population Problems</t>
  </si>
  <si>
    <t>FAA 2660  The Art of the Baroque: European Art of the 17th and 18th Centuries</t>
  </si>
  <si>
    <t>SOC 3430  Criminal Justice and Mental Health</t>
  </si>
  <si>
    <t>FAA 2670  19th Century Art</t>
  </si>
  <si>
    <t>SOC 3450  Sociology of Family</t>
  </si>
  <si>
    <t>FAA 2680  Early 20th Century Art: The Development of Modernist Art</t>
  </si>
  <si>
    <t>SOC 3500  Domestic Violence</t>
  </si>
  <si>
    <t>FAA 2690  Modern, Postmodern, and Beyond: Art from 1945 to the Present</t>
  </si>
  <si>
    <t>SOC 3600  Sociology of Health</t>
  </si>
  <si>
    <t>FAA 2840  Digital Photography and Design</t>
  </si>
  <si>
    <t>SOC 3800  Sociology of Gender</t>
  </si>
  <si>
    <t>FAA 2850  Digital Video</t>
  </si>
  <si>
    <t>SOC 3850  Sociology of Aging</t>
  </si>
  <si>
    <t>FAA 2860  Electronic Publishing</t>
  </si>
  <si>
    <t>SOC 4300  Social Class in America</t>
  </si>
  <si>
    <t>FAA 3270  Advanced Painting</t>
  </si>
  <si>
    <t>WGS 1010  Gender and Society</t>
  </si>
  <si>
    <t>FAA 3360  Principles of Composition</t>
  </si>
  <si>
    <t>WGS 3100  Feminist Theory</t>
  </si>
  <si>
    <t>FAA 3510  Directing I</t>
  </si>
  <si>
    <t>WGS 3110  Global Women’s Issues: Gender, Activism, and Social Justice</t>
  </si>
  <si>
    <t>FAA 3520  Acting III</t>
  </si>
  <si>
    <t>WGS 3250  Sex and Gender Studies</t>
  </si>
  <si>
    <t>FAA 3620  Problems in Classical Art</t>
  </si>
  <si>
    <t>WGS 3290  Women and Business</t>
  </si>
  <si>
    <t>FAA 3650  The World of Michelangelo</t>
  </si>
  <si>
    <t>WGS 3420  Gender, Race, and the Media</t>
  </si>
  <si>
    <t>FAA 3680  Topics in Modern Art</t>
  </si>
  <si>
    <t>WGS 3710  Gender and the Law</t>
  </si>
  <si>
    <t>FAA 3700  Drawing and Sculpture: A Study of Form in Tuscany</t>
  </si>
  <si>
    <t>FAA 3830  Web Design</t>
  </si>
  <si>
    <t>FAA 3840  2D Web Animation</t>
  </si>
  <si>
    <t>FAA 3850  History of Graphic Design</t>
  </si>
  <si>
    <t>FAA 3860  Computer Illustration</t>
  </si>
  <si>
    <t>FAA 4820  3D Animation and Illustration</t>
  </si>
  <si>
    <t>FAA 49l0/4920  Fine Arts Internship</t>
  </si>
  <si>
    <t>WGS 2260  Southwestern Women Writers and Artists (D)</t>
  </si>
  <si>
    <t>WGS 2420  Gender, Sex, and Film (D)</t>
  </si>
  <si>
    <t>WGS 3120  Women and Film: The Politics of Representation (D)</t>
  </si>
  <si>
    <t>World Languages and Cultures</t>
  </si>
  <si>
    <t>FRE 3030  French Cinema I</t>
  </si>
  <si>
    <t>FRE 3040  Five Centuries of French Civilization in Films</t>
  </si>
  <si>
    <t>FRE 3110  Survey of French Literature I</t>
  </si>
  <si>
    <t>FRE 3120  Survey of French Literature II</t>
  </si>
  <si>
    <t>FRE 3130  Studies in Modern French Literature</t>
  </si>
  <si>
    <t>FRE 3140  Studies in Modern French Literature II</t>
  </si>
  <si>
    <t>ITA 2530  Italian Women Writers</t>
  </si>
  <si>
    <t>ITA 2550  Italian Americans and Film</t>
  </si>
  <si>
    <t>ITA 2560  The Italian Southern Question in Literature and Film</t>
  </si>
  <si>
    <t>ITA 2570  Italian Culture Through Film I</t>
  </si>
  <si>
    <t>ITA 2580  Italian Culture Through Film II</t>
  </si>
  <si>
    <t>SPA 3310  Latinos in the U.S.: Literature and Service Learning (D)</t>
  </si>
  <si>
    <t>SPA 3610  Race, Literature, and Culture (D)</t>
  </si>
  <si>
    <t>SPA 3620  Gender, Literature, and Culture (D)</t>
  </si>
  <si>
    <t>SPA 3630  Studies in Popular Culture of Latin America and Spain (D)</t>
  </si>
  <si>
    <t>SPA 4050  Literature(s)/ Cultures(s) of Resistance (D)</t>
  </si>
  <si>
    <t>SPA 4060  Film and Literature of Contemporary Spain and Latin America</t>
  </si>
  <si>
    <t>SPA 4070  Short Fiction of Spanish Speaking World</t>
  </si>
  <si>
    <t>SPA 4080  Hispanic Literature in Translation</t>
  </si>
  <si>
    <t>LAST ROW</t>
    <phoneticPr fontId="0" type="noConversion"/>
  </si>
  <si>
    <t>CSC 1610</t>
  </si>
  <si>
    <t>Computer Science I</t>
  </si>
  <si>
    <t>EEN 110</t>
  </si>
  <si>
    <t>Analog Fundamentals</t>
  </si>
  <si>
    <t>Digital Fundamentals</t>
  </si>
  <si>
    <t>EEN 1200</t>
  </si>
  <si>
    <t>EEN 2130</t>
  </si>
  <si>
    <t>Circuit Theory I</t>
  </si>
  <si>
    <t>EEN 2250</t>
  </si>
  <si>
    <t>Assembly for EEN</t>
  </si>
  <si>
    <t>EEN 2140</t>
  </si>
  <si>
    <t>Circuit Theory II</t>
  </si>
  <si>
    <t>PHY 2212</t>
  </si>
  <si>
    <t>Physics II</t>
  </si>
  <si>
    <t>EEN 2270</t>
  </si>
  <si>
    <t>Embedded Microprocessors</t>
  </si>
  <si>
    <t>Differential Equations</t>
  </si>
  <si>
    <t>EEN 3210</t>
  </si>
  <si>
    <t>Electronics I</t>
  </si>
  <si>
    <t>EEN 3430</t>
  </si>
  <si>
    <t>EEN 3220</t>
  </si>
  <si>
    <t>Electronics II</t>
  </si>
  <si>
    <t>EEN</t>
  </si>
  <si>
    <t>Linear Signals and Systems</t>
  </si>
  <si>
    <t>EEN 3130</t>
  </si>
  <si>
    <t>EEN 4750</t>
  </si>
  <si>
    <t>VLSI Design</t>
  </si>
  <si>
    <t>EEN 4960</t>
  </si>
  <si>
    <t>Design Project I</t>
  </si>
  <si>
    <t>Engineering Statistics</t>
  </si>
  <si>
    <t>EEN 4270</t>
  </si>
  <si>
    <t>Feedback Circuits</t>
  </si>
  <si>
    <t>EEN 4970</t>
  </si>
  <si>
    <t>Design Project II</t>
  </si>
  <si>
    <t>List of EEN Electives</t>
  </si>
  <si>
    <t>EEN3555 Power Engineering I</t>
  </si>
  <si>
    <t>EEN3665 Power Engineering II</t>
  </si>
  <si>
    <t>EEN4145 Discrete Sig &amp; Sys</t>
  </si>
  <si>
    <t>EEN4265 Engineering Mgmt.</t>
  </si>
  <si>
    <t>CSC3925 Data Communications</t>
  </si>
  <si>
    <t>Notes:</t>
  </si>
  <si>
    <t>1) the Computer Engineering Concentration requires two of the following four be taken: CSC3935, CSC3925, EEN4175, EEN3720</t>
  </si>
  <si>
    <t xml:space="preserve">                       ELECTRICAL ENGINEERING CURRICULUM</t>
  </si>
  <si>
    <t>Eng. Electromagnetics I</t>
  </si>
  <si>
    <t>EEN 3440</t>
  </si>
  <si>
    <t>Eng. Electromagnetics II</t>
  </si>
  <si>
    <t>EEN 4370</t>
  </si>
  <si>
    <t>Disruptive technologies</t>
  </si>
  <si>
    <t>EEN3545 Communications Theory</t>
  </si>
  <si>
    <t>EEN 3875 Privacy, Ethics &amp; Technology</t>
  </si>
  <si>
    <t>EEN/CSC3935 Data Networking</t>
  </si>
  <si>
    <t>CSC3720 Computer Architecture</t>
  </si>
  <si>
    <t>2) the Computer Engineering Concentration courses are offered only every other year</t>
  </si>
  <si>
    <t>3) CS version of Computer Architecture (CSC3720) is NOT acceptable for EE Credit</t>
  </si>
  <si>
    <t>CO-OP Semester</t>
  </si>
  <si>
    <t>Student Name:</t>
  </si>
  <si>
    <t>mag factor</t>
    <phoneticPr fontId="8" type="noConversion"/>
  </si>
  <si>
    <t>Want</t>
    <phoneticPr fontId="8" type="noConversion"/>
  </si>
  <si>
    <t>Key</t>
  </si>
  <si>
    <t>Pre-requisite:</t>
  </si>
  <si>
    <t>Co-requisite</t>
  </si>
  <si>
    <t>*pre-requisites may be replaced with CSC 3720</t>
  </si>
  <si>
    <t>Our mission is to prepare outstanding electrical engineers!</t>
  </si>
  <si>
    <t>Pre-req</t>
  </si>
  <si>
    <t>EEN 3555</t>
  </si>
  <si>
    <t>EEN3565 Power Engineering II</t>
  </si>
  <si>
    <t>EEN 4145 Discrete Sig &amp; Sys</t>
  </si>
  <si>
    <t>EEN 4175 Digital Arch</t>
  </si>
  <si>
    <t>2-4</t>
  </si>
  <si>
    <t>EEN 4705/4715 Special Topics</t>
  </si>
  <si>
    <t>EEN 4805/4815 Directed Study</t>
  </si>
  <si>
    <t>Consent</t>
  </si>
  <si>
    <t>CSC 1610; Jr.</t>
  </si>
  <si>
    <t>1) the Computer Engineering Concentration requires two of the following three be taken: CSC3925, CSC3935, EEN4175</t>
  </si>
  <si>
    <t>see prerequisites</t>
  </si>
  <si>
    <t>THIS REFLECTS CURRICULUM FROM AY 2012.</t>
  </si>
  <si>
    <t>EE FACULTY MUST DETERMINE NEW CO-OP SCHEDULE WITH THE REVISED CURRICULUM</t>
  </si>
  <si>
    <t>3. Use the attached Flowchart to find co and pre-requisite courses</t>
  </si>
  <si>
    <t>Credits</t>
    <phoneticPr fontId="8" type="noConversion"/>
  </si>
  <si>
    <t xml:space="preserve">Credits </t>
    <phoneticPr fontId="8" type="noConversion"/>
  </si>
  <si>
    <t>Science and Math Topics</t>
    <phoneticPr fontId="8" type="noConversion"/>
  </si>
  <si>
    <t>Required</t>
    <phoneticPr fontId="8" type="noConversion"/>
  </si>
  <si>
    <t>Taken</t>
    <phoneticPr fontId="8" type="noConversion"/>
  </si>
  <si>
    <t>TOTAL MATH</t>
    <phoneticPr fontId="8" type="noConversion"/>
  </si>
  <si>
    <t>TOTAL SCIENCE</t>
    <phoneticPr fontId="8" type="noConversion"/>
  </si>
  <si>
    <t>TOTAL MATH and SCIENCE</t>
    <phoneticPr fontId="8" type="noConversion"/>
  </si>
  <si>
    <t>Engineering Topics</t>
    <phoneticPr fontId="8" type="noConversion"/>
  </si>
  <si>
    <t>TOTAL ENGINEERING</t>
    <phoneticPr fontId="8" type="noConversion"/>
  </si>
  <si>
    <t>LS CORE</t>
  </si>
  <si>
    <t>Foundations</t>
    <phoneticPr fontId="0" type="noConversion"/>
  </si>
  <si>
    <t>1. ENG 1050</t>
  </si>
  <si>
    <t>2. PHL 1000</t>
  </si>
  <si>
    <t>4. Ethics (E)</t>
  </si>
  <si>
    <t>Explorations</t>
    <phoneticPr fontId="0" type="noConversion"/>
  </si>
  <si>
    <t>5. RTS 1001</t>
  </si>
  <si>
    <t>6. Arts &amp; Lit (AL)</t>
  </si>
  <si>
    <t>8. Hist. Studies (H)</t>
  </si>
  <si>
    <t>9. Soc. Science (SS)</t>
  </si>
  <si>
    <t>11. Cultural Diversity (D)</t>
  </si>
  <si>
    <t>Enter course here</t>
  </si>
  <si>
    <t>Connections</t>
    <phoneticPr fontId="0" type="noConversion"/>
  </si>
  <si>
    <t>Writing intensive (W)**</t>
    <phoneticPr fontId="0" type="noConversion"/>
  </si>
  <si>
    <t>Experiential (X)***</t>
    <phoneticPr fontId="0" type="noConversion"/>
  </si>
  <si>
    <t>TOTAL LS CORE</t>
  </si>
  <si>
    <t>7. Foreign language (use MTH 1218)</t>
  </si>
  <si>
    <r>
      <t>10. STEM -</t>
    </r>
    <r>
      <rPr>
        <i/>
        <sz val="12"/>
        <rFont val="Times"/>
        <family val="1"/>
      </rPr>
      <t xml:space="preserve"> Use PHY 2211</t>
    </r>
  </si>
  <si>
    <r>
      <t xml:space="preserve">10. STEM - </t>
    </r>
    <r>
      <rPr>
        <i/>
        <sz val="12"/>
        <rFont val="Times"/>
        <family val="1"/>
      </rPr>
      <t>Use MTH 2219</t>
    </r>
  </si>
  <si>
    <t>EEN 4960 and 4970</t>
  </si>
  <si>
    <t>GEN 1001</t>
  </si>
  <si>
    <t>3. Quantitative Reasoning (Q)</t>
  </si>
  <si>
    <t>EEN 3270</t>
  </si>
  <si>
    <t>Energy Gen., Cons., and Tech</t>
  </si>
  <si>
    <t>Christianity in Context</t>
  </si>
  <si>
    <t>Jr. Standing</t>
  </si>
  <si>
    <t>EEN 1100</t>
  </si>
  <si>
    <t>Open elective</t>
  </si>
  <si>
    <t>(as of Fall 2013)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</si>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</sst>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>
    <font>
      <sz val="12"/>
      <color theme="1"/>
      <name val="Calibri"/>
      <family val="2"/>
      <scheme val="minor"/>
    </font>
    <font>
      <sz val="10"/>
      <name val="Geneva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color indexed="8"/>
      <name val="Cambria"/>
      <family val="1"/>
    </font>
    <font>
      <b/>
      <u/>
      <sz val="12"/>
      <name val="Times New Roman"/>
      <family val="1"/>
    </font>
    <font>
      <b/>
      <sz val="12"/>
      <color indexed="10"/>
      <name val="Times New Roman"/>
      <family val="1"/>
    </font>
    <font>
      <u/>
      <sz val="12"/>
      <name val="Times New Roman"/>
      <family val="1"/>
    </font>
    <font>
      <b/>
      <sz val="12"/>
      <color indexed="8"/>
      <name val="Cambria"/>
      <family val="1"/>
    </font>
    <font>
      <b/>
      <sz val="12"/>
      <name val="Geneva"/>
    </font>
    <font>
      <i/>
      <sz val="12"/>
      <name val="Times New Roman"/>
      <family val="1"/>
    </font>
    <font>
      <sz val="10"/>
      <color indexed="9"/>
      <name val="Times New Roman"/>
      <family val="1"/>
    </font>
    <font>
      <b/>
      <sz val="12"/>
      <color indexed="10"/>
      <name val="Cambria"/>
      <family val="1"/>
    </font>
    <font>
      <i/>
      <sz val="10"/>
      <name val="Geneva"/>
    </font>
    <font>
      <sz val="12"/>
      <name val="Geneva"/>
    </font>
    <font>
      <sz val="12"/>
      <name val="Times"/>
      <family val="1"/>
    </font>
    <font>
      <sz val="12"/>
      <color indexed="8"/>
      <name val="Times New Roman"/>
      <family val="1"/>
    </font>
    <font>
      <b/>
      <i/>
      <sz val="12"/>
      <name val="Times New Roman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Arial Black"/>
      <family val="2"/>
    </font>
    <font>
      <b/>
      <sz val="12"/>
      <name val="Times"/>
      <family val="1"/>
    </font>
    <font>
      <i/>
      <sz val="12"/>
      <name val="Times"/>
      <family val="1"/>
    </font>
    <font>
      <b/>
      <i/>
      <sz val="12"/>
      <name val="Times"/>
      <family val="1"/>
    </font>
    <font>
      <i/>
      <sz val="10"/>
      <name val="Times"/>
      <family val="1"/>
    </font>
    <font>
      <b/>
      <i/>
      <sz val="18"/>
      <name val="Verdana"/>
      <family val="2"/>
    </font>
    <font>
      <i/>
      <sz val="10"/>
      <name val="Times New Roman"/>
      <family val="1"/>
    </font>
    <font>
      <b/>
      <i/>
      <sz val="10"/>
      <name val="Times New Roman"/>
      <family val="1"/>
    </font>
    <font>
      <b/>
      <i/>
      <sz val="10"/>
      <name val="Geneva"/>
    </font>
    <font>
      <b/>
      <sz val="12"/>
      <color rgb="FFFF0000"/>
      <name val="Calibri"/>
      <family val="2"/>
      <scheme val="minor"/>
    </font>
    <font>
      <i/>
      <sz val="12"/>
      <color rgb="FFFF0000"/>
      <name val="Times"/>
      <family val="1"/>
    </font>
    <font>
      <b/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35"/>
      </left>
      <right style="medium">
        <color indexed="35"/>
      </right>
      <top style="medium">
        <color indexed="35"/>
      </top>
      <bottom style="medium">
        <color indexed="35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336">
    <xf numFmtId="0" fontId="0" fillId="0" borderId="0"/>
    <xf numFmtId="0" fontId="1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00">
    <xf numFmtId="0" fontId="0" fillId="0" borderId="0" xfId="0"/>
    <xf numFmtId="0" fontId="2" fillId="0" borderId="0" xfId="1" applyFont="1"/>
    <xf numFmtId="0" fontId="1" fillId="0" borderId="0" xfId="1"/>
    <xf numFmtId="0" fontId="1" fillId="0" borderId="0" xfId="1" applyNumberFormat="1" applyFont="1" applyAlignment="1">
      <alignment vertical="top"/>
    </xf>
    <xf numFmtId="0" fontId="5" fillId="0" borderId="0" xfId="1" applyFont="1"/>
    <xf numFmtId="0" fontId="2" fillId="2" borderId="1" xfId="1" applyFont="1" applyFill="1" applyBorder="1" applyProtection="1">
      <protection locked="0"/>
    </xf>
    <xf numFmtId="0" fontId="3" fillId="0" borderId="0" xfId="1" applyFont="1" applyFill="1" applyBorder="1" applyAlignment="1" applyProtection="1">
      <protection locked="0"/>
    </xf>
    <xf numFmtId="0" fontId="2" fillId="0" borderId="2" xfId="1" applyFont="1" applyBorder="1"/>
    <xf numFmtId="0" fontId="6" fillId="0" borderId="3" xfId="1" applyNumberFormat="1" applyFont="1" applyBorder="1" applyAlignment="1">
      <alignment horizontal="center" vertical="top"/>
    </xf>
    <xf numFmtId="0" fontId="4" fillId="0" borderId="3" xfId="1" applyNumberFormat="1" applyFont="1" applyBorder="1" applyAlignment="1">
      <alignment horizontal="center" vertical="top"/>
    </xf>
    <xf numFmtId="0" fontId="2" fillId="0" borderId="3" xfId="1" applyFont="1" applyBorder="1"/>
    <xf numFmtId="0" fontId="2" fillId="0" borderId="3" xfId="1" applyNumberFormat="1" applyFont="1" applyBorder="1" applyAlignment="1">
      <alignment vertical="top"/>
    </xf>
    <xf numFmtId="0" fontId="2" fillId="0" borderId="4" xfId="1" applyFont="1" applyBorder="1"/>
    <xf numFmtId="0" fontId="2" fillId="0" borderId="0" xfId="1" applyFont="1" applyBorder="1"/>
    <xf numFmtId="0" fontId="2" fillId="0" borderId="5" xfId="1" applyFont="1" applyBorder="1"/>
    <xf numFmtId="0" fontId="6" fillId="0" borderId="6" xfId="1" applyNumberFormat="1" applyFont="1" applyBorder="1" applyAlignment="1">
      <alignment horizontal="center" vertical="top"/>
    </xf>
    <xf numFmtId="0" fontId="4" fillId="0" borderId="6" xfId="1" applyNumberFormat="1" applyFont="1" applyBorder="1" applyAlignment="1">
      <alignment horizontal="center" vertical="top"/>
    </xf>
    <xf numFmtId="0" fontId="4" fillId="0" borderId="6" xfId="1" applyFont="1" applyBorder="1" applyAlignment="1">
      <alignment horizontal="center"/>
    </xf>
    <xf numFmtId="0" fontId="2" fillId="0" borderId="6" xfId="1" applyNumberFormat="1" applyFont="1" applyBorder="1" applyAlignment="1">
      <alignment vertical="top"/>
    </xf>
    <xf numFmtId="0" fontId="2" fillId="0" borderId="6" xfId="1" applyFont="1" applyBorder="1"/>
    <xf numFmtId="0" fontId="2" fillId="0" borderId="7" xfId="1" applyFont="1" applyBorder="1"/>
    <xf numFmtId="0" fontId="4" fillId="0" borderId="0" xfId="1" applyFont="1"/>
    <xf numFmtId="0" fontId="2" fillId="0" borderId="8" xfId="1" applyNumberFormat="1" applyFont="1" applyBorder="1" applyAlignment="1">
      <alignment vertical="top"/>
    </xf>
    <xf numFmtId="0" fontId="2" fillId="0" borderId="0" xfId="1" applyNumberFormat="1" applyFont="1" applyBorder="1" applyAlignment="1">
      <alignment vertical="top"/>
    </xf>
    <xf numFmtId="0" fontId="2" fillId="0" borderId="0" xfId="1" applyNumberFormat="1" applyFont="1" applyBorder="1" applyAlignment="1">
      <alignment horizontal="center" vertical="top"/>
    </xf>
    <xf numFmtId="0" fontId="3" fillId="0" borderId="9" xfId="1" applyFont="1" applyBorder="1" applyProtection="1">
      <protection locked="0"/>
    </xf>
    <xf numFmtId="0" fontId="3" fillId="0" borderId="0" xfId="1" applyFont="1" applyBorder="1"/>
    <xf numFmtId="0" fontId="3" fillId="0" borderId="10" xfId="1" applyFont="1" applyBorder="1"/>
    <xf numFmtId="0" fontId="2" fillId="0" borderId="8" xfId="1" applyNumberFormat="1" applyFont="1" applyBorder="1" applyAlignment="1"/>
    <xf numFmtId="0" fontId="2" fillId="0" borderId="0" xfId="1" applyNumberFormat="1" applyFont="1" applyBorder="1" applyAlignment="1"/>
    <xf numFmtId="0" fontId="2" fillId="3" borderId="0" xfId="1" applyNumberFormat="1" applyFont="1" applyFill="1" applyBorder="1" applyAlignment="1" applyProtection="1">
      <alignment vertical="top"/>
      <protection locked="0"/>
    </xf>
    <xf numFmtId="0" fontId="8" fillId="0" borderId="0" xfId="1" applyNumberFormat="1" applyFont="1" applyBorder="1" applyAlignment="1">
      <alignment horizontal="center" vertical="top"/>
    </xf>
    <xf numFmtId="0" fontId="4" fillId="0" borderId="0" xfId="1" applyNumberFormat="1" applyFont="1" applyBorder="1" applyAlignment="1">
      <alignment vertical="top"/>
    </xf>
    <xf numFmtId="0" fontId="8" fillId="0" borderId="10" xfId="1" applyNumberFormat="1" applyFont="1" applyBorder="1" applyAlignment="1">
      <alignment horizontal="center" vertical="top"/>
    </xf>
    <xf numFmtId="0" fontId="2" fillId="0" borderId="11" xfId="1" applyNumberFormat="1" applyFont="1" applyBorder="1" applyAlignment="1">
      <alignment vertical="top"/>
    </xf>
    <xf numFmtId="0" fontId="2" fillId="0" borderId="1" xfId="1" applyNumberFormat="1" applyFont="1" applyBorder="1" applyAlignment="1">
      <alignment vertical="top"/>
    </xf>
    <xf numFmtId="0" fontId="2" fillId="0" borderId="1" xfId="1" applyNumberFormat="1" applyFont="1" applyBorder="1" applyAlignment="1">
      <alignment horizontal="center" vertical="top"/>
    </xf>
    <xf numFmtId="0" fontId="8" fillId="0" borderId="1" xfId="1" applyNumberFormat="1" applyFont="1" applyBorder="1" applyAlignment="1">
      <alignment horizontal="center" vertical="top"/>
    </xf>
    <xf numFmtId="0" fontId="8" fillId="0" borderId="12" xfId="1" applyNumberFormat="1" applyFont="1" applyBorder="1" applyAlignment="1">
      <alignment horizontal="center" vertical="top"/>
    </xf>
    <xf numFmtId="0" fontId="9" fillId="0" borderId="0" xfId="1" applyFont="1"/>
    <xf numFmtId="0" fontId="2" fillId="0" borderId="8" xfId="1" applyFont="1" applyBorder="1"/>
    <xf numFmtId="0" fontId="2" fillId="0" borderId="10" xfId="1" applyNumberFormat="1" applyFont="1" applyBorder="1" applyAlignment="1">
      <alignment horizontal="center" vertical="top"/>
    </xf>
    <xf numFmtId="0" fontId="2" fillId="0" borderId="6" xfId="1" applyNumberFormat="1" applyFont="1" applyBorder="1" applyAlignment="1">
      <alignment horizontal="center" vertical="top"/>
    </xf>
    <xf numFmtId="0" fontId="2" fillId="0" borderId="7" xfId="1" applyNumberFormat="1" applyFont="1" applyBorder="1" applyAlignment="1">
      <alignment horizontal="center" vertical="top"/>
    </xf>
    <xf numFmtId="0" fontId="4" fillId="0" borderId="0" xfId="1" applyNumberFormat="1" applyFont="1" applyBorder="1" applyAlignment="1">
      <alignment horizontal="center" vertical="top"/>
    </xf>
    <xf numFmtId="0" fontId="2" fillId="0" borderId="0" xfId="1" applyNumberFormat="1" applyFont="1" applyFill="1" applyBorder="1" applyAlignment="1" applyProtection="1">
      <alignment vertical="top"/>
      <protection locked="0"/>
    </xf>
    <xf numFmtId="0" fontId="2" fillId="0" borderId="0" xfId="1" applyNumberFormat="1" applyFont="1" applyFill="1" applyBorder="1" applyAlignment="1">
      <alignment horizontal="center" vertical="top"/>
    </xf>
    <xf numFmtId="0" fontId="2" fillId="0" borderId="1" xfId="1" applyFont="1" applyBorder="1"/>
    <xf numFmtId="0" fontId="12" fillId="0" borderId="0" xfId="1" applyFont="1" applyBorder="1"/>
    <xf numFmtId="0" fontId="3" fillId="0" borderId="17" xfId="1" applyNumberFormat="1" applyFont="1" applyBorder="1" applyAlignment="1">
      <alignment vertical="top"/>
    </xf>
    <xf numFmtId="0" fontId="4" fillId="0" borderId="6" xfId="1" applyNumberFormat="1" applyFont="1" applyBorder="1" applyAlignment="1">
      <alignment vertical="top"/>
    </xf>
    <xf numFmtId="0" fontId="3" fillId="0" borderId="6" xfId="1" applyNumberFormat="1" applyFont="1" applyBorder="1" applyAlignment="1">
      <alignment vertical="top"/>
    </xf>
    <xf numFmtId="0" fontId="3" fillId="0" borderId="7" xfId="1" applyNumberFormat="1" applyFont="1" applyBorder="1" applyAlignment="1">
      <alignment vertical="top"/>
    </xf>
    <xf numFmtId="0" fontId="3" fillId="0" borderId="0" xfId="1" applyNumberFormat="1" applyFont="1" applyBorder="1" applyAlignment="1">
      <alignment vertical="top"/>
    </xf>
    <xf numFmtId="0" fontId="3" fillId="0" borderId="5" xfId="1" applyFont="1" applyBorder="1" applyAlignment="1" applyProtection="1">
      <alignment horizontal="left" vertical="top"/>
      <protection locked="0"/>
    </xf>
    <xf numFmtId="0" fontId="3" fillId="0" borderId="6" xfId="1" applyFont="1" applyBorder="1" applyAlignment="1" applyProtection="1">
      <alignment horizontal="left" vertical="top" wrapText="1"/>
      <protection locked="0"/>
    </xf>
    <xf numFmtId="0" fontId="3" fillId="0" borderId="18" xfId="1" applyFont="1" applyBorder="1" applyAlignment="1" applyProtection="1">
      <alignment horizontal="left" vertical="top" wrapText="1"/>
      <protection locked="0"/>
    </xf>
    <xf numFmtId="0" fontId="11" fillId="0" borderId="17" xfId="1" applyNumberFormat="1" applyFont="1" applyBorder="1" applyAlignment="1"/>
    <xf numFmtId="0" fontId="2" fillId="0" borderId="0" xfId="1" applyFont="1" applyBorder="1" applyAlignment="1"/>
    <xf numFmtId="0" fontId="3" fillId="0" borderId="10" xfId="1" applyNumberFormat="1" applyFont="1" applyBorder="1" applyAlignment="1">
      <alignment vertical="top"/>
    </xf>
    <xf numFmtId="0" fontId="14" fillId="0" borderId="8" xfId="1" applyFont="1" applyBorder="1"/>
    <xf numFmtId="0" fontId="1" fillId="0" borderId="0" xfId="1" applyBorder="1"/>
    <xf numFmtId="0" fontId="2" fillId="0" borderId="17" xfId="1" applyNumberFormat="1" applyFont="1" applyBorder="1" applyAlignment="1"/>
    <xf numFmtId="0" fontId="1" fillId="0" borderId="8" xfId="1" applyBorder="1"/>
    <xf numFmtId="0" fontId="4" fillId="0" borderId="17" xfId="1" applyNumberFormat="1" applyFont="1" applyFill="1" applyBorder="1" applyAlignment="1">
      <alignment horizontal="left"/>
    </xf>
    <xf numFmtId="0" fontId="2" fillId="0" borderId="0" xfId="1" applyNumberFormat="1" applyFont="1" applyFill="1" applyBorder="1" applyAlignment="1">
      <alignment vertical="top"/>
    </xf>
    <xf numFmtId="0" fontId="3" fillId="0" borderId="0" xfId="1" applyNumberFormat="1" applyFont="1" applyFill="1" applyBorder="1" applyAlignment="1">
      <alignment vertical="top"/>
    </xf>
    <xf numFmtId="0" fontId="3" fillId="0" borderId="10" xfId="1" applyNumberFormat="1" applyFont="1" applyFill="1" applyBorder="1" applyAlignment="1">
      <alignment vertical="top"/>
    </xf>
    <xf numFmtId="0" fontId="15" fillId="0" borderId="0" xfId="1" applyNumberFormat="1" applyFont="1" applyAlignment="1">
      <alignment vertical="top"/>
    </xf>
    <xf numFmtId="0" fontId="17" fillId="0" borderId="0" xfId="1" applyFont="1"/>
    <xf numFmtId="0" fontId="18" fillId="0" borderId="0" xfId="1" applyFont="1"/>
    <xf numFmtId="0" fontId="11" fillId="0" borderId="0" xfId="1" applyFont="1"/>
    <xf numFmtId="0" fontId="3" fillId="0" borderId="3" xfId="1" applyFont="1" applyBorder="1"/>
    <xf numFmtId="0" fontId="2" fillId="0" borderId="10" xfId="1" applyFont="1" applyBorder="1"/>
    <xf numFmtId="0" fontId="4" fillId="0" borderId="8" xfId="1" applyNumberFormat="1" applyFont="1" applyBorder="1" applyAlignment="1">
      <alignment horizontal="right" vertical="top"/>
    </xf>
    <xf numFmtId="0" fontId="2" fillId="0" borderId="0" xfId="1" applyNumberFormat="1" applyFont="1" applyBorder="1" applyAlignment="1">
      <alignment horizontal="right" vertical="top"/>
    </xf>
    <xf numFmtId="0" fontId="1" fillId="0" borderId="20" xfId="1" applyBorder="1"/>
    <xf numFmtId="0" fontId="1" fillId="0" borderId="0" xfId="1" applyBorder="1" applyAlignment="1">
      <alignment wrapText="1"/>
    </xf>
    <xf numFmtId="0" fontId="16" fillId="0" borderId="20" xfId="1" applyFont="1" applyBorder="1"/>
    <xf numFmtId="0" fontId="1" fillId="0" borderId="22" xfId="1" applyBorder="1"/>
    <xf numFmtId="0" fontId="2" fillId="0" borderId="17" xfId="1" applyFont="1" applyBorder="1"/>
    <xf numFmtId="0" fontId="16" fillId="0" borderId="21" xfId="1" applyFont="1" applyBorder="1"/>
    <xf numFmtId="0" fontId="1" fillId="0" borderId="0" xfId="1" applyBorder="1" applyAlignment="1">
      <alignment wrapText="1"/>
    </xf>
    <xf numFmtId="0" fontId="2" fillId="0" borderId="13" xfId="1" applyNumberFormat="1" applyFont="1" applyBorder="1" applyAlignment="1">
      <alignment vertical="top"/>
    </xf>
    <xf numFmtId="0" fontId="10" fillId="0" borderId="2" xfId="1" applyFont="1" applyBorder="1"/>
    <xf numFmtId="0" fontId="1" fillId="0" borderId="3" xfId="1" applyBorder="1"/>
    <xf numFmtId="0" fontId="1" fillId="0" borderId="4" xfId="1" applyBorder="1"/>
    <xf numFmtId="0" fontId="18" fillId="0" borderId="0" xfId="1" applyNumberFormat="1" applyFont="1" applyBorder="1" applyAlignment="1">
      <alignment vertical="top"/>
    </xf>
    <xf numFmtId="0" fontId="1" fillId="0" borderId="0" xfId="1" applyFill="1"/>
    <xf numFmtId="0" fontId="2" fillId="0" borderId="8" xfId="1" applyNumberFormat="1" applyFont="1" applyFill="1" applyBorder="1" applyAlignment="1">
      <alignment vertical="top"/>
    </xf>
    <xf numFmtId="0" fontId="3" fillId="0" borderId="0" xfId="1" applyFont="1" applyFill="1" applyBorder="1" applyProtection="1">
      <protection locked="0"/>
    </xf>
    <xf numFmtId="0" fontId="2" fillId="0" borderId="14" xfId="1" applyNumberFormat="1" applyFont="1" applyBorder="1" applyAlignment="1">
      <alignment vertical="top"/>
    </xf>
    <xf numFmtId="0" fontId="2" fillId="0" borderId="15" xfId="1" applyNumberFormat="1" applyFont="1" applyBorder="1" applyAlignment="1">
      <alignment vertical="top"/>
    </xf>
    <xf numFmtId="0" fontId="2" fillId="0" borderId="15" xfId="1" applyNumberFormat="1" applyFont="1" applyBorder="1" applyAlignment="1">
      <alignment horizontal="center" vertical="top"/>
    </xf>
    <xf numFmtId="0" fontId="3" fillId="0" borderId="15" xfId="1" applyFont="1" applyBorder="1"/>
    <xf numFmtId="0" fontId="2" fillId="0" borderId="15" xfId="1" applyFont="1" applyBorder="1"/>
    <xf numFmtId="0" fontId="3" fillId="0" borderId="25" xfId="1" applyFont="1" applyBorder="1"/>
    <xf numFmtId="0" fontId="2" fillId="0" borderId="14" xfId="1" applyFont="1" applyBorder="1"/>
    <xf numFmtId="0" fontId="2" fillId="0" borderId="25" xfId="1" applyNumberFormat="1" applyFont="1" applyBorder="1" applyAlignment="1">
      <alignment horizontal="center" vertical="top"/>
    </xf>
    <xf numFmtId="0" fontId="1" fillId="0" borderId="15" xfId="1" applyBorder="1"/>
    <xf numFmtId="0" fontId="8" fillId="0" borderId="15" xfId="1" applyNumberFormat="1" applyFont="1" applyBorder="1" applyAlignment="1">
      <alignment horizontal="center" vertical="top"/>
    </xf>
    <xf numFmtId="0" fontId="3" fillId="0" borderId="26" xfId="1" applyNumberFormat="1" applyFont="1" applyBorder="1" applyAlignment="1">
      <alignment vertical="top"/>
    </xf>
    <xf numFmtId="0" fontId="16" fillId="0" borderId="0" xfId="1" applyFont="1" applyAlignment="1">
      <alignment wrapText="1"/>
    </xf>
    <xf numFmtId="0" fontId="16" fillId="0" borderId="0" xfId="1" applyFont="1"/>
    <xf numFmtId="0" fontId="15" fillId="0" borderId="0" xfId="1" applyFont="1"/>
    <xf numFmtId="0" fontId="23" fillId="0" borderId="27" xfId="1" applyFont="1" applyBorder="1" applyAlignment="1">
      <alignment horizontal="right" vertical="center" wrapText="1"/>
    </xf>
    <xf numFmtId="0" fontId="23" fillId="0" borderId="27" xfId="1" applyFont="1" applyBorder="1" applyAlignment="1">
      <alignment horizontal="center" vertical="center" wrapText="1"/>
    </xf>
    <xf numFmtId="0" fontId="16" fillId="0" borderId="27" xfId="1" applyFont="1" applyBorder="1" applyAlignment="1">
      <alignment wrapText="1"/>
    </xf>
    <xf numFmtId="0" fontId="16" fillId="0" borderId="0" xfId="1" applyFont="1" applyBorder="1" applyAlignment="1">
      <alignment wrapText="1"/>
    </xf>
    <xf numFmtId="0" fontId="16" fillId="0" borderId="27" xfId="1" applyFont="1" applyBorder="1" applyAlignment="1">
      <alignment vertical="center" wrapText="1"/>
    </xf>
    <xf numFmtId="0" fontId="24" fillId="0" borderId="0" xfId="1" applyFont="1" applyAlignment="1">
      <alignment wrapText="1"/>
    </xf>
    <xf numFmtId="0" fontId="24" fillId="0" borderId="0" xfId="1" applyFont="1" applyBorder="1" applyAlignment="1">
      <alignment vertical="center"/>
    </xf>
    <xf numFmtId="0" fontId="25" fillId="0" borderId="0" xfId="1" applyFont="1" applyAlignment="1">
      <alignment horizontal="left" wrapText="1"/>
    </xf>
    <xf numFmtId="0" fontId="16" fillId="0" borderId="0" xfId="1" applyFont="1" applyAlignment="1">
      <alignment horizontal="left" vertical="center" wrapText="1"/>
    </xf>
    <xf numFmtId="0" fontId="16" fillId="0" borderId="2" xfId="1" applyFont="1" applyBorder="1" applyAlignment="1">
      <alignment horizontal="left" vertical="center" wrapText="1"/>
    </xf>
    <xf numFmtId="0" fontId="16" fillId="0" borderId="4" xfId="1" applyFont="1" applyBorder="1" applyAlignment="1">
      <alignment horizontal="left" vertical="center" wrapText="1"/>
    </xf>
    <xf numFmtId="0" fontId="16" fillId="0" borderId="19" xfId="1" applyFont="1" applyBorder="1" applyAlignment="1">
      <alignment horizontal="left" vertical="center" wrapText="1"/>
    </xf>
    <xf numFmtId="0" fontId="16" fillId="0" borderId="22" xfId="1" applyFont="1" applyBorder="1" applyAlignment="1">
      <alignment horizontal="left" vertical="center" wrapText="1"/>
    </xf>
    <xf numFmtId="0" fontId="26" fillId="0" borderId="0" xfId="1" applyFont="1" applyAlignment="1">
      <alignment vertical="top" wrapText="1"/>
    </xf>
    <xf numFmtId="0" fontId="1" fillId="0" borderId="20" xfId="1" applyBorder="1" applyAlignment="1">
      <alignment wrapText="1"/>
    </xf>
    <xf numFmtId="0" fontId="1" fillId="0" borderId="22" xfId="1" applyBorder="1" applyAlignment="1">
      <alignment wrapText="1"/>
    </xf>
    <xf numFmtId="16" fontId="2" fillId="0" borderId="0" xfId="1" quotePrefix="1" applyNumberFormat="1" applyFont="1" applyBorder="1" applyAlignment="1">
      <alignment vertical="top"/>
    </xf>
    <xf numFmtId="0" fontId="28" fillId="0" borderId="0" xfId="1" applyNumberFormat="1" applyFont="1" applyBorder="1" applyAlignment="1">
      <alignment vertical="top"/>
    </xf>
    <xf numFmtId="0" fontId="28" fillId="0" borderId="10" xfId="1" applyNumberFormat="1" applyFont="1" applyBorder="1" applyAlignment="1">
      <alignment vertical="top"/>
    </xf>
    <xf numFmtId="0" fontId="28" fillId="0" borderId="0" xfId="1" applyNumberFormat="1" applyFont="1" applyFill="1" applyBorder="1" applyAlignment="1">
      <alignment vertical="top"/>
    </xf>
    <xf numFmtId="0" fontId="28" fillId="0" borderId="10" xfId="1" applyNumberFormat="1" applyFont="1" applyFill="1" applyBorder="1" applyAlignment="1">
      <alignment vertical="top"/>
    </xf>
    <xf numFmtId="0" fontId="28" fillId="0" borderId="0" xfId="1" applyFont="1" applyBorder="1"/>
    <xf numFmtId="0" fontId="29" fillId="0" borderId="10" xfId="1" applyNumberFormat="1" applyFont="1" applyBorder="1" applyAlignment="1">
      <alignment vertical="top"/>
    </xf>
    <xf numFmtId="0" fontId="24" fillId="0" borderId="0" xfId="1" applyFont="1" applyAlignment="1">
      <alignment vertical="center"/>
    </xf>
    <xf numFmtId="0" fontId="24" fillId="0" borderId="0" xfId="1" applyFont="1" applyAlignment="1">
      <alignment vertical="center" wrapText="1"/>
    </xf>
    <xf numFmtId="0" fontId="30" fillId="0" borderId="0" xfId="1" applyFont="1" applyBorder="1" applyAlignment="1"/>
    <xf numFmtId="0" fontId="1" fillId="0" borderId="19" xfId="1" applyBorder="1" applyAlignment="1"/>
    <xf numFmtId="0" fontId="16" fillId="0" borderId="0" xfId="0" applyFont="1"/>
    <xf numFmtId="0" fontId="23" fillId="0" borderId="0" xfId="0" applyFont="1" applyAlignment="1">
      <alignment horizontal="center"/>
    </xf>
    <xf numFmtId="0" fontId="23" fillId="0" borderId="0" xfId="0" applyFont="1"/>
    <xf numFmtId="0" fontId="16" fillId="0" borderId="27" xfId="0" applyFont="1" applyBorder="1"/>
    <xf numFmtId="0" fontId="16" fillId="0" borderId="28" xfId="0" applyFont="1" applyBorder="1"/>
    <xf numFmtId="0" fontId="24" fillId="0" borderId="0" xfId="0" applyFont="1" applyAlignment="1">
      <alignment horizontal="right"/>
    </xf>
    <xf numFmtId="0" fontId="25" fillId="0" borderId="0" xfId="0" applyFont="1"/>
    <xf numFmtId="0" fontId="31" fillId="0" borderId="0" xfId="0" applyFont="1"/>
    <xf numFmtId="0" fontId="11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29" xfId="0" applyFont="1" applyBorder="1" applyAlignment="1">
      <alignment vertical="top" wrapText="1"/>
    </xf>
    <xf numFmtId="0" fontId="2" fillId="0" borderId="27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0" fillId="0" borderId="29" xfId="0" applyBorder="1"/>
    <xf numFmtId="0" fontId="2" fillId="4" borderId="27" xfId="0" applyFont="1" applyFill="1" applyBorder="1" applyAlignment="1">
      <alignment vertical="top" wrapText="1"/>
    </xf>
    <xf numFmtId="0" fontId="0" fillId="0" borderId="8" xfId="0" applyBorder="1"/>
    <xf numFmtId="0" fontId="0" fillId="0" borderId="0" xfId="0" applyBorder="1"/>
    <xf numFmtId="0" fontId="0" fillId="0" borderId="10" xfId="0" applyBorder="1"/>
    <xf numFmtId="0" fontId="11" fillId="0" borderId="8" xfId="0" applyFont="1" applyBorder="1"/>
    <xf numFmtId="0" fontId="16" fillId="0" borderId="29" xfId="0" applyFont="1" applyBorder="1"/>
    <xf numFmtId="0" fontId="16" fillId="0" borderId="27" xfId="0" applyFont="1" applyBorder="1" applyAlignment="1">
      <alignment vertical="top" wrapText="1"/>
    </xf>
    <xf numFmtId="0" fontId="16" fillId="0" borderId="30" xfId="0" applyFont="1" applyBorder="1" applyAlignment="1">
      <alignment vertical="top" wrapText="1"/>
    </xf>
    <xf numFmtId="0" fontId="16" fillId="4" borderId="27" xfId="0" applyFont="1" applyFill="1" applyBorder="1" applyAlignment="1">
      <alignment vertical="top" wrapText="1"/>
    </xf>
    <xf numFmtId="0" fontId="32" fillId="0" borderId="30" xfId="0" applyFont="1" applyBorder="1" applyAlignment="1">
      <alignment vertical="top"/>
    </xf>
    <xf numFmtId="0" fontId="2" fillId="0" borderId="0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4" fillId="0" borderId="8" xfId="0" applyFont="1" applyBorder="1"/>
    <xf numFmtId="0" fontId="16" fillId="0" borderId="0" xfId="0" applyFont="1" applyBorder="1"/>
    <xf numFmtId="0" fontId="16" fillId="0" borderId="10" xfId="0" applyFont="1" applyBorder="1"/>
    <xf numFmtId="0" fontId="33" fillId="0" borderId="19" xfId="0" applyFont="1" applyBorder="1" applyAlignment="1">
      <alignment horizontal="right"/>
    </xf>
    <xf numFmtId="0" fontId="33" fillId="0" borderId="20" xfId="0" applyFont="1" applyBorder="1"/>
    <xf numFmtId="0" fontId="33" fillId="0" borderId="22" xfId="0" applyFont="1" applyBorder="1"/>
    <xf numFmtId="0" fontId="16" fillId="0" borderId="29" xfId="0" applyFont="1" applyFill="1" applyBorder="1" applyAlignment="1">
      <alignment vertical="top" wrapText="1"/>
    </xf>
    <xf numFmtId="0" fontId="16" fillId="0" borderId="29" xfId="0" applyFont="1" applyFill="1" applyBorder="1"/>
    <xf numFmtId="0" fontId="4" fillId="5" borderId="30" xfId="0" applyFont="1" applyFill="1" applyBorder="1" applyAlignment="1">
      <alignment vertical="top" wrapText="1"/>
    </xf>
    <xf numFmtId="0" fontId="23" fillId="0" borderId="30" xfId="0" applyFont="1" applyBorder="1" applyAlignment="1">
      <alignment vertical="top"/>
    </xf>
    <xf numFmtId="0" fontId="11" fillId="0" borderId="0" xfId="1" applyFont="1" applyBorder="1"/>
    <xf numFmtId="0" fontId="3" fillId="0" borderId="0" xfId="1" applyNumberFormat="1" applyFont="1" applyBorder="1" applyAlignment="1">
      <alignment horizontal="left" vertical="top"/>
    </xf>
    <xf numFmtId="0" fontId="3" fillId="0" borderId="1" xfId="1" applyNumberFormat="1" applyFont="1" applyBorder="1" applyAlignment="1">
      <alignment horizontal="left" vertical="top"/>
    </xf>
    <xf numFmtId="0" fontId="3" fillId="0" borderId="10" xfId="1" applyNumberFormat="1" applyFont="1" applyBorder="1" applyAlignment="1">
      <alignment horizontal="left" vertical="top"/>
    </xf>
    <xf numFmtId="0" fontId="2" fillId="2" borderId="1" xfId="1" applyNumberFormat="1" applyFont="1" applyFill="1" applyBorder="1" applyAlignment="1" applyProtection="1">
      <alignment horizontal="center" vertical="top"/>
      <protection locked="0"/>
    </xf>
    <xf numFmtId="0" fontId="3" fillId="2" borderId="1" xfId="1" applyFont="1" applyFill="1" applyBorder="1" applyAlignment="1" applyProtection="1">
      <protection locked="0"/>
    </xf>
    <xf numFmtId="0" fontId="3" fillId="2" borderId="12" xfId="1" applyFont="1" applyFill="1" applyBorder="1" applyAlignment="1" applyProtection="1">
      <protection locked="0"/>
    </xf>
    <xf numFmtId="0" fontId="1" fillId="0" borderId="8" xfId="1" applyBorder="1" applyAlignment="1">
      <alignment wrapText="1"/>
    </xf>
    <xf numFmtId="0" fontId="1" fillId="0" borderId="0" xfId="1" applyBorder="1" applyAlignment="1">
      <alignment wrapText="1"/>
    </xf>
    <xf numFmtId="0" fontId="1" fillId="0" borderId="10" xfId="1" applyBorder="1" applyAlignment="1">
      <alignment wrapText="1"/>
    </xf>
    <xf numFmtId="0" fontId="1" fillId="0" borderId="23" xfId="1" applyBorder="1" applyAlignment="1">
      <alignment wrapText="1"/>
    </xf>
    <xf numFmtId="0" fontId="1" fillId="0" borderId="11" xfId="1" applyBorder="1" applyAlignment="1">
      <alignment wrapText="1"/>
    </xf>
    <xf numFmtId="0" fontId="1" fillId="0" borderId="1" xfId="1" applyBorder="1" applyAlignment="1">
      <alignment wrapText="1"/>
    </xf>
    <xf numFmtId="0" fontId="1" fillId="0" borderId="24" xfId="1" applyBorder="1" applyAlignment="1">
      <alignment wrapText="1"/>
    </xf>
    <xf numFmtId="0" fontId="1" fillId="0" borderId="19" xfId="1" applyBorder="1" applyAlignment="1">
      <alignment wrapText="1"/>
    </xf>
    <xf numFmtId="0" fontId="1" fillId="0" borderId="20" xfId="1" applyBorder="1" applyAlignment="1">
      <alignment wrapText="1"/>
    </xf>
    <xf numFmtId="0" fontId="4" fillId="0" borderId="14" xfId="1" applyNumberFormat="1" applyFont="1" applyBorder="1" applyAlignment="1">
      <alignment horizontal="center" vertical="top" wrapText="1"/>
    </xf>
    <xf numFmtId="0" fontId="3" fillId="0" borderId="15" xfId="1" applyFont="1" applyBorder="1" applyAlignment="1">
      <alignment horizontal="center" wrapText="1"/>
    </xf>
    <xf numFmtId="0" fontId="3" fillId="0" borderId="16" xfId="1" applyFont="1" applyBorder="1" applyAlignment="1">
      <alignment horizontal="center" wrapText="1"/>
    </xf>
    <xf numFmtId="0" fontId="2" fillId="2" borderId="1" xfId="1" applyFont="1" applyFill="1" applyBorder="1" applyAlignment="1" applyProtection="1">
      <protection locked="0"/>
    </xf>
    <xf numFmtId="0" fontId="1" fillId="0" borderId="22" xfId="1" applyBorder="1" applyAlignment="1">
      <alignment wrapText="1"/>
    </xf>
    <xf numFmtId="0" fontId="4" fillId="0" borderId="11" xfId="1" applyNumberFormat="1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 wrapText="1"/>
    </xf>
    <xf numFmtId="0" fontId="3" fillId="0" borderId="24" xfId="1" applyFont="1" applyBorder="1" applyAlignment="1">
      <alignment horizontal="center" wrapText="1"/>
    </xf>
    <xf numFmtId="0" fontId="22" fillId="0" borderId="2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  <xf numFmtId="0" fontId="15" fillId="0" borderId="19" xfId="1" applyFont="1" applyBorder="1" applyAlignment="1">
      <alignment horizontal="center" vertical="center" wrapText="1"/>
    </xf>
    <xf numFmtId="0" fontId="15" fillId="0" borderId="20" xfId="1" applyFont="1" applyBorder="1" applyAlignment="1">
      <alignment horizontal="center" vertical="center" wrapText="1"/>
    </xf>
    <xf numFmtId="0" fontId="15" fillId="0" borderId="22" xfId="1" applyFont="1" applyBorder="1" applyAlignment="1">
      <alignment horizontal="center" vertical="center" wrapText="1"/>
    </xf>
    <xf numFmtId="0" fontId="27" fillId="0" borderId="0" xfId="1" applyFont="1" applyAlignment="1">
      <alignment horizontal="left" vertical="center" wrapText="1"/>
    </xf>
  </cellXfs>
  <cellStyles count="33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Normal" xfId="0" builtinId="0"/>
    <cellStyle name="Normal 2" xfId="1"/>
  </cellStyles>
  <dxfs count="39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ndense val="0"/>
        <extend val="0"/>
        <color indexed="14"/>
      </font>
    </dxf>
    <dxf>
      <font>
        <condense val="0"/>
        <extend val="0"/>
        <color auto="1"/>
      </font>
    </dxf>
    <dxf>
      <font>
        <b/>
        <i val="0"/>
        <condense val="0"/>
        <extend val="0"/>
        <color indexed="14"/>
      </font>
    </dxf>
    <dxf>
      <font>
        <condense val="0"/>
        <extend val="0"/>
        <color auto="1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190500</xdr:rowOff>
    </xdr:from>
    <xdr:to>
      <xdr:col>3</xdr:col>
      <xdr:colOff>12700</xdr:colOff>
      <xdr:row>11</xdr:row>
      <xdr:rowOff>203200</xdr:rowOff>
    </xdr:to>
    <xdr:sp macro="" textlink="">
      <xdr:nvSpPr>
        <xdr:cNvPr id="2" name="Line 3"/>
        <xdr:cNvSpPr>
          <a:spLocks noChangeShapeType="1"/>
        </xdr:cNvSpPr>
      </xdr:nvSpPr>
      <xdr:spPr bwMode="auto">
        <a:xfrm flipV="1">
          <a:off x="2565400" y="4279900"/>
          <a:ext cx="5207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3</xdr:col>
      <xdr:colOff>1587500</xdr:colOff>
      <xdr:row>11</xdr:row>
      <xdr:rowOff>177800</xdr:rowOff>
    </xdr:from>
    <xdr:to>
      <xdr:col>5</xdr:col>
      <xdr:colOff>0</xdr:colOff>
      <xdr:row>11</xdr:row>
      <xdr:rowOff>190500</xdr:rowOff>
    </xdr:to>
    <xdr:sp macro="" textlink="">
      <xdr:nvSpPr>
        <xdr:cNvPr id="3" name="Line 3"/>
        <xdr:cNvSpPr>
          <a:spLocks noChangeShapeType="1"/>
        </xdr:cNvSpPr>
      </xdr:nvSpPr>
      <xdr:spPr bwMode="auto">
        <a:xfrm flipV="1">
          <a:off x="4660900" y="4267200"/>
          <a:ext cx="5080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0</xdr:colOff>
      <xdr:row>15</xdr:row>
      <xdr:rowOff>165100</xdr:rowOff>
    </xdr:from>
    <xdr:to>
      <xdr:col>6</xdr:col>
      <xdr:colOff>495300</xdr:colOff>
      <xdr:row>15</xdr:row>
      <xdr:rowOff>165100</xdr:rowOff>
    </xdr:to>
    <xdr:sp macro="" textlink="">
      <xdr:nvSpPr>
        <xdr:cNvPr id="6" name="Line 3"/>
        <xdr:cNvSpPr>
          <a:spLocks noChangeShapeType="1"/>
        </xdr:cNvSpPr>
      </xdr:nvSpPr>
      <xdr:spPr bwMode="auto">
        <a:xfrm>
          <a:off x="4533900" y="5549900"/>
          <a:ext cx="495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0</xdr:colOff>
      <xdr:row>9</xdr:row>
      <xdr:rowOff>190500</xdr:rowOff>
    </xdr:from>
    <xdr:to>
      <xdr:col>11</xdr:col>
      <xdr:colOff>0</xdr:colOff>
      <xdr:row>9</xdr:row>
      <xdr:rowOff>190500</xdr:rowOff>
    </xdr:to>
    <xdr:sp macro="" textlink="">
      <xdr:nvSpPr>
        <xdr:cNvPr id="11" name="Line 3"/>
        <xdr:cNvSpPr>
          <a:spLocks noChangeShapeType="1"/>
        </xdr:cNvSpPr>
      </xdr:nvSpPr>
      <xdr:spPr bwMode="auto">
        <a:xfrm>
          <a:off x="10477500" y="3517900"/>
          <a:ext cx="508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266700</xdr:colOff>
      <xdr:row>11</xdr:row>
      <xdr:rowOff>215900</xdr:rowOff>
    </xdr:from>
    <xdr:to>
      <xdr:col>2</xdr:col>
      <xdr:colOff>266700</xdr:colOff>
      <xdr:row>15</xdr:row>
      <xdr:rowOff>190500</xdr:rowOff>
    </xdr:to>
    <xdr:cxnSp macro="">
      <xdr:nvCxnSpPr>
        <xdr:cNvPr id="18" name="Straight Connector 27"/>
        <xdr:cNvCxnSpPr>
          <a:cxnSpLocks noChangeShapeType="1"/>
        </xdr:cNvCxnSpPr>
      </xdr:nvCxnSpPr>
      <xdr:spPr bwMode="auto">
        <a:xfrm>
          <a:off x="2705100" y="4076700"/>
          <a:ext cx="0" cy="149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254000</xdr:colOff>
      <xdr:row>15</xdr:row>
      <xdr:rowOff>190500</xdr:rowOff>
    </xdr:from>
    <xdr:to>
      <xdr:col>4</xdr:col>
      <xdr:colOff>495300</xdr:colOff>
      <xdr:row>15</xdr:row>
      <xdr:rowOff>190500</xdr:rowOff>
    </xdr:to>
    <xdr:sp macro="" textlink="">
      <xdr:nvSpPr>
        <xdr:cNvPr id="19" name="Line 3"/>
        <xdr:cNvSpPr>
          <a:spLocks noChangeShapeType="1"/>
        </xdr:cNvSpPr>
      </xdr:nvSpPr>
      <xdr:spPr bwMode="auto">
        <a:xfrm flipV="1">
          <a:off x="2692400" y="5575300"/>
          <a:ext cx="2336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0</xdr:colOff>
      <xdr:row>19</xdr:row>
      <xdr:rowOff>190500</xdr:rowOff>
    </xdr:from>
    <xdr:to>
      <xdr:col>3</xdr:col>
      <xdr:colOff>0</xdr:colOff>
      <xdr:row>19</xdr:row>
      <xdr:rowOff>190500</xdr:rowOff>
    </xdr:to>
    <xdr:sp macro="" textlink="">
      <xdr:nvSpPr>
        <xdr:cNvPr id="23" name="Line 3"/>
        <xdr:cNvSpPr>
          <a:spLocks noChangeShapeType="1"/>
        </xdr:cNvSpPr>
      </xdr:nvSpPr>
      <xdr:spPr bwMode="auto">
        <a:xfrm flipV="1">
          <a:off x="2565400" y="7327900"/>
          <a:ext cx="508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673100</xdr:colOff>
      <xdr:row>16</xdr:row>
      <xdr:rowOff>190500</xdr:rowOff>
    </xdr:from>
    <xdr:to>
      <xdr:col>4</xdr:col>
      <xdr:colOff>101600</xdr:colOff>
      <xdr:row>31</xdr:row>
      <xdr:rowOff>139700</xdr:rowOff>
    </xdr:to>
    <xdr:sp macro="" textlink="">
      <xdr:nvSpPr>
        <xdr:cNvPr id="24" name="Rounded Rectangle 27"/>
        <xdr:cNvSpPr>
          <a:spLocks noChangeArrowheads="1"/>
        </xdr:cNvSpPr>
      </xdr:nvSpPr>
      <xdr:spPr bwMode="auto">
        <a:xfrm>
          <a:off x="673100" y="6184900"/>
          <a:ext cx="4089400" cy="6146800"/>
        </a:xfrm>
        <a:prstGeom prst="roundRect">
          <a:avLst>
            <a:gd name="adj" fmla="val 16667"/>
          </a:avLst>
        </a:prstGeom>
        <a:noFill/>
        <a:ln w="9525">
          <a:solidFill>
            <a:srgbClr val="7F7F7F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1130300</xdr:colOff>
      <xdr:row>26</xdr:row>
      <xdr:rowOff>203200</xdr:rowOff>
    </xdr:from>
    <xdr:to>
      <xdr:col>10</xdr:col>
      <xdr:colOff>254000</xdr:colOff>
      <xdr:row>26</xdr:row>
      <xdr:rowOff>215900</xdr:rowOff>
    </xdr:to>
    <xdr:sp macro="" textlink="">
      <xdr:nvSpPr>
        <xdr:cNvPr id="29" name="Line 3"/>
        <xdr:cNvSpPr>
          <a:spLocks noChangeShapeType="1"/>
        </xdr:cNvSpPr>
      </xdr:nvSpPr>
      <xdr:spPr bwMode="auto">
        <a:xfrm flipV="1">
          <a:off x="10210800" y="10198100"/>
          <a:ext cx="5207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1181100</xdr:colOff>
      <xdr:row>27</xdr:row>
      <xdr:rowOff>165100</xdr:rowOff>
    </xdr:from>
    <xdr:to>
      <xdr:col>10</xdr:col>
      <xdr:colOff>304800</xdr:colOff>
      <xdr:row>27</xdr:row>
      <xdr:rowOff>177800</xdr:rowOff>
    </xdr:to>
    <xdr:sp macro="" textlink="">
      <xdr:nvSpPr>
        <xdr:cNvPr id="30" name="Line 3"/>
        <xdr:cNvSpPr>
          <a:spLocks noChangeShapeType="1"/>
        </xdr:cNvSpPr>
      </xdr:nvSpPr>
      <xdr:spPr bwMode="auto">
        <a:xfrm flipV="1">
          <a:off x="10261600" y="10541000"/>
          <a:ext cx="520700" cy="127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419100</xdr:colOff>
      <xdr:row>2</xdr:row>
      <xdr:rowOff>0</xdr:rowOff>
    </xdr:from>
    <xdr:to>
      <xdr:col>11</xdr:col>
      <xdr:colOff>342900</xdr:colOff>
      <xdr:row>4</xdr:row>
      <xdr:rowOff>101600</xdr:rowOff>
    </xdr:to>
    <xdr:sp macro="" textlink="">
      <xdr:nvSpPr>
        <xdr:cNvPr id="36" name="TextBox 35"/>
        <xdr:cNvSpPr txBox="1"/>
      </xdr:nvSpPr>
      <xdr:spPr>
        <a:xfrm>
          <a:off x="6959600" y="482600"/>
          <a:ext cx="4241800" cy="863600"/>
        </a:xfrm>
        <a:prstGeom prst="rect">
          <a:avLst/>
        </a:prstGeom>
        <a:solidFill>
          <a:schemeClr val="lt1"/>
        </a:solidFill>
        <a:ln w="57150" cmpd="thinThick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 rtl="0">
            <a:defRPr sz="1000"/>
          </a:pPr>
          <a:r>
            <a:rPr lang="pl-PL" sz="2400" b="0" i="0" u="none" strike="noStrike" baseline="0">
              <a:solidFill>
                <a:srgbClr val="000000"/>
              </a:solidFill>
              <a:latin typeface="Helvetica Neue Black Condensed"/>
              <a:ea typeface="Helvetica Neue Black Condensed"/>
              <a:cs typeface="Helvetica Neue Black Condensed"/>
            </a:rPr>
            <a:t>BS in Electrical Engineering</a:t>
          </a:r>
        </a:p>
        <a:p>
          <a:pPr algn="ctr" rtl="0">
            <a:defRPr sz="1000"/>
          </a:pPr>
          <a:r>
            <a:rPr lang="pl-PL" sz="2400" b="0" i="0" u="none" strike="noStrike" baseline="0">
              <a:solidFill>
                <a:srgbClr val="000000"/>
              </a:solidFill>
              <a:latin typeface="Helvetica Neue Black Condensed"/>
              <a:ea typeface="Helvetica Neue Black Condensed"/>
              <a:cs typeface="Helvetica Neue Black Condensed"/>
            </a:rPr>
            <a:t>Flowchart</a:t>
          </a:r>
        </a:p>
      </xdr:txBody>
    </xdr:sp>
    <xdr:clientData/>
  </xdr:twoCellAnchor>
  <xdr:twoCellAnchor>
    <xdr:from>
      <xdr:col>0</xdr:col>
      <xdr:colOff>508000</xdr:colOff>
      <xdr:row>0</xdr:row>
      <xdr:rowOff>190500</xdr:rowOff>
    </xdr:from>
    <xdr:to>
      <xdr:col>15</xdr:col>
      <xdr:colOff>774700</xdr:colOff>
      <xdr:row>31</xdr:row>
      <xdr:rowOff>355600</xdr:rowOff>
    </xdr:to>
    <xdr:sp macro="" textlink="">
      <xdr:nvSpPr>
        <xdr:cNvPr id="37" name="Rectangle 45"/>
        <xdr:cNvSpPr>
          <a:spLocks noChangeArrowheads="1"/>
        </xdr:cNvSpPr>
      </xdr:nvSpPr>
      <xdr:spPr bwMode="auto">
        <a:xfrm>
          <a:off x="508000" y="190500"/>
          <a:ext cx="17005300" cy="12357100"/>
        </a:xfrm>
        <a:prstGeom prst="rect">
          <a:avLst/>
        </a:prstGeom>
        <a:noFill/>
        <a:ln w="60325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12700</xdr:colOff>
      <xdr:row>7</xdr:row>
      <xdr:rowOff>165100</xdr:rowOff>
    </xdr:from>
    <xdr:to>
      <xdr:col>3</xdr:col>
      <xdr:colOff>25400</xdr:colOff>
      <xdr:row>7</xdr:row>
      <xdr:rowOff>165100</xdr:rowOff>
    </xdr:to>
    <xdr:sp macro="" textlink="">
      <xdr:nvSpPr>
        <xdr:cNvPr id="54" name="Line 3"/>
        <xdr:cNvSpPr>
          <a:spLocks noChangeShapeType="1"/>
        </xdr:cNvSpPr>
      </xdr:nvSpPr>
      <xdr:spPr bwMode="auto">
        <a:xfrm flipV="1">
          <a:off x="2451100" y="2552700"/>
          <a:ext cx="52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4</xdr:col>
      <xdr:colOff>12700</xdr:colOff>
      <xdr:row>7</xdr:row>
      <xdr:rowOff>165100</xdr:rowOff>
    </xdr:from>
    <xdr:to>
      <xdr:col>5</xdr:col>
      <xdr:colOff>25400</xdr:colOff>
      <xdr:row>7</xdr:row>
      <xdr:rowOff>165100</xdr:rowOff>
    </xdr:to>
    <xdr:sp macro="" textlink="">
      <xdr:nvSpPr>
        <xdr:cNvPr id="56" name="Line 3"/>
        <xdr:cNvSpPr>
          <a:spLocks noChangeShapeType="1"/>
        </xdr:cNvSpPr>
      </xdr:nvSpPr>
      <xdr:spPr bwMode="auto">
        <a:xfrm flipV="1">
          <a:off x="2451100" y="2552700"/>
          <a:ext cx="52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12700</xdr:colOff>
      <xdr:row>7</xdr:row>
      <xdr:rowOff>165100</xdr:rowOff>
    </xdr:from>
    <xdr:to>
      <xdr:col>7</xdr:col>
      <xdr:colOff>25400</xdr:colOff>
      <xdr:row>7</xdr:row>
      <xdr:rowOff>165100</xdr:rowOff>
    </xdr:to>
    <xdr:sp macro="" textlink="">
      <xdr:nvSpPr>
        <xdr:cNvPr id="57" name="Line 3"/>
        <xdr:cNvSpPr>
          <a:spLocks noChangeShapeType="1"/>
        </xdr:cNvSpPr>
      </xdr:nvSpPr>
      <xdr:spPr bwMode="auto">
        <a:xfrm flipV="1">
          <a:off x="4546600" y="2552700"/>
          <a:ext cx="52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12700</xdr:colOff>
      <xdr:row>7</xdr:row>
      <xdr:rowOff>165100</xdr:rowOff>
    </xdr:from>
    <xdr:to>
      <xdr:col>9</xdr:col>
      <xdr:colOff>25400</xdr:colOff>
      <xdr:row>7</xdr:row>
      <xdr:rowOff>165100</xdr:rowOff>
    </xdr:to>
    <xdr:sp macro="" textlink="">
      <xdr:nvSpPr>
        <xdr:cNvPr id="58" name="Line 3"/>
        <xdr:cNvSpPr>
          <a:spLocks noChangeShapeType="1"/>
        </xdr:cNvSpPr>
      </xdr:nvSpPr>
      <xdr:spPr bwMode="auto">
        <a:xfrm flipV="1">
          <a:off x="6553200" y="2552700"/>
          <a:ext cx="52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2</xdr:col>
      <xdr:colOff>12700</xdr:colOff>
      <xdr:row>9</xdr:row>
      <xdr:rowOff>190500</xdr:rowOff>
    </xdr:from>
    <xdr:to>
      <xdr:col>5</xdr:col>
      <xdr:colOff>12700</xdr:colOff>
      <xdr:row>9</xdr:row>
      <xdr:rowOff>190500</xdr:rowOff>
    </xdr:to>
    <xdr:sp macro="" textlink="">
      <xdr:nvSpPr>
        <xdr:cNvPr id="59" name="Line 3"/>
        <xdr:cNvSpPr>
          <a:spLocks noChangeShapeType="1"/>
        </xdr:cNvSpPr>
      </xdr:nvSpPr>
      <xdr:spPr bwMode="auto">
        <a:xfrm flipV="1">
          <a:off x="2451100" y="3289300"/>
          <a:ext cx="2603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0</xdr:colOff>
      <xdr:row>11</xdr:row>
      <xdr:rowOff>203200</xdr:rowOff>
    </xdr:from>
    <xdr:to>
      <xdr:col>7</xdr:col>
      <xdr:colOff>12700</xdr:colOff>
      <xdr:row>11</xdr:row>
      <xdr:rowOff>203200</xdr:rowOff>
    </xdr:to>
    <xdr:sp macro="" textlink="">
      <xdr:nvSpPr>
        <xdr:cNvPr id="62" name="Line 3"/>
        <xdr:cNvSpPr>
          <a:spLocks noChangeShapeType="1"/>
        </xdr:cNvSpPr>
      </xdr:nvSpPr>
      <xdr:spPr bwMode="auto">
        <a:xfrm flipV="1">
          <a:off x="6540500" y="4064000"/>
          <a:ext cx="52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6</xdr:col>
      <xdr:colOff>12700</xdr:colOff>
      <xdr:row>9</xdr:row>
      <xdr:rowOff>228600</xdr:rowOff>
    </xdr:from>
    <xdr:to>
      <xdr:col>7</xdr:col>
      <xdr:colOff>25400</xdr:colOff>
      <xdr:row>9</xdr:row>
      <xdr:rowOff>228600</xdr:rowOff>
    </xdr:to>
    <xdr:sp macro="" textlink="">
      <xdr:nvSpPr>
        <xdr:cNvPr id="63" name="Line 3"/>
        <xdr:cNvSpPr>
          <a:spLocks noChangeShapeType="1"/>
        </xdr:cNvSpPr>
      </xdr:nvSpPr>
      <xdr:spPr bwMode="auto">
        <a:xfrm flipV="1">
          <a:off x="6553200" y="3327400"/>
          <a:ext cx="52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3</xdr:col>
      <xdr:colOff>800100</xdr:colOff>
      <xdr:row>8</xdr:row>
      <xdr:rowOff>190500</xdr:rowOff>
    </xdr:from>
    <xdr:to>
      <xdr:col>7</xdr:col>
      <xdr:colOff>673100</xdr:colOff>
      <xdr:row>8</xdr:row>
      <xdr:rowOff>190500</xdr:rowOff>
    </xdr:to>
    <xdr:sp macro="" textlink="">
      <xdr:nvSpPr>
        <xdr:cNvPr id="64" name="Line 3"/>
        <xdr:cNvSpPr>
          <a:spLocks noChangeShapeType="1"/>
        </xdr:cNvSpPr>
      </xdr:nvSpPr>
      <xdr:spPr bwMode="auto">
        <a:xfrm flipV="1">
          <a:off x="3746500" y="2908300"/>
          <a:ext cx="3975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>
            <a:ln>
              <a:solidFill>
                <a:schemeClr val="tx1"/>
              </a:solidFill>
              <a:headEnd type="none"/>
              <a:tailEnd type="none"/>
            </a:ln>
          </a:endParaRPr>
        </a:p>
      </xdr:txBody>
    </xdr:sp>
    <xdr:clientData/>
  </xdr:twoCellAnchor>
  <xdr:twoCellAnchor>
    <xdr:from>
      <xdr:col>7</xdr:col>
      <xdr:colOff>666750</xdr:colOff>
      <xdr:row>8</xdr:row>
      <xdr:rowOff>196850</xdr:rowOff>
    </xdr:from>
    <xdr:to>
      <xdr:col>7</xdr:col>
      <xdr:colOff>673100</xdr:colOff>
      <xdr:row>9</xdr:row>
      <xdr:rowOff>0</xdr:rowOff>
    </xdr:to>
    <xdr:sp macro="" textlink="">
      <xdr:nvSpPr>
        <xdr:cNvPr id="65" name="Line 3"/>
        <xdr:cNvSpPr>
          <a:spLocks noChangeShapeType="1"/>
        </xdr:cNvSpPr>
      </xdr:nvSpPr>
      <xdr:spPr bwMode="auto">
        <a:xfrm rot="5400000" flipV="1">
          <a:off x="7626350" y="3003550"/>
          <a:ext cx="18415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3</xdr:col>
      <xdr:colOff>800100</xdr:colOff>
      <xdr:row>8</xdr:row>
      <xdr:rowOff>0</xdr:rowOff>
    </xdr:from>
    <xdr:to>
      <xdr:col>3</xdr:col>
      <xdr:colOff>800100</xdr:colOff>
      <xdr:row>8</xdr:row>
      <xdr:rowOff>190500</xdr:rowOff>
    </xdr:to>
    <xdr:sp macro="" textlink="">
      <xdr:nvSpPr>
        <xdr:cNvPr id="66" name="Line 3"/>
        <xdr:cNvSpPr>
          <a:spLocks noChangeShapeType="1"/>
        </xdr:cNvSpPr>
      </xdr:nvSpPr>
      <xdr:spPr bwMode="auto">
        <a:xfrm>
          <a:off x="3746500" y="271780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5</xdr:col>
      <xdr:colOff>1485900</xdr:colOff>
      <xdr:row>12</xdr:row>
      <xdr:rowOff>25400</xdr:rowOff>
    </xdr:from>
    <xdr:to>
      <xdr:col>7</xdr:col>
      <xdr:colOff>25400</xdr:colOff>
      <xdr:row>13</xdr:row>
      <xdr:rowOff>228600</xdr:rowOff>
    </xdr:to>
    <xdr:sp macro="" textlink="">
      <xdr:nvSpPr>
        <xdr:cNvPr id="69" name="Line 3"/>
        <xdr:cNvSpPr>
          <a:spLocks noChangeShapeType="1"/>
        </xdr:cNvSpPr>
      </xdr:nvSpPr>
      <xdr:spPr bwMode="auto">
        <a:xfrm>
          <a:off x="6527800" y="4267200"/>
          <a:ext cx="546100" cy="584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5</xdr:col>
      <xdr:colOff>1358900</xdr:colOff>
      <xdr:row>13</xdr:row>
      <xdr:rowOff>241300</xdr:rowOff>
    </xdr:from>
    <xdr:to>
      <xdr:col>7</xdr:col>
      <xdr:colOff>0</xdr:colOff>
      <xdr:row>14</xdr:row>
      <xdr:rowOff>368300</xdr:rowOff>
    </xdr:to>
    <xdr:sp macro="" textlink="">
      <xdr:nvSpPr>
        <xdr:cNvPr id="70" name="Line 3"/>
        <xdr:cNvSpPr>
          <a:spLocks noChangeShapeType="1"/>
        </xdr:cNvSpPr>
      </xdr:nvSpPr>
      <xdr:spPr bwMode="auto">
        <a:xfrm flipV="1">
          <a:off x="6400800" y="4864100"/>
          <a:ext cx="647700" cy="508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12700</xdr:colOff>
      <xdr:row>9</xdr:row>
      <xdr:rowOff>165100</xdr:rowOff>
    </xdr:from>
    <xdr:to>
      <xdr:col>9</xdr:col>
      <xdr:colOff>25400</xdr:colOff>
      <xdr:row>11</xdr:row>
      <xdr:rowOff>190500</xdr:rowOff>
    </xdr:to>
    <xdr:sp macro="" textlink="">
      <xdr:nvSpPr>
        <xdr:cNvPr id="72" name="Line 3"/>
        <xdr:cNvSpPr>
          <a:spLocks noChangeShapeType="1"/>
        </xdr:cNvSpPr>
      </xdr:nvSpPr>
      <xdr:spPr bwMode="auto">
        <a:xfrm flipV="1">
          <a:off x="8597900" y="3263900"/>
          <a:ext cx="520700" cy="787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7</xdr:col>
      <xdr:colOff>1397000</xdr:colOff>
      <xdr:row>8</xdr:row>
      <xdr:rowOff>12700</xdr:rowOff>
    </xdr:from>
    <xdr:to>
      <xdr:col>8</xdr:col>
      <xdr:colOff>482600</xdr:colOff>
      <xdr:row>9</xdr:row>
      <xdr:rowOff>139700</xdr:rowOff>
    </xdr:to>
    <xdr:sp macro="" textlink="">
      <xdr:nvSpPr>
        <xdr:cNvPr id="73" name="Line 3"/>
        <xdr:cNvSpPr>
          <a:spLocks noChangeShapeType="1"/>
        </xdr:cNvSpPr>
      </xdr:nvSpPr>
      <xdr:spPr bwMode="auto">
        <a:xfrm>
          <a:off x="8445500" y="2730500"/>
          <a:ext cx="622300" cy="508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12700</xdr:colOff>
      <xdr:row>7</xdr:row>
      <xdr:rowOff>165100</xdr:rowOff>
    </xdr:from>
    <xdr:to>
      <xdr:col>11</xdr:col>
      <xdr:colOff>25400</xdr:colOff>
      <xdr:row>7</xdr:row>
      <xdr:rowOff>165100</xdr:rowOff>
    </xdr:to>
    <xdr:sp macro="" textlink="">
      <xdr:nvSpPr>
        <xdr:cNvPr id="74" name="Line 3"/>
        <xdr:cNvSpPr>
          <a:spLocks noChangeShapeType="1"/>
        </xdr:cNvSpPr>
      </xdr:nvSpPr>
      <xdr:spPr bwMode="auto">
        <a:xfrm flipV="1">
          <a:off x="8597900" y="2552700"/>
          <a:ext cx="52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1282700</xdr:colOff>
      <xdr:row>5</xdr:row>
      <xdr:rowOff>342900</xdr:rowOff>
    </xdr:from>
    <xdr:to>
      <xdr:col>10</xdr:col>
      <xdr:colOff>495300</xdr:colOff>
      <xdr:row>7</xdr:row>
      <xdr:rowOff>12700</xdr:rowOff>
    </xdr:to>
    <xdr:sp macro="" textlink="">
      <xdr:nvSpPr>
        <xdr:cNvPr id="75" name="Line 3"/>
        <xdr:cNvSpPr>
          <a:spLocks noChangeShapeType="1"/>
        </xdr:cNvSpPr>
      </xdr:nvSpPr>
      <xdr:spPr bwMode="auto">
        <a:xfrm flipV="1">
          <a:off x="10375900" y="1968500"/>
          <a:ext cx="609600" cy="431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12700</xdr:colOff>
      <xdr:row>5</xdr:row>
      <xdr:rowOff>177800</xdr:rowOff>
    </xdr:from>
    <xdr:to>
      <xdr:col>11</xdr:col>
      <xdr:colOff>0</xdr:colOff>
      <xdr:row>7</xdr:row>
      <xdr:rowOff>127000</xdr:rowOff>
    </xdr:to>
    <xdr:sp macro="" textlink="">
      <xdr:nvSpPr>
        <xdr:cNvPr id="76" name="Line 3"/>
        <xdr:cNvSpPr>
          <a:spLocks noChangeShapeType="1"/>
        </xdr:cNvSpPr>
      </xdr:nvSpPr>
      <xdr:spPr bwMode="auto">
        <a:xfrm flipV="1">
          <a:off x="8597900" y="1803400"/>
          <a:ext cx="2400300" cy="711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11</xdr:col>
      <xdr:colOff>876300</xdr:colOff>
      <xdr:row>8</xdr:row>
      <xdr:rowOff>25400</xdr:rowOff>
    </xdr:from>
    <xdr:to>
      <xdr:col>11</xdr:col>
      <xdr:colOff>876300</xdr:colOff>
      <xdr:row>9</xdr:row>
      <xdr:rowOff>25400</xdr:rowOff>
    </xdr:to>
    <xdr:sp macro="" textlink="">
      <xdr:nvSpPr>
        <xdr:cNvPr id="78" name="Line 3"/>
        <xdr:cNvSpPr>
          <a:spLocks noChangeShapeType="1"/>
        </xdr:cNvSpPr>
      </xdr:nvSpPr>
      <xdr:spPr bwMode="auto">
        <a:xfrm flipV="1">
          <a:off x="11874500" y="2743200"/>
          <a:ext cx="0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/>
          <a:tailEnd type="non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10</xdr:col>
      <xdr:colOff>12700</xdr:colOff>
      <xdr:row>11</xdr:row>
      <xdr:rowOff>215900</xdr:rowOff>
    </xdr:from>
    <xdr:to>
      <xdr:col>11</xdr:col>
      <xdr:colOff>12700</xdr:colOff>
      <xdr:row>11</xdr:row>
      <xdr:rowOff>215900</xdr:rowOff>
    </xdr:to>
    <xdr:sp macro="" textlink="">
      <xdr:nvSpPr>
        <xdr:cNvPr id="79" name="Line 3"/>
        <xdr:cNvSpPr>
          <a:spLocks noChangeShapeType="1"/>
        </xdr:cNvSpPr>
      </xdr:nvSpPr>
      <xdr:spPr bwMode="auto">
        <a:xfrm>
          <a:off x="10502900" y="4076700"/>
          <a:ext cx="508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4</xdr:col>
      <xdr:colOff>0</xdr:colOff>
      <xdr:row>5</xdr:row>
      <xdr:rowOff>203200</xdr:rowOff>
    </xdr:from>
    <xdr:to>
      <xdr:col>9</xdr:col>
      <xdr:colOff>25400</xdr:colOff>
      <xdr:row>7</xdr:row>
      <xdr:rowOff>12700</xdr:rowOff>
    </xdr:to>
    <xdr:sp macro="" textlink="">
      <xdr:nvSpPr>
        <xdr:cNvPr id="34" name="Line 3"/>
        <xdr:cNvSpPr>
          <a:spLocks noChangeShapeType="1"/>
        </xdr:cNvSpPr>
      </xdr:nvSpPr>
      <xdr:spPr bwMode="auto">
        <a:xfrm>
          <a:off x="4533900" y="1828800"/>
          <a:ext cx="4584700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1</xdr:col>
      <xdr:colOff>1600200</xdr:colOff>
      <xdr:row>7</xdr:row>
      <xdr:rowOff>241300</xdr:rowOff>
    </xdr:from>
    <xdr:to>
      <xdr:col>4</xdr:col>
      <xdr:colOff>482600</xdr:colOff>
      <xdr:row>11</xdr:row>
      <xdr:rowOff>190500</xdr:rowOff>
    </xdr:to>
    <xdr:sp macro="" textlink="">
      <xdr:nvSpPr>
        <xdr:cNvPr id="35" name="Line 3"/>
        <xdr:cNvSpPr>
          <a:spLocks noChangeShapeType="1"/>
        </xdr:cNvSpPr>
      </xdr:nvSpPr>
      <xdr:spPr bwMode="auto">
        <a:xfrm flipV="1">
          <a:off x="2425700" y="2628900"/>
          <a:ext cx="2590800" cy="142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pring1\Desktop\Academic\Chair\Curriculum\4x4\CEN%20Curriculum%20AY%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 Curriculum"/>
      <sheetName val="CE Curriculum CO-OP"/>
      <sheetName val="CE Curriculum BUS minor"/>
      <sheetName val="CE Curriculum double major"/>
      <sheetName val="CE Curriculum ESS Minor"/>
      <sheetName val="Flowchart"/>
      <sheetName val="General Education"/>
      <sheetName val="ABET Summary"/>
      <sheetName val="DOUBLE MAJ CHECKLIST"/>
    </sheetNames>
    <sheetDataSet>
      <sheetData sheetId="0">
        <row r="8">
          <cell r="A8" t="str">
            <v>GEN 1001</v>
          </cell>
          <cell r="B8" t="str">
            <v>Intro. to Eng.</v>
          </cell>
        </row>
        <row r="15">
          <cell r="F15" t="str">
            <v>SOPHOMORE YEAR</v>
          </cell>
        </row>
        <row r="24">
          <cell r="F24" t="str">
            <v>JUNIOR YEAR</v>
          </cell>
        </row>
        <row r="33">
          <cell r="F33" t="str">
            <v>SENIOR YEAR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V150"/>
  <sheetViews>
    <sheetView tabSelected="1" workbookViewId="0">
      <selection activeCell="I12" sqref="I12"/>
    </sheetView>
  </sheetViews>
  <sheetFormatPr defaultColWidth="13.296875" defaultRowHeight="13.2"/>
  <cols>
    <col min="1" max="1" width="14" style="2" customWidth="1"/>
    <col min="2" max="2" width="23" style="2" customWidth="1"/>
    <col min="3" max="3" width="5" style="2" customWidth="1"/>
    <col min="4" max="4" width="4" style="2" customWidth="1"/>
    <col min="5" max="5" width="5" style="2" customWidth="1"/>
    <col min="6" max="6" width="10" style="2" customWidth="1"/>
    <col min="7" max="7" width="3" style="2" customWidth="1"/>
    <col min="8" max="8" width="14" style="2" customWidth="1"/>
    <col min="9" max="9" width="23.296875" style="2" customWidth="1"/>
    <col min="10" max="10" width="5" style="2" customWidth="1"/>
    <col min="11" max="11" width="4" style="2" customWidth="1"/>
    <col min="12" max="13" width="8" style="2" customWidth="1"/>
    <col min="14" max="14" width="5.5" style="2" customWidth="1"/>
    <col min="15" max="15" width="18.296875" style="2" customWidth="1"/>
    <col min="16" max="16" width="26.19921875" style="2" bestFit="1" customWidth="1"/>
    <col min="17" max="17" width="13.296875" style="2"/>
    <col min="18" max="18" width="18" style="2" bestFit="1" customWidth="1"/>
    <col min="19" max="19" width="13.296875" style="2"/>
    <col min="20" max="20" width="18" style="2" bestFit="1" customWidth="1"/>
    <col min="21" max="29" width="13.296875" style="2"/>
    <col min="30" max="30" width="5" style="2" bestFit="1" customWidth="1"/>
    <col min="31" max="31" width="13.296875" style="2"/>
    <col min="32" max="34" width="3.19921875" style="2" customWidth="1"/>
    <col min="35" max="44" width="13.296875" style="2"/>
    <col min="45" max="45" width="21" style="2" bestFit="1" customWidth="1"/>
    <col min="46" max="46" width="36.796875" style="2" customWidth="1"/>
    <col min="47" max="47" width="16.69921875" style="2" customWidth="1"/>
    <col min="48" max="48" width="20.796875" style="2" bestFit="1" customWidth="1"/>
    <col min="49" max="79" width="13.296875" style="2"/>
    <col min="80" max="80" width="65.5" style="2" bestFit="1" customWidth="1"/>
    <col min="81" max="16384" width="13.296875" style="2"/>
  </cols>
  <sheetData>
    <row r="1" spans="1:256" ht="15.75" customHeight="1">
      <c r="A1" s="7"/>
      <c r="B1" s="10"/>
      <c r="C1" s="72"/>
      <c r="D1" s="72"/>
      <c r="E1" s="9" t="s">
        <v>0</v>
      </c>
      <c r="F1" s="9"/>
      <c r="G1" s="11"/>
      <c r="H1" s="10"/>
      <c r="I1" s="10"/>
      <c r="J1" s="9"/>
      <c r="K1" s="10"/>
      <c r="L1" s="12"/>
      <c r="M1" s="1"/>
      <c r="IR1" s="3"/>
      <c r="IS1" s="3"/>
      <c r="IT1" s="3"/>
      <c r="IU1" s="3"/>
      <c r="IV1" s="3"/>
    </row>
    <row r="2" spans="1:256" ht="15.75" customHeight="1">
      <c r="A2" s="40"/>
      <c r="B2" s="13"/>
      <c r="C2" s="26"/>
      <c r="D2" s="26"/>
      <c r="E2" s="44" t="s">
        <v>406</v>
      </c>
      <c r="F2" s="44"/>
      <c r="G2" s="23"/>
      <c r="H2" s="13"/>
      <c r="I2" s="169" t="s">
        <v>480</v>
      </c>
      <c r="J2" s="44"/>
      <c r="K2" s="13"/>
      <c r="L2" s="73"/>
      <c r="M2" s="1"/>
      <c r="CO2" s="4" t="s">
        <v>1</v>
      </c>
      <c r="IR2" s="3"/>
      <c r="IS2" s="3"/>
      <c r="IT2" s="3"/>
      <c r="IU2" s="3"/>
      <c r="IV2" s="3"/>
    </row>
    <row r="3" spans="1:256" ht="12.75" customHeight="1">
      <c r="A3" s="40"/>
      <c r="B3" s="13"/>
      <c r="C3" s="13"/>
      <c r="D3" s="13"/>
      <c r="E3" s="13"/>
      <c r="F3" s="13"/>
      <c r="G3" s="13"/>
      <c r="H3" s="13"/>
      <c r="I3" s="13" t="s">
        <v>481</v>
      </c>
      <c r="J3" s="24"/>
      <c r="K3" s="13"/>
      <c r="L3" s="73"/>
      <c r="M3" s="1"/>
      <c r="CO3" s="4" t="s">
        <v>2</v>
      </c>
    </row>
    <row r="4" spans="1:256" ht="17.25" customHeight="1">
      <c r="A4" s="74" t="s">
        <v>3</v>
      </c>
      <c r="B4" s="5" t="s">
        <v>481</v>
      </c>
      <c r="C4" s="13" t="s">
        <v>5</v>
      </c>
      <c r="D4" s="188" t="s">
        <v>481</v>
      </c>
      <c r="E4" s="174"/>
      <c r="F4" s="23" t="s">
        <v>7</v>
      </c>
      <c r="G4" s="188" t="s">
        <v>481</v>
      </c>
      <c r="H4" s="174"/>
      <c r="I4" s="75" t="s">
        <v>9</v>
      </c>
      <c r="J4" s="173" t="s">
        <v>481</v>
      </c>
      <c r="K4" s="174"/>
      <c r="L4" s="175"/>
      <c r="M4" s="6"/>
      <c r="CO4" s="4" t="s">
        <v>11</v>
      </c>
    </row>
    <row r="5" spans="1:256" ht="10.5" customHeight="1" thickBot="1">
      <c r="A5" s="40"/>
      <c r="B5" s="13"/>
      <c r="C5" s="13"/>
      <c r="D5" s="13"/>
      <c r="E5" s="13"/>
      <c r="F5" s="13"/>
      <c r="G5" s="13"/>
      <c r="H5" s="13"/>
      <c r="I5" s="13"/>
      <c r="J5" s="24"/>
      <c r="K5" s="13"/>
      <c r="L5" s="73"/>
      <c r="M5" s="1"/>
    </row>
    <row r="6" spans="1:256" ht="15.75" customHeight="1">
      <c r="A6" s="7"/>
      <c r="B6" s="8" t="s">
        <v>12</v>
      </c>
      <c r="C6" s="9"/>
      <c r="D6" s="9"/>
      <c r="E6" s="9"/>
      <c r="F6" s="10"/>
      <c r="G6" s="11"/>
      <c r="H6" s="10"/>
      <c r="I6" s="8" t="s">
        <v>13</v>
      </c>
      <c r="J6" s="9"/>
      <c r="K6" s="10"/>
      <c r="L6" s="12"/>
      <c r="M6" s="13"/>
      <c r="BC6" s="2" t="s">
        <v>14</v>
      </c>
      <c r="CA6" s="2" t="s">
        <v>15</v>
      </c>
      <c r="CD6" s="2" t="s">
        <v>16</v>
      </c>
      <c r="IR6" s="3"/>
      <c r="IS6" s="3"/>
      <c r="IT6" s="3"/>
      <c r="IU6" s="3"/>
      <c r="IV6" s="3"/>
    </row>
    <row r="7" spans="1:256" ht="15.75" customHeight="1" thickBot="1">
      <c r="A7" s="14"/>
      <c r="B7" s="15"/>
      <c r="C7" s="16"/>
      <c r="D7" s="16"/>
      <c r="E7" s="16"/>
      <c r="F7" s="17" t="s">
        <v>17</v>
      </c>
      <c r="G7" s="18"/>
      <c r="H7" s="19"/>
      <c r="I7" s="15"/>
      <c r="J7" s="16"/>
      <c r="K7" s="19"/>
      <c r="L7" s="20"/>
      <c r="M7" s="13"/>
      <c r="BC7" s="2" t="s">
        <v>18</v>
      </c>
      <c r="BE7" s="2" t="s">
        <v>19</v>
      </c>
      <c r="CA7" s="21"/>
      <c r="CB7" s="1"/>
      <c r="CI7" s="2" t="s">
        <v>20</v>
      </c>
      <c r="CN7" s="2" t="s">
        <v>21</v>
      </c>
      <c r="CS7" s="2" t="s">
        <v>22</v>
      </c>
      <c r="IR7" s="3"/>
      <c r="IS7" s="3"/>
      <c r="IT7" s="3"/>
      <c r="IU7" s="3"/>
      <c r="IV7" s="3"/>
    </row>
    <row r="8" spans="1:256" ht="15.75" customHeight="1" thickBot="1">
      <c r="A8" s="22" t="s">
        <v>23</v>
      </c>
      <c r="B8" s="23" t="s">
        <v>24</v>
      </c>
      <c r="C8" s="24">
        <v>4</v>
      </c>
      <c r="D8" s="25" t="s">
        <v>481</v>
      </c>
      <c r="E8" s="26" t="s">
        <v>481</v>
      </c>
      <c r="F8" s="24"/>
      <c r="G8" s="23"/>
      <c r="H8" s="23" t="s">
        <v>369</v>
      </c>
      <c r="I8" s="23" t="s">
        <v>368</v>
      </c>
      <c r="J8" s="24">
        <v>4</v>
      </c>
      <c r="K8" s="25" t="s">
        <v>481</v>
      </c>
      <c r="L8" s="27" t="s">
        <v>481</v>
      </c>
      <c r="M8" s="26"/>
      <c r="N8"/>
      <c r="O8"/>
      <c r="BC8" s="2" t="str">
        <f>A8</f>
        <v>GEN 1001</v>
      </c>
      <c r="BD8" s="2">
        <f>C8</f>
        <v>4</v>
      </c>
      <c r="BE8" s="2" t="str">
        <f>H16</f>
        <v>EEN 2140</v>
      </c>
      <c r="BF8" s="2">
        <f>J16</f>
        <v>4</v>
      </c>
      <c r="CA8" s="21"/>
      <c r="CB8" s="1"/>
      <c r="IR8" s="3"/>
      <c r="IS8" s="3"/>
      <c r="IT8" s="3"/>
      <c r="IU8" s="3"/>
      <c r="IV8" s="3"/>
    </row>
    <row r="9" spans="1:256" ht="15.75" customHeight="1" thickBot="1">
      <c r="A9" s="28" t="s">
        <v>26</v>
      </c>
      <c r="B9" s="23" t="s">
        <v>27</v>
      </c>
      <c r="C9" s="24">
        <v>4</v>
      </c>
      <c r="D9" s="25" t="s">
        <v>481</v>
      </c>
      <c r="E9" s="26" t="s">
        <v>481</v>
      </c>
      <c r="F9" s="24"/>
      <c r="G9" s="23"/>
      <c r="H9" s="23" t="s">
        <v>28</v>
      </c>
      <c r="I9" s="23" t="s">
        <v>29</v>
      </c>
      <c r="J9" s="24">
        <v>4</v>
      </c>
      <c r="K9" s="25" t="s">
        <v>481</v>
      </c>
      <c r="L9" s="27" t="s">
        <v>481</v>
      </c>
      <c r="M9" s="26"/>
      <c r="N9"/>
      <c r="O9"/>
      <c r="BC9" s="2" t="str">
        <f>A16</f>
        <v>EEN 2130</v>
      </c>
      <c r="BD9" s="2">
        <f>C16</f>
        <v>4</v>
      </c>
      <c r="BE9" s="2" t="str">
        <f>H18</f>
        <v>EEN 2270</v>
      </c>
      <c r="BF9" s="2">
        <f>J18</f>
        <v>4</v>
      </c>
      <c r="CA9" s="21" t="s">
        <v>30</v>
      </c>
      <c r="CB9" s="1" t="s">
        <v>31</v>
      </c>
      <c r="CD9" s="21" t="s">
        <v>32</v>
      </c>
      <c r="CE9" s="1" t="s">
        <v>33</v>
      </c>
      <c r="CI9" s="21" t="s">
        <v>34</v>
      </c>
      <c r="CJ9" s="1" t="s">
        <v>35</v>
      </c>
      <c r="CN9" s="21" t="s">
        <v>30</v>
      </c>
      <c r="CO9" s="4" t="s">
        <v>36</v>
      </c>
      <c r="CS9" s="2" t="s">
        <v>37</v>
      </c>
      <c r="IR9" s="3"/>
      <c r="IS9" s="3"/>
      <c r="IT9" s="3"/>
      <c r="IU9" s="3"/>
      <c r="IV9" s="3"/>
    </row>
    <row r="10" spans="1:256" ht="15.75" customHeight="1" thickBot="1">
      <c r="A10" s="28" t="s">
        <v>38</v>
      </c>
      <c r="B10" s="23" t="s">
        <v>39</v>
      </c>
      <c r="C10" s="24">
        <v>4</v>
      </c>
      <c r="D10" s="25"/>
      <c r="E10" s="26"/>
      <c r="F10" s="24"/>
      <c r="G10" s="23"/>
      <c r="H10" s="29" t="s">
        <v>100</v>
      </c>
      <c r="I10" s="45" t="s">
        <v>101</v>
      </c>
      <c r="J10" s="24">
        <v>4</v>
      </c>
      <c r="K10" s="25" t="s">
        <v>481</v>
      </c>
      <c r="L10" s="27" t="s">
        <v>481</v>
      </c>
      <c r="M10" s="26"/>
      <c r="N10"/>
      <c r="O10"/>
      <c r="BC10" s="2" t="str">
        <f>A19</f>
        <v>EEN 2250</v>
      </c>
      <c r="BD10" s="2">
        <f>C19</f>
        <v>2</v>
      </c>
      <c r="BE10" s="2" t="str">
        <f>A25</f>
        <v>EEN 3270</v>
      </c>
      <c r="BF10" s="2">
        <f>C25</f>
        <v>4</v>
      </c>
      <c r="CA10" s="21" t="s">
        <v>30</v>
      </c>
      <c r="CB10" s="1" t="s">
        <v>42</v>
      </c>
      <c r="CD10" s="21" t="s">
        <v>43</v>
      </c>
      <c r="CE10" s="1" t="s">
        <v>44</v>
      </c>
      <c r="CI10" s="21" t="s">
        <v>34</v>
      </c>
      <c r="CJ10" s="1" t="s">
        <v>45</v>
      </c>
      <c r="CN10" s="21" t="s">
        <v>30</v>
      </c>
      <c r="CO10" s="4" t="s">
        <v>46</v>
      </c>
      <c r="CS10" s="2" t="s">
        <v>47</v>
      </c>
      <c r="IR10" s="3"/>
      <c r="IS10" s="3"/>
      <c r="IT10" s="3"/>
      <c r="IU10" s="3"/>
      <c r="IV10" s="3"/>
    </row>
    <row r="11" spans="1:256" ht="15.75" customHeight="1" thickBot="1">
      <c r="A11" s="22" t="s">
        <v>364</v>
      </c>
      <c r="B11" s="23" t="s">
        <v>365</v>
      </c>
      <c r="C11" s="24">
        <v>4</v>
      </c>
      <c r="D11" s="25" t="s">
        <v>481</v>
      </c>
      <c r="E11" s="26" t="s">
        <v>481</v>
      </c>
      <c r="F11" s="24"/>
      <c r="G11" s="23"/>
      <c r="H11" s="23" t="s">
        <v>48</v>
      </c>
      <c r="I11" s="23" t="s">
        <v>49</v>
      </c>
      <c r="J11" s="24">
        <v>4</v>
      </c>
      <c r="K11" s="25" t="s">
        <v>481</v>
      </c>
      <c r="L11" s="27" t="s">
        <v>481</v>
      </c>
      <c r="M11" s="26"/>
      <c r="N11"/>
      <c r="O11"/>
      <c r="BC11" s="2" t="str">
        <f>H25</f>
        <v>EEN 3430</v>
      </c>
      <c r="BD11" s="2">
        <f>J25</f>
        <v>4</v>
      </c>
      <c r="BE11" s="2" t="str">
        <f>A36</f>
        <v>EEN 3130</v>
      </c>
      <c r="BF11" s="2">
        <f>C36</f>
        <v>4</v>
      </c>
      <c r="CA11" s="21" t="s">
        <v>52</v>
      </c>
      <c r="CB11" s="1" t="s">
        <v>53</v>
      </c>
      <c r="CC11" s="1"/>
      <c r="CD11" s="21" t="s">
        <v>43</v>
      </c>
      <c r="CE11" s="1" t="s">
        <v>54</v>
      </c>
      <c r="CI11" s="21" t="s">
        <v>55</v>
      </c>
      <c r="CJ11" s="1" t="s">
        <v>56</v>
      </c>
      <c r="CN11" s="21" t="s">
        <v>30</v>
      </c>
      <c r="CO11" s="4" t="s">
        <v>57</v>
      </c>
      <c r="CS11" s="2" t="s">
        <v>58</v>
      </c>
      <c r="IR11" s="3"/>
      <c r="IS11" s="3"/>
      <c r="IT11" s="3"/>
      <c r="IU11" s="3"/>
      <c r="IV11" s="3"/>
    </row>
    <row r="12" spans="1:256" ht="15.75" customHeight="1" thickBot="1">
      <c r="A12" s="22" t="s">
        <v>478</v>
      </c>
      <c r="B12" s="23" t="s">
        <v>367</v>
      </c>
      <c r="C12" s="24">
        <v>2</v>
      </c>
      <c r="D12" s="25" t="s">
        <v>481</v>
      </c>
      <c r="E12" s="170" t="s">
        <v>481</v>
      </c>
      <c r="F12" s="24"/>
      <c r="G12" s="23"/>
      <c r="H12" s="23"/>
      <c r="I12" s="23"/>
      <c r="J12" s="24"/>
      <c r="K12" s="31"/>
      <c r="L12" s="172"/>
      <c r="M12" s="31"/>
      <c r="N12"/>
      <c r="O12"/>
      <c r="BC12" s="2" t="str">
        <f>A26</f>
        <v>MTH 2220</v>
      </c>
      <c r="BD12" s="2">
        <f>C26</f>
        <v>4</v>
      </c>
      <c r="BE12" s="2" t="str">
        <f>H26</f>
        <v>EEN 3220</v>
      </c>
      <c r="BF12" s="2">
        <f>J26</f>
        <v>4</v>
      </c>
      <c r="CA12" s="21" t="s">
        <v>52</v>
      </c>
      <c r="CB12" s="1" t="s">
        <v>59</v>
      </c>
      <c r="CC12" s="1"/>
      <c r="CD12" s="21" t="s">
        <v>43</v>
      </c>
      <c r="CE12" s="1" t="s">
        <v>60</v>
      </c>
      <c r="CI12" s="21" t="s">
        <v>55</v>
      </c>
      <c r="CJ12" s="1" t="s">
        <v>61</v>
      </c>
      <c r="CN12" s="21" t="s">
        <v>30</v>
      </c>
      <c r="CO12" s="4" t="s">
        <v>62</v>
      </c>
      <c r="CS12" s="2" t="s">
        <v>63</v>
      </c>
      <c r="IR12" s="3"/>
      <c r="IS12" s="3"/>
      <c r="IT12" s="3"/>
      <c r="IU12" s="3"/>
      <c r="IV12" s="3"/>
    </row>
    <row r="13" spans="1:256" ht="15.75" customHeight="1">
      <c r="A13" s="34"/>
      <c r="B13" s="35"/>
      <c r="C13" s="36">
        <f>SUM(C8:C12)</f>
        <v>18</v>
      </c>
      <c r="D13" s="37"/>
      <c r="E13" s="171"/>
      <c r="F13" s="36"/>
      <c r="G13" s="35"/>
      <c r="H13" s="35"/>
      <c r="I13" s="35"/>
      <c r="J13" s="36">
        <f>SUM(J8:J12)</f>
        <v>16</v>
      </c>
      <c r="K13" s="37"/>
      <c r="L13" s="38"/>
      <c r="M13" s="31"/>
      <c r="N13" s="61"/>
      <c r="O13" s="61"/>
      <c r="P13" s="61"/>
      <c r="Q13" s="61"/>
      <c r="R13" s="61"/>
      <c r="S13" s="61"/>
      <c r="BC13" s="2" t="e">
        <f>#REF!</f>
        <v>#REF!</v>
      </c>
      <c r="BD13" s="2" t="e">
        <f>#REF!</f>
        <v>#REF!</v>
      </c>
      <c r="BE13" s="2" t="str">
        <f>H34</f>
        <v>MTH 1505</v>
      </c>
      <c r="BF13" s="2">
        <f>J34</f>
        <v>4</v>
      </c>
      <c r="CA13" s="21" t="s">
        <v>52</v>
      </c>
      <c r="CB13" s="1" t="s">
        <v>64</v>
      </c>
      <c r="CC13" s="1"/>
      <c r="CD13" s="21" t="s">
        <v>43</v>
      </c>
      <c r="CE13" s="1" t="s">
        <v>65</v>
      </c>
      <c r="CI13" s="21" t="s">
        <v>55</v>
      </c>
      <c r="CJ13" s="1" t="s">
        <v>66</v>
      </c>
      <c r="CN13" s="39" t="s">
        <v>34</v>
      </c>
      <c r="CO13" s="4" t="s">
        <v>1</v>
      </c>
      <c r="CS13" s="2" t="s">
        <v>67</v>
      </c>
      <c r="IR13" s="3"/>
      <c r="IS13" s="3"/>
      <c r="IT13" s="3"/>
      <c r="IU13" s="3"/>
      <c r="IV13" s="3"/>
    </row>
    <row r="14" spans="1:256" ht="12" customHeight="1" thickBot="1">
      <c r="A14" s="40"/>
      <c r="B14" s="13"/>
      <c r="C14" s="13"/>
      <c r="D14" s="24" t="s">
        <v>68</v>
      </c>
      <c r="E14" s="24" t="s">
        <v>68</v>
      </c>
      <c r="F14" s="24"/>
      <c r="G14" s="23"/>
      <c r="H14" s="13"/>
      <c r="I14" s="13"/>
      <c r="J14" s="13"/>
      <c r="K14" s="24" t="s">
        <v>68</v>
      </c>
      <c r="L14" s="41" t="s">
        <v>68</v>
      </c>
      <c r="M14" s="24"/>
      <c r="N14" s="61"/>
      <c r="O14" s="61"/>
      <c r="P14" s="61"/>
      <c r="Q14" s="61"/>
      <c r="R14" s="61"/>
      <c r="S14" s="61"/>
      <c r="CA14" s="21" t="s">
        <v>52</v>
      </c>
      <c r="CB14" s="1" t="s">
        <v>69</v>
      </c>
      <c r="CC14" s="1"/>
      <c r="CD14" s="21" t="s">
        <v>43</v>
      </c>
      <c r="CE14" s="1" t="s">
        <v>70</v>
      </c>
      <c r="CI14" s="21" t="s">
        <v>55</v>
      </c>
      <c r="CJ14" s="1" t="s">
        <v>71</v>
      </c>
      <c r="CN14" s="39" t="s">
        <v>34</v>
      </c>
      <c r="CO14" s="4" t="s">
        <v>2</v>
      </c>
      <c r="CS14" s="2" t="s">
        <v>72</v>
      </c>
      <c r="IR14" s="3"/>
      <c r="IS14" s="3"/>
      <c r="IT14" s="3"/>
      <c r="IU14" s="3"/>
      <c r="IV14" s="3"/>
    </row>
    <row r="15" spans="1:256" ht="16.5" customHeight="1" thickBot="1">
      <c r="A15" s="14"/>
      <c r="B15" s="19"/>
      <c r="C15" s="19"/>
      <c r="D15" s="42"/>
      <c r="E15" s="42"/>
      <c r="F15" s="16" t="s">
        <v>73</v>
      </c>
      <c r="G15" s="18"/>
      <c r="H15" s="19"/>
      <c r="I15" s="19"/>
      <c r="J15" s="19"/>
      <c r="K15" s="42"/>
      <c r="L15" s="43"/>
      <c r="M15" s="24"/>
      <c r="N15" s="61"/>
      <c r="O15" s="84" t="s">
        <v>74</v>
      </c>
      <c r="P15" s="85"/>
      <c r="Q15" s="85"/>
      <c r="R15" s="86"/>
      <c r="S15" s="61"/>
      <c r="BC15" s="2" t="str">
        <f>B34</f>
        <v>VLSI Design</v>
      </c>
      <c r="BD15" s="2">
        <f>C34</f>
        <v>4</v>
      </c>
      <c r="BE15" s="2" t="str">
        <f>I35</f>
        <v>Feedback Circuits</v>
      </c>
      <c r="BF15" s="2">
        <f>J35</f>
        <v>4</v>
      </c>
      <c r="CA15" s="21" t="s">
        <v>52</v>
      </c>
      <c r="CB15" s="1" t="s">
        <v>75</v>
      </c>
      <c r="CC15" s="1"/>
      <c r="CD15" s="21" t="s">
        <v>43</v>
      </c>
      <c r="CE15" s="1" t="s">
        <v>76</v>
      </c>
      <c r="CI15" s="21" t="s">
        <v>55</v>
      </c>
      <c r="CJ15" s="1" t="s">
        <v>77</v>
      </c>
      <c r="CN15" s="39" t="s">
        <v>34</v>
      </c>
      <c r="CO15" s="4" t="s">
        <v>78</v>
      </c>
      <c r="CS15" s="2" t="s">
        <v>79</v>
      </c>
      <c r="IR15" s="3"/>
      <c r="IS15" s="3"/>
      <c r="IT15" s="3"/>
      <c r="IU15" s="3"/>
      <c r="IV15" s="3"/>
    </row>
    <row r="16" spans="1:256" ht="15" customHeight="1" thickBot="1">
      <c r="A16" s="28" t="s">
        <v>370</v>
      </c>
      <c r="B16" s="23" t="s">
        <v>371</v>
      </c>
      <c r="C16" s="24">
        <v>4</v>
      </c>
      <c r="D16" s="25" t="s">
        <v>481</v>
      </c>
      <c r="E16" s="26" t="s">
        <v>481</v>
      </c>
      <c r="F16" s="24"/>
      <c r="G16" s="23"/>
      <c r="H16" s="29" t="s">
        <v>374</v>
      </c>
      <c r="I16" s="23" t="s">
        <v>375</v>
      </c>
      <c r="J16" s="24">
        <v>4</v>
      </c>
      <c r="K16" s="25" t="s">
        <v>481</v>
      </c>
      <c r="L16" s="27" t="s">
        <v>481</v>
      </c>
      <c r="M16" s="26"/>
      <c r="N16" s="61"/>
      <c r="O16" s="176" t="s">
        <v>80</v>
      </c>
      <c r="P16" s="177"/>
      <c r="Q16" s="177"/>
      <c r="R16" s="178"/>
      <c r="S16" s="61"/>
      <c r="BE16" s="2" t="e">
        <f>#REF!</f>
        <v>#REF!</v>
      </c>
      <c r="BF16" s="2" t="e">
        <f>#REF!</f>
        <v>#REF!</v>
      </c>
      <c r="CA16" s="21" t="s">
        <v>52</v>
      </c>
      <c r="CB16" s="1" t="s">
        <v>81</v>
      </c>
      <c r="CC16" s="1"/>
      <c r="CD16" s="21" t="s">
        <v>43</v>
      </c>
      <c r="CE16" s="1" t="s">
        <v>82</v>
      </c>
      <c r="CI16" s="21" t="s">
        <v>55</v>
      </c>
      <c r="CJ16" s="1" t="s">
        <v>83</v>
      </c>
      <c r="CN16" s="39" t="s">
        <v>34</v>
      </c>
      <c r="CO16" s="4" t="s">
        <v>84</v>
      </c>
      <c r="CS16" s="2" t="s">
        <v>85</v>
      </c>
      <c r="IR16" s="3"/>
      <c r="IS16" s="3"/>
      <c r="IT16" s="3"/>
      <c r="IU16" s="3"/>
      <c r="IV16" s="3"/>
    </row>
    <row r="17" spans="1:256" ht="15.75" customHeight="1" thickBot="1">
      <c r="A17" s="22" t="s">
        <v>40</v>
      </c>
      <c r="B17" s="23" t="s">
        <v>41</v>
      </c>
      <c r="C17" s="24">
        <v>4</v>
      </c>
      <c r="D17" s="25" t="s">
        <v>481</v>
      </c>
      <c r="E17" s="26" t="s">
        <v>481</v>
      </c>
      <c r="F17" s="24"/>
      <c r="G17" s="23"/>
      <c r="H17" s="29" t="s">
        <v>376</v>
      </c>
      <c r="I17" s="23" t="s">
        <v>377</v>
      </c>
      <c r="J17" s="24">
        <v>4</v>
      </c>
      <c r="K17" s="25" t="s">
        <v>481</v>
      </c>
      <c r="L17" s="27" t="s">
        <v>481</v>
      </c>
      <c r="M17" s="26"/>
      <c r="N17" s="61"/>
      <c r="O17" s="176"/>
      <c r="P17" s="177"/>
      <c r="Q17" s="177"/>
      <c r="R17" s="178"/>
      <c r="S17" s="61"/>
      <c r="BE17" s="2" t="str">
        <f>H37</f>
        <v>EEN 4970</v>
      </c>
      <c r="BF17" s="2">
        <f>J37</f>
        <v>2</v>
      </c>
      <c r="CA17" s="21" t="s">
        <v>52</v>
      </c>
      <c r="CB17" s="1" t="s">
        <v>87</v>
      </c>
      <c r="CC17" s="1"/>
      <c r="CD17" s="21" t="s">
        <v>43</v>
      </c>
      <c r="CE17" s="1" t="s">
        <v>88</v>
      </c>
      <c r="CI17" s="21" t="s">
        <v>55</v>
      </c>
      <c r="CJ17" s="1" t="s">
        <v>89</v>
      </c>
      <c r="CN17" s="39" t="s">
        <v>34</v>
      </c>
      <c r="CO17" s="4" t="s">
        <v>90</v>
      </c>
      <c r="CS17" s="2" t="s">
        <v>91</v>
      </c>
      <c r="IR17" s="3"/>
      <c r="IS17" s="3"/>
      <c r="IT17" s="3"/>
      <c r="IU17" s="3"/>
      <c r="IV17" s="3"/>
    </row>
    <row r="18" spans="1:256" ht="15.75" customHeight="1" thickBot="1">
      <c r="A18" s="28" t="s">
        <v>92</v>
      </c>
      <c r="B18" s="23" t="s">
        <v>93</v>
      </c>
      <c r="C18" s="24">
        <v>4</v>
      </c>
      <c r="D18" s="25" t="s">
        <v>481</v>
      </c>
      <c r="E18" s="26" t="s">
        <v>481</v>
      </c>
      <c r="F18" s="24"/>
      <c r="G18" s="23"/>
      <c r="H18" s="29" t="s">
        <v>378</v>
      </c>
      <c r="I18" s="23" t="s">
        <v>379</v>
      </c>
      <c r="J18" s="24">
        <v>4</v>
      </c>
      <c r="K18" s="25" t="s">
        <v>481</v>
      </c>
      <c r="L18" s="27" t="s">
        <v>481</v>
      </c>
      <c r="M18" s="26"/>
      <c r="N18" s="61"/>
      <c r="O18" s="176" t="s">
        <v>94</v>
      </c>
      <c r="P18" s="177"/>
      <c r="Q18" s="177"/>
      <c r="R18" s="178"/>
      <c r="S18" s="61"/>
      <c r="CA18" s="21" t="s">
        <v>52</v>
      </c>
      <c r="CB18" s="1" t="s">
        <v>95</v>
      </c>
      <c r="CC18" s="1"/>
      <c r="CD18" s="21" t="s">
        <v>43</v>
      </c>
      <c r="CE18" s="21" t="s">
        <v>96</v>
      </c>
      <c r="CI18" s="21" t="s">
        <v>55</v>
      </c>
      <c r="CJ18" s="1" t="s">
        <v>97</v>
      </c>
      <c r="CN18" s="39" t="s">
        <v>34</v>
      </c>
      <c r="CO18" s="4" t="s">
        <v>98</v>
      </c>
      <c r="CS18" s="2" t="s">
        <v>99</v>
      </c>
      <c r="IR18" s="3"/>
      <c r="IS18" s="3"/>
      <c r="IT18" s="3"/>
      <c r="IU18" s="3"/>
      <c r="IV18" s="3"/>
    </row>
    <row r="19" spans="1:256" ht="15.75" customHeight="1" thickBot="1">
      <c r="A19" s="28" t="s">
        <v>372</v>
      </c>
      <c r="B19" s="23" t="s">
        <v>373</v>
      </c>
      <c r="C19" s="24">
        <v>2</v>
      </c>
      <c r="D19" s="25" t="s">
        <v>481</v>
      </c>
      <c r="E19" s="26" t="s">
        <v>481</v>
      </c>
      <c r="F19" s="44"/>
      <c r="G19" s="23"/>
      <c r="H19" s="23" t="s">
        <v>143</v>
      </c>
      <c r="I19" s="30" t="s">
        <v>144</v>
      </c>
      <c r="J19" s="24">
        <v>4</v>
      </c>
      <c r="K19" s="25"/>
      <c r="L19" s="27"/>
      <c r="M19" s="26"/>
      <c r="N19" s="61"/>
      <c r="O19" s="176"/>
      <c r="P19" s="177"/>
      <c r="Q19" s="177"/>
      <c r="R19" s="178"/>
      <c r="S19" s="61"/>
      <c r="CA19" s="21" t="s">
        <v>52</v>
      </c>
      <c r="CB19" s="1" t="s">
        <v>102</v>
      </c>
      <c r="CC19" s="1"/>
      <c r="CD19" s="21" t="s">
        <v>43</v>
      </c>
      <c r="CE19" s="1" t="s">
        <v>103</v>
      </c>
      <c r="CI19" s="21" t="s">
        <v>55</v>
      </c>
      <c r="CJ19" s="1" t="s">
        <v>104</v>
      </c>
      <c r="CN19" s="39" t="s">
        <v>34</v>
      </c>
      <c r="CO19" s="4" t="s">
        <v>105</v>
      </c>
      <c r="CS19" s="2" t="s">
        <v>106</v>
      </c>
      <c r="IR19" s="3"/>
      <c r="IS19" s="3"/>
      <c r="IT19" s="3"/>
      <c r="IU19" s="3"/>
      <c r="IV19" s="3"/>
    </row>
    <row r="20" spans="1:256" ht="15.75" customHeight="1" thickBot="1">
      <c r="A20" s="22" t="s">
        <v>50</v>
      </c>
      <c r="B20" s="30" t="s">
        <v>51</v>
      </c>
      <c r="C20" s="24">
        <v>4</v>
      </c>
      <c r="D20" s="25"/>
      <c r="E20" s="170"/>
      <c r="F20" s="24"/>
      <c r="G20" s="23"/>
      <c r="H20" s="23"/>
      <c r="I20" s="23"/>
      <c r="J20" s="24"/>
      <c r="K20" s="31"/>
      <c r="L20" s="172"/>
      <c r="M20" s="31"/>
      <c r="N20" s="61"/>
      <c r="O20" s="131" t="s">
        <v>441</v>
      </c>
      <c r="P20" s="119"/>
      <c r="Q20" s="119"/>
      <c r="R20" s="120"/>
      <c r="S20" s="61"/>
      <c r="CA20" s="21" t="s">
        <v>52</v>
      </c>
      <c r="CB20" s="1" t="s">
        <v>107</v>
      </c>
      <c r="CC20" s="1"/>
      <c r="CD20" s="21" t="s">
        <v>43</v>
      </c>
      <c r="CE20" s="1" t="s">
        <v>108</v>
      </c>
      <c r="CI20" s="21" t="s">
        <v>55</v>
      </c>
      <c r="CJ20" s="1" t="s">
        <v>109</v>
      </c>
      <c r="CN20" s="39" t="s">
        <v>34</v>
      </c>
      <c r="CO20" s="4" t="s">
        <v>110</v>
      </c>
      <c r="IR20" s="3"/>
      <c r="IS20" s="3"/>
      <c r="IT20" s="3"/>
      <c r="IU20" s="3"/>
      <c r="IV20" s="3"/>
    </row>
    <row r="21" spans="1:256" ht="15.75" customHeight="1">
      <c r="A21" s="22"/>
      <c r="B21" s="23"/>
      <c r="C21" s="24"/>
      <c r="D21" s="31"/>
      <c r="E21" s="170"/>
      <c r="F21" s="24"/>
      <c r="G21" s="23"/>
      <c r="H21" s="23"/>
      <c r="I21" s="23"/>
      <c r="J21" s="24"/>
      <c r="K21" s="31"/>
      <c r="L21" s="33"/>
      <c r="M21" s="31"/>
      <c r="N21" s="61"/>
      <c r="O21" s="82"/>
      <c r="P21" s="82"/>
      <c r="Q21" s="82"/>
      <c r="R21" s="82"/>
      <c r="S21" s="61"/>
      <c r="CA21" s="21" t="s">
        <v>52</v>
      </c>
      <c r="CB21" s="1" t="s">
        <v>111</v>
      </c>
      <c r="CC21" s="1"/>
      <c r="CD21" s="21" t="s">
        <v>43</v>
      </c>
      <c r="CE21" s="1" t="s">
        <v>112</v>
      </c>
      <c r="CI21" s="21" t="s">
        <v>55</v>
      </c>
      <c r="CJ21" s="1" t="s">
        <v>113</v>
      </c>
      <c r="CN21" s="39" t="s">
        <v>34</v>
      </c>
      <c r="CO21" s="4" t="s">
        <v>114</v>
      </c>
      <c r="IR21" s="3"/>
      <c r="IS21" s="3"/>
      <c r="IT21" s="3"/>
      <c r="IU21" s="3"/>
      <c r="IV21" s="3"/>
    </row>
    <row r="22" spans="1:256" ht="15" customHeight="1">
      <c r="A22" s="34"/>
      <c r="B22" s="35"/>
      <c r="C22" s="36">
        <f>SUM(C16:C21)</f>
        <v>18</v>
      </c>
      <c r="D22" s="37"/>
      <c r="E22" s="37"/>
      <c r="F22" s="36"/>
      <c r="G22" s="35"/>
      <c r="H22" s="35"/>
      <c r="I22" s="35"/>
      <c r="J22" s="36">
        <f>SUM(J16:J20)</f>
        <v>16</v>
      </c>
      <c r="K22" s="37"/>
      <c r="L22" s="38"/>
      <c r="M22" s="31"/>
      <c r="N22" s="61"/>
      <c r="O22" s="82"/>
      <c r="P22" s="82"/>
      <c r="Q22" s="82"/>
      <c r="R22" s="82"/>
      <c r="S22" s="61"/>
      <c r="CA22" s="21" t="s">
        <v>52</v>
      </c>
      <c r="CB22" s="1" t="s">
        <v>115</v>
      </c>
      <c r="CC22" s="1"/>
      <c r="CD22" s="21" t="s">
        <v>43</v>
      </c>
      <c r="CE22" s="1" t="s">
        <v>116</v>
      </c>
      <c r="CI22" s="21" t="s">
        <v>55</v>
      </c>
      <c r="CJ22" s="1" t="s">
        <v>117</v>
      </c>
      <c r="CN22" s="39" t="s">
        <v>34</v>
      </c>
      <c r="CO22" s="4" t="s">
        <v>11</v>
      </c>
      <c r="IR22" s="3"/>
      <c r="IS22" s="3"/>
      <c r="IT22" s="3"/>
      <c r="IU22" s="3"/>
      <c r="IV22" s="3"/>
    </row>
    <row r="23" spans="1:256" ht="15" customHeight="1">
      <c r="A23" s="40"/>
      <c r="B23" s="23"/>
      <c r="C23" s="13"/>
      <c r="D23" s="24" t="s">
        <v>68</v>
      </c>
      <c r="E23" s="24" t="s">
        <v>68</v>
      </c>
      <c r="F23" s="24"/>
      <c r="G23" s="23"/>
      <c r="H23" s="13"/>
      <c r="I23" s="23"/>
      <c r="J23" s="13"/>
      <c r="K23" s="24" t="s">
        <v>68</v>
      </c>
      <c r="L23" s="41" t="s">
        <v>68</v>
      </c>
      <c r="M23" s="24"/>
      <c r="N23" s="61"/>
      <c r="O23" s="82"/>
      <c r="P23" s="82"/>
      <c r="Q23" s="82"/>
      <c r="R23" s="82"/>
      <c r="S23" s="61"/>
      <c r="CA23" s="21" t="s">
        <v>52</v>
      </c>
      <c r="CB23" s="1" t="s">
        <v>118</v>
      </c>
      <c r="CC23" s="1"/>
      <c r="CD23" s="21" t="s">
        <v>43</v>
      </c>
      <c r="CE23" s="1" t="s">
        <v>119</v>
      </c>
      <c r="CI23" s="21" t="s">
        <v>55</v>
      </c>
      <c r="CJ23" s="1" t="s">
        <v>120</v>
      </c>
      <c r="CN23" s="39" t="s">
        <v>34</v>
      </c>
      <c r="CO23" s="4" t="s">
        <v>121</v>
      </c>
      <c r="IR23" s="3"/>
      <c r="IS23" s="3"/>
      <c r="IT23" s="3"/>
      <c r="IU23" s="3"/>
      <c r="IV23" s="3"/>
    </row>
    <row r="24" spans="1:256" ht="12.75" customHeight="1" thickBot="1">
      <c r="A24" s="14"/>
      <c r="B24" s="18"/>
      <c r="C24" s="19"/>
      <c r="D24" s="42"/>
      <c r="E24" s="42"/>
      <c r="F24" s="16" t="s">
        <v>122</v>
      </c>
      <c r="G24" s="18"/>
      <c r="H24" s="19"/>
      <c r="I24" s="18"/>
      <c r="J24" s="19"/>
      <c r="K24" s="42"/>
      <c r="L24" s="43"/>
      <c r="M24" s="24"/>
      <c r="N24" s="61"/>
      <c r="O24" s="61"/>
      <c r="P24" s="61"/>
      <c r="Q24" s="61"/>
      <c r="R24" s="61"/>
      <c r="S24" s="61"/>
      <c r="CA24" s="21" t="s">
        <v>52</v>
      </c>
      <c r="CB24" s="1" t="s">
        <v>123</v>
      </c>
      <c r="CC24" s="1"/>
      <c r="CD24" s="21" t="s">
        <v>124</v>
      </c>
      <c r="CE24" s="1" t="s">
        <v>125</v>
      </c>
      <c r="CI24" s="21" t="s">
        <v>55</v>
      </c>
      <c r="CJ24" s="1" t="s">
        <v>126</v>
      </c>
      <c r="CN24" s="39" t="s">
        <v>34</v>
      </c>
      <c r="CO24" s="4" t="s">
        <v>127</v>
      </c>
      <c r="IR24" s="3"/>
      <c r="IS24" s="3"/>
      <c r="IT24" s="3"/>
      <c r="IU24" s="3"/>
      <c r="IV24" s="3"/>
    </row>
    <row r="25" spans="1:256" ht="15.75" customHeight="1" thickBot="1">
      <c r="A25" s="22" t="s">
        <v>474</v>
      </c>
      <c r="B25" s="23" t="s">
        <v>475</v>
      </c>
      <c r="C25" s="24">
        <v>4</v>
      </c>
      <c r="D25" s="25"/>
      <c r="E25" s="26"/>
      <c r="F25" s="24"/>
      <c r="G25" s="13"/>
      <c r="H25" s="23" t="s">
        <v>383</v>
      </c>
      <c r="I25" s="23" t="s">
        <v>407</v>
      </c>
      <c r="J25" s="24">
        <v>4</v>
      </c>
      <c r="K25" s="25" t="s">
        <v>481</v>
      </c>
      <c r="L25" s="27" t="s">
        <v>481</v>
      </c>
      <c r="M25" s="26"/>
      <c r="N25" s="61"/>
      <c r="S25" s="61"/>
      <c r="BC25" s="2" t="s">
        <v>128</v>
      </c>
      <c r="CA25" s="21" t="s">
        <v>52</v>
      </c>
      <c r="CB25" s="1" t="s">
        <v>129</v>
      </c>
      <c r="CC25" s="1"/>
      <c r="CD25" s="21" t="s">
        <v>124</v>
      </c>
      <c r="CE25" s="1" t="s">
        <v>130</v>
      </c>
      <c r="CI25" s="21" t="s">
        <v>55</v>
      </c>
      <c r="CJ25" s="1" t="s">
        <v>131</v>
      </c>
      <c r="CN25" s="39" t="s">
        <v>34</v>
      </c>
      <c r="CO25" s="4" t="s">
        <v>132</v>
      </c>
    </row>
    <row r="26" spans="1:256" ht="15.75" customHeight="1" thickBot="1">
      <c r="A26" s="28" t="s">
        <v>86</v>
      </c>
      <c r="B26" s="23" t="s">
        <v>380</v>
      </c>
      <c r="C26" s="24">
        <v>4</v>
      </c>
      <c r="D26" s="25" t="s">
        <v>481</v>
      </c>
      <c r="E26" s="26" t="s">
        <v>481</v>
      </c>
      <c r="F26" s="24"/>
      <c r="G26" s="13"/>
      <c r="H26" s="13" t="s">
        <v>384</v>
      </c>
      <c r="I26" s="23" t="s">
        <v>385</v>
      </c>
      <c r="J26" s="24">
        <v>4</v>
      </c>
      <c r="K26" s="25"/>
      <c r="L26" s="27"/>
      <c r="M26" s="26"/>
      <c r="N26" s="61"/>
      <c r="O26" s="61"/>
      <c r="P26" s="61"/>
      <c r="Q26" s="61"/>
      <c r="R26" s="61"/>
      <c r="S26" s="61"/>
      <c r="BC26" s="2" t="str">
        <f>BC9</f>
        <v>EEN 2130</v>
      </c>
      <c r="BD26" s="2">
        <f>BD9</f>
        <v>4</v>
      </c>
      <c r="BE26" s="2" t="str">
        <f>BE8</f>
        <v>EEN 2140</v>
      </c>
      <c r="BF26" s="2">
        <f>BF8+2+3</f>
        <v>9</v>
      </c>
      <c r="CA26" s="21" t="s">
        <v>52</v>
      </c>
      <c r="CB26" s="1" t="s">
        <v>133</v>
      </c>
      <c r="CC26" s="1"/>
      <c r="CD26" s="21" t="s">
        <v>124</v>
      </c>
      <c r="CE26" s="1" t="s">
        <v>134</v>
      </c>
      <c r="CI26" s="21" t="s">
        <v>55</v>
      </c>
      <c r="CJ26" s="1" t="s">
        <v>135</v>
      </c>
      <c r="CN26" s="39" t="s">
        <v>34</v>
      </c>
      <c r="CO26" s="4" t="s">
        <v>136</v>
      </c>
    </row>
    <row r="27" spans="1:256" ht="15.75" customHeight="1" thickBot="1">
      <c r="A27" s="22" t="s">
        <v>381</v>
      </c>
      <c r="B27" s="23" t="s">
        <v>382</v>
      </c>
      <c r="C27" s="24">
        <v>4</v>
      </c>
      <c r="D27" s="25" t="s">
        <v>481</v>
      </c>
      <c r="E27" s="26" t="s">
        <v>481</v>
      </c>
      <c r="F27" s="24"/>
      <c r="G27" s="13"/>
      <c r="H27" s="13" t="s">
        <v>149</v>
      </c>
      <c r="I27" s="30" t="s">
        <v>144</v>
      </c>
      <c r="J27" s="46">
        <v>4</v>
      </c>
      <c r="K27" s="25"/>
      <c r="L27" s="27"/>
      <c r="M27" s="26"/>
      <c r="BC27" s="2" t="str">
        <f>BC11</f>
        <v>EEN 3430</v>
      </c>
      <c r="BD27" s="2">
        <f>BD11</f>
        <v>4</v>
      </c>
      <c r="CA27" s="21" t="s">
        <v>52</v>
      </c>
      <c r="CB27" s="1" t="s">
        <v>137</v>
      </c>
      <c r="CC27" s="1"/>
      <c r="CD27" s="21" t="s">
        <v>124</v>
      </c>
      <c r="CE27" s="1" t="s">
        <v>138</v>
      </c>
      <c r="CI27" s="21" t="s">
        <v>55</v>
      </c>
      <c r="CJ27" s="1" t="s">
        <v>139</v>
      </c>
      <c r="CN27" s="39" t="s">
        <v>34</v>
      </c>
      <c r="CO27" s="4" t="s">
        <v>140</v>
      </c>
    </row>
    <row r="28" spans="1:256" ht="15.75" customHeight="1" thickBot="1">
      <c r="A28" s="22" t="s">
        <v>141</v>
      </c>
      <c r="B28" s="23" t="s">
        <v>476</v>
      </c>
      <c r="C28" s="24">
        <v>4</v>
      </c>
      <c r="D28" s="25" t="s">
        <v>481</v>
      </c>
      <c r="E28" s="26" t="s">
        <v>481</v>
      </c>
      <c r="F28" s="24"/>
      <c r="G28" s="13"/>
      <c r="H28" s="1" t="s">
        <v>479</v>
      </c>
      <c r="J28" s="46">
        <v>4</v>
      </c>
      <c r="K28" s="25"/>
      <c r="L28" s="27"/>
      <c r="M28" s="26"/>
      <c r="N28"/>
      <c r="O28"/>
      <c r="P28"/>
      <c r="Q28"/>
      <c r="R28"/>
      <c r="BC28" s="2" t="e">
        <f>BC13</f>
        <v>#REF!</v>
      </c>
      <c r="BD28" s="2" t="e">
        <f>BD13</f>
        <v>#REF!</v>
      </c>
      <c r="CA28" s="21" t="s">
        <v>52</v>
      </c>
      <c r="CB28" s="1" t="s">
        <v>145</v>
      </c>
      <c r="CC28" s="1"/>
      <c r="CD28" s="21" t="s">
        <v>124</v>
      </c>
      <c r="CE28" s="1" t="s">
        <v>146</v>
      </c>
      <c r="CI28" s="21" t="s">
        <v>55</v>
      </c>
      <c r="CJ28" s="1" t="s">
        <v>147</v>
      </c>
      <c r="CN28" s="39" t="s">
        <v>34</v>
      </c>
      <c r="CO28" s="4" t="s">
        <v>148</v>
      </c>
    </row>
    <row r="29" spans="1:256" ht="15.75" customHeight="1">
      <c r="A29" s="63"/>
      <c r="B29" s="61"/>
      <c r="C29" s="61"/>
      <c r="D29" s="61"/>
      <c r="E29" s="26"/>
      <c r="F29" s="26"/>
      <c r="G29" s="13"/>
      <c r="H29" s="61"/>
      <c r="I29" s="61"/>
      <c r="J29" s="61"/>
      <c r="K29" s="61"/>
      <c r="L29" s="27"/>
      <c r="M29" s="26"/>
      <c r="N29"/>
      <c r="O29"/>
      <c r="P29"/>
      <c r="Q29"/>
      <c r="R29"/>
      <c r="CA29" s="21" t="s">
        <v>52</v>
      </c>
      <c r="CB29" s="1" t="s">
        <v>150</v>
      </c>
      <c r="CC29" s="1"/>
      <c r="CD29" s="21" t="s">
        <v>124</v>
      </c>
      <c r="CE29" s="1" t="s">
        <v>151</v>
      </c>
      <c r="CI29" s="21" t="s">
        <v>55</v>
      </c>
      <c r="CJ29" s="1" t="s">
        <v>152</v>
      </c>
      <c r="CN29" s="39" t="s">
        <v>34</v>
      </c>
      <c r="CO29" s="4" t="s">
        <v>45</v>
      </c>
    </row>
    <row r="30" spans="1:256" ht="15.75" customHeight="1">
      <c r="A30" s="22"/>
      <c r="B30" s="23"/>
      <c r="C30" s="24"/>
      <c r="D30" s="31"/>
      <c r="E30" s="31"/>
      <c r="F30" s="24"/>
      <c r="G30" s="13"/>
      <c r="H30" s="23"/>
      <c r="I30" s="23"/>
      <c r="J30" s="26"/>
      <c r="K30" s="31"/>
      <c r="L30" s="33"/>
      <c r="M30" s="31"/>
      <c r="N30"/>
      <c r="O30"/>
      <c r="P30"/>
      <c r="Q30"/>
      <c r="R30"/>
      <c r="CA30" s="21" t="s">
        <v>52</v>
      </c>
      <c r="CB30" s="1" t="s">
        <v>153</v>
      </c>
      <c r="CC30" s="1"/>
      <c r="CD30" s="21" t="s">
        <v>124</v>
      </c>
      <c r="CE30" s="1" t="s">
        <v>154</v>
      </c>
      <c r="CI30" s="21" t="s">
        <v>55</v>
      </c>
      <c r="CJ30" s="1" t="s">
        <v>155</v>
      </c>
      <c r="CN30" s="39" t="s">
        <v>34</v>
      </c>
      <c r="CO30" s="4" t="s">
        <v>156</v>
      </c>
    </row>
    <row r="31" spans="1:256" ht="15" customHeight="1">
      <c r="A31" s="34"/>
      <c r="B31" s="35"/>
      <c r="C31" s="36">
        <f>J25+C26+C27+C28</f>
        <v>16</v>
      </c>
      <c r="D31" s="37"/>
      <c r="E31" s="37"/>
      <c r="F31" s="36"/>
      <c r="G31" s="47"/>
      <c r="H31" s="35"/>
      <c r="I31" s="35"/>
      <c r="J31" s="36">
        <f>SUM(J25:J28)</f>
        <v>16</v>
      </c>
      <c r="K31" s="37"/>
      <c r="L31" s="38"/>
      <c r="M31" s="31"/>
      <c r="N31"/>
      <c r="O31"/>
      <c r="P31"/>
      <c r="Q31"/>
      <c r="R31"/>
      <c r="CA31" s="21" t="s">
        <v>52</v>
      </c>
      <c r="CB31" s="1" t="s">
        <v>157</v>
      </c>
      <c r="CC31" s="1"/>
      <c r="CI31" s="21" t="s">
        <v>55</v>
      </c>
      <c r="CJ31" s="1" t="s">
        <v>158</v>
      </c>
      <c r="CN31" s="39" t="s">
        <v>34</v>
      </c>
      <c r="CO31" s="4" t="s">
        <v>35</v>
      </c>
    </row>
    <row r="32" spans="1:256" ht="12.75" customHeight="1">
      <c r="A32" s="40"/>
      <c r="B32" s="13"/>
      <c r="C32" s="13"/>
      <c r="D32" s="24" t="s">
        <v>68</v>
      </c>
      <c r="E32" s="24" t="s">
        <v>68</v>
      </c>
      <c r="F32" s="24"/>
      <c r="G32" s="13"/>
      <c r="H32" s="13"/>
      <c r="I32" s="13"/>
      <c r="J32" s="13"/>
      <c r="K32" s="24" t="s">
        <v>68</v>
      </c>
      <c r="L32" s="41" t="s">
        <v>68</v>
      </c>
      <c r="M32" s="24"/>
      <c r="N32"/>
      <c r="O32"/>
      <c r="P32"/>
      <c r="Q32"/>
      <c r="R32"/>
      <c r="CA32" s="21" t="s">
        <v>52</v>
      </c>
      <c r="CB32" s="1" t="s">
        <v>159</v>
      </c>
      <c r="CC32" s="1"/>
      <c r="CI32" s="21" t="s">
        <v>55</v>
      </c>
      <c r="CJ32" s="1" t="s">
        <v>160</v>
      </c>
      <c r="CN32" s="39" t="s">
        <v>34</v>
      </c>
      <c r="CO32" s="4" t="s">
        <v>161</v>
      </c>
    </row>
    <row r="33" spans="1:256" ht="16.5" customHeight="1" thickBot="1">
      <c r="A33" s="14"/>
      <c r="B33" s="19"/>
      <c r="C33" s="19"/>
      <c r="D33" s="42"/>
      <c r="E33" s="42"/>
      <c r="F33" s="16" t="s">
        <v>162</v>
      </c>
      <c r="G33" s="19"/>
      <c r="H33" s="19"/>
      <c r="I33" s="19"/>
      <c r="J33" s="19"/>
      <c r="K33" s="42"/>
      <c r="L33" s="43"/>
      <c r="M33" s="24"/>
      <c r="N33"/>
      <c r="O33"/>
      <c r="P33"/>
      <c r="Q33"/>
      <c r="R33"/>
      <c r="BC33" s="2" t="s">
        <v>163</v>
      </c>
      <c r="CA33" s="21" t="s">
        <v>52</v>
      </c>
      <c r="CB33" s="1" t="s">
        <v>164</v>
      </c>
      <c r="CC33" s="1"/>
      <c r="CI33" s="21" t="s">
        <v>55</v>
      </c>
      <c r="CJ33" s="1" t="s">
        <v>165</v>
      </c>
      <c r="CN33" s="39" t="s">
        <v>55</v>
      </c>
      <c r="CO33" s="4" t="s">
        <v>109</v>
      </c>
    </row>
    <row r="34" spans="1:256" ht="15.75" customHeight="1" thickBot="1">
      <c r="A34" s="40" t="s">
        <v>389</v>
      </c>
      <c r="B34" s="45" t="s">
        <v>390</v>
      </c>
      <c r="C34" s="24">
        <v>4</v>
      </c>
      <c r="D34" s="25"/>
      <c r="E34" s="26"/>
      <c r="F34" s="24"/>
      <c r="G34" s="13"/>
      <c r="H34" s="23" t="s">
        <v>25</v>
      </c>
      <c r="I34" s="23" t="s">
        <v>393</v>
      </c>
      <c r="J34" s="24">
        <v>4</v>
      </c>
      <c r="K34" s="25"/>
      <c r="L34" s="27"/>
      <c r="M34" s="26"/>
      <c r="N34"/>
      <c r="O34">
        <f>C13+J13+C22+J22+C31+J31+C40+J40</f>
        <v>136</v>
      </c>
      <c r="P34"/>
      <c r="Q34"/>
      <c r="R34"/>
      <c r="BC34" s="2" t="str">
        <f>BC12</f>
        <v>MTH 2220</v>
      </c>
      <c r="BD34" s="2">
        <f>BD12+2+3</f>
        <v>9</v>
      </c>
      <c r="BE34" s="2" t="str">
        <f>BE9</f>
        <v>EEN 2270</v>
      </c>
      <c r="BF34" s="2">
        <f>BF9+2+3</f>
        <v>9</v>
      </c>
      <c r="CA34" s="21" t="s">
        <v>52</v>
      </c>
      <c r="CB34" s="1" t="s">
        <v>166</v>
      </c>
      <c r="CC34" s="1"/>
      <c r="CI34" s="21" t="s">
        <v>55</v>
      </c>
      <c r="CJ34" s="1" t="s">
        <v>167</v>
      </c>
      <c r="CN34" s="39" t="s">
        <v>55</v>
      </c>
      <c r="CO34" s="4" t="s">
        <v>117</v>
      </c>
    </row>
    <row r="35" spans="1:256" ht="15.75" customHeight="1" thickBot="1">
      <c r="A35" s="22" t="s">
        <v>386</v>
      </c>
      <c r="B35" s="30" t="s">
        <v>144</v>
      </c>
      <c r="C35" s="24">
        <v>4</v>
      </c>
      <c r="D35" s="25"/>
      <c r="E35" s="26"/>
      <c r="F35" s="24"/>
      <c r="G35" s="13"/>
      <c r="H35" s="23" t="s">
        <v>394</v>
      </c>
      <c r="I35" s="45" t="s">
        <v>395</v>
      </c>
      <c r="J35" s="24">
        <v>4</v>
      </c>
      <c r="K35" s="25"/>
      <c r="L35" s="27"/>
      <c r="M35" s="26"/>
      <c r="N35"/>
      <c r="O35"/>
      <c r="P35"/>
      <c r="Q35"/>
      <c r="R35"/>
      <c r="BC35" s="2" t="str">
        <f>BC15</f>
        <v>VLSI Design</v>
      </c>
      <c r="BD35" s="2">
        <f>BD15</f>
        <v>4</v>
      </c>
      <c r="CA35" s="21" t="s">
        <v>52</v>
      </c>
      <c r="CB35" s="1" t="s">
        <v>168</v>
      </c>
      <c r="CC35" s="1"/>
      <c r="CI35" s="21" t="s">
        <v>55</v>
      </c>
      <c r="CJ35" s="1" t="s">
        <v>169</v>
      </c>
      <c r="CN35" s="39" t="s">
        <v>55</v>
      </c>
      <c r="CO35" s="4" t="s">
        <v>120</v>
      </c>
    </row>
    <row r="36" spans="1:256" ht="15.75" customHeight="1" thickBot="1">
      <c r="A36" s="29" t="s">
        <v>388</v>
      </c>
      <c r="B36" s="45" t="s">
        <v>387</v>
      </c>
      <c r="C36" s="24">
        <v>4</v>
      </c>
      <c r="D36" s="25"/>
      <c r="E36" s="26"/>
      <c r="F36" s="24"/>
      <c r="G36" s="13"/>
      <c r="H36" s="23" t="s">
        <v>386</v>
      </c>
      <c r="I36" s="30" t="s">
        <v>144</v>
      </c>
      <c r="J36" s="24">
        <v>4</v>
      </c>
      <c r="K36" s="25"/>
      <c r="L36" s="27"/>
      <c r="M36" s="26"/>
      <c r="N36"/>
      <c r="O36"/>
      <c r="P36"/>
      <c r="Q36"/>
      <c r="R36"/>
      <c r="CA36" s="21" t="s">
        <v>52</v>
      </c>
      <c r="CB36" s="1" t="s">
        <v>171</v>
      </c>
      <c r="CC36" s="1"/>
      <c r="CE36" s="1"/>
      <c r="CI36" s="21" t="s">
        <v>55</v>
      </c>
      <c r="CJ36" s="1" t="s">
        <v>172</v>
      </c>
      <c r="CN36" s="39" t="s">
        <v>55</v>
      </c>
      <c r="CO36" s="4" t="s">
        <v>173</v>
      </c>
    </row>
    <row r="37" spans="1:256" ht="15.75" customHeight="1" thickBot="1">
      <c r="A37" s="22" t="s">
        <v>391</v>
      </c>
      <c r="B37" s="23" t="s">
        <v>392</v>
      </c>
      <c r="C37" s="24">
        <v>2</v>
      </c>
      <c r="D37" s="25"/>
      <c r="E37" s="48" t="s">
        <v>170</v>
      </c>
      <c r="F37" s="24"/>
      <c r="G37" s="13"/>
      <c r="H37" s="23" t="s">
        <v>396</v>
      </c>
      <c r="I37" s="23" t="s">
        <v>397</v>
      </c>
      <c r="J37" s="24">
        <v>2</v>
      </c>
      <c r="K37" s="25"/>
      <c r="L37" s="27"/>
      <c r="M37" s="26"/>
      <c r="N37"/>
      <c r="O37"/>
      <c r="P37"/>
      <c r="Q37"/>
      <c r="R37"/>
      <c r="BC37" s="2" t="s">
        <v>175</v>
      </c>
      <c r="CA37" s="21" t="s">
        <v>52</v>
      </c>
      <c r="CB37" s="1" t="s">
        <v>176</v>
      </c>
      <c r="CC37" s="1"/>
      <c r="CI37" s="21" t="s">
        <v>177</v>
      </c>
      <c r="CJ37" s="1" t="s">
        <v>178</v>
      </c>
      <c r="CN37" s="39" t="s">
        <v>179</v>
      </c>
      <c r="CO37" s="4" t="s">
        <v>180</v>
      </c>
    </row>
    <row r="38" spans="1:256" ht="15.75" customHeight="1" thickBot="1">
      <c r="A38" s="22" t="s">
        <v>174</v>
      </c>
      <c r="B38" s="30" t="s">
        <v>235</v>
      </c>
      <c r="C38" s="24">
        <v>4</v>
      </c>
      <c r="D38" s="25" t="s">
        <v>481</v>
      </c>
      <c r="E38" s="26" t="s">
        <v>481</v>
      </c>
      <c r="F38" s="24"/>
      <c r="G38" s="13"/>
      <c r="H38" s="23" t="s">
        <v>174</v>
      </c>
      <c r="I38" s="30" t="s">
        <v>180</v>
      </c>
      <c r="J38" s="24">
        <v>4</v>
      </c>
      <c r="K38" s="25" t="s">
        <v>481</v>
      </c>
      <c r="L38" s="27" t="s">
        <v>481</v>
      </c>
      <c r="M38" s="26"/>
      <c r="N38"/>
      <c r="O38"/>
      <c r="P38"/>
      <c r="Q38"/>
      <c r="R38"/>
      <c r="BC38" s="2" t="str">
        <f>BC10</f>
        <v>EEN 2250</v>
      </c>
      <c r="BD38" s="2">
        <f>BD10+2+3</f>
        <v>7</v>
      </c>
      <c r="BE38" s="2" t="str">
        <f>BE11</f>
        <v>EEN 3130</v>
      </c>
      <c r="BF38" s="2">
        <f>BF11+2+3</f>
        <v>9</v>
      </c>
      <c r="CA38" s="21" t="s">
        <v>52</v>
      </c>
      <c r="CB38" s="1" t="s">
        <v>181</v>
      </c>
      <c r="CC38" s="1"/>
      <c r="CI38" s="21" t="s">
        <v>177</v>
      </c>
      <c r="CJ38" s="1" t="s">
        <v>182</v>
      </c>
      <c r="CN38" s="39" t="s">
        <v>179</v>
      </c>
      <c r="CO38" s="4" t="s">
        <v>183</v>
      </c>
    </row>
    <row r="39" spans="1:256" ht="15.75" customHeight="1">
      <c r="A39" s="63"/>
      <c r="B39" s="61"/>
      <c r="C39" s="61"/>
      <c r="D39" s="61"/>
      <c r="E39" s="26"/>
      <c r="F39" s="24"/>
      <c r="G39" s="13"/>
      <c r="H39" s="61"/>
      <c r="I39" s="61"/>
      <c r="J39" s="61"/>
      <c r="K39" s="61"/>
      <c r="L39" s="27"/>
      <c r="M39" s="26"/>
      <c r="N39"/>
      <c r="O39"/>
      <c r="P39"/>
      <c r="Q39"/>
      <c r="R39"/>
      <c r="BE39" s="2" t="str">
        <f>BE12</f>
        <v>EEN 3220</v>
      </c>
      <c r="BF39" s="2">
        <f>BF12</f>
        <v>4</v>
      </c>
      <c r="CA39" s="21" t="s">
        <v>52</v>
      </c>
      <c r="CB39" s="1" t="s">
        <v>184</v>
      </c>
      <c r="CC39" s="1"/>
      <c r="CI39" s="21" t="s">
        <v>124</v>
      </c>
      <c r="CJ39" s="1" t="s">
        <v>185</v>
      </c>
      <c r="CN39" s="39" t="s">
        <v>179</v>
      </c>
      <c r="CO39" s="4" t="s">
        <v>186</v>
      </c>
    </row>
    <row r="40" spans="1:256" ht="16.05" customHeight="1">
      <c r="A40" s="22"/>
      <c r="B40" s="23"/>
      <c r="C40" s="24">
        <f>SUM(C34:C38)</f>
        <v>18</v>
      </c>
      <c r="D40" s="26"/>
      <c r="E40" s="26"/>
      <c r="F40" s="24"/>
      <c r="G40" s="13"/>
      <c r="H40" s="23"/>
      <c r="I40" s="23"/>
      <c r="J40" s="24">
        <f>SUM(J34:J39)</f>
        <v>18</v>
      </c>
      <c r="K40" s="26"/>
      <c r="L40" s="27"/>
      <c r="M40" s="26"/>
      <c r="N40"/>
      <c r="O40"/>
      <c r="P40"/>
      <c r="Q40"/>
      <c r="R40"/>
      <c r="CA40" s="21" t="s">
        <v>52</v>
      </c>
      <c r="CB40" s="1" t="s">
        <v>189</v>
      </c>
      <c r="CC40" s="1"/>
      <c r="CI40" s="21" t="s">
        <v>187</v>
      </c>
      <c r="CJ40" s="1" t="s">
        <v>190</v>
      </c>
      <c r="CN40" s="39" t="s">
        <v>179</v>
      </c>
      <c r="CO40" s="4" t="s">
        <v>191</v>
      </c>
      <c r="IR40" s="3"/>
      <c r="IS40" s="3"/>
      <c r="IT40" s="3"/>
      <c r="IU40" s="3"/>
      <c r="IV40" s="3"/>
    </row>
    <row r="41" spans="1:256" ht="15.75" customHeight="1">
      <c r="A41" s="185" t="s">
        <v>188</v>
      </c>
      <c r="B41" s="186"/>
      <c r="C41" s="186"/>
      <c r="D41" s="186"/>
      <c r="E41" s="186"/>
      <c r="F41" s="187"/>
      <c r="G41" s="101"/>
      <c r="H41" s="50" t="s">
        <v>398</v>
      </c>
      <c r="I41" s="51"/>
      <c r="J41" s="51"/>
      <c r="K41" s="51"/>
      <c r="L41" s="52"/>
      <c r="M41" s="53"/>
      <c r="N41"/>
      <c r="O41"/>
      <c r="P41"/>
      <c r="Q41"/>
      <c r="R41"/>
      <c r="BC41" s="2" t="s">
        <v>193</v>
      </c>
      <c r="CA41" s="21" t="s">
        <v>52</v>
      </c>
      <c r="CB41" s="1" t="s">
        <v>194</v>
      </c>
      <c r="CC41" s="1"/>
      <c r="CI41" s="21" t="s">
        <v>187</v>
      </c>
      <c r="CJ41" s="1" t="s">
        <v>195</v>
      </c>
      <c r="CN41" s="39" t="s">
        <v>179</v>
      </c>
      <c r="CO41" s="4" t="s">
        <v>196</v>
      </c>
      <c r="IR41" s="3"/>
      <c r="IS41" s="3"/>
      <c r="IT41" s="3"/>
      <c r="IU41" s="3"/>
      <c r="IV41" s="3"/>
    </row>
    <row r="42" spans="1:256" ht="15.75" customHeight="1">
      <c r="A42" s="54"/>
      <c r="B42" s="55"/>
      <c r="C42" s="55"/>
      <c r="D42" s="55"/>
      <c r="E42" s="55"/>
      <c r="F42" s="56"/>
      <c r="G42" s="57"/>
      <c r="H42" s="58"/>
      <c r="I42" s="23"/>
      <c r="J42" s="23" t="s">
        <v>192</v>
      </c>
      <c r="K42" s="122"/>
      <c r="L42" s="127" t="s">
        <v>427</v>
      </c>
      <c r="M42" s="53"/>
      <c r="N42"/>
      <c r="O42"/>
      <c r="P42"/>
      <c r="Q42"/>
      <c r="R42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 t="str">
        <f>BC8</f>
        <v>GEN 1001</v>
      </c>
      <c r="BD42" s="3">
        <f>BD8+2+3</f>
        <v>9</v>
      </c>
      <c r="BE42" s="3" t="str">
        <f>BE10</f>
        <v>EEN 3270</v>
      </c>
      <c r="BF42" s="3">
        <f>BF10+2</f>
        <v>6</v>
      </c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21" t="s">
        <v>52</v>
      </c>
      <c r="CB42" s="1" t="s">
        <v>198</v>
      </c>
      <c r="CC42" s="1"/>
      <c r="CD42" s="3"/>
      <c r="CE42" s="3"/>
      <c r="CF42" s="3"/>
      <c r="CG42" s="3"/>
      <c r="CH42" s="3"/>
      <c r="CI42" s="21" t="s">
        <v>199</v>
      </c>
      <c r="CJ42" s="1" t="s">
        <v>200</v>
      </c>
      <c r="CK42" s="3"/>
      <c r="CL42" s="3"/>
      <c r="CM42" s="3"/>
      <c r="CN42" s="39" t="s">
        <v>179</v>
      </c>
      <c r="CO42" s="4" t="s">
        <v>201</v>
      </c>
      <c r="CP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</row>
    <row r="43" spans="1:256" ht="16.95" customHeight="1">
      <c r="A43" s="60" t="s">
        <v>197</v>
      </c>
      <c r="B43" s="61"/>
      <c r="C43" s="61"/>
      <c r="D43" s="61"/>
      <c r="E43" s="61"/>
      <c r="F43" s="61"/>
      <c r="G43" s="62"/>
      <c r="H43" s="58" t="s">
        <v>399</v>
      </c>
      <c r="I43" s="23"/>
      <c r="J43" s="23">
        <v>2</v>
      </c>
      <c r="K43" s="122" t="s">
        <v>383</v>
      </c>
      <c r="L43" s="123"/>
      <c r="M43" s="53"/>
      <c r="N43"/>
      <c r="O43"/>
      <c r="P43"/>
      <c r="Q43"/>
      <c r="R43"/>
      <c r="BE43" s="2" t="str">
        <f>BE17</f>
        <v>EEN 4970</v>
      </c>
      <c r="BF43" s="2">
        <f>BF17</f>
        <v>2</v>
      </c>
      <c r="CA43" s="21" t="s">
        <v>52</v>
      </c>
      <c r="CB43" s="1" t="s">
        <v>203</v>
      </c>
      <c r="CC43" s="1"/>
      <c r="CN43" s="39" t="s">
        <v>179</v>
      </c>
      <c r="CO43" s="4" t="s">
        <v>204</v>
      </c>
      <c r="IR43" s="3"/>
      <c r="IS43" s="3"/>
      <c r="IT43" s="3"/>
      <c r="IU43" s="3"/>
      <c r="IV43" s="3"/>
    </row>
    <row r="44" spans="1:256" ht="15.6">
      <c r="A44" s="60" t="s">
        <v>202</v>
      </c>
      <c r="B44" s="61"/>
      <c r="C44" s="61"/>
      <c r="D44" s="61"/>
      <c r="E44" s="61"/>
      <c r="F44" s="61"/>
      <c r="G44" s="62"/>
      <c r="H44" s="58" t="s">
        <v>429</v>
      </c>
      <c r="I44" s="24"/>
      <c r="J44" s="23">
        <v>2</v>
      </c>
      <c r="K44" s="124" t="s">
        <v>428</v>
      </c>
      <c r="L44" s="123"/>
      <c r="M44" s="53"/>
      <c r="N44"/>
      <c r="O44"/>
      <c r="P44"/>
      <c r="Q44"/>
      <c r="R44"/>
      <c r="CA44" s="21" t="s">
        <v>52</v>
      </c>
      <c r="CB44" s="1" t="s">
        <v>205</v>
      </c>
      <c r="CC44" s="1"/>
      <c r="CN44" s="39" t="s">
        <v>179</v>
      </c>
      <c r="CO44" s="4" t="s">
        <v>206</v>
      </c>
      <c r="IR44" s="3"/>
      <c r="IS44" s="3"/>
      <c r="IT44" s="3"/>
      <c r="IU44" s="3"/>
      <c r="IV44" s="3"/>
    </row>
    <row r="45" spans="1:256" ht="13.95" customHeight="1">
      <c r="A45" s="63"/>
      <c r="B45" s="61"/>
      <c r="C45" s="61"/>
      <c r="D45" s="61"/>
      <c r="E45" s="61"/>
      <c r="F45" s="61"/>
      <c r="G45" s="64"/>
      <c r="H45" s="58" t="s">
        <v>430</v>
      </c>
      <c r="I45" s="65"/>
      <c r="J45" s="65">
        <v>4</v>
      </c>
      <c r="K45" s="122" t="s">
        <v>388</v>
      </c>
      <c r="L45" s="125"/>
      <c r="M45" s="66"/>
      <c r="N45"/>
      <c r="O45"/>
      <c r="P45"/>
      <c r="Q45"/>
      <c r="R45"/>
      <c r="CA45" s="21" t="s">
        <v>52</v>
      </c>
      <c r="CB45" s="1" t="s">
        <v>207</v>
      </c>
      <c r="CC45" s="1"/>
      <c r="CJ45" s="1"/>
      <c r="CN45" s="39" t="s">
        <v>179</v>
      </c>
      <c r="CO45" s="4" t="s">
        <v>208</v>
      </c>
      <c r="IR45" s="3"/>
      <c r="IS45" s="3"/>
      <c r="IT45" s="3"/>
      <c r="IU45" s="3"/>
      <c r="IV45" s="3"/>
    </row>
    <row r="46" spans="1:256" ht="15.75" customHeight="1">
      <c r="A46" s="60" t="s">
        <v>404</v>
      </c>
      <c r="B46" s="61"/>
      <c r="C46" s="61"/>
      <c r="D46" s="61"/>
      <c r="E46" s="61"/>
      <c r="F46" s="61"/>
      <c r="G46" s="57"/>
      <c r="H46" s="58" t="s">
        <v>431</v>
      </c>
      <c r="I46" s="23"/>
      <c r="J46" s="65">
        <v>4</v>
      </c>
      <c r="K46" s="122" t="s">
        <v>435</v>
      </c>
      <c r="L46" s="123"/>
      <c r="M46" s="53"/>
      <c r="N46"/>
      <c r="O46"/>
      <c r="P46"/>
      <c r="Q46"/>
      <c r="R46"/>
      <c r="BC46" s="2" t="s">
        <v>209</v>
      </c>
      <c r="CA46" s="21" t="s">
        <v>52</v>
      </c>
      <c r="CB46" s="1" t="s">
        <v>210</v>
      </c>
      <c r="CC46" s="1"/>
      <c r="CN46" s="39" t="s">
        <v>179</v>
      </c>
      <c r="CO46" s="4" t="s">
        <v>211</v>
      </c>
      <c r="IR46" s="3"/>
      <c r="IS46" s="3"/>
      <c r="IT46" s="3"/>
      <c r="IU46" s="3"/>
      <c r="IV46" s="3"/>
    </row>
    <row r="47" spans="1:256" ht="15.75" customHeight="1">
      <c r="A47" s="176" t="s">
        <v>437</v>
      </c>
      <c r="B47" s="177"/>
      <c r="C47" s="177"/>
      <c r="D47" s="177"/>
      <c r="E47" s="177"/>
      <c r="F47" s="179"/>
      <c r="G47" s="62" t="s">
        <v>68</v>
      </c>
      <c r="H47" s="58" t="s">
        <v>402</v>
      </c>
      <c r="I47" s="23"/>
      <c r="J47" s="23">
        <v>4</v>
      </c>
      <c r="K47" s="122" t="s">
        <v>435</v>
      </c>
      <c r="L47" s="123"/>
      <c r="M47" s="53"/>
      <c r="N47"/>
      <c r="O47"/>
      <c r="P47"/>
      <c r="Q47"/>
      <c r="R47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 t="str">
        <f>BE15</f>
        <v>Feedback Circuits</v>
      </c>
      <c r="BF47" s="68">
        <f>BF15</f>
        <v>4</v>
      </c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21" t="s">
        <v>52</v>
      </c>
      <c r="CB47" s="1" t="s">
        <v>212</v>
      </c>
      <c r="CC47" s="1"/>
      <c r="CD47" s="68"/>
      <c r="CE47" s="68"/>
      <c r="CF47" s="68"/>
      <c r="CG47" s="68"/>
      <c r="CH47" s="68"/>
      <c r="CK47" s="68"/>
      <c r="CL47" s="68"/>
      <c r="CM47" s="68"/>
      <c r="CN47" s="39" t="s">
        <v>179</v>
      </c>
      <c r="CO47" s="4" t="s">
        <v>213</v>
      </c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8"/>
      <c r="DA47" s="68"/>
      <c r="DB47" s="68"/>
      <c r="DC47" s="68"/>
      <c r="DD47" s="68"/>
      <c r="DE47" s="68"/>
      <c r="DF47" s="68"/>
      <c r="DG47" s="68"/>
      <c r="DH47" s="68"/>
      <c r="DI47" s="68"/>
      <c r="DJ47" s="68"/>
      <c r="DK47" s="68"/>
      <c r="DL47" s="68"/>
      <c r="DM47" s="68"/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68"/>
      <c r="EC47" s="68"/>
      <c r="ED47" s="68"/>
      <c r="EE47" s="68"/>
      <c r="EF47" s="68"/>
      <c r="EG47" s="68"/>
      <c r="EH47" s="68"/>
      <c r="EI47" s="68"/>
      <c r="EJ47" s="68"/>
      <c r="EK47" s="68"/>
      <c r="EL47" s="68"/>
      <c r="EM47" s="68"/>
      <c r="EN47" s="68"/>
      <c r="EO47" s="68"/>
      <c r="EP47" s="68"/>
      <c r="EQ47" s="68"/>
      <c r="ER47" s="68"/>
      <c r="ES47" s="68"/>
      <c r="ET47" s="68"/>
      <c r="EU47" s="68"/>
      <c r="EV47" s="68"/>
      <c r="EW47" s="68"/>
      <c r="EX47" s="68"/>
      <c r="EY47" s="68"/>
      <c r="EZ47" s="68"/>
      <c r="FA47" s="68"/>
      <c r="FB47" s="68"/>
      <c r="FC47" s="68"/>
      <c r="FD47" s="68"/>
      <c r="FE47" s="68"/>
      <c r="FF47" s="68"/>
      <c r="FG47" s="68"/>
      <c r="FH47" s="68"/>
      <c r="FI47" s="68"/>
      <c r="FJ47" s="68"/>
      <c r="FK47" s="68"/>
      <c r="FL47" s="68"/>
      <c r="FM47" s="68"/>
      <c r="FN47" s="68"/>
      <c r="FO47" s="68"/>
      <c r="FP47" s="68"/>
      <c r="FQ47" s="68"/>
      <c r="FR47" s="68"/>
      <c r="FS47" s="68"/>
      <c r="FT47" s="68"/>
      <c r="FU47" s="68"/>
      <c r="FV47" s="68"/>
      <c r="FW47" s="68"/>
      <c r="FX47" s="68"/>
      <c r="FY47" s="68"/>
      <c r="FZ47" s="68"/>
      <c r="GA47" s="68"/>
      <c r="GB47" s="68"/>
      <c r="GC47" s="68"/>
      <c r="GD47" s="68"/>
      <c r="GE47" s="68"/>
      <c r="GF47" s="68"/>
      <c r="GG47" s="68"/>
      <c r="GH47" s="68"/>
      <c r="GI47" s="68"/>
      <c r="GJ47" s="68"/>
      <c r="GK47" s="68"/>
      <c r="GL47" s="68"/>
      <c r="GM47" s="68"/>
      <c r="GN47" s="68"/>
      <c r="GO47" s="68"/>
      <c r="GP47" s="68"/>
      <c r="GQ47" s="68"/>
      <c r="GR47" s="68"/>
      <c r="GS47" s="68"/>
      <c r="GT47" s="68"/>
      <c r="GU47" s="68"/>
      <c r="GV47" s="68"/>
      <c r="GW47" s="68"/>
      <c r="GX47" s="68"/>
      <c r="GY47" s="68"/>
      <c r="GZ47" s="68"/>
      <c r="HA47" s="68"/>
      <c r="HB47" s="68"/>
      <c r="HC47" s="68"/>
      <c r="HD47" s="68"/>
      <c r="HE47" s="68"/>
      <c r="HF47" s="68"/>
      <c r="HG47" s="68"/>
      <c r="HH47" s="68"/>
      <c r="HI47" s="68"/>
      <c r="HJ47" s="68"/>
      <c r="HK47" s="68"/>
      <c r="HL47" s="68"/>
      <c r="HM47" s="68"/>
      <c r="HN47" s="68"/>
      <c r="HO47" s="68"/>
      <c r="HP47" s="68"/>
      <c r="HQ47" s="68"/>
      <c r="HR47" s="68"/>
      <c r="HS47" s="68"/>
      <c r="HT47" s="68"/>
      <c r="HU47" s="68"/>
      <c r="HV47" s="68"/>
      <c r="HW47" s="68"/>
      <c r="HX47" s="68"/>
      <c r="HY47" s="68"/>
      <c r="HZ47" s="68"/>
      <c r="IA47" s="68"/>
      <c r="IB47" s="68"/>
      <c r="IC47" s="68"/>
      <c r="ID47" s="68"/>
      <c r="IE47" s="68"/>
      <c r="IF47" s="68"/>
      <c r="IG47" s="68"/>
      <c r="IH47" s="68"/>
      <c r="II47" s="68"/>
      <c r="IJ47" s="68"/>
      <c r="IK47" s="68"/>
      <c r="IL47" s="68"/>
      <c r="IM47" s="68"/>
      <c r="IN47" s="68"/>
      <c r="IO47" s="68"/>
      <c r="IP47" s="68"/>
      <c r="IQ47" s="68"/>
    </row>
    <row r="48" spans="1:256" ht="15.75" customHeight="1">
      <c r="A48" s="180"/>
      <c r="B48" s="181"/>
      <c r="C48" s="181"/>
      <c r="D48" s="181"/>
      <c r="E48" s="181"/>
      <c r="F48" s="182"/>
      <c r="G48" s="62"/>
      <c r="H48" s="58" t="s">
        <v>403</v>
      </c>
      <c r="I48" s="23"/>
      <c r="J48" s="23">
        <v>4</v>
      </c>
      <c r="K48" s="122" t="s">
        <v>436</v>
      </c>
      <c r="L48" s="123"/>
      <c r="M48" s="53"/>
      <c r="N48"/>
      <c r="O48"/>
      <c r="P48"/>
      <c r="Q48"/>
      <c r="R48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 t="str">
        <f>BE13</f>
        <v>MTH 1505</v>
      </c>
      <c r="BF48" s="3">
        <f>BF13+2</f>
        <v>6</v>
      </c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21" t="s">
        <v>52</v>
      </c>
      <c r="CB48" s="1" t="s">
        <v>214</v>
      </c>
      <c r="CC48" s="1"/>
      <c r="CD48" s="3"/>
      <c r="CE48" s="3"/>
      <c r="CF48" s="3"/>
      <c r="CG48" s="3"/>
      <c r="CH48" s="3"/>
      <c r="CK48" s="3"/>
      <c r="CL48" s="3"/>
      <c r="CM48" s="3"/>
      <c r="CN48" s="39" t="s">
        <v>179</v>
      </c>
      <c r="CO48" s="4" t="s">
        <v>215</v>
      </c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</row>
    <row r="49" spans="1:256" ht="15.75" customHeight="1">
      <c r="A49" s="176" t="s">
        <v>416</v>
      </c>
      <c r="B49" s="177"/>
      <c r="C49" s="177"/>
      <c r="D49" s="177"/>
      <c r="E49" s="177"/>
      <c r="F49" s="179"/>
      <c r="G49" s="57"/>
      <c r="H49" s="23" t="s">
        <v>433</v>
      </c>
      <c r="I49" s="23"/>
      <c r="J49" s="121" t="s">
        <v>432</v>
      </c>
      <c r="K49" s="122" t="s">
        <v>435</v>
      </c>
      <c r="L49" s="123"/>
      <c r="M49" s="53"/>
      <c r="N49"/>
      <c r="O49"/>
      <c r="P49"/>
      <c r="Q49"/>
      <c r="R49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21" t="s">
        <v>52</v>
      </c>
      <c r="CB49" s="1" t="s">
        <v>216</v>
      </c>
      <c r="CC49" s="1"/>
      <c r="CD49" s="3"/>
      <c r="CE49" s="3"/>
      <c r="CF49" s="3"/>
      <c r="CG49" s="3"/>
      <c r="CH49" s="3"/>
      <c r="CK49" s="3"/>
      <c r="CL49" s="3"/>
      <c r="CM49" s="3"/>
      <c r="CN49" s="39" t="s">
        <v>179</v>
      </c>
      <c r="CO49" s="4" t="s">
        <v>217</v>
      </c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</row>
    <row r="50" spans="1:256" ht="15.6">
      <c r="A50" s="180"/>
      <c r="B50" s="181"/>
      <c r="C50" s="181"/>
      <c r="D50" s="181"/>
      <c r="E50" s="181"/>
      <c r="F50" s="182"/>
      <c r="G50" s="62"/>
      <c r="H50" s="58" t="s">
        <v>434</v>
      </c>
      <c r="I50" s="23"/>
      <c r="J50" s="121" t="s">
        <v>432</v>
      </c>
      <c r="K50" s="126" t="s">
        <v>435</v>
      </c>
      <c r="L50" s="123"/>
      <c r="M50" s="53"/>
      <c r="N50"/>
      <c r="O50"/>
      <c r="P50"/>
      <c r="Q50"/>
      <c r="R50"/>
      <c r="CA50" s="21" t="s">
        <v>218</v>
      </c>
      <c r="CB50" s="1" t="s">
        <v>219</v>
      </c>
      <c r="CC50" s="1"/>
      <c r="CN50" s="39" t="s">
        <v>179</v>
      </c>
      <c r="CO50" s="4" t="s">
        <v>220</v>
      </c>
    </row>
    <row r="51" spans="1:256" ht="15.6">
      <c r="A51" s="176"/>
      <c r="B51" s="177"/>
      <c r="C51" s="177"/>
      <c r="D51" s="177"/>
      <c r="E51" s="177"/>
      <c r="F51" s="177"/>
      <c r="G51" s="80"/>
      <c r="H51" s="58"/>
      <c r="I51" s="23"/>
      <c r="J51" s="121"/>
      <c r="K51" s="26"/>
      <c r="L51" s="27"/>
      <c r="M51" s="26"/>
      <c r="N51"/>
      <c r="O51"/>
      <c r="P51"/>
      <c r="Q51"/>
      <c r="R51"/>
      <c r="CA51" s="21" t="s">
        <v>218</v>
      </c>
      <c r="CB51" s="1" t="s">
        <v>221</v>
      </c>
      <c r="CC51" s="1"/>
      <c r="CN51" s="39" t="s">
        <v>179</v>
      </c>
      <c r="CO51" s="4" t="s">
        <v>222</v>
      </c>
    </row>
    <row r="52" spans="1:256" ht="16.2" thickBot="1">
      <c r="A52" s="183"/>
      <c r="B52" s="184"/>
      <c r="C52" s="184"/>
      <c r="D52" s="184"/>
      <c r="E52" s="184"/>
      <c r="F52" s="184"/>
      <c r="G52" s="81"/>
      <c r="H52" s="78"/>
      <c r="I52" s="78"/>
      <c r="J52" s="78"/>
      <c r="K52" s="76"/>
      <c r="L52" s="79"/>
      <c r="N52"/>
      <c r="O52"/>
      <c r="P52"/>
      <c r="Q52"/>
      <c r="R52"/>
      <c r="CA52" s="21" t="s">
        <v>124</v>
      </c>
      <c r="CB52" s="1" t="s">
        <v>223</v>
      </c>
      <c r="CC52" s="1"/>
      <c r="CN52" s="39" t="s">
        <v>179</v>
      </c>
      <c r="CO52" s="4" t="s">
        <v>224</v>
      </c>
    </row>
    <row r="53" spans="1:256" ht="15.6">
      <c r="N53"/>
      <c r="O53"/>
      <c r="P53"/>
      <c r="Q53"/>
      <c r="R53"/>
      <c r="CA53" s="21" t="s">
        <v>124</v>
      </c>
      <c r="CB53" s="1" t="s">
        <v>225</v>
      </c>
      <c r="CC53" s="1"/>
      <c r="CN53" s="39" t="s">
        <v>179</v>
      </c>
      <c r="CO53" s="4" t="s">
        <v>226</v>
      </c>
    </row>
    <row r="54" spans="1:256" ht="15" customHeight="1">
      <c r="N54"/>
      <c r="O54"/>
      <c r="P54"/>
      <c r="Q54"/>
      <c r="R54"/>
      <c r="CA54" s="21" t="s">
        <v>124</v>
      </c>
      <c r="CB54" s="1" t="s">
        <v>227</v>
      </c>
      <c r="CC54" s="21"/>
      <c r="CN54" s="39" t="s">
        <v>179</v>
      </c>
      <c r="CO54" s="4" t="s">
        <v>228</v>
      </c>
    </row>
    <row r="55" spans="1:256" ht="15.6">
      <c r="H55" s="58"/>
      <c r="I55" s="65"/>
      <c r="N55"/>
      <c r="O55"/>
      <c r="P55"/>
      <c r="Q55"/>
      <c r="R55"/>
      <c r="CA55" s="21" t="s">
        <v>187</v>
      </c>
      <c r="CB55" s="1" t="s">
        <v>229</v>
      </c>
      <c r="CC55" s="21"/>
      <c r="CN55" s="39" t="s">
        <v>179</v>
      </c>
      <c r="CO55" s="4" t="s">
        <v>230</v>
      </c>
    </row>
    <row r="56" spans="1:256" ht="15.6">
      <c r="N56"/>
      <c r="O56"/>
      <c r="P56"/>
      <c r="Q56"/>
      <c r="R56"/>
      <c r="CA56" s="21" t="s">
        <v>187</v>
      </c>
      <c r="CB56" s="1" t="s">
        <v>231</v>
      </c>
      <c r="CC56" s="1"/>
      <c r="CN56" s="39" t="s">
        <v>179</v>
      </c>
      <c r="CO56" s="4" t="s">
        <v>232</v>
      </c>
    </row>
    <row r="57" spans="1:256" ht="15.6">
      <c r="N57"/>
      <c r="O57"/>
      <c r="P57"/>
      <c r="Q57"/>
      <c r="R57"/>
      <c r="CA57" s="21" t="s">
        <v>187</v>
      </c>
      <c r="CB57" s="1" t="s">
        <v>233</v>
      </c>
      <c r="CC57" s="1"/>
      <c r="CN57" s="39" t="s">
        <v>234</v>
      </c>
      <c r="CO57" s="4" t="s">
        <v>235</v>
      </c>
    </row>
    <row r="58" spans="1:256" ht="15.6">
      <c r="N58"/>
      <c r="O58"/>
      <c r="P58"/>
      <c r="Q58"/>
      <c r="R58"/>
      <c r="CA58" s="21" t="s">
        <v>187</v>
      </c>
      <c r="CB58" s="1" t="s">
        <v>236</v>
      </c>
      <c r="CC58" s="1"/>
      <c r="CN58" s="39" t="s">
        <v>234</v>
      </c>
      <c r="CO58" s="1" t="s">
        <v>237</v>
      </c>
    </row>
    <row r="59" spans="1:256" ht="15.6">
      <c r="N59"/>
      <c r="O59"/>
      <c r="P59"/>
      <c r="Q59"/>
      <c r="R59"/>
      <c r="CA59" s="21" t="s">
        <v>187</v>
      </c>
      <c r="CB59" s="1" t="s">
        <v>238</v>
      </c>
      <c r="CC59" s="1"/>
      <c r="CN59" s="39" t="s">
        <v>234</v>
      </c>
      <c r="CO59" s="1" t="s">
        <v>239</v>
      </c>
    </row>
    <row r="60" spans="1:256" ht="15.6">
      <c r="N60"/>
      <c r="O60"/>
      <c r="P60"/>
      <c r="Q60"/>
      <c r="R60"/>
      <c r="CA60" s="21" t="s">
        <v>187</v>
      </c>
      <c r="CB60" s="1" t="s">
        <v>240</v>
      </c>
      <c r="CC60" s="21"/>
      <c r="CN60" s="39" t="s">
        <v>234</v>
      </c>
      <c r="CO60" s="1" t="s">
        <v>241</v>
      </c>
    </row>
    <row r="61" spans="1:256" ht="15.6">
      <c r="CA61" s="21" t="s">
        <v>187</v>
      </c>
      <c r="CB61" s="1" t="s">
        <v>242</v>
      </c>
      <c r="CC61" s="1"/>
      <c r="CN61" s="39" t="s">
        <v>234</v>
      </c>
      <c r="CO61" s="1" t="s">
        <v>243</v>
      </c>
    </row>
    <row r="62" spans="1:256" ht="15.6">
      <c r="CA62" s="21" t="s">
        <v>187</v>
      </c>
      <c r="CB62" s="1" t="s">
        <v>244</v>
      </c>
      <c r="CC62" s="1"/>
      <c r="CN62" s="39" t="s">
        <v>234</v>
      </c>
      <c r="CO62" s="1" t="s">
        <v>245</v>
      </c>
    </row>
    <row r="63" spans="1:256" ht="15.6">
      <c r="CA63" s="21" t="s">
        <v>187</v>
      </c>
      <c r="CB63" s="1" t="s">
        <v>246</v>
      </c>
      <c r="CC63" s="1"/>
      <c r="CN63" s="39" t="s">
        <v>234</v>
      </c>
      <c r="CO63" s="1" t="s">
        <v>247</v>
      </c>
    </row>
    <row r="64" spans="1:256" ht="15.6">
      <c r="CA64" s="21" t="s">
        <v>187</v>
      </c>
      <c r="CB64" s="1" t="s">
        <v>248</v>
      </c>
      <c r="CC64" s="1"/>
      <c r="CN64" s="39" t="s">
        <v>234</v>
      </c>
      <c r="CO64" s="1" t="s">
        <v>249</v>
      </c>
    </row>
    <row r="65" spans="79:93" ht="15.6">
      <c r="CA65" s="21" t="s">
        <v>187</v>
      </c>
      <c r="CB65" s="1" t="s">
        <v>250</v>
      </c>
      <c r="CC65" s="1"/>
      <c r="CN65" s="39" t="s">
        <v>234</v>
      </c>
      <c r="CO65" s="1" t="s">
        <v>251</v>
      </c>
    </row>
    <row r="66" spans="79:93" ht="15.6">
      <c r="CA66" s="21" t="s">
        <v>187</v>
      </c>
      <c r="CB66" s="1" t="s">
        <v>252</v>
      </c>
      <c r="CC66" s="1"/>
      <c r="CN66" s="39" t="s">
        <v>234</v>
      </c>
      <c r="CO66" s="1" t="s">
        <v>253</v>
      </c>
    </row>
    <row r="67" spans="79:93" ht="15.6">
      <c r="CA67" s="21" t="s">
        <v>187</v>
      </c>
      <c r="CB67" s="1" t="s">
        <v>254</v>
      </c>
      <c r="CC67" s="1"/>
      <c r="CN67" s="39" t="s">
        <v>234</v>
      </c>
      <c r="CO67" s="1" t="s">
        <v>255</v>
      </c>
    </row>
    <row r="68" spans="79:93" ht="15.6">
      <c r="CA68" s="21" t="s">
        <v>187</v>
      </c>
      <c r="CB68" s="1" t="s">
        <v>256</v>
      </c>
      <c r="CC68" s="1"/>
      <c r="CN68" s="39" t="s">
        <v>234</v>
      </c>
      <c r="CO68" s="1" t="s">
        <v>257</v>
      </c>
    </row>
    <row r="69" spans="79:93" ht="15.6">
      <c r="CA69" s="21" t="s">
        <v>187</v>
      </c>
      <c r="CB69" s="1" t="s">
        <v>258</v>
      </c>
      <c r="CC69" s="1"/>
      <c r="CN69" s="39" t="s">
        <v>234</v>
      </c>
      <c r="CO69" s="1" t="s">
        <v>259</v>
      </c>
    </row>
    <row r="70" spans="79:93" ht="15.6">
      <c r="CA70" s="21" t="s">
        <v>187</v>
      </c>
      <c r="CB70" s="1" t="s">
        <v>260</v>
      </c>
      <c r="CC70" s="1"/>
      <c r="CN70" s="39" t="s">
        <v>234</v>
      </c>
      <c r="CO70" s="1" t="s">
        <v>261</v>
      </c>
    </row>
    <row r="71" spans="79:93" ht="15.6">
      <c r="CA71" s="21" t="s">
        <v>187</v>
      </c>
      <c r="CB71" s="1" t="s">
        <v>262</v>
      </c>
      <c r="CC71" s="1"/>
      <c r="CN71" s="39" t="s">
        <v>234</v>
      </c>
      <c r="CO71" s="1" t="s">
        <v>263</v>
      </c>
    </row>
    <row r="72" spans="79:93" ht="15.6">
      <c r="CA72" s="21" t="s">
        <v>187</v>
      </c>
      <c r="CB72" s="1" t="s">
        <v>264</v>
      </c>
      <c r="CC72" s="1"/>
      <c r="CN72" s="39" t="s">
        <v>234</v>
      </c>
      <c r="CO72" s="1" t="s">
        <v>265</v>
      </c>
    </row>
    <row r="73" spans="79:93" ht="15.6">
      <c r="CA73" s="21" t="s">
        <v>187</v>
      </c>
      <c r="CB73" s="1" t="s">
        <v>266</v>
      </c>
      <c r="CC73" s="1"/>
      <c r="CN73" s="39" t="s">
        <v>234</v>
      </c>
      <c r="CO73" s="1" t="s">
        <v>267</v>
      </c>
    </row>
    <row r="74" spans="79:93" ht="15.6">
      <c r="CA74" s="21" t="s">
        <v>187</v>
      </c>
      <c r="CB74" s="1" t="s">
        <v>268</v>
      </c>
      <c r="CC74" s="1"/>
      <c r="CN74" s="39" t="s">
        <v>234</v>
      </c>
      <c r="CO74" s="1" t="s">
        <v>269</v>
      </c>
    </row>
    <row r="75" spans="79:93" ht="15.6">
      <c r="CA75" s="21" t="s">
        <v>187</v>
      </c>
      <c r="CB75" s="1" t="s">
        <v>270</v>
      </c>
      <c r="CC75" s="1"/>
      <c r="CN75" s="21" t="s">
        <v>271</v>
      </c>
      <c r="CO75" s="69" t="s">
        <v>272</v>
      </c>
    </row>
    <row r="76" spans="79:93" ht="15.6">
      <c r="CA76" s="21" t="s">
        <v>187</v>
      </c>
      <c r="CB76" s="1" t="s">
        <v>273</v>
      </c>
      <c r="CC76" s="1"/>
      <c r="CN76" s="21" t="s">
        <v>271</v>
      </c>
      <c r="CO76" s="69" t="s">
        <v>274</v>
      </c>
    </row>
    <row r="77" spans="79:93" ht="15.6">
      <c r="CA77" s="21" t="s">
        <v>187</v>
      </c>
      <c r="CB77" s="1" t="s">
        <v>275</v>
      </c>
      <c r="CC77" s="1"/>
      <c r="CN77" s="21" t="s">
        <v>271</v>
      </c>
      <c r="CO77" s="69" t="s">
        <v>276</v>
      </c>
    </row>
    <row r="78" spans="79:93" ht="15.6">
      <c r="CA78" s="21" t="s">
        <v>187</v>
      </c>
      <c r="CB78" s="1" t="s">
        <v>277</v>
      </c>
      <c r="CC78" s="1"/>
      <c r="CN78" s="21" t="s">
        <v>271</v>
      </c>
      <c r="CO78" s="69" t="s">
        <v>278</v>
      </c>
    </row>
    <row r="79" spans="79:93" ht="15.6">
      <c r="CA79" s="21" t="s">
        <v>187</v>
      </c>
      <c r="CB79" s="1" t="s">
        <v>279</v>
      </c>
      <c r="CC79" s="1"/>
      <c r="CN79" s="21" t="s">
        <v>271</v>
      </c>
      <c r="CO79" s="69" t="s">
        <v>280</v>
      </c>
    </row>
    <row r="80" spans="79:93" ht="15.6">
      <c r="CA80" s="21" t="s">
        <v>187</v>
      </c>
      <c r="CB80" s="1" t="s">
        <v>281</v>
      </c>
      <c r="CC80" s="1"/>
      <c r="CN80" s="21" t="s">
        <v>271</v>
      </c>
      <c r="CO80" s="69" t="s">
        <v>282</v>
      </c>
    </row>
    <row r="81" spans="79:93" ht="15.6">
      <c r="CA81" s="21" t="s">
        <v>187</v>
      </c>
      <c r="CB81" s="1" t="s">
        <v>283</v>
      </c>
      <c r="CC81" s="1"/>
      <c r="CN81" s="21" t="s">
        <v>271</v>
      </c>
      <c r="CO81" s="69" t="s">
        <v>284</v>
      </c>
    </row>
    <row r="82" spans="79:93" ht="15.6">
      <c r="CA82" s="21" t="s">
        <v>187</v>
      </c>
      <c r="CB82" s="1" t="s">
        <v>285</v>
      </c>
      <c r="CC82" s="1"/>
      <c r="CN82" s="21" t="s">
        <v>271</v>
      </c>
      <c r="CO82" s="69" t="s">
        <v>286</v>
      </c>
    </row>
    <row r="83" spans="79:93" ht="15.6">
      <c r="CA83" s="21" t="s">
        <v>187</v>
      </c>
      <c r="CB83" s="1" t="s">
        <v>287</v>
      </c>
      <c r="CC83" s="1"/>
      <c r="CN83" s="21" t="s">
        <v>271</v>
      </c>
      <c r="CO83" s="69" t="s">
        <v>288</v>
      </c>
    </row>
    <row r="84" spans="79:93" ht="15.6">
      <c r="CA84" s="21" t="s">
        <v>187</v>
      </c>
      <c r="CB84" s="1" t="s">
        <v>289</v>
      </c>
      <c r="CC84" s="1"/>
      <c r="CN84" s="21" t="s">
        <v>271</v>
      </c>
      <c r="CO84" s="69" t="s">
        <v>290</v>
      </c>
    </row>
    <row r="85" spans="79:93" ht="15.6">
      <c r="CA85" s="21" t="s">
        <v>187</v>
      </c>
      <c r="CB85" s="1" t="s">
        <v>291</v>
      </c>
      <c r="CC85" s="1"/>
      <c r="CN85" s="21" t="s">
        <v>271</v>
      </c>
      <c r="CO85" s="69" t="s">
        <v>292</v>
      </c>
    </row>
    <row r="86" spans="79:93" ht="15.6">
      <c r="CA86" s="21" t="s">
        <v>187</v>
      </c>
      <c r="CB86" s="1" t="s">
        <v>293</v>
      </c>
      <c r="CC86" s="1"/>
      <c r="CN86" s="21" t="s">
        <v>271</v>
      </c>
      <c r="CO86" s="69" t="s">
        <v>294</v>
      </c>
    </row>
    <row r="87" spans="79:93" ht="15.6">
      <c r="CA87" s="21" t="s">
        <v>187</v>
      </c>
      <c r="CB87" s="1" t="s">
        <v>295</v>
      </c>
      <c r="CC87" s="1"/>
      <c r="CN87" s="21" t="s">
        <v>271</v>
      </c>
      <c r="CO87" s="69" t="s">
        <v>296</v>
      </c>
    </row>
    <row r="88" spans="79:93" ht="15.6">
      <c r="CA88" s="21" t="s">
        <v>187</v>
      </c>
      <c r="CB88" s="1" t="s">
        <v>297</v>
      </c>
      <c r="CC88" s="1"/>
      <c r="CN88" s="21" t="s">
        <v>271</v>
      </c>
      <c r="CO88" s="69" t="s">
        <v>298</v>
      </c>
    </row>
    <row r="89" spans="79:93" ht="15.6">
      <c r="CA89" s="21" t="s">
        <v>187</v>
      </c>
      <c r="CB89" s="1" t="s">
        <v>299</v>
      </c>
      <c r="CC89" s="1"/>
      <c r="CN89" s="21" t="s">
        <v>271</v>
      </c>
      <c r="CO89" s="69" t="s">
        <v>300</v>
      </c>
    </row>
    <row r="90" spans="79:93" ht="15.6">
      <c r="CA90" s="21" t="s">
        <v>187</v>
      </c>
      <c r="CB90" s="1" t="s">
        <v>301</v>
      </c>
      <c r="CC90" s="1"/>
      <c r="CN90" s="21" t="s">
        <v>271</v>
      </c>
      <c r="CO90" s="69" t="s">
        <v>302</v>
      </c>
    </row>
    <row r="91" spans="79:93" ht="15.6">
      <c r="CA91" s="21" t="s">
        <v>187</v>
      </c>
      <c r="CB91" s="1" t="s">
        <v>303</v>
      </c>
      <c r="CC91" s="1"/>
      <c r="CN91" s="21" t="s">
        <v>271</v>
      </c>
      <c r="CO91" s="69" t="s">
        <v>304</v>
      </c>
    </row>
    <row r="92" spans="79:93" ht="15.6">
      <c r="CA92" s="21" t="s">
        <v>187</v>
      </c>
      <c r="CB92" s="1" t="s">
        <v>305</v>
      </c>
      <c r="CC92" s="1"/>
      <c r="CN92" s="21" t="s">
        <v>271</v>
      </c>
      <c r="CO92" s="69" t="s">
        <v>306</v>
      </c>
    </row>
    <row r="93" spans="79:93" ht="15.6">
      <c r="CA93" s="21" t="s">
        <v>187</v>
      </c>
      <c r="CB93" s="1" t="s">
        <v>307</v>
      </c>
      <c r="CC93" s="1"/>
      <c r="CN93" s="21" t="s">
        <v>271</v>
      </c>
      <c r="CO93" s="69" t="s">
        <v>308</v>
      </c>
    </row>
    <row r="94" spans="79:93" ht="15.6">
      <c r="CA94" s="21" t="s">
        <v>187</v>
      </c>
      <c r="CB94" s="1" t="s">
        <v>309</v>
      </c>
      <c r="CC94" s="1"/>
      <c r="CN94" s="21" t="s">
        <v>271</v>
      </c>
      <c r="CO94" s="69" t="s">
        <v>310</v>
      </c>
    </row>
    <row r="95" spans="79:93" ht="15.6">
      <c r="CA95" s="21" t="s">
        <v>187</v>
      </c>
      <c r="CB95" s="1" t="s">
        <v>311</v>
      </c>
      <c r="CC95" s="1"/>
      <c r="CN95" s="21" t="s">
        <v>271</v>
      </c>
      <c r="CO95" s="69" t="s">
        <v>312</v>
      </c>
    </row>
    <row r="96" spans="79:93" ht="15.6">
      <c r="CA96" s="21" t="s">
        <v>187</v>
      </c>
      <c r="CB96" s="1" t="s">
        <v>313</v>
      </c>
      <c r="CC96" s="1"/>
      <c r="CN96" s="21" t="s">
        <v>271</v>
      </c>
      <c r="CO96" s="69" t="s">
        <v>314</v>
      </c>
    </row>
    <row r="97" spans="79:93" ht="15.6">
      <c r="CA97" s="21" t="s">
        <v>187</v>
      </c>
      <c r="CB97" s="1" t="s">
        <v>315</v>
      </c>
      <c r="CC97" s="1"/>
      <c r="CN97" s="21" t="s">
        <v>271</v>
      </c>
      <c r="CO97" s="69" t="s">
        <v>316</v>
      </c>
    </row>
    <row r="98" spans="79:93" ht="15.6">
      <c r="CA98" s="21" t="s">
        <v>187</v>
      </c>
      <c r="CB98" s="1" t="s">
        <v>317</v>
      </c>
      <c r="CC98" s="1"/>
      <c r="CN98" s="21" t="s">
        <v>271</v>
      </c>
      <c r="CO98" s="69" t="s">
        <v>318</v>
      </c>
    </row>
    <row r="99" spans="79:93" ht="15.6">
      <c r="CA99" s="21" t="s">
        <v>187</v>
      </c>
      <c r="CB99" s="1" t="s">
        <v>319</v>
      </c>
      <c r="CC99" s="1"/>
      <c r="CN99" s="39" t="s">
        <v>199</v>
      </c>
      <c r="CO99" s="4" t="s">
        <v>320</v>
      </c>
    </row>
    <row r="100" spans="79:93" ht="15.6">
      <c r="CA100" s="21" t="s">
        <v>187</v>
      </c>
      <c r="CB100" s="1" t="s">
        <v>321</v>
      </c>
      <c r="CC100" s="1"/>
      <c r="CN100" s="39" t="s">
        <v>199</v>
      </c>
      <c r="CO100" s="4" t="s">
        <v>322</v>
      </c>
    </row>
    <row r="101" spans="79:93" ht="15.6">
      <c r="CA101" s="21" t="s">
        <v>187</v>
      </c>
      <c r="CB101" s="1" t="s">
        <v>323</v>
      </c>
      <c r="CC101" s="1"/>
      <c r="CN101" s="39" t="s">
        <v>199</v>
      </c>
      <c r="CO101" s="4" t="s">
        <v>324</v>
      </c>
    </row>
    <row r="102" spans="79:93" ht="15.6">
      <c r="CA102" s="21" t="s">
        <v>187</v>
      </c>
      <c r="CB102" s="1" t="s">
        <v>325</v>
      </c>
      <c r="CC102" s="1"/>
      <c r="CN102" s="39" t="s">
        <v>199</v>
      </c>
      <c r="CO102" s="4" t="s">
        <v>326</v>
      </c>
    </row>
    <row r="103" spans="79:93" ht="15.6">
      <c r="CA103" s="21" t="s">
        <v>187</v>
      </c>
      <c r="CB103" s="1" t="s">
        <v>327</v>
      </c>
      <c r="CC103" s="1"/>
      <c r="CN103" s="39" t="s">
        <v>199</v>
      </c>
      <c r="CO103" s="4" t="s">
        <v>328</v>
      </c>
    </row>
    <row r="104" spans="79:93" ht="15.6">
      <c r="CA104" s="21" t="s">
        <v>187</v>
      </c>
      <c r="CB104" s="1" t="s">
        <v>329</v>
      </c>
      <c r="CC104" s="1"/>
      <c r="CN104" s="39" t="s">
        <v>199</v>
      </c>
      <c r="CO104" s="4" t="s">
        <v>330</v>
      </c>
    </row>
    <row r="105" spans="79:93" ht="15.6">
      <c r="CA105" s="21" t="s">
        <v>187</v>
      </c>
      <c r="CB105" s="1" t="s">
        <v>331</v>
      </c>
      <c r="CC105" s="1"/>
      <c r="CN105" s="39" t="s">
        <v>199</v>
      </c>
      <c r="CO105" s="4" t="s">
        <v>332</v>
      </c>
    </row>
    <row r="106" spans="79:93" ht="15.6">
      <c r="CA106" s="21" t="s">
        <v>187</v>
      </c>
      <c r="CB106" s="1" t="s">
        <v>333</v>
      </c>
      <c r="CC106" s="1"/>
    </row>
    <row r="107" spans="79:93" ht="15.6">
      <c r="CA107" s="21" t="s">
        <v>187</v>
      </c>
      <c r="CB107" s="1" t="s">
        <v>334</v>
      </c>
      <c r="CC107" s="1"/>
    </row>
    <row r="108" spans="79:93" ht="15.6">
      <c r="CA108" s="21" t="s">
        <v>187</v>
      </c>
      <c r="CB108" s="1" t="s">
        <v>335</v>
      </c>
      <c r="CC108" s="1"/>
    </row>
    <row r="109" spans="79:93" ht="15.6">
      <c r="CA109" s="21" t="s">
        <v>187</v>
      </c>
      <c r="CB109" s="1" t="s">
        <v>336</v>
      </c>
      <c r="CC109" s="1"/>
    </row>
    <row r="110" spans="79:93" ht="15.6">
      <c r="CA110" s="21" t="s">
        <v>187</v>
      </c>
      <c r="CB110" s="1" t="s">
        <v>337</v>
      </c>
      <c r="CC110" s="1"/>
      <c r="CO110" s="39"/>
    </row>
    <row r="111" spans="79:93" ht="15.6">
      <c r="CA111" s="21" t="s">
        <v>187</v>
      </c>
      <c r="CB111" s="1" t="s">
        <v>338</v>
      </c>
      <c r="CC111" s="1"/>
    </row>
    <row r="112" spans="79:93" ht="15.6">
      <c r="CA112" s="21" t="s">
        <v>187</v>
      </c>
      <c r="CB112" s="1" t="s">
        <v>339</v>
      </c>
      <c r="CC112" s="1"/>
    </row>
    <row r="113" spans="79:81" ht="16.2">
      <c r="CA113" s="21" t="s">
        <v>199</v>
      </c>
      <c r="CB113" s="70" t="s">
        <v>340</v>
      </c>
      <c r="CC113" s="1"/>
    </row>
    <row r="114" spans="79:81" ht="16.2">
      <c r="CA114" s="21" t="s">
        <v>199</v>
      </c>
      <c r="CB114" s="70" t="s">
        <v>341</v>
      </c>
      <c r="CC114" s="1"/>
    </row>
    <row r="115" spans="79:81" ht="16.2">
      <c r="CA115" s="21" t="s">
        <v>199</v>
      </c>
      <c r="CB115" s="70" t="s">
        <v>342</v>
      </c>
      <c r="CC115" s="1"/>
    </row>
    <row r="116" spans="79:81" ht="15.6">
      <c r="CA116" s="21" t="s">
        <v>343</v>
      </c>
      <c r="CB116" s="1" t="s">
        <v>344</v>
      </c>
      <c r="CC116" s="1"/>
    </row>
    <row r="117" spans="79:81" ht="15.6">
      <c r="CA117" s="21" t="s">
        <v>343</v>
      </c>
      <c r="CB117" s="1" t="s">
        <v>345</v>
      </c>
      <c r="CC117" s="1"/>
    </row>
    <row r="118" spans="79:81" ht="15.6">
      <c r="CA118" s="21" t="s">
        <v>343</v>
      </c>
      <c r="CB118" s="1" t="s">
        <v>346</v>
      </c>
      <c r="CC118" s="1"/>
    </row>
    <row r="119" spans="79:81" ht="15.6">
      <c r="CA119" s="21" t="s">
        <v>343</v>
      </c>
      <c r="CB119" s="1" t="s">
        <v>347</v>
      </c>
      <c r="CC119" s="21"/>
    </row>
    <row r="120" spans="79:81" ht="15.6">
      <c r="CA120" s="21" t="s">
        <v>343</v>
      </c>
      <c r="CB120" s="1" t="s">
        <v>348</v>
      </c>
      <c r="CC120" s="21"/>
    </row>
    <row r="121" spans="79:81" ht="15.6">
      <c r="CA121" s="21" t="s">
        <v>343</v>
      </c>
      <c r="CB121" s="1" t="s">
        <v>349</v>
      </c>
      <c r="CC121" s="1"/>
    </row>
    <row r="122" spans="79:81" ht="16.2">
      <c r="CA122" s="21" t="s">
        <v>343</v>
      </c>
      <c r="CB122" s="70" t="s">
        <v>350</v>
      </c>
      <c r="CC122" s="1"/>
    </row>
    <row r="123" spans="79:81" ht="15.6">
      <c r="CA123" s="21" t="s">
        <v>343</v>
      </c>
      <c r="CB123" s="1" t="s">
        <v>351</v>
      </c>
      <c r="CC123" s="1"/>
    </row>
    <row r="124" spans="79:81" ht="16.2">
      <c r="CA124" s="21" t="s">
        <v>343</v>
      </c>
      <c r="CB124" s="70" t="s">
        <v>352</v>
      </c>
      <c r="CC124" s="21"/>
    </row>
    <row r="125" spans="79:81" ht="15.6">
      <c r="CA125" s="21" t="s">
        <v>343</v>
      </c>
      <c r="CB125" s="1" t="s">
        <v>353</v>
      </c>
      <c r="CC125" s="21"/>
    </row>
    <row r="126" spans="79:81" ht="15.6">
      <c r="CA126" s="21" t="s">
        <v>343</v>
      </c>
      <c r="CB126" s="1" t="s">
        <v>354</v>
      </c>
      <c r="CC126" s="71"/>
    </row>
    <row r="127" spans="79:81" ht="16.2">
      <c r="CA127" s="21" t="s">
        <v>343</v>
      </c>
      <c r="CB127" s="70" t="s">
        <v>355</v>
      </c>
      <c r="CC127" s="1"/>
    </row>
    <row r="128" spans="79:81" ht="16.2">
      <c r="CA128" s="21" t="s">
        <v>343</v>
      </c>
      <c r="CB128" s="70" t="s">
        <v>356</v>
      </c>
      <c r="CC128" s="1"/>
    </row>
    <row r="129" spans="77:81" ht="16.2">
      <c r="CA129" s="21" t="s">
        <v>343</v>
      </c>
      <c r="CB129" s="70" t="s">
        <v>357</v>
      </c>
      <c r="CC129" s="1"/>
    </row>
    <row r="130" spans="77:81" ht="16.2">
      <c r="CA130" s="21" t="s">
        <v>343</v>
      </c>
      <c r="CB130" s="70" t="s">
        <v>358</v>
      </c>
      <c r="CC130" s="1"/>
    </row>
    <row r="131" spans="77:81" ht="16.2">
      <c r="CA131" s="21" t="s">
        <v>343</v>
      </c>
      <c r="CB131" s="70" t="s">
        <v>359</v>
      </c>
      <c r="CC131" s="1"/>
    </row>
    <row r="132" spans="77:81" ht="15.6">
      <c r="CA132" s="21" t="s">
        <v>343</v>
      </c>
      <c r="CB132" s="1" t="s">
        <v>360</v>
      </c>
      <c r="CC132" s="1"/>
    </row>
    <row r="133" spans="77:81" ht="15.6">
      <c r="CA133" s="21" t="s">
        <v>343</v>
      </c>
      <c r="CB133" s="1" t="s">
        <v>361</v>
      </c>
      <c r="CC133" s="71"/>
    </row>
    <row r="134" spans="77:81" ht="15.6">
      <c r="CA134" s="21" t="s">
        <v>343</v>
      </c>
      <c r="CB134" s="1" t="s">
        <v>362</v>
      </c>
      <c r="CC134" s="71"/>
    </row>
    <row r="135" spans="77:81" ht="16.2">
      <c r="BY135" s="2" t="s">
        <v>363</v>
      </c>
      <c r="CA135" s="21"/>
      <c r="CB135" s="70"/>
      <c r="CC135" s="1"/>
    </row>
    <row r="136" spans="77:81" ht="15.6">
      <c r="CA136" s="21"/>
      <c r="CB136" s="1"/>
      <c r="CC136" s="1"/>
    </row>
    <row r="137" spans="77:81" ht="15.6">
      <c r="CA137" s="21"/>
      <c r="CB137" s="1"/>
      <c r="CC137" s="1"/>
    </row>
    <row r="138" spans="77:81" ht="15.6">
      <c r="CA138" s="21"/>
      <c r="CB138" s="1"/>
      <c r="CC138" s="1"/>
    </row>
    <row r="139" spans="77:81" ht="15.6">
      <c r="CC139" s="1"/>
    </row>
    <row r="140" spans="77:81" ht="15.6">
      <c r="CC140" s="1"/>
    </row>
    <row r="141" spans="77:81" ht="15.6">
      <c r="CC141" s="71"/>
    </row>
    <row r="142" spans="77:81" ht="15.6">
      <c r="CC142" s="1"/>
    </row>
    <row r="143" spans="77:81" ht="15.6">
      <c r="CC143" s="1"/>
    </row>
    <row r="144" spans="77:81" ht="15.6">
      <c r="CC144" s="1"/>
    </row>
    <row r="145" spans="81:81" ht="15.6">
      <c r="CC145" s="1"/>
    </row>
    <row r="146" spans="81:81" ht="15.6">
      <c r="CC146" s="1"/>
    </row>
    <row r="147" spans="81:81" ht="15.6">
      <c r="CC147" s="1"/>
    </row>
    <row r="148" spans="81:81" ht="15.6">
      <c r="CC148" s="1"/>
    </row>
    <row r="149" spans="81:81" ht="15.6">
      <c r="CC149" s="1"/>
    </row>
    <row r="150" spans="81:81" ht="15.6">
      <c r="CC150" s="1"/>
    </row>
  </sheetData>
  <mergeCells count="9">
    <mergeCell ref="J4:L4"/>
    <mergeCell ref="O16:R17"/>
    <mergeCell ref="O18:R19"/>
    <mergeCell ref="A49:F50"/>
    <mergeCell ref="A51:F52"/>
    <mergeCell ref="A41:F41"/>
    <mergeCell ref="A47:F48"/>
    <mergeCell ref="D4:E4"/>
    <mergeCell ref="G4:H4"/>
  </mergeCells>
  <phoneticPr fontId="21" type="noConversion"/>
  <conditionalFormatting sqref="E37">
    <cfRule type="expression" dxfId="38" priority="45" stopIfTrue="1">
      <formula>#REF!=1</formula>
    </cfRule>
  </conditionalFormatting>
  <conditionalFormatting sqref="H38">
    <cfRule type="expression" dxfId="37" priority="46" stopIfTrue="1">
      <formula>AND(NOT($B$38=$I$38),LEFT($B$38,3)=LEFT($I$38,3))</formula>
    </cfRule>
  </conditionalFormatting>
  <dataValidations count="5">
    <dataValidation type="list" allowBlank="1" showInputMessage="1" showErrorMessage="1" sqref="I19">
      <formula1>$CE$9:$CE$30</formula1>
    </dataValidation>
    <dataValidation type="list" allowBlank="1" showInputMessage="1" showErrorMessage="1" sqref="I27">
      <formula1>$CJ$9:$CJ$42</formula1>
    </dataValidation>
    <dataValidation type="list" allowBlank="1" showInputMessage="1" showErrorMessage="1" promptTitle="Different departments" prompt="Make sure to select social sciences from two different departments" sqref="I38">
      <formula1>$CO$9:$CO$105</formula1>
    </dataValidation>
    <dataValidation type="list" allowBlank="1" showInputMessage="1" showErrorMessage="1" promptTitle="Different Departments" prompt="Make sure to select social sciences from two different departments" sqref="B38">
      <formula1>$CO$9:$CO$105</formula1>
    </dataValidation>
    <dataValidation type="list" allowBlank="1" showInputMessage="1" showErrorMessage="1" sqref="B20">
      <formula1>$CB$7:$CB$135</formula1>
    </dataValidation>
  </dataValidations>
  <printOptions horizontalCentered="1" verticalCentered="1"/>
  <pageMargins left="0.5" right="0.5" top="0.1" bottom="0.1" header="0.5" footer="0.5"/>
  <pageSetup scale="73" orientation="portrait" r:id="rId1"/>
  <headerFooter>
    <oddHeader>&amp;L&amp;C&amp;R_x000D__x000D_</oddHeader>
    <oddFooter>&amp;L&amp;C&amp;R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V160"/>
  <sheetViews>
    <sheetView workbookViewId="0">
      <selection activeCell="H36" sqref="H36"/>
    </sheetView>
  </sheetViews>
  <sheetFormatPr defaultColWidth="13.296875" defaultRowHeight="13.2"/>
  <cols>
    <col min="1" max="1" width="14" style="2" customWidth="1"/>
    <col min="2" max="2" width="23" style="2" customWidth="1"/>
    <col min="3" max="3" width="5" style="2" customWidth="1"/>
    <col min="4" max="4" width="4" style="2" customWidth="1"/>
    <col min="5" max="5" width="5" style="2" customWidth="1"/>
    <col min="6" max="6" width="10" style="2" customWidth="1"/>
    <col min="7" max="7" width="3" style="2" customWidth="1"/>
    <col min="8" max="8" width="14" style="2" customWidth="1"/>
    <col min="9" max="9" width="23.296875" style="2" customWidth="1"/>
    <col min="10" max="10" width="5" style="2" customWidth="1"/>
    <col min="11" max="11" width="4" style="2" customWidth="1"/>
    <col min="12" max="13" width="8" style="2" customWidth="1"/>
    <col min="14" max="14" width="5.5" style="2" customWidth="1"/>
    <col min="15" max="15" width="18.296875" style="2" customWidth="1"/>
    <col min="16" max="16" width="26.19921875" style="2" bestFit="1" customWidth="1"/>
    <col min="17" max="17" width="13.296875" style="2"/>
    <col min="18" max="18" width="18" style="2" bestFit="1" customWidth="1"/>
    <col min="19" max="19" width="13.296875" style="2"/>
    <col min="20" max="20" width="18" style="2" bestFit="1" customWidth="1"/>
    <col min="21" max="29" width="13.296875" style="2"/>
    <col min="30" max="30" width="5" style="2" bestFit="1" customWidth="1"/>
    <col min="31" max="31" width="13.296875" style="2"/>
    <col min="32" max="34" width="3.19921875" style="2" customWidth="1"/>
    <col min="35" max="44" width="13.296875" style="2"/>
    <col min="45" max="45" width="21" style="2" bestFit="1" customWidth="1"/>
    <col min="46" max="46" width="36.796875" style="2" customWidth="1"/>
    <col min="47" max="47" width="16.69921875" style="2" customWidth="1"/>
    <col min="48" max="48" width="20.796875" style="2" bestFit="1" customWidth="1"/>
    <col min="49" max="79" width="13.296875" style="2"/>
    <col min="80" max="80" width="65.5" style="2" bestFit="1" customWidth="1"/>
    <col min="81" max="16384" width="13.296875" style="2"/>
  </cols>
  <sheetData>
    <row r="1" spans="1:256" ht="15.75" customHeight="1">
      <c r="A1" s="7"/>
      <c r="B1" s="10"/>
      <c r="C1" s="72"/>
      <c r="D1" s="72"/>
      <c r="E1" s="9" t="s">
        <v>0</v>
      </c>
      <c r="F1" s="9"/>
      <c r="G1" s="11"/>
      <c r="H1" s="10"/>
      <c r="I1" s="10"/>
      <c r="J1" s="9"/>
      <c r="K1" s="10"/>
      <c r="L1" s="12"/>
      <c r="M1" s="1"/>
      <c r="IR1" s="3"/>
      <c r="IS1" s="3"/>
      <c r="IT1" s="3"/>
      <c r="IU1" s="3"/>
      <c r="IV1" s="3"/>
    </row>
    <row r="2" spans="1:256" ht="15.75" customHeight="1">
      <c r="A2" s="40"/>
      <c r="B2" s="13"/>
      <c r="C2" s="26"/>
      <c r="D2" s="26"/>
      <c r="E2" s="44" t="s">
        <v>406</v>
      </c>
      <c r="F2" s="44"/>
      <c r="G2" s="23"/>
      <c r="H2" s="13"/>
      <c r="I2" s="13"/>
      <c r="J2" s="44"/>
      <c r="K2" s="13"/>
      <c r="L2" s="73"/>
      <c r="M2" s="1"/>
      <c r="CO2" s="4" t="s">
        <v>1</v>
      </c>
      <c r="IR2" s="3"/>
      <c r="IS2" s="3"/>
      <c r="IT2" s="3"/>
      <c r="IU2" s="3"/>
      <c r="IV2" s="3"/>
    </row>
    <row r="3" spans="1:256" ht="12.75" customHeight="1">
      <c r="A3" s="40"/>
      <c r="B3" s="13"/>
      <c r="C3" s="13"/>
      <c r="D3" s="13"/>
      <c r="E3" s="13"/>
      <c r="F3" s="13"/>
      <c r="G3" s="13"/>
      <c r="H3" s="13"/>
      <c r="I3" s="13"/>
      <c r="J3" s="24"/>
      <c r="K3" s="13"/>
      <c r="L3" s="73"/>
      <c r="M3" s="1"/>
      <c r="CO3" s="4" t="s">
        <v>2</v>
      </c>
    </row>
    <row r="4" spans="1:256" ht="17.25" customHeight="1">
      <c r="A4" s="74" t="s">
        <v>3</v>
      </c>
      <c r="B4" s="5" t="s">
        <v>4</v>
      </c>
      <c r="C4" s="13" t="s">
        <v>5</v>
      </c>
      <c r="D4" s="188" t="s">
        <v>6</v>
      </c>
      <c r="E4" s="174"/>
      <c r="F4" s="23" t="s">
        <v>7</v>
      </c>
      <c r="G4" s="188" t="s">
        <v>8</v>
      </c>
      <c r="H4" s="174"/>
      <c r="I4" s="75" t="s">
        <v>9</v>
      </c>
      <c r="J4" s="173" t="s">
        <v>10</v>
      </c>
      <c r="K4" s="174"/>
      <c r="L4" s="175"/>
      <c r="M4" s="6"/>
      <c r="CO4" s="4" t="s">
        <v>11</v>
      </c>
    </row>
    <row r="5" spans="1:256" ht="10.5" customHeight="1" thickBot="1">
      <c r="A5" s="40"/>
      <c r="B5" s="13"/>
      <c r="C5" s="13"/>
      <c r="D5" s="13"/>
      <c r="E5" s="13"/>
      <c r="F5" s="13"/>
      <c r="G5" s="13"/>
      <c r="H5" s="13"/>
      <c r="I5" s="13"/>
      <c r="J5" s="24"/>
      <c r="K5" s="13"/>
      <c r="L5" s="73"/>
      <c r="M5" s="1"/>
    </row>
    <row r="6" spans="1:256" ht="15.75" customHeight="1">
      <c r="A6" s="7"/>
      <c r="B6" s="8" t="s">
        <v>12</v>
      </c>
      <c r="C6" s="9"/>
      <c r="D6" s="9"/>
      <c r="E6" s="9"/>
      <c r="F6" s="10"/>
      <c r="G6" s="11"/>
      <c r="H6" s="10"/>
      <c r="I6" s="8" t="s">
        <v>13</v>
      </c>
      <c r="J6" s="9"/>
      <c r="K6" s="10"/>
      <c r="L6" s="12"/>
      <c r="M6" s="13"/>
      <c r="BC6" s="2" t="s">
        <v>14</v>
      </c>
      <c r="CA6" s="2" t="s">
        <v>15</v>
      </c>
      <c r="CD6" s="2" t="s">
        <v>16</v>
      </c>
      <c r="IR6" s="3"/>
      <c r="IS6" s="3"/>
      <c r="IT6" s="3"/>
      <c r="IU6" s="3"/>
      <c r="IV6" s="3"/>
    </row>
    <row r="7" spans="1:256" ht="15.75" customHeight="1" thickBot="1">
      <c r="A7" s="14"/>
      <c r="B7" s="15"/>
      <c r="C7" s="16"/>
      <c r="D7" s="16"/>
      <c r="E7" s="16"/>
      <c r="F7" s="17" t="s">
        <v>17</v>
      </c>
      <c r="G7" s="18"/>
      <c r="H7" s="19"/>
      <c r="I7" s="15"/>
      <c r="J7" s="16"/>
      <c r="K7" s="19"/>
      <c r="L7" s="20"/>
      <c r="M7" s="13"/>
      <c r="BC7" s="2" t="s">
        <v>18</v>
      </c>
      <c r="BE7" s="2" t="s">
        <v>19</v>
      </c>
      <c r="CA7" s="21"/>
      <c r="CB7" s="1"/>
      <c r="CI7" s="2" t="s">
        <v>20</v>
      </c>
      <c r="CN7" s="2" t="s">
        <v>21</v>
      </c>
      <c r="CS7" s="2" t="s">
        <v>22</v>
      </c>
      <c r="IR7" s="3"/>
      <c r="IS7" s="3"/>
      <c r="IT7" s="3"/>
      <c r="IU7" s="3"/>
      <c r="IV7" s="3"/>
    </row>
    <row r="8" spans="1:256" ht="15.75" customHeight="1" thickBot="1">
      <c r="A8" s="22" t="s">
        <v>23</v>
      </c>
      <c r="B8" s="23" t="s">
        <v>24</v>
      </c>
      <c r="C8" s="24">
        <v>4</v>
      </c>
      <c r="D8" s="25"/>
      <c r="E8" s="26"/>
      <c r="F8" s="24"/>
      <c r="G8" s="23"/>
      <c r="H8" s="23" t="s">
        <v>369</v>
      </c>
      <c r="I8" s="23" t="s">
        <v>368</v>
      </c>
      <c r="J8" s="24">
        <v>4</v>
      </c>
      <c r="K8" s="25"/>
      <c r="L8" s="27"/>
      <c r="M8" s="26"/>
      <c r="N8"/>
      <c r="O8"/>
      <c r="BC8" s="2" t="str">
        <f>A8</f>
        <v>GEN 1001</v>
      </c>
      <c r="BD8" s="2">
        <f>C8</f>
        <v>4</v>
      </c>
      <c r="BE8" s="2" t="str">
        <f>H16</f>
        <v>EEN 2140</v>
      </c>
      <c r="BF8" s="2">
        <f>J16</f>
        <v>4</v>
      </c>
      <c r="CA8" s="21"/>
      <c r="CB8" s="1"/>
      <c r="IR8" s="3"/>
      <c r="IS8" s="3"/>
      <c r="IT8" s="3"/>
      <c r="IU8" s="3"/>
      <c r="IV8" s="3"/>
    </row>
    <row r="9" spans="1:256" ht="15.75" customHeight="1" thickBot="1">
      <c r="A9" s="28" t="s">
        <v>26</v>
      </c>
      <c r="B9" s="23" t="s">
        <v>27</v>
      </c>
      <c r="C9" s="24">
        <v>4</v>
      </c>
      <c r="D9" s="25"/>
      <c r="E9" s="26"/>
      <c r="F9" s="24"/>
      <c r="G9" s="23"/>
      <c r="H9" s="23" t="s">
        <v>28</v>
      </c>
      <c r="I9" s="23" t="s">
        <v>29</v>
      </c>
      <c r="J9" s="24">
        <v>4</v>
      </c>
      <c r="K9" s="25"/>
      <c r="L9" s="27"/>
      <c r="M9" s="26"/>
      <c r="N9"/>
      <c r="O9"/>
      <c r="BC9" s="2" t="str">
        <f>A16</f>
        <v>EEN 2130</v>
      </c>
      <c r="BD9" s="2">
        <f>C16</f>
        <v>4</v>
      </c>
      <c r="BE9" s="2" t="str">
        <f>H18</f>
        <v>EEN 2270</v>
      </c>
      <c r="BF9" s="2">
        <f>J18</f>
        <v>4</v>
      </c>
      <c r="CA9" s="21" t="s">
        <v>30</v>
      </c>
      <c r="CB9" s="1" t="s">
        <v>31</v>
      </c>
      <c r="CD9" s="21" t="s">
        <v>32</v>
      </c>
      <c r="CE9" s="1" t="s">
        <v>33</v>
      </c>
      <c r="CI9" s="21" t="s">
        <v>34</v>
      </c>
      <c r="CJ9" s="1" t="s">
        <v>35</v>
      </c>
      <c r="CN9" s="21" t="s">
        <v>30</v>
      </c>
      <c r="CO9" s="4" t="s">
        <v>36</v>
      </c>
      <c r="CS9" s="2" t="s">
        <v>37</v>
      </c>
      <c r="IR9" s="3"/>
      <c r="IS9" s="3"/>
      <c r="IT9" s="3"/>
      <c r="IU9" s="3"/>
      <c r="IV9" s="3"/>
    </row>
    <row r="10" spans="1:256" ht="15.75" customHeight="1" thickBot="1">
      <c r="A10" s="28" t="s">
        <v>38</v>
      </c>
      <c r="B10" s="23" t="s">
        <v>39</v>
      </c>
      <c r="C10" s="24">
        <v>4</v>
      </c>
      <c r="D10" s="25"/>
      <c r="E10" s="26"/>
      <c r="F10" s="24"/>
      <c r="G10" s="23"/>
      <c r="H10" s="29" t="s">
        <v>100</v>
      </c>
      <c r="I10" s="45" t="s">
        <v>101</v>
      </c>
      <c r="J10" s="24">
        <v>4</v>
      </c>
      <c r="K10" s="25"/>
      <c r="L10" s="27"/>
      <c r="M10" s="26"/>
      <c r="N10"/>
      <c r="O10"/>
      <c r="BC10" s="2" t="str">
        <f>A19</f>
        <v>EEN 2250</v>
      </c>
      <c r="BD10" s="2">
        <f>C19</f>
        <v>2</v>
      </c>
      <c r="BE10" s="2" t="str">
        <f>H42</f>
        <v>MTH 1505</v>
      </c>
      <c r="BF10" s="2">
        <f>J42</f>
        <v>4</v>
      </c>
      <c r="CA10" s="21" t="s">
        <v>30</v>
      </c>
      <c r="CB10" s="1" t="s">
        <v>42</v>
      </c>
      <c r="CD10" s="21" t="s">
        <v>43</v>
      </c>
      <c r="CE10" s="1" t="s">
        <v>44</v>
      </c>
      <c r="CI10" s="21" t="s">
        <v>34</v>
      </c>
      <c r="CJ10" s="1" t="s">
        <v>45</v>
      </c>
      <c r="CN10" s="21" t="s">
        <v>30</v>
      </c>
      <c r="CO10" s="4" t="s">
        <v>46</v>
      </c>
      <c r="CS10" s="2" t="s">
        <v>47</v>
      </c>
      <c r="IR10" s="3"/>
      <c r="IS10" s="3"/>
      <c r="IT10" s="3"/>
      <c r="IU10" s="3"/>
      <c r="IV10" s="3"/>
    </row>
    <row r="11" spans="1:256" ht="15.75" customHeight="1" thickBot="1">
      <c r="A11" s="22" t="s">
        <v>364</v>
      </c>
      <c r="B11" s="23" t="s">
        <v>365</v>
      </c>
      <c r="C11" s="24">
        <v>4</v>
      </c>
      <c r="D11" s="25"/>
      <c r="E11" s="26"/>
      <c r="F11" s="24"/>
      <c r="G11" s="23"/>
      <c r="H11" s="23" t="s">
        <v>48</v>
      </c>
      <c r="I11" s="23" t="s">
        <v>49</v>
      </c>
      <c r="J11" s="24">
        <v>4</v>
      </c>
      <c r="K11" s="25"/>
      <c r="L11" s="27"/>
      <c r="M11" s="26"/>
      <c r="N11"/>
      <c r="O11"/>
      <c r="BC11" s="2" t="e">
        <f>#REF!</f>
        <v>#REF!</v>
      </c>
      <c r="BD11" s="2" t="e">
        <f>#REF!</f>
        <v>#REF!</v>
      </c>
      <c r="BE11" s="2" t="str">
        <f>H43</f>
        <v>EEN 4270</v>
      </c>
      <c r="BF11" s="2">
        <f>J43</f>
        <v>4</v>
      </c>
      <c r="CA11" s="21" t="s">
        <v>52</v>
      </c>
      <c r="CB11" s="1" t="s">
        <v>53</v>
      </c>
      <c r="CC11" s="1"/>
      <c r="CD11" s="21" t="s">
        <v>43</v>
      </c>
      <c r="CE11" s="1" t="s">
        <v>54</v>
      </c>
      <c r="CI11" s="21" t="s">
        <v>55</v>
      </c>
      <c r="CJ11" s="1" t="s">
        <v>56</v>
      </c>
      <c r="CN11" s="21" t="s">
        <v>30</v>
      </c>
      <c r="CO11" s="4" t="s">
        <v>57</v>
      </c>
      <c r="CS11" s="2" t="s">
        <v>58</v>
      </c>
      <c r="IR11" s="3"/>
      <c r="IS11" s="3"/>
      <c r="IT11" s="3"/>
      <c r="IU11" s="3"/>
      <c r="IV11" s="3"/>
    </row>
    <row r="12" spans="1:256" ht="15.75" customHeight="1" thickBot="1">
      <c r="A12" s="22" t="s">
        <v>366</v>
      </c>
      <c r="B12" s="23" t="s">
        <v>367</v>
      </c>
      <c r="C12" s="24">
        <v>2</v>
      </c>
      <c r="D12" s="25"/>
      <c r="E12" s="31"/>
      <c r="F12" s="24"/>
      <c r="G12" s="23"/>
      <c r="H12" s="23"/>
      <c r="I12" s="32"/>
      <c r="J12" s="24"/>
      <c r="K12" s="31"/>
      <c r="L12" s="33"/>
      <c r="M12" s="31"/>
      <c r="N12"/>
      <c r="O12"/>
      <c r="BC12" s="2" t="e">
        <f>#REF!</f>
        <v>#REF!</v>
      </c>
      <c r="BD12" s="2" t="e">
        <f>#REF!</f>
        <v>#REF!</v>
      </c>
      <c r="BE12" s="2" t="str">
        <f>H44</f>
        <v>EEN</v>
      </c>
      <c r="BF12" s="2">
        <f>J44</f>
        <v>4</v>
      </c>
      <c r="CA12" s="21" t="s">
        <v>52</v>
      </c>
      <c r="CB12" s="1" t="s">
        <v>59</v>
      </c>
      <c r="CC12" s="1"/>
      <c r="CD12" s="21" t="s">
        <v>43</v>
      </c>
      <c r="CE12" s="1" t="s">
        <v>60</v>
      </c>
      <c r="CI12" s="21" t="s">
        <v>55</v>
      </c>
      <c r="CJ12" s="1" t="s">
        <v>61</v>
      </c>
      <c r="CN12" s="21" t="s">
        <v>30</v>
      </c>
      <c r="CO12" s="4" t="s">
        <v>62</v>
      </c>
      <c r="CS12" s="2" t="s">
        <v>63</v>
      </c>
      <c r="IR12" s="3"/>
      <c r="IS12" s="3"/>
      <c r="IT12" s="3"/>
      <c r="IU12" s="3"/>
      <c r="IV12" s="3"/>
    </row>
    <row r="13" spans="1:256" ht="15.75" customHeight="1">
      <c r="A13" s="34"/>
      <c r="B13" s="35"/>
      <c r="C13" s="36">
        <f>SUM(C8:C12)</f>
        <v>18</v>
      </c>
      <c r="D13" s="37"/>
      <c r="E13" s="37"/>
      <c r="F13" s="36"/>
      <c r="G13" s="35"/>
      <c r="H13" s="35"/>
      <c r="I13" s="35"/>
      <c r="J13" s="36">
        <f>SUM(J8:J12)</f>
        <v>16</v>
      </c>
      <c r="K13" s="37"/>
      <c r="L13" s="38"/>
      <c r="M13" s="31"/>
      <c r="N13" s="61"/>
      <c r="O13" s="61"/>
      <c r="P13" s="61"/>
      <c r="Q13" s="61"/>
      <c r="R13" s="61"/>
      <c r="S13" s="61"/>
      <c r="BC13" s="2" t="e">
        <f>#REF!</f>
        <v>#REF!</v>
      </c>
      <c r="BD13" s="2" t="e">
        <f>#REF!</f>
        <v>#REF!</v>
      </c>
      <c r="BE13" s="2" t="str">
        <f>H33</f>
        <v>EEN 3220</v>
      </c>
      <c r="BF13" s="2">
        <f>J33</f>
        <v>4</v>
      </c>
      <c r="CA13" s="21" t="s">
        <v>52</v>
      </c>
      <c r="CB13" s="1" t="s">
        <v>64</v>
      </c>
      <c r="CC13" s="1"/>
      <c r="CD13" s="21" t="s">
        <v>43</v>
      </c>
      <c r="CE13" s="1" t="s">
        <v>65</v>
      </c>
      <c r="CI13" s="21" t="s">
        <v>55</v>
      </c>
      <c r="CJ13" s="1" t="s">
        <v>66</v>
      </c>
      <c r="CN13" s="39" t="s">
        <v>34</v>
      </c>
      <c r="CO13" s="4" t="s">
        <v>1</v>
      </c>
      <c r="CS13" s="2" t="s">
        <v>67</v>
      </c>
      <c r="IR13" s="3"/>
      <c r="IS13" s="3"/>
      <c r="IT13" s="3"/>
      <c r="IU13" s="3"/>
      <c r="IV13" s="3"/>
    </row>
    <row r="14" spans="1:256" ht="9" customHeight="1" thickBot="1">
      <c r="A14" s="40"/>
      <c r="B14" s="13"/>
      <c r="C14" s="13"/>
      <c r="D14" s="24" t="s">
        <v>68</v>
      </c>
      <c r="E14" s="24" t="s">
        <v>68</v>
      </c>
      <c r="F14" s="24"/>
      <c r="G14" s="23"/>
      <c r="H14" s="13"/>
      <c r="I14" s="13"/>
      <c r="J14" s="13"/>
      <c r="K14" s="24" t="s">
        <v>68</v>
      </c>
      <c r="L14" s="41" t="s">
        <v>68</v>
      </c>
      <c r="M14" s="24"/>
      <c r="N14" s="61"/>
      <c r="O14" s="61"/>
      <c r="P14" s="61"/>
      <c r="Q14" s="61"/>
      <c r="R14" s="61"/>
      <c r="S14" s="61"/>
      <c r="CA14" s="21" t="s">
        <v>52</v>
      </c>
      <c r="CB14" s="1" t="s">
        <v>69</v>
      </c>
      <c r="CC14" s="1"/>
      <c r="CD14" s="21" t="s">
        <v>43</v>
      </c>
      <c r="CE14" s="1" t="s">
        <v>70</v>
      </c>
      <c r="CI14" s="21" t="s">
        <v>55</v>
      </c>
      <c r="CJ14" s="1" t="s">
        <v>71</v>
      </c>
      <c r="CN14" s="39" t="s">
        <v>34</v>
      </c>
      <c r="CO14" s="4" t="s">
        <v>2</v>
      </c>
      <c r="CS14" s="2" t="s">
        <v>72</v>
      </c>
      <c r="IR14" s="3"/>
      <c r="IS14" s="3"/>
      <c r="IT14" s="3"/>
      <c r="IU14" s="3"/>
      <c r="IV14" s="3"/>
    </row>
    <row r="15" spans="1:256" ht="16.5" customHeight="1" thickBot="1">
      <c r="A15" s="14"/>
      <c r="B15" s="19"/>
      <c r="C15" s="19"/>
      <c r="D15" s="42"/>
      <c r="E15" s="42"/>
      <c r="F15" s="16" t="s">
        <v>73</v>
      </c>
      <c r="G15" s="18"/>
      <c r="H15" s="19"/>
      <c r="I15" s="19"/>
      <c r="J15" s="19"/>
      <c r="K15" s="42"/>
      <c r="L15" s="43"/>
      <c r="M15" s="24"/>
      <c r="N15" s="61"/>
      <c r="O15" s="84" t="s">
        <v>74</v>
      </c>
      <c r="P15" s="85"/>
      <c r="Q15" s="85"/>
      <c r="R15" s="86"/>
      <c r="S15" s="61"/>
      <c r="BC15" s="2" t="str">
        <f>B33</f>
        <v>VLSI Design</v>
      </c>
      <c r="BD15" s="2">
        <f>C33</f>
        <v>4</v>
      </c>
      <c r="BE15" s="2" t="str">
        <f>I34</f>
        <v>Linear Signals and Systems</v>
      </c>
      <c r="BF15" s="2">
        <f>J34</f>
        <v>4</v>
      </c>
      <c r="CA15" s="21" t="s">
        <v>52</v>
      </c>
      <c r="CB15" s="1" t="s">
        <v>75</v>
      </c>
      <c r="CC15" s="1"/>
      <c r="CD15" s="21" t="s">
        <v>43</v>
      </c>
      <c r="CE15" s="1" t="s">
        <v>76</v>
      </c>
      <c r="CI15" s="21" t="s">
        <v>55</v>
      </c>
      <c r="CJ15" s="1" t="s">
        <v>77</v>
      </c>
      <c r="CN15" s="39" t="s">
        <v>34</v>
      </c>
      <c r="CO15" s="4" t="s">
        <v>78</v>
      </c>
      <c r="CS15" s="2" t="s">
        <v>79</v>
      </c>
      <c r="IR15" s="3"/>
      <c r="IS15" s="3"/>
      <c r="IT15" s="3"/>
      <c r="IU15" s="3"/>
      <c r="IV15" s="3"/>
    </row>
    <row r="16" spans="1:256" ht="15" customHeight="1" thickBot="1">
      <c r="A16" s="28" t="s">
        <v>370</v>
      </c>
      <c r="B16" s="23" t="s">
        <v>371</v>
      </c>
      <c r="C16" s="24">
        <v>4</v>
      </c>
      <c r="D16" s="25"/>
      <c r="E16" s="26"/>
      <c r="F16" s="24"/>
      <c r="G16" s="23"/>
      <c r="H16" s="29" t="s">
        <v>374</v>
      </c>
      <c r="I16" s="23" t="s">
        <v>375</v>
      </c>
      <c r="J16" s="24">
        <v>4</v>
      </c>
      <c r="K16" s="25"/>
      <c r="L16" s="27"/>
      <c r="M16" s="26"/>
      <c r="N16" s="61"/>
      <c r="O16" s="176" t="s">
        <v>80</v>
      </c>
      <c r="P16" s="177"/>
      <c r="Q16" s="177"/>
      <c r="R16" s="178"/>
      <c r="S16" s="61"/>
      <c r="BE16" s="2" t="str">
        <f>I35</f>
        <v>Eng. Electromagnetics II</v>
      </c>
      <c r="BF16" s="2">
        <f>J35</f>
        <v>2</v>
      </c>
      <c r="CA16" s="21" t="s">
        <v>52</v>
      </c>
      <c r="CB16" s="1" t="s">
        <v>81</v>
      </c>
      <c r="CC16" s="1"/>
      <c r="CD16" s="21" t="s">
        <v>43</v>
      </c>
      <c r="CE16" s="1" t="s">
        <v>82</v>
      </c>
      <c r="CI16" s="21" t="s">
        <v>55</v>
      </c>
      <c r="CJ16" s="1" t="s">
        <v>83</v>
      </c>
      <c r="CN16" s="39" t="s">
        <v>34</v>
      </c>
      <c r="CO16" s="4" t="s">
        <v>84</v>
      </c>
      <c r="CS16" s="2" t="s">
        <v>85</v>
      </c>
      <c r="IR16" s="3"/>
      <c r="IS16" s="3"/>
      <c r="IT16" s="3"/>
      <c r="IU16" s="3"/>
      <c r="IV16" s="3"/>
    </row>
    <row r="17" spans="1:256" ht="15.75" customHeight="1" thickBot="1">
      <c r="A17" s="22" t="s">
        <v>40</v>
      </c>
      <c r="B17" s="23" t="s">
        <v>41</v>
      </c>
      <c r="C17" s="24">
        <v>4</v>
      </c>
      <c r="D17" s="25"/>
      <c r="E17" s="26"/>
      <c r="F17" s="24"/>
      <c r="G17" s="23"/>
      <c r="H17" s="29" t="s">
        <v>376</v>
      </c>
      <c r="I17" s="23" t="s">
        <v>377</v>
      </c>
      <c r="J17" s="24">
        <v>4</v>
      </c>
      <c r="K17" s="25"/>
      <c r="L17" s="27"/>
      <c r="M17" s="26"/>
      <c r="N17" s="61"/>
      <c r="O17" s="176"/>
      <c r="P17" s="177"/>
      <c r="Q17" s="177"/>
      <c r="R17" s="178"/>
      <c r="S17" s="61"/>
      <c r="BE17" s="2" t="str">
        <f>H36</f>
        <v>EEN 4970</v>
      </c>
      <c r="BF17" s="2">
        <f>J36</f>
        <v>2</v>
      </c>
      <c r="CA17" s="21" t="s">
        <v>52</v>
      </c>
      <c r="CB17" s="1" t="s">
        <v>87</v>
      </c>
      <c r="CC17" s="1"/>
      <c r="CD17" s="21" t="s">
        <v>43</v>
      </c>
      <c r="CE17" s="1" t="s">
        <v>88</v>
      </c>
      <c r="CI17" s="21" t="s">
        <v>55</v>
      </c>
      <c r="CJ17" s="1" t="s">
        <v>89</v>
      </c>
      <c r="CN17" s="39" t="s">
        <v>34</v>
      </c>
      <c r="CO17" s="4" t="s">
        <v>90</v>
      </c>
      <c r="CS17" s="2" t="s">
        <v>91</v>
      </c>
      <c r="IR17" s="3"/>
      <c r="IS17" s="3"/>
      <c r="IT17" s="3"/>
      <c r="IU17" s="3"/>
      <c r="IV17" s="3"/>
    </row>
    <row r="18" spans="1:256" ht="15.75" customHeight="1" thickBot="1">
      <c r="A18" s="28" t="s">
        <v>92</v>
      </c>
      <c r="B18" s="23" t="s">
        <v>93</v>
      </c>
      <c r="C18" s="24">
        <v>4</v>
      </c>
      <c r="D18" s="25"/>
      <c r="E18" s="26"/>
      <c r="F18" s="24"/>
      <c r="G18" s="23"/>
      <c r="H18" s="29" t="s">
        <v>378</v>
      </c>
      <c r="I18" s="23" t="s">
        <v>379</v>
      </c>
      <c r="J18" s="24">
        <v>4</v>
      </c>
      <c r="K18" s="25"/>
      <c r="L18" s="27"/>
      <c r="M18" s="26"/>
      <c r="N18" s="61"/>
      <c r="O18" s="176" t="s">
        <v>94</v>
      </c>
      <c r="P18" s="177"/>
      <c r="Q18" s="177"/>
      <c r="R18" s="178"/>
      <c r="S18" s="61"/>
      <c r="CA18" s="21" t="s">
        <v>52</v>
      </c>
      <c r="CB18" s="1" t="s">
        <v>95</v>
      </c>
      <c r="CC18" s="1"/>
      <c r="CD18" s="21" t="s">
        <v>43</v>
      </c>
      <c r="CE18" s="21" t="s">
        <v>96</v>
      </c>
      <c r="CI18" s="21" t="s">
        <v>55</v>
      </c>
      <c r="CJ18" s="1" t="s">
        <v>97</v>
      </c>
      <c r="CN18" s="39" t="s">
        <v>34</v>
      </c>
      <c r="CO18" s="4" t="s">
        <v>98</v>
      </c>
      <c r="CS18" s="2" t="s">
        <v>99</v>
      </c>
      <c r="IR18" s="3"/>
      <c r="IS18" s="3"/>
      <c r="IT18" s="3"/>
      <c r="IU18" s="3"/>
      <c r="IV18" s="3"/>
    </row>
    <row r="19" spans="1:256" ht="15.75" customHeight="1" thickBot="1">
      <c r="A19" s="28" t="s">
        <v>372</v>
      </c>
      <c r="B19" s="23" t="s">
        <v>373</v>
      </c>
      <c r="C19" s="24">
        <v>2</v>
      </c>
      <c r="D19" s="25"/>
      <c r="E19" s="26"/>
      <c r="F19" s="44"/>
      <c r="G19" s="23"/>
      <c r="H19" s="23" t="s">
        <v>143</v>
      </c>
      <c r="I19" s="30" t="s">
        <v>144</v>
      </c>
      <c r="J19" s="24">
        <v>4</v>
      </c>
      <c r="K19" s="25"/>
      <c r="L19" s="27"/>
      <c r="M19" s="26"/>
      <c r="N19" s="61"/>
      <c r="O19" s="183"/>
      <c r="P19" s="184"/>
      <c r="Q19" s="184"/>
      <c r="R19" s="189"/>
      <c r="S19" s="61"/>
      <c r="CA19" s="21" t="s">
        <v>52</v>
      </c>
      <c r="CB19" s="1" t="s">
        <v>102</v>
      </c>
      <c r="CC19" s="1"/>
      <c r="CD19" s="21" t="s">
        <v>43</v>
      </c>
      <c r="CE19" s="1" t="s">
        <v>103</v>
      </c>
      <c r="CI19" s="21" t="s">
        <v>55</v>
      </c>
      <c r="CJ19" s="1" t="s">
        <v>104</v>
      </c>
      <c r="CN19" s="39" t="s">
        <v>34</v>
      </c>
      <c r="CO19" s="4" t="s">
        <v>105</v>
      </c>
      <c r="CS19" s="2" t="s">
        <v>106</v>
      </c>
      <c r="IR19" s="3"/>
      <c r="IS19" s="3"/>
      <c r="IT19" s="3"/>
      <c r="IU19" s="3"/>
      <c r="IV19" s="3"/>
    </row>
    <row r="20" spans="1:256" ht="15.75" customHeight="1" thickBot="1">
      <c r="A20" s="83" t="s">
        <v>50</v>
      </c>
      <c r="B20" s="30" t="s">
        <v>51</v>
      </c>
      <c r="C20" s="24">
        <v>4</v>
      </c>
      <c r="D20" s="25"/>
      <c r="E20" s="31"/>
      <c r="F20" s="24"/>
      <c r="G20" s="23"/>
      <c r="H20" s="23"/>
      <c r="I20" s="23"/>
      <c r="J20" s="24"/>
      <c r="K20" s="31"/>
      <c r="L20" s="33"/>
      <c r="M20" s="31"/>
      <c r="N20" s="61"/>
      <c r="O20" s="177"/>
      <c r="P20" s="177"/>
      <c r="Q20" s="177"/>
      <c r="R20" s="177"/>
      <c r="S20" s="61"/>
      <c r="CA20" s="21" t="s">
        <v>52</v>
      </c>
      <c r="CB20" s="1" t="s">
        <v>107</v>
      </c>
      <c r="CC20" s="1"/>
      <c r="CD20" s="21" t="s">
        <v>43</v>
      </c>
      <c r="CE20" s="1" t="s">
        <v>108</v>
      </c>
      <c r="CI20" s="21" t="s">
        <v>55</v>
      </c>
      <c r="CJ20" s="1" t="s">
        <v>109</v>
      </c>
      <c r="CN20" s="39" t="s">
        <v>34</v>
      </c>
      <c r="CO20" s="4" t="s">
        <v>110</v>
      </c>
      <c r="IR20" s="3"/>
      <c r="IS20" s="3"/>
      <c r="IT20" s="3"/>
      <c r="IU20" s="3"/>
      <c r="IV20" s="3"/>
    </row>
    <row r="21" spans="1:256" ht="15.75" customHeight="1">
      <c r="A21" s="22"/>
      <c r="B21" s="23"/>
      <c r="C21" s="24"/>
      <c r="D21" s="31"/>
      <c r="E21" s="31"/>
      <c r="F21" s="24"/>
      <c r="G21" s="23"/>
      <c r="H21" s="23"/>
      <c r="I21" s="23"/>
      <c r="J21" s="24"/>
      <c r="K21" s="31"/>
      <c r="L21" s="33"/>
      <c r="M21" s="31"/>
      <c r="N21" s="61"/>
      <c r="O21" s="177"/>
      <c r="P21" s="177"/>
      <c r="Q21" s="177"/>
      <c r="R21" s="177"/>
      <c r="S21" s="61"/>
      <c r="CA21" s="21" t="s">
        <v>52</v>
      </c>
      <c r="CB21" s="1" t="s">
        <v>111</v>
      </c>
      <c r="CC21" s="1"/>
      <c r="CD21" s="21" t="s">
        <v>43</v>
      </c>
      <c r="CE21" s="1" t="s">
        <v>112</v>
      </c>
      <c r="CI21" s="21" t="s">
        <v>55</v>
      </c>
      <c r="CJ21" s="1" t="s">
        <v>113</v>
      </c>
      <c r="CN21" s="39" t="s">
        <v>34</v>
      </c>
      <c r="CO21" s="4" t="s">
        <v>114</v>
      </c>
      <c r="IR21" s="3"/>
      <c r="IS21" s="3"/>
      <c r="IT21" s="3"/>
      <c r="IU21" s="3"/>
      <c r="IV21" s="3"/>
    </row>
    <row r="22" spans="1:256" ht="15" customHeight="1">
      <c r="A22" s="34"/>
      <c r="B22" s="35"/>
      <c r="C22" s="36">
        <f>SUM(C16:C21)</f>
        <v>18</v>
      </c>
      <c r="D22" s="37"/>
      <c r="E22" s="37"/>
      <c r="F22" s="36"/>
      <c r="G22" s="35"/>
      <c r="H22" s="35"/>
      <c r="I22" s="35"/>
      <c r="J22" s="36">
        <f>SUM(J16:J20)</f>
        <v>16</v>
      </c>
      <c r="K22" s="37"/>
      <c r="L22" s="38"/>
      <c r="M22" s="31"/>
      <c r="N22" s="61"/>
      <c r="O22" s="177"/>
      <c r="P22" s="177"/>
      <c r="Q22" s="177"/>
      <c r="R22" s="177"/>
      <c r="S22" s="61"/>
      <c r="CA22" s="21" t="s">
        <v>52</v>
      </c>
      <c r="CB22" s="1" t="s">
        <v>115</v>
      </c>
      <c r="CC22" s="1"/>
      <c r="CD22" s="21" t="s">
        <v>43</v>
      </c>
      <c r="CE22" s="1" t="s">
        <v>116</v>
      </c>
      <c r="CI22" s="21" t="s">
        <v>55</v>
      </c>
      <c r="CJ22" s="1" t="s">
        <v>117</v>
      </c>
      <c r="CN22" s="39" t="s">
        <v>34</v>
      </c>
      <c r="CO22" s="4" t="s">
        <v>11</v>
      </c>
      <c r="IR22" s="3"/>
      <c r="IS22" s="3"/>
      <c r="IT22" s="3"/>
      <c r="IU22" s="3"/>
      <c r="IV22" s="3"/>
    </row>
    <row r="23" spans="1:256" ht="9" customHeight="1">
      <c r="A23" s="97"/>
      <c r="B23" s="92"/>
      <c r="C23" s="95"/>
      <c r="D23" s="93" t="s">
        <v>68</v>
      </c>
      <c r="E23" s="93" t="s">
        <v>68</v>
      </c>
      <c r="F23" s="93"/>
      <c r="G23" s="92"/>
      <c r="H23" s="95"/>
      <c r="I23" s="92"/>
      <c r="J23" s="95"/>
      <c r="K23" s="93" t="s">
        <v>68</v>
      </c>
      <c r="L23" s="98" t="s">
        <v>68</v>
      </c>
      <c r="M23" s="24"/>
      <c r="N23" s="61"/>
      <c r="O23" s="177"/>
      <c r="P23" s="177"/>
      <c r="Q23" s="177"/>
      <c r="R23" s="177"/>
      <c r="S23" s="61"/>
      <c r="CA23" s="21" t="s">
        <v>52</v>
      </c>
      <c r="CB23" s="1" t="s">
        <v>118</v>
      </c>
      <c r="CC23" s="1"/>
      <c r="CD23" s="21" t="s">
        <v>43</v>
      </c>
      <c r="CE23" s="1" t="s">
        <v>119</v>
      </c>
      <c r="CI23" s="21" t="s">
        <v>55</v>
      </c>
      <c r="CJ23" s="1" t="s">
        <v>120</v>
      </c>
      <c r="CN23" s="39" t="s">
        <v>34</v>
      </c>
      <c r="CO23" s="4" t="s">
        <v>121</v>
      </c>
      <c r="IR23" s="3"/>
      <c r="IS23" s="3"/>
      <c r="IT23" s="3"/>
      <c r="IU23" s="3"/>
      <c r="IV23" s="3"/>
    </row>
    <row r="24" spans="1:256" ht="15" customHeight="1" thickBot="1">
      <c r="A24" s="40"/>
      <c r="B24" s="23"/>
      <c r="C24" s="13"/>
      <c r="D24" s="24"/>
      <c r="E24" s="24"/>
      <c r="F24" s="44" t="s">
        <v>122</v>
      </c>
      <c r="G24" s="23"/>
      <c r="H24" s="13"/>
      <c r="I24" s="23"/>
      <c r="J24" s="13"/>
      <c r="K24" s="24"/>
      <c r="L24" s="41"/>
      <c r="M24" s="24"/>
      <c r="N24" s="61"/>
      <c r="O24" s="77"/>
      <c r="P24" s="77"/>
      <c r="Q24" s="77"/>
      <c r="R24" s="77"/>
      <c r="S24" s="61"/>
      <c r="CA24" s="21"/>
      <c r="CB24" s="1"/>
      <c r="CC24" s="1"/>
      <c r="CD24" s="21"/>
      <c r="CE24" s="1"/>
      <c r="CI24" s="21"/>
      <c r="CJ24" s="1"/>
      <c r="CN24" s="39"/>
      <c r="CO24" s="4"/>
      <c r="IR24" s="3"/>
      <c r="IS24" s="3"/>
      <c r="IT24" s="3"/>
      <c r="IU24" s="3"/>
      <c r="IV24" s="3"/>
    </row>
    <row r="25" spans="1:256" ht="15" customHeight="1" thickBot="1">
      <c r="A25" s="22" t="s">
        <v>383</v>
      </c>
      <c r="B25" s="23" t="s">
        <v>407</v>
      </c>
      <c r="C25" s="24">
        <v>4</v>
      </c>
      <c r="D25" s="25"/>
      <c r="E25" s="26"/>
      <c r="F25" s="24"/>
      <c r="G25" s="13"/>
      <c r="H25" s="13"/>
      <c r="I25" s="23"/>
      <c r="J25" s="13"/>
      <c r="K25" s="24"/>
      <c r="L25" s="41"/>
      <c r="M25" s="24"/>
      <c r="N25" s="61"/>
      <c r="O25" s="77"/>
      <c r="P25" s="77"/>
      <c r="Q25" s="77"/>
      <c r="R25" s="77"/>
      <c r="S25" s="61"/>
      <c r="CA25" s="21"/>
      <c r="CB25" s="1"/>
      <c r="CC25" s="1"/>
      <c r="CD25" s="21"/>
      <c r="CE25" s="1"/>
      <c r="CI25" s="21"/>
      <c r="CJ25" s="1"/>
      <c r="CN25" s="39"/>
      <c r="CO25" s="4"/>
      <c r="IR25" s="3"/>
      <c r="IS25" s="3"/>
      <c r="IT25" s="3"/>
      <c r="IU25" s="3"/>
      <c r="IV25" s="3"/>
    </row>
    <row r="26" spans="1:256" ht="15" customHeight="1" thickBot="1">
      <c r="A26" s="28" t="s">
        <v>86</v>
      </c>
      <c r="B26" s="23" t="s">
        <v>380</v>
      </c>
      <c r="C26" s="24">
        <v>4</v>
      </c>
      <c r="D26" s="25"/>
      <c r="E26" s="26"/>
      <c r="F26" s="24"/>
      <c r="G26" s="13"/>
      <c r="H26" s="13"/>
      <c r="I26" s="87" t="s">
        <v>418</v>
      </c>
      <c r="J26" s="13"/>
      <c r="K26" s="24"/>
      <c r="L26" s="41"/>
      <c r="M26" s="24"/>
      <c r="N26" s="61"/>
      <c r="O26" s="130" t="s">
        <v>439</v>
      </c>
      <c r="P26" s="77"/>
      <c r="Q26" s="77"/>
      <c r="R26" s="77"/>
      <c r="S26" s="61"/>
      <c r="CA26" s="21"/>
      <c r="CB26" s="1"/>
      <c r="CC26" s="1"/>
      <c r="CD26" s="21"/>
      <c r="CE26" s="1"/>
      <c r="CI26" s="21"/>
      <c r="CJ26" s="1"/>
      <c r="CN26" s="39"/>
      <c r="CO26" s="4"/>
      <c r="IR26" s="3"/>
      <c r="IS26" s="3"/>
      <c r="IT26" s="3"/>
      <c r="IU26" s="3"/>
      <c r="IV26" s="3"/>
    </row>
    <row r="27" spans="1:256" ht="15" customHeight="1" thickBot="1">
      <c r="A27" s="22" t="s">
        <v>381</v>
      </c>
      <c r="B27" s="23" t="s">
        <v>382</v>
      </c>
      <c r="C27" s="24">
        <v>4</v>
      </c>
      <c r="D27" s="25"/>
      <c r="E27" s="26"/>
      <c r="F27" s="24"/>
      <c r="G27" s="13"/>
      <c r="H27" s="13"/>
      <c r="I27" s="23"/>
      <c r="J27" s="13"/>
      <c r="K27" s="24"/>
      <c r="L27" s="41"/>
      <c r="M27" s="24"/>
      <c r="N27" s="61"/>
      <c r="O27" s="130" t="s">
        <v>440</v>
      </c>
      <c r="P27" s="77"/>
      <c r="Q27" s="77"/>
      <c r="R27" s="77"/>
      <c r="S27" s="61"/>
      <c r="CA27" s="21"/>
      <c r="CB27" s="1"/>
      <c r="CC27" s="1"/>
      <c r="CD27" s="21"/>
      <c r="CE27" s="1"/>
      <c r="CI27" s="21"/>
      <c r="CJ27" s="1"/>
      <c r="CN27" s="39"/>
      <c r="CO27" s="4"/>
      <c r="IR27" s="3"/>
      <c r="IS27" s="3"/>
      <c r="IT27" s="3"/>
      <c r="IU27" s="3"/>
      <c r="IV27" s="3"/>
    </row>
    <row r="28" spans="1:256" ht="15" customHeight="1" thickBot="1">
      <c r="A28" s="22" t="s">
        <v>141</v>
      </c>
      <c r="B28" s="23" t="s">
        <v>142</v>
      </c>
      <c r="C28" s="24">
        <v>4</v>
      </c>
      <c r="D28" s="25"/>
      <c r="E28" s="26"/>
      <c r="F28" s="24"/>
      <c r="G28" s="13"/>
      <c r="H28" s="13"/>
      <c r="I28" s="23"/>
      <c r="J28" s="13"/>
      <c r="K28" s="24"/>
      <c r="L28" s="41"/>
      <c r="M28" s="24"/>
      <c r="N28" s="61"/>
      <c r="O28" s="77"/>
      <c r="P28" s="77"/>
      <c r="Q28" s="77"/>
      <c r="R28" s="77"/>
      <c r="S28" s="61"/>
      <c r="CA28" s="21"/>
      <c r="CB28" s="1"/>
      <c r="CC28" s="1"/>
      <c r="CD28" s="21"/>
      <c r="CE28" s="1"/>
      <c r="CI28" s="21"/>
      <c r="CJ28" s="1"/>
      <c r="CN28" s="39"/>
      <c r="CO28" s="4"/>
      <c r="IR28" s="3"/>
      <c r="IS28" s="3"/>
      <c r="IT28" s="3"/>
      <c r="IU28" s="3"/>
      <c r="IV28" s="3"/>
    </row>
    <row r="29" spans="1:256" ht="15" customHeight="1">
      <c r="A29" s="63"/>
      <c r="B29" s="61"/>
      <c r="C29" s="61"/>
      <c r="D29" s="61"/>
      <c r="E29" s="26"/>
      <c r="F29" s="26"/>
      <c r="G29" s="13"/>
      <c r="H29" s="13"/>
      <c r="I29" s="23"/>
      <c r="J29" s="13"/>
      <c r="K29" s="24"/>
      <c r="L29" s="41"/>
      <c r="M29" s="24"/>
      <c r="N29" s="61"/>
      <c r="O29" s="77"/>
      <c r="P29" s="77"/>
      <c r="Q29" s="77"/>
      <c r="R29" s="77"/>
      <c r="S29" s="61"/>
      <c r="CA29" s="21"/>
      <c r="CB29" s="1"/>
      <c r="CC29" s="1"/>
      <c r="CD29" s="21"/>
      <c r="CE29" s="1"/>
      <c r="CI29" s="21"/>
      <c r="CJ29" s="1"/>
      <c r="CN29" s="39"/>
      <c r="CO29" s="4"/>
      <c r="IR29" s="3"/>
      <c r="IS29" s="3"/>
      <c r="IT29" s="3"/>
      <c r="IU29" s="3"/>
      <c r="IV29" s="3"/>
    </row>
    <row r="30" spans="1:256" ht="15" customHeight="1">
      <c r="A30" s="22"/>
      <c r="B30" s="23"/>
      <c r="C30" s="24">
        <f>C25+C26+C27+C28+J29</f>
        <v>16</v>
      </c>
      <c r="D30" s="31"/>
      <c r="E30" s="31"/>
      <c r="F30" s="24"/>
      <c r="G30" s="13"/>
      <c r="H30" s="13"/>
      <c r="I30" s="23"/>
      <c r="J30" s="13"/>
      <c r="K30" s="24"/>
      <c r="L30" s="41"/>
      <c r="M30" s="24"/>
      <c r="N30" s="61"/>
      <c r="O30" s="77"/>
      <c r="P30" s="77"/>
      <c r="Q30" s="77"/>
      <c r="R30" s="77"/>
      <c r="S30" s="61"/>
      <c r="CA30" s="21"/>
      <c r="CB30" s="1"/>
      <c r="CC30" s="1"/>
      <c r="CD30" s="21"/>
      <c r="CE30" s="1"/>
      <c r="CI30" s="21"/>
      <c r="CJ30" s="1"/>
      <c r="CN30" s="39"/>
      <c r="CO30" s="4"/>
      <c r="IR30" s="3"/>
      <c r="IS30" s="3"/>
      <c r="IT30" s="3"/>
      <c r="IU30" s="3"/>
      <c r="IV30" s="3"/>
    </row>
    <row r="31" spans="1:256" ht="9" customHeight="1">
      <c r="A31" s="91"/>
      <c r="B31" s="92"/>
      <c r="C31" s="99"/>
      <c r="D31" s="100"/>
      <c r="E31" s="100"/>
      <c r="F31" s="93"/>
      <c r="G31" s="95"/>
      <c r="H31" s="95"/>
      <c r="I31" s="92"/>
      <c r="J31" s="95"/>
      <c r="K31" s="93"/>
      <c r="L31" s="98"/>
      <c r="M31" s="24"/>
      <c r="N31" s="61"/>
      <c r="O31"/>
      <c r="P31"/>
      <c r="Q31"/>
      <c r="R31"/>
      <c r="S31"/>
      <c r="T31"/>
      <c r="CA31" s="21"/>
      <c r="CB31" s="1"/>
      <c r="CC31" s="1"/>
      <c r="CD31" s="21"/>
      <c r="CE31" s="1"/>
      <c r="CI31" s="21"/>
      <c r="CJ31" s="1"/>
      <c r="CN31" s="39"/>
      <c r="CO31" s="4"/>
      <c r="IR31" s="3"/>
      <c r="IS31" s="3"/>
      <c r="IT31" s="3"/>
      <c r="IU31" s="3"/>
      <c r="IV31" s="3"/>
    </row>
    <row r="32" spans="1:256" ht="12.75" customHeight="1" thickBot="1">
      <c r="A32" s="14"/>
      <c r="B32" s="18"/>
      <c r="C32" s="19"/>
      <c r="D32" s="42"/>
      <c r="E32" s="42"/>
      <c r="F32" s="16" t="s">
        <v>122</v>
      </c>
      <c r="G32" s="18"/>
      <c r="H32" s="19"/>
      <c r="I32" s="18"/>
      <c r="J32" s="19"/>
      <c r="K32" s="42"/>
      <c r="L32" s="43"/>
      <c r="M32" s="24"/>
      <c r="N32" s="61"/>
      <c r="O32"/>
      <c r="P32"/>
      <c r="Q32"/>
      <c r="R32"/>
      <c r="S32"/>
      <c r="T32"/>
      <c r="CA32" s="21" t="s">
        <v>52</v>
      </c>
      <c r="CB32" s="1" t="s">
        <v>123</v>
      </c>
      <c r="CC32" s="1"/>
      <c r="CD32" s="21" t="s">
        <v>124</v>
      </c>
      <c r="CE32" s="1" t="s">
        <v>125</v>
      </c>
      <c r="CI32" s="21" t="s">
        <v>55</v>
      </c>
      <c r="CJ32" s="1" t="s">
        <v>126</v>
      </c>
      <c r="CN32" s="39" t="s">
        <v>34</v>
      </c>
      <c r="CO32" s="4" t="s">
        <v>127</v>
      </c>
      <c r="IR32" s="3"/>
      <c r="IS32" s="3"/>
      <c r="IT32" s="3"/>
      <c r="IU32" s="3"/>
      <c r="IV32" s="3"/>
    </row>
    <row r="33" spans="1:93" ht="15.75" customHeight="1" thickBot="1">
      <c r="A33" s="40" t="s">
        <v>389</v>
      </c>
      <c r="B33" s="45" t="s">
        <v>390</v>
      </c>
      <c r="C33" s="24">
        <v>4</v>
      </c>
      <c r="D33" s="25"/>
      <c r="E33" s="26"/>
      <c r="F33" s="24"/>
      <c r="G33" s="13"/>
      <c r="H33" s="13" t="s">
        <v>384</v>
      </c>
      <c r="I33" s="23" t="s">
        <v>385</v>
      </c>
      <c r="J33" s="24">
        <v>4</v>
      </c>
      <c r="K33" s="25"/>
      <c r="L33" s="27"/>
      <c r="M33" s="26"/>
      <c r="N33" s="61"/>
      <c r="O33"/>
      <c r="P33"/>
      <c r="Q33"/>
      <c r="R33"/>
      <c r="S33"/>
      <c r="T33"/>
      <c r="BC33" s="2" t="s">
        <v>128</v>
      </c>
      <c r="CA33" s="21" t="s">
        <v>52</v>
      </c>
      <c r="CB33" s="1" t="s">
        <v>129</v>
      </c>
      <c r="CC33" s="1"/>
      <c r="CD33" s="21" t="s">
        <v>124</v>
      </c>
      <c r="CE33" s="1" t="s">
        <v>130</v>
      </c>
      <c r="CI33" s="21" t="s">
        <v>55</v>
      </c>
      <c r="CJ33" s="1" t="s">
        <v>131</v>
      </c>
      <c r="CN33" s="39" t="s">
        <v>34</v>
      </c>
      <c r="CO33" s="4" t="s">
        <v>132</v>
      </c>
    </row>
    <row r="34" spans="1:93" ht="15.75" customHeight="1" thickBot="1">
      <c r="A34" s="22" t="s">
        <v>386</v>
      </c>
      <c r="B34" s="30" t="s">
        <v>144</v>
      </c>
      <c r="C34" s="24">
        <v>4</v>
      </c>
      <c r="D34" s="25"/>
      <c r="E34" s="26"/>
      <c r="F34" s="24"/>
      <c r="G34" s="13"/>
      <c r="H34" s="29" t="s">
        <v>388</v>
      </c>
      <c r="I34" s="45" t="s">
        <v>387</v>
      </c>
      <c r="J34" s="24">
        <v>4</v>
      </c>
      <c r="K34" s="25"/>
      <c r="L34" s="27"/>
      <c r="M34" s="26"/>
      <c r="N34" s="61"/>
      <c r="O34"/>
      <c r="P34"/>
      <c r="Q34"/>
      <c r="R34"/>
      <c r="S34"/>
      <c r="T34"/>
      <c r="BC34" s="2" t="str">
        <f>BC9</f>
        <v>EEN 2130</v>
      </c>
      <c r="BD34" s="2">
        <f>BD9</f>
        <v>4</v>
      </c>
      <c r="BE34" s="2" t="str">
        <f>BE8</f>
        <v>EEN 2140</v>
      </c>
      <c r="BF34" s="2">
        <f>BF8+2+3</f>
        <v>9</v>
      </c>
      <c r="CA34" s="21" t="s">
        <v>52</v>
      </c>
      <c r="CB34" s="1" t="s">
        <v>133</v>
      </c>
      <c r="CC34" s="1"/>
      <c r="CD34" s="21" t="s">
        <v>124</v>
      </c>
      <c r="CE34" s="1" t="s">
        <v>134</v>
      </c>
      <c r="CI34" s="21" t="s">
        <v>55</v>
      </c>
      <c r="CJ34" s="1" t="s">
        <v>135</v>
      </c>
      <c r="CN34" s="39" t="s">
        <v>34</v>
      </c>
      <c r="CO34" s="4" t="s">
        <v>136</v>
      </c>
    </row>
    <row r="35" spans="1:93" ht="15.75" customHeight="1" thickBot="1">
      <c r="A35" s="22" t="s">
        <v>386</v>
      </c>
      <c r="B35" s="30" t="s">
        <v>144</v>
      </c>
      <c r="C35" s="24">
        <v>4</v>
      </c>
      <c r="D35" s="25"/>
      <c r="E35" s="48" t="s">
        <v>170</v>
      </c>
      <c r="F35" s="24"/>
      <c r="G35" s="13"/>
      <c r="H35" s="23" t="s">
        <v>408</v>
      </c>
      <c r="I35" s="23" t="s">
        <v>409</v>
      </c>
      <c r="J35" s="24">
        <v>2</v>
      </c>
      <c r="K35" s="25"/>
      <c r="L35" s="27"/>
      <c r="M35" s="26"/>
      <c r="O35"/>
      <c r="P35"/>
      <c r="Q35"/>
      <c r="R35"/>
      <c r="S35"/>
      <c r="T35"/>
      <c r="BC35" s="2" t="e">
        <f>BC11</f>
        <v>#REF!</v>
      </c>
      <c r="BD35" s="2" t="e">
        <f>BD11</f>
        <v>#REF!</v>
      </c>
      <c r="CA35" s="21" t="s">
        <v>52</v>
      </c>
      <c r="CB35" s="1" t="s">
        <v>137</v>
      </c>
      <c r="CC35" s="1"/>
      <c r="CD35" s="21" t="s">
        <v>124</v>
      </c>
      <c r="CE35" s="1" t="s">
        <v>138</v>
      </c>
      <c r="CI35" s="21" t="s">
        <v>55</v>
      </c>
      <c r="CJ35" s="1" t="s">
        <v>139</v>
      </c>
      <c r="CN35" s="39" t="s">
        <v>34</v>
      </c>
      <c r="CO35" s="4" t="s">
        <v>140</v>
      </c>
    </row>
    <row r="36" spans="1:93" ht="15.75" customHeight="1" thickBot="1">
      <c r="A36" s="22" t="s">
        <v>391</v>
      </c>
      <c r="B36" s="23" t="s">
        <v>392</v>
      </c>
      <c r="C36" s="24">
        <v>2</v>
      </c>
      <c r="D36" s="25"/>
      <c r="E36" s="26"/>
      <c r="F36" s="24"/>
      <c r="G36" s="13"/>
      <c r="H36" s="23" t="s">
        <v>396</v>
      </c>
      <c r="I36" s="23" t="s">
        <v>397</v>
      </c>
      <c r="J36" s="24">
        <v>2</v>
      </c>
      <c r="K36" s="25"/>
      <c r="L36" s="27"/>
      <c r="M36" s="26"/>
      <c r="N36"/>
      <c r="O36"/>
      <c r="P36"/>
      <c r="Q36"/>
      <c r="R36"/>
      <c r="S36"/>
      <c r="T36"/>
      <c r="BC36" s="2" t="e">
        <f>BC13</f>
        <v>#REF!</v>
      </c>
      <c r="BD36" s="2" t="e">
        <f>BD13</f>
        <v>#REF!</v>
      </c>
      <c r="CA36" s="21" t="s">
        <v>52</v>
      </c>
      <c r="CB36" s="1" t="s">
        <v>145</v>
      </c>
      <c r="CC36" s="1"/>
      <c r="CD36" s="21" t="s">
        <v>124</v>
      </c>
      <c r="CE36" s="1" t="s">
        <v>146</v>
      </c>
      <c r="CI36" s="21" t="s">
        <v>55</v>
      </c>
      <c r="CJ36" s="1" t="s">
        <v>147</v>
      </c>
      <c r="CN36" s="39" t="s">
        <v>34</v>
      </c>
      <c r="CO36" s="4" t="s">
        <v>148</v>
      </c>
    </row>
    <row r="37" spans="1:93" ht="15.75" customHeight="1" thickBot="1">
      <c r="A37" s="22" t="s">
        <v>174</v>
      </c>
      <c r="B37" s="30" t="s">
        <v>144</v>
      </c>
      <c r="C37" s="24">
        <v>4</v>
      </c>
      <c r="D37" s="25"/>
      <c r="E37" s="26"/>
      <c r="F37" s="24"/>
      <c r="G37" s="13"/>
      <c r="H37" s="13" t="s">
        <v>410</v>
      </c>
      <c r="I37" s="23" t="s">
        <v>411</v>
      </c>
      <c r="J37" s="24">
        <v>2</v>
      </c>
      <c r="K37" s="25"/>
      <c r="L37" s="27"/>
      <c r="M37" s="26"/>
      <c r="N37"/>
      <c r="O37"/>
      <c r="P37"/>
      <c r="Q37"/>
      <c r="R37"/>
      <c r="S37"/>
      <c r="T37"/>
      <c r="CA37" s="21" t="s">
        <v>52</v>
      </c>
      <c r="CB37" s="1" t="s">
        <v>150</v>
      </c>
      <c r="CC37" s="1"/>
      <c r="CD37" s="21" t="s">
        <v>124</v>
      </c>
      <c r="CE37" s="1" t="s">
        <v>151</v>
      </c>
      <c r="CI37" s="21" t="s">
        <v>55</v>
      </c>
      <c r="CJ37" s="1" t="s">
        <v>152</v>
      </c>
      <c r="CN37" s="39" t="s">
        <v>34</v>
      </c>
      <c r="CO37" s="4" t="s">
        <v>45</v>
      </c>
    </row>
    <row r="38" spans="1:93" ht="15.75" customHeight="1" thickBot="1">
      <c r="A38" s="22"/>
      <c r="B38" s="23"/>
      <c r="C38" s="24"/>
      <c r="D38" s="31"/>
      <c r="E38" s="31"/>
      <c r="F38" s="24"/>
      <c r="G38" s="13"/>
      <c r="H38" s="23" t="s">
        <v>174</v>
      </c>
      <c r="I38" s="30" t="s">
        <v>144</v>
      </c>
      <c r="J38" s="24">
        <v>4</v>
      </c>
      <c r="K38" s="25"/>
      <c r="L38" s="33"/>
      <c r="M38" s="31"/>
      <c r="N38"/>
      <c r="O38"/>
      <c r="P38"/>
      <c r="Q38"/>
      <c r="R38"/>
      <c r="S38"/>
      <c r="T38"/>
      <c r="CA38" s="21" t="s">
        <v>52</v>
      </c>
      <c r="CB38" s="1" t="s">
        <v>153</v>
      </c>
      <c r="CC38" s="1"/>
      <c r="CD38" s="21" t="s">
        <v>124</v>
      </c>
      <c r="CE38" s="1" t="s">
        <v>154</v>
      </c>
      <c r="CI38" s="21" t="s">
        <v>55</v>
      </c>
      <c r="CJ38" s="1" t="s">
        <v>155</v>
      </c>
      <c r="CN38" s="39" t="s">
        <v>34</v>
      </c>
      <c r="CO38" s="4" t="s">
        <v>156</v>
      </c>
    </row>
    <row r="39" spans="1:93" ht="15" customHeight="1">
      <c r="A39" s="22"/>
      <c r="B39" s="23"/>
      <c r="C39" s="24">
        <f>C33+C34+C35+C36+C37</f>
        <v>18</v>
      </c>
      <c r="D39" s="31"/>
      <c r="E39" s="31"/>
      <c r="F39" s="24"/>
      <c r="G39" s="13"/>
      <c r="J39" s="2">
        <f>J38+J37+J36+J35+J34+J33</f>
        <v>18</v>
      </c>
      <c r="L39" s="33"/>
      <c r="M39" s="31"/>
      <c r="N39"/>
      <c r="O39"/>
      <c r="P39"/>
      <c r="Q39"/>
      <c r="R39"/>
      <c r="S39"/>
      <c r="T39"/>
      <c r="CA39" s="21" t="s">
        <v>52</v>
      </c>
      <c r="CB39" s="1" t="s">
        <v>157</v>
      </c>
      <c r="CC39" s="1"/>
      <c r="CI39" s="21" t="s">
        <v>55</v>
      </c>
      <c r="CJ39" s="1" t="s">
        <v>158</v>
      </c>
      <c r="CN39" s="39" t="s">
        <v>34</v>
      </c>
      <c r="CO39" s="4" t="s">
        <v>35</v>
      </c>
    </row>
    <row r="40" spans="1:93" ht="9" customHeight="1">
      <c r="A40" s="97"/>
      <c r="B40" s="95"/>
      <c r="C40" s="95"/>
      <c r="D40" s="93" t="s">
        <v>68</v>
      </c>
      <c r="E40" s="93" t="s">
        <v>68</v>
      </c>
      <c r="F40" s="93"/>
      <c r="G40" s="95"/>
      <c r="H40" s="95"/>
      <c r="I40" s="95"/>
      <c r="J40" s="95"/>
      <c r="K40" s="93" t="s">
        <v>68</v>
      </c>
      <c r="L40" s="98" t="s">
        <v>68</v>
      </c>
      <c r="M40" s="24"/>
      <c r="N40"/>
      <c r="O40"/>
      <c r="P40"/>
      <c r="Q40"/>
      <c r="R40"/>
      <c r="S40"/>
      <c r="T40"/>
      <c r="CA40" s="21" t="s">
        <v>52</v>
      </c>
      <c r="CB40" s="1" t="s">
        <v>159</v>
      </c>
      <c r="CC40" s="1"/>
      <c r="CI40" s="21" t="s">
        <v>55</v>
      </c>
      <c r="CJ40" s="1" t="s">
        <v>160</v>
      </c>
      <c r="CN40" s="39" t="s">
        <v>34</v>
      </c>
      <c r="CO40" s="4" t="s">
        <v>161</v>
      </c>
    </row>
    <row r="41" spans="1:93" ht="16.5" customHeight="1" thickBot="1">
      <c r="A41" s="14"/>
      <c r="B41" s="19"/>
      <c r="C41" s="19"/>
      <c r="D41" s="42"/>
      <c r="E41" s="42"/>
      <c r="F41" s="16" t="s">
        <v>162</v>
      </c>
      <c r="G41" s="19"/>
      <c r="H41" s="19"/>
      <c r="I41" s="19"/>
      <c r="J41" s="19"/>
      <c r="K41" s="42"/>
      <c r="L41" s="43"/>
      <c r="M41" s="24"/>
      <c r="N41"/>
      <c r="O41"/>
      <c r="P41"/>
      <c r="Q41"/>
      <c r="R41"/>
      <c r="S41"/>
      <c r="T41"/>
      <c r="BC41" s="2" t="s">
        <v>163</v>
      </c>
      <c r="CA41" s="21" t="s">
        <v>52</v>
      </c>
      <c r="CB41" s="1" t="s">
        <v>164</v>
      </c>
      <c r="CC41" s="1"/>
      <c r="CI41" s="21" t="s">
        <v>55</v>
      </c>
      <c r="CJ41" s="1" t="s">
        <v>165</v>
      </c>
      <c r="CN41" s="39" t="s">
        <v>55</v>
      </c>
      <c r="CO41" s="4" t="s">
        <v>109</v>
      </c>
    </row>
    <row r="42" spans="1:93" ht="15.75" customHeight="1" thickBot="1">
      <c r="H42" s="23" t="s">
        <v>25</v>
      </c>
      <c r="I42" s="23" t="s">
        <v>393</v>
      </c>
      <c r="J42" s="24">
        <v>4</v>
      </c>
      <c r="K42" s="25"/>
      <c r="L42" s="27"/>
      <c r="M42" s="26"/>
      <c r="N42"/>
      <c r="O42"/>
      <c r="P42"/>
      <c r="Q42"/>
      <c r="R42"/>
      <c r="S42"/>
      <c r="T42"/>
      <c r="BC42" s="2" t="e">
        <f>BC12</f>
        <v>#REF!</v>
      </c>
      <c r="BD42" s="2" t="e">
        <f>BD12+2+3</f>
        <v>#REF!</v>
      </c>
      <c r="BE42" s="2" t="str">
        <f>BE9</f>
        <v>EEN 2270</v>
      </c>
      <c r="BF42" s="2">
        <f>BF9+2+3</f>
        <v>9</v>
      </c>
      <c r="CA42" s="21" t="s">
        <v>52</v>
      </c>
      <c r="CB42" s="1" t="s">
        <v>166</v>
      </c>
      <c r="CC42" s="1"/>
      <c r="CI42" s="21" t="s">
        <v>55</v>
      </c>
      <c r="CJ42" s="1" t="s">
        <v>167</v>
      </c>
      <c r="CN42" s="39" t="s">
        <v>55</v>
      </c>
      <c r="CO42" s="4" t="s">
        <v>117</v>
      </c>
    </row>
    <row r="43" spans="1:93" ht="15.75" customHeight="1" thickBot="1">
      <c r="H43" s="23" t="s">
        <v>394</v>
      </c>
      <c r="I43" s="45" t="s">
        <v>395</v>
      </c>
      <c r="J43" s="24">
        <v>4</v>
      </c>
      <c r="K43" s="25"/>
      <c r="L43" s="27"/>
      <c r="M43" s="26"/>
      <c r="N43"/>
      <c r="O43"/>
      <c r="P43"/>
      <c r="Q43"/>
      <c r="R43"/>
      <c r="S43"/>
      <c r="T43"/>
      <c r="BC43" s="2" t="str">
        <f>BC15</f>
        <v>VLSI Design</v>
      </c>
      <c r="BD43" s="2">
        <f>BD15</f>
        <v>4</v>
      </c>
      <c r="CA43" s="21" t="s">
        <v>52</v>
      </c>
      <c r="CB43" s="1" t="s">
        <v>168</v>
      </c>
      <c r="CC43" s="1"/>
      <c r="CI43" s="21" t="s">
        <v>55</v>
      </c>
      <c r="CJ43" s="1" t="s">
        <v>169</v>
      </c>
      <c r="CN43" s="39" t="s">
        <v>55</v>
      </c>
      <c r="CO43" s="4" t="s">
        <v>120</v>
      </c>
    </row>
    <row r="44" spans="1:93" ht="15.75" customHeight="1" thickBot="1">
      <c r="B44" s="87" t="s">
        <v>418</v>
      </c>
      <c r="H44" s="23" t="s">
        <v>386</v>
      </c>
      <c r="I44" s="30" t="s">
        <v>144</v>
      </c>
      <c r="J44" s="24">
        <v>4</v>
      </c>
      <c r="K44" s="25"/>
      <c r="L44" s="27"/>
      <c r="M44" s="26"/>
      <c r="N44"/>
      <c r="O44"/>
      <c r="P44"/>
      <c r="Q44"/>
      <c r="R44"/>
      <c r="S44"/>
      <c r="T44"/>
      <c r="CA44" s="21" t="s">
        <v>52</v>
      </c>
      <c r="CB44" s="1" t="s">
        <v>171</v>
      </c>
      <c r="CC44" s="1"/>
      <c r="CE44" s="1"/>
      <c r="CI44" s="21" t="s">
        <v>55</v>
      </c>
      <c r="CJ44" s="1" t="s">
        <v>172</v>
      </c>
      <c r="CN44" s="39" t="s">
        <v>55</v>
      </c>
      <c r="CO44" s="4" t="s">
        <v>173</v>
      </c>
    </row>
    <row r="45" spans="1:93" ht="15.75" customHeight="1" thickBot="1">
      <c r="H45" s="13" t="s">
        <v>149</v>
      </c>
      <c r="I45" s="30" t="s">
        <v>144</v>
      </c>
      <c r="J45" s="46">
        <v>4</v>
      </c>
      <c r="K45" s="25"/>
      <c r="L45" s="27"/>
      <c r="M45" s="26"/>
      <c r="N45"/>
      <c r="O45"/>
      <c r="P45"/>
      <c r="Q45"/>
      <c r="R45"/>
      <c r="S45"/>
      <c r="T45"/>
      <c r="BC45" s="2" t="s">
        <v>175</v>
      </c>
      <c r="CA45" s="21" t="s">
        <v>52</v>
      </c>
      <c r="CB45" s="1" t="s">
        <v>176</v>
      </c>
      <c r="CC45" s="1"/>
      <c r="CI45" s="21" t="s">
        <v>177</v>
      </c>
      <c r="CJ45" s="1" t="s">
        <v>178</v>
      </c>
      <c r="CN45" s="39" t="s">
        <v>179</v>
      </c>
      <c r="CO45" s="4" t="s">
        <v>180</v>
      </c>
    </row>
    <row r="46" spans="1:93" ht="15.75" customHeight="1">
      <c r="A46" s="88"/>
      <c r="B46" s="88"/>
      <c r="C46" s="88"/>
      <c r="D46" s="88"/>
      <c r="L46" s="27"/>
      <c r="M46" s="26"/>
      <c r="N46"/>
      <c r="O46"/>
      <c r="P46"/>
      <c r="Q46"/>
      <c r="R46"/>
      <c r="S46"/>
      <c r="T46"/>
      <c r="BC46" s="2" t="str">
        <f>BC10</f>
        <v>EEN 2250</v>
      </c>
      <c r="BD46" s="2">
        <f>BD10+2+3</f>
        <v>7</v>
      </c>
      <c r="BE46" s="2" t="str">
        <f>BE11</f>
        <v>EEN 4270</v>
      </c>
      <c r="BF46" s="2">
        <f>BF11+2+3</f>
        <v>9</v>
      </c>
      <c r="CA46" s="21" t="s">
        <v>52</v>
      </c>
      <c r="CB46" s="1" t="s">
        <v>181</v>
      </c>
      <c r="CC46" s="1"/>
      <c r="CI46" s="21" t="s">
        <v>177</v>
      </c>
      <c r="CJ46" s="1" t="s">
        <v>182</v>
      </c>
      <c r="CN46" s="39" t="s">
        <v>179</v>
      </c>
      <c r="CO46" s="4" t="s">
        <v>183</v>
      </c>
    </row>
    <row r="47" spans="1:93" ht="15.75" customHeight="1">
      <c r="A47" s="89"/>
      <c r="B47" s="45"/>
      <c r="C47" s="46"/>
      <c r="D47" s="90"/>
      <c r="E47" s="26"/>
      <c r="F47" s="24"/>
      <c r="G47" s="13"/>
      <c r="H47" s="23"/>
      <c r="I47" s="23"/>
      <c r="J47" s="26"/>
      <c r="K47" s="31"/>
      <c r="L47" s="27"/>
      <c r="M47" s="26"/>
      <c r="N47"/>
      <c r="O47"/>
      <c r="P47"/>
      <c r="Q47"/>
      <c r="R47"/>
      <c r="S47"/>
      <c r="T47"/>
      <c r="CA47" s="21"/>
      <c r="CB47" s="1"/>
      <c r="CC47" s="1"/>
      <c r="CI47" s="21"/>
      <c r="CJ47" s="1"/>
      <c r="CN47" s="39"/>
      <c r="CO47" s="4"/>
    </row>
    <row r="48" spans="1:93" ht="15.75" customHeight="1">
      <c r="A48" s="89"/>
      <c r="B48" s="45"/>
      <c r="C48" s="46"/>
      <c r="D48" s="90"/>
      <c r="E48" s="26"/>
      <c r="F48" s="24"/>
      <c r="G48" s="13"/>
      <c r="H48" s="23"/>
      <c r="I48" s="23"/>
      <c r="J48" s="24">
        <f>SUM(J42:J45)</f>
        <v>16</v>
      </c>
      <c r="K48" s="31"/>
      <c r="L48" s="27"/>
      <c r="M48" s="26"/>
      <c r="N48"/>
      <c r="O48"/>
      <c r="P48"/>
      <c r="Q48"/>
      <c r="R48"/>
      <c r="CA48" s="21"/>
      <c r="CB48" s="1"/>
      <c r="CC48" s="1"/>
      <c r="CI48" s="21"/>
      <c r="CJ48" s="1"/>
      <c r="CN48" s="39"/>
      <c r="CO48" s="4"/>
    </row>
    <row r="49" spans="1:256" ht="9" customHeight="1">
      <c r="A49" s="91"/>
      <c r="B49" s="92"/>
      <c r="C49" s="93"/>
      <c r="D49" s="94"/>
      <c r="E49" s="94"/>
      <c r="F49" s="93"/>
      <c r="G49" s="95"/>
      <c r="H49" s="92"/>
      <c r="I49" s="92"/>
      <c r="J49" s="93"/>
      <c r="K49" s="94"/>
      <c r="L49" s="96"/>
      <c r="M49" s="26"/>
      <c r="N49"/>
      <c r="O49"/>
      <c r="P49"/>
      <c r="Q49"/>
      <c r="R49"/>
      <c r="BE49" s="2" t="str">
        <f>BE12</f>
        <v>EEN</v>
      </c>
      <c r="BF49" s="2">
        <f>BF12</f>
        <v>4</v>
      </c>
      <c r="CA49" s="21" t="s">
        <v>52</v>
      </c>
      <c r="CB49" s="1" t="s">
        <v>184</v>
      </c>
      <c r="CC49" s="1"/>
      <c r="CI49" s="21" t="s">
        <v>124</v>
      </c>
      <c r="CJ49" s="1" t="s">
        <v>185</v>
      </c>
      <c r="CN49" s="39" t="s">
        <v>179</v>
      </c>
      <c r="CO49" s="4" t="s">
        <v>186</v>
      </c>
    </row>
    <row r="50" spans="1:256" ht="16.05" customHeight="1">
      <c r="A50" s="190" t="s">
        <v>188</v>
      </c>
      <c r="B50" s="191"/>
      <c r="C50" s="191"/>
      <c r="D50" s="191"/>
      <c r="E50" s="191"/>
      <c r="F50" s="192"/>
      <c r="G50" s="49"/>
      <c r="H50" s="32" t="s">
        <v>398</v>
      </c>
      <c r="I50" s="53"/>
      <c r="J50" s="53"/>
      <c r="K50" s="53"/>
      <c r="L50" s="59"/>
      <c r="M50" s="53"/>
      <c r="N50"/>
      <c r="O50"/>
      <c r="P50"/>
      <c r="Q50"/>
      <c r="R50"/>
      <c r="CA50" s="21" t="s">
        <v>52</v>
      </c>
      <c r="CB50" s="1" t="s">
        <v>189</v>
      </c>
      <c r="CC50" s="1"/>
      <c r="CI50" s="21" t="s">
        <v>187</v>
      </c>
      <c r="CJ50" s="1" t="s">
        <v>190</v>
      </c>
      <c r="CN50" s="39" t="s">
        <v>179</v>
      </c>
      <c r="CO50" s="4" t="s">
        <v>191</v>
      </c>
      <c r="IR50" s="3"/>
      <c r="IS50" s="3"/>
      <c r="IT50" s="3"/>
      <c r="IU50" s="3"/>
      <c r="IV50" s="3"/>
    </row>
    <row r="51" spans="1:256" ht="15.75" customHeight="1">
      <c r="A51" s="54"/>
      <c r="B51" s="55"/>
      <c r="C51" s="55"/>
      <c r="D51" s="55"/>
      <c r="E51" s="55"/>
      <c r="F51" s="56"/>
      <c r="G51" s="57"/>
      <c r="H51" s="58"/>
      <c r="I51" s="23"/>
      <c r="J51" s="23" t="s">
        <v>192</v>
      </c>
      <c r="K51" s="53"/>
      <c r="L51" s="59"/>
      <c r="M51" s="53"/>
      <c r="N51"/>
      <c r="O51"/>
      <c r="P51"/>
      <c r="Q51"/>
      <c r="R51"/>
      <c r="BC51" s="2" t="s">
        <v>193</v>
      </c>
      <c r="CA51" s="21" t="s">
        <v>52</v>
      </c>
      <c r="CB51" s="1" t="s">
        <v>194</v>
      </c>
      <c r="CC51" s="1"/>
      <c r="CI51" s="21" t="s">
        <v>187</v>
      </c>
      <c r="CJ51" s="1" t="s">
        <v>195</v>
      </c>
      <c r="CN51" s="39" t="s">
        <v>179</v>
      </c>
      <c r="CO51" s="4" t="s">
        <v>196</v>
      </c>
      <c r="IR51" s="3"/>
      <c r="IS51" s="3"/>
      <c r="IT51" s="3"/>
      <c r="IU51" s="3"/>
      <c r="IV51" s="3"/>
    </row>
    <row r="52" spans="1:256" ht="15.75" customHeight="1">
      <c r="A52" s="60" t="s">
        <v>197</v>
      </c>
      <c r="B52" s="61"/>
      <c r="C52" s="61"/>
      <c r="D52" s="61"/>
      <c r="E52" s="61"/>
      <c r="F52" s="61"/>
      <c r="G52" s="62"/>
      <c r="H52" s="58" t="s">
        <v>412</v>
      </c>
      <c r="I52" s="23"/>
      <c r="J52" s="23">
        <v>4</v>
      </c>
      <c r="K52" s="53"/>
      <c r="L52" s="59"/>
      <c r="M52" s="53"/>
      <c r="N52"/>
      <c r="O52"/>
      <c r="P52"/>
      <c r="Q52"/>
      <c r="R52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 t="str">
        <f>BC8</f>
        <v>GEN 1001</v>
      </c>
      <c r="BD52" s="3">
        <f>BD8+2+3</f>
        <v>9</v>
      </c>
      <c r="BE52" s="3" t="str">
        <f>BE10</f>
        <v>MTH 1505</v>
      </c>
      <c r="BF52" s="3">
        <f>BF10+2</f>
        <v>6</v>
      </c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21" t="s">
        <v>52</v>
      </c>
      <c r="CB52" s="1" t="s">
        <v>198</v>
      </c>
      <c r="CC52" s="1"/>
      <c r="CD52" s="3"/>
      <c r="CE52" s="3"/>
      <c r="CF52" s="3"/>
      <c r="CG52" s="3"/>
      <c r="CH52" s="3"/>
      <c r="CI52" s="21" t="s">
        <v>199</v>
      </c>
      <c r="CJ52" s="1" t="s">
        <v>200</v>
      </c>
      <c r="CK52" s="3"/>
      <c r="CL52" s="3"/>
      <c r="CM52" s="3"/>
      <c r="CN52" s="39" t="s">
        <v>179</v>
      </c>
      <c r="CO52" s="4" t="s">
        <v>201</v>
      </c>
      <c r="CP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</row>
    <row r="53" spans="1:256" ht="16.95" customHeight="1">
      <c r="A53" s="60" t="s">
        <v>202</v>
      </c>
      <c r="B53" s="61"/>
      <c r="C53" s="61"/>
      <c r="D53" s="61"/>
      <c r="E53" s="61"/>
      <c r="F53" s="61"/>
      <c r="G53" s="62"/>
      <c r="H53" s="58" t="s">
        <v>399</v>
      </c>
      <c r="I53" s="23"/>
      <c r="J53" s="23">
        <v>2</v>
      </c>
      <c r="K53" s="53"/>
      <c r="L53" s="59"/>
      <c r="M53" s="53"/>
      <c r="N53"/>
      <c r="O53"/>
      <c r="P53"/>
      <c r="Q53"/>
      <c r="R53"/>
      <c r="BE53" s="2" t="str">
        <f>BE17</f>
        <v>EEN 4970</v>
      </c>
      <c r="BF53" s="2">
        <f>BF17</f>
        <v>2</v>
      </c>
      <c r="CA53" s="21" t="s">
        <v>52</v>
      </c>
      <c r="CB53" s="1" t="s">
        <v>203</v>
      </c>
      <c r="CC53" s="1"/>
      <c r="CN53" s="39" t="s">
        <v>179</v>
      </c>
      <c r="CO53" s="4" t="s">
        <v>204</v>
      </c>
      <c r="IR53" s="3"/>
      <c r="IS53" s="3"/>
      <c r="IT53" s="3"/>
      <c r="IU53" s="3"/>
      <c r="IV53" s="3"/>
    </row>
    <row r="54" spans="1:256" ht="15.6">
      <c r="A54" s="63"/>
      <c r="B54" s="61"/>
      <c r="C54" s="61"/>
      <c r="D54" s="61"/>
      <c r="E54" s="61"/>
      <c r="F54" s="61"/>
      <c r="G54" s="64"/>
      <c r="H54" s="58" t="s">
        <v>400</v>
      </c>
      <c r="I54" s="24"/>
      <c r="J54" s="23">
        <v>2</v>
      </c>
      <c r="K54" s="66"/>
      <c r="L54" s="67"/>
      <c r="M54" s="66"/>
      <c r="N54"/>
      <c r="O54"/>
      <c r="P54"/>
      <c r="Q54"/>
      <c r="R54"/>
      <c r="CA54" s="21" t="s">
        <v>52</v>
      </c>
      <c r="CB54" s="1" t="s">
        <v>205</v>
      </c>
      <c r="CC54" s="1"/>
      <c r="CN54" s="39" t="s">
        <v>179</v>
      </c>
      <c r="CO54" s="4" t="s">
        <v>206</v>
      </c>
      <c r="IR54" s="3"/>
      <c r="IS54" s="3"/>
      <c r="IT54" s="3"/>
      <c r="IU54" s="3"/>
      <c r="IV54" s="3"/>
    </row>
    <row r="55" spans="1:256" ht="13.95" customHeight="1">
      <c r="A55" s="60" t="s">
        <v>404</v>
      </c>
      <c r="B55" s="61"/>
      <c r="C55" s="61"/>
      <c r="D55" s="61"/>
      <c r="E55" s="61"/>
      <c r="F55" s="61"/>
      <c r="G55" s="57"/>
      <c r="H55" s="58" t="s">
        <v>413</v>
      </c>
      <c r="I55" s="65"/>
      <c r="J55" s="65">
        <v>2</v>
      </c>
      <c r="K55" s="53"/>
      <c r="L55" s="59"/>
      <c r="M55" s="53"/>
      <c r="N55"/>
      <c r="O55"/>
      <c r="P55"/>
      <c r="Q55"/>
      <c r="R55"/>
      <c r="CA55" s="21" t="s">
        <v>52</v>
      </c>
      <c r="CB55" s="1" t="s">
        <v>207</v>
      </c>
      <c r="CC55" s="1"/>
      <c r="CJ55" s="1"/>
      <c r="CN55" s="39" t="s">
        <v>179</v>
      </c>
      <c r="CO55" s="4" t="s">
        <v>208</v>
      </c>
      <c r="IR55" s="3"/>
      <c r="IS55" s="3"/>
      <c r="IT55" s="3"/>
      <c r="IU55" s="3"/>
      <c r="IV55" s="3"/>
    </row>
    <row r="56" spans="1:256" ht="15.75" customHeight="1">
      <c r="A56" s="176" t="s">
        <v>405</v>
      </c>
      <c r="B56" s="177"/>
      <c r="C56" s="177"/>
      <c r="D56" s="177"/>
      <c r="E56" s="177"/>
      <c r="F56" s="179"/>
      <c r="G56" s="62" t="s">
        <v>68</v>
      </c>
      <c r="H56" s="58" t="s">
        <v>414</v>
      </c>
      <c r="I56" s="23"/>
      <c r="J56" s="65">
        <v>4</v>
      </c>
      <c r="K56" s="53"/>
      <c r="L56" s="59"/>
      <c r="M56" s="53"/>
      <c r="N56"/>
      <c r="O56"/>
      <c r="P56"/>
      <c r="Q56"/>
      <c r="R56"/>
      <c r="BC56" s="2" t="s">
        <v>209</v>
      </c>
      <c r="CA56" s="21" t="s">
        <v>52</v>
      </c>
      <c r="CB56" s="1" t="s">
        <v>210</v>
      </c>
      <c r="CC56" s="1"/>
      <c r="CN56" s="39" t="s">
        <v>179</v>
      </c>
      <c r="CO56" s="4" t="s">
        <v>211</v>
      </c>
      <c r="IR56" s="3"/>
      <c r="IS56" s="3"/>
      <c r="IT56" s="3"/>
      <c r="IU56" s="3"/>
      <c r="IV56" s="3"/>
    </row>
    <row r="57" spans="1:256" ht="15.75" customHeight="1">
      <c r="A57" s="180"/>
      <c r="B57" s="181"/>
      <c r="C57" s="181"/>
      <c r="D57" s="181"/>
      <c r="E57" s="181"/>
      <c r="F57" s="182"/>
      <c r="G57" s="62"/>
      <c r="H57" s="58" t="s">
        <v>401</v>
      </c>
      <c r="I57" s="23"/>
      <c r="J57" s="23">
        <v>4</v>
      </c>
      <c r="K57" s="53"/>
      <c r="L57" s="59"/>
      <c r="M57" s="53"/>
      <c r="N57"/>
      <c r="O57"/>
      <c r="P57"/>
      <c r="Q57"/>
      <c r="R57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 t="str">
        <f>BE15</f>
        <v>Linear Signals and Systems</v>
      </c>
      <c r="BF57" s="68">
        <f>BF15</f>
        <v>4</v>
      </c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  <c r="BY57" s="68"/>
      <c r="BZ57" s="68"/>
      <c r="CA57" s="21" t="s">
        <v>52</v>
      </c>
      <c r="CB57" s="1" t="s">
        <v>212</v>
      </c>
      <c r="CC57" s="1"/>
      <c r="CD57" s="68"/>
      <c r="CE57" s="68"/>
      <c r="CF57" s="68"/>
      <c r="CG57" s="68"/>
      <c r="CH57" s="68"/>
      <c r="CK57" s="68"/>
      <c r="CL57" s="68"/>
      <c r="CM57" s="68"/>
      <c r="CN57" s="39" t="s">
        <v>179</v>
      </c>
      <c r="CO57" s="4" t="s">
        <v>213</v>
      </c>
      <c r="CP57" s="68"/>
      <c r="CQ57" s="68"/>
      <c r="CR57" s="68"/>
      <c r="CS57" s="68"/>
      <c r="CT57" s="68"/>
      <c r="CU57" s="68"/>
      <c r="CV57" s="68"/>
      <c r="CW57" s="68"/>
      <c r="CX57" s="68"/>
      <c r="CY57" s="68"/>
      <c r="CZ57" s="68"/>
      <c r="DA57" s="68"/>
      <c r="DB57" s="68"/>
      <c r="DC57" s="68"/>
      <c r="DD57" s="68"/>
      <c r="DE57" s="68"/>
      <c r="DF57" s="68"/>
      <c r="DG57" s="68"/>
      <c r="DH57" s="68"/>
      <c r="DI57" s="68"/>
      <c r="DJ57" s="68"/>
      <c r="DK57" s="68"/>
      <c r="DL57" s="68"/>
      <c r="DM57" s="68"/>
      <c r="DN57" s="68"/>
      <c r="DO57" s="68"/>
      <c r="DP57" s="68"/>
      <c r="DQ57" s="68"/>
      <c r="DR57" s="68"/>
      <c r="DS57" s="68"/>
      <c r="DT57" s="68"/>
      <c r="DU57" s="68"/>
      <c r="DV57" s="68"/>
      <c r="DW57" s="68"/>
      <c r="DX57" s="68"/>
      <c r="DY57" s="68"/>
      <c r="DZ57" s="68"/>
      <c r="EA57" s="68"/>
      <c r="EB57" s="68"/>
      <c r="EC57" s="68"/>
      <c r="ED57" s="68"/>
      <c r="EE57" s="68"/>
      <c r="EF57" s="68"/>
      <c r="EG57" s="68"/>
      <c r="EH57" s="68"/>
      <c r="EI57" s="68"/>
      <c r="EJ57" s="68"/>
      <c r="EK57" s="68"/>
      <c r="EL57" s="68"/>
      <c r="EM57" s="68"/>
      <c r="EN57" s="68"/>
      <c r="EO57" s="68"/>
      <c r="EP57" s="68"/>
      <c r="EQ57" s="68"/>
      <c r="ER57" s="68"/>
      <c r="ES57" s="68"/>
      <c r="ET57" s="68"/>
      <c r="EU57" s="68"/>
      <c r="EV57" s="68"/>
      <c r="EW57" s="68"/>
      <c r="EX57" s="68"/>
      <c r="EY57" s="68"/>
      <c r="EZ57" s="68"/>
      <c r="FA57" s="68"/>
      <c r="FB57" s="68"/>
      <c r="FC57" s="68"/>
      <c r="FD57" s="68"/>
      <c r="FE57" s="68"/>
      <c r="FF57" s="68"/>
      <c r="FG57" s="68"/>
      <c r="FH57" s="68"/>
      <c r="FI57" s="68"/>
      <c r="FJ57" s="68"/>
      <c r="FK57" s="68"/>
      <c r="FL57" s="68"/>
      <c r="FM57" s="68"/>
      <c r="FN57" s="68"/>
      <c r="FO57" s="68"/>
      <c r="FP57" s="68"/>
      <c r="FQ57" s="68"/>
      <c r="FR57" s="68"/>
      <c r="FS57" s="68"/>
      <c r="FT57" s="68"/>
      <c r="FU57" s="68"/>
      <c r="FV57" s="68"/>
      <c r="FW57" s="68"/>
      <c r="FX57" s="68"/>
      <c r="FY57" s="68"/>
      <c r="FZ57" s="68"/>
      <c r="GA57" s="68"/>
      <c r="GB57" s="68"/>
      <c r="GC57" s="68"/>
      <c r="GD57" s="68"/>
      <c r="GE57" s="68"/>
      <c r="GF57" s="68"/>
      <c r="GG57" s="68"/>
      <c r="GH57" s="68"/>
      <c r="GI57" s="68"/>
      <c r="GJ57" s="68"/>
      <c r="GK57" s="68"/>
      <c r="GL57" s="68"/>
      <c r="GM57" s="68"/>
      <c r="GN57" s="68"/>
      <c r="GO57" s="68"/>
      <c r="GP57" s="68"/>
      <c r="GQ57" s="68"/>
      <c r="GR57" s="68"/>
      <c r="GS57" s="68"/>
      <c r="GT57" s="68"/>
      <c r="GU57" s="68"/>
      <c r="GV57" s="68"/>
      <c r="GW57" s="68"/>
      <c r="GX57" s="68"/>
      <c r="GY57" s="68"/>
      <c r="GZ57" s="68"/>
      <c r="HA57" s="68"/>
      <c r="HB57" s="68"/>
      <c r="HC57" s="68"/>
      <c r="HD57" s="68"/>
      <c r="HE57" s="68"/>
      <c r="HF57" s="68"/>
      <c r="HG57" s="68"/>
      <c r="HH57" s="68"/>
      <c r="HI57" s="68"/>
      <c r="HJ57" s="68"/>
      <c r="HK57" s="68"/>
      <c r="HL57" s="68"/>
      <c r="HM57" s="68"/>
      <c r="HN57" s="68"/>
      <c r="HO57" s="68"/>
      <c r="HP57" s="68"/>
      <c r="HQ57" s="68"/>
      <c r="HR57" s="68"/>
      <c r="HS57" s="68"/>
      <c r="HT57" s="68"/>
      <c r="HU57" s="68"/>
      <c r="HV57" s="68"/>
      <c r="HW57" s="68"/>
      <c r="HX57" s="68"/>
      <c r="HY57" s="68"/>
      <c r="HZ57" s="68"/>
      <c r="IA57" s="68"/>
      <c r="IB57" s="68"/>
      <c r="IC57" s="68"/>
      <c r="ID57" s="68"/>
      <c r="IE57" s="68"/>
      <c r="IF57" s="68"/>
      <c r="IG57" s="68"/>
      <c r="IH57" s="68"/>
      <c r="II57" s="68"/>
      <c r="IJ57" s="68"/>
      <c r="IK57" s="68"/>
      <c r="IL57" s="68"/>
      <c r="IM57" s="68"/>
      <c r="IN57" s="68"/>
      <c r="IO57" s="68"/>
      <c r="IP57" s="68"/>
      <c r="IQ57" s="68"/>
    </row>
    <row r="58" spans="1:256" ht="15.75" customHeight="1">
      <c r="A58" s="176" t="s">
        <v>416</v>
      </c>
      <c r="B58" s="177"/>
      <c r="C58" s="177"/>
      <c r="D58" s="177"/>
      <c r="E58" s="177"/>
      <c r="F58" s="179"/>
      <c r="G58" s="57"/>
      <c r="H58" s="58" t="s">
        <v>402</v>
      </c>
      <c r="I58" s="23"/>
      <c r="J58" s="23">
        <v>4</v>
      </c>
      <c r="K58" s="53"/>
      <c r="L58" s="59"/>
      <c r="M58" s="53"/>
      <c r="N58"/>
      <c r="O58"/>
      <c r="P58"/>
      <c r="Q58"/>
      <c r="R58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 t="str">
        <f>BE13</f>
        <v>EEN 3220</v>
      </c>
      <c r="BF58" s="3">
        <f>BF13+2</f>
        <v>6</v>
      </c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21" t="s">
        <v>52</v>
      </c>
      <c r="CB58" s="1" t="s">
        <v>214</v>
      </c>
      <c r="CC58" s="1"/>
      <c r="CD58" s="3"/>
      <c r="CE58" s="3"/>
      <c r="CF58" s="3"/>
      <c r="CG58" s="3"/>
      <c r="CH58" s="3"/>
      <c r="CK58" s="3"/>
      <c r="CL58" s="3"/>
      <c r="CM58" s="3"/>
      <c r="CN58" s="39" t="s">
        <v>179</v>
      </c>
      <c r="CO58" s="4" t="s">
        <v>215</v>
      </c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</row>
    <row r="59" spans="1:256" ht="15.75" customHeight="1">
      <c r="A59" s="180"/>
      <c r="B59" s="181"/>
      <c r="C59" s="181"/>
      <c r="D59" s="181"/>
      <c r="E59" s="181"/>
      <c r="F59" s="182"/>
      <c r="G59" s="62"/>
      <c r="H59" s="58" t="s">
        <v>415</v>
      </c>
      <c r="I59" s="23"/>
      <c r="J59" s="23">
        <v>4</v>
      </c>
      <c r="K59" s="53"/>
      <c r="L59" s="59"/>
      <c r="M59" s="53"/>
      <c r="N59"/>
      <c r="O59"/>
      <c r="P59"/>
      <c r="Q59"/>
      <c r="R59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21" t="s">
        <v>52</v>
      </c>
      <c r="CB59" s="1" t="s">
        <v>216</v>
      </c>
      <c r="CC59" s="1"/>
      <c r="CD59" s="3"/>
      <c r="CE59" s="3"/>
      <c r="CF59" s="3"/>
      <c r="CG59" s="3"/>
      <c r="CH59" s="3"/>
      <c r="CK59" s="3"/>
      <c r="CL59" s="3"/>
      <c r="CM59" s="3"/>
      <c r="CN59" s="39" t="s">
        <v>179</v>
      </c>
      <c r="CO59" s="4" t="s">
        <v>217</v>
      </c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</row>
    <row r="60" spans="1:256" ht="15.6">
      <c r="A60" s="176" t="s">
        <v>417</v>
      </c>
      <c r="B60" s="177"/>
      <c r="C60" s="177"/>
      <c r="D60" s="177"/>
      <c r="E60" s="177"/>
      <c r="F60" s="177"/>
      <c r="G60" s="80"/>
      <c r="H60" s="58" t="s">
        <v>403</v>
      </c>
      <c r="I60" s="23"/>
      <c r="J60" s="23">
        <v>4</v>
      </c>
      <c r="K60" s="26"/>
      <c r="L60" s="27"/>
      <c r="M60" s="26"/>
      <c r="N60"/>
      <c r="O60"/>
      <c r="P60"/>
      <c r="Q60"/>
      <c r="R60"/>
      <c r="CA60" s="21" t="s">
        <v>218</v>
      </c>
      <c r="CB60" s="1" t="s">
        <v>219</v>
      </c>
      <c r="CC60" s="1"/>
      <c r="CN60" s="39" t="s">
        <v>179</v>
      </c>
      <c r="CO60" s="4" t="s">
        <v>220</v>
      </c>
    </row>
    <row r="61" spans="1:256" ht="16.2" thickBot="1">
      <c r="A61" s="183"/>
      <c r="B61" s="184"/>
      <c r="C61" s="184"/>
      <c r="D61" s="184"/>
      <c r="E61" s="184"/>
      <c r="F61" s="184"/>
      <c r="G61" s="81"/>
      <c r="H61" s="78"/>
      <c r="I61" s="78"/>
      <c r="J61" s="78"/>
      <c r="K61" s="76"/>
      <c r="L61" s="79"/>
      <c r="N61"/>
      <c r="O61"/>
      <c r="P61"/>
      <c r="Q61"/>
      <c r="R61"/>
      <c r="CA61" s="21" t="s">
        <v>218</v>
      </c>
      <c r="CB61" s="1" t="s">
        <v>221</v>
      </c>
      <c r="CC61" s="1"/>
      <c r="CN61" s="39" t="s">
        <v>179</v>
      </c>
      <c r="CO61" s="4" t="s">
        <v>222</v>
      </c>
    </row>
    <row r="62" spans="1:256" ht="15.6">
      <c r="N62"/>
      <c r="O62"/>
      <c r="P62"/>
      <c r="Q62"/>
      <c r="R62"/>
      <c r="CA62" s="21" t="s">
        <v>124</v>
      </c>
      <c r="CB62" s="1" t="s">
        <v>223</v>
      </c>
      <c r="CC62" s="1"/>
      <c r="CN62" s="39" t="s">
        <v>179</v>
      </c>
      <c r="CO62" s="4" t="s">
        <v>224</v>
      </c>
    </row>
    <row r="63" spans="1:256" ht="15.6">
      <c r="N63"/>
      <c r="O63"/>
      <c r="P63"/>
      <c r="Q63"/>
      <c r="R63"/>
      <c r="CA63" s="21" t="s">
        <v>124</v>
      </c>
      <c r="CB63" s="1" t="s">
        <v>225</v>
      </c>
      <c r="CC63" s="1"/>
      <c r="CN63" s="39" t="s">
        <v>179</v>
      </c>
      <c r="CO63" s="4" t="s">
        <v>226</v>
      </c>
    </row>
    <row r="64" spans="1:256" ht="15" customHeight="1">
      <c r="H64" s="58"/>
      <c r="I64" s="65"/>
      <c r="N64"/>
      <c r="O64"/>
      <c r="P64"/>
      <c r="Q64"/>
      <c r="R64"/>
      <c r="CA64" s="21" t="s">
        <v>124</v>
      </c>
      <c r="CB64" s="1" t="s">
        <v>227</v>
      </c>
      <c r="CC64" s="21"/>
      <c r="CN64" s="39" t="s">
        <v>179</v>
      </c>
      <c r="CO64" s="4" t="s">
        <v>228</v>
      </c>
    </row>
    <row r="65" spans="14:93" ht="15.6">
      <c r="N65"/>
      <c r="O65"/>
      <c r="P65"/>
      <c r="Q65"/>
      <c r="R65"/>
      <c r="CA65" s="21" t="s">
        <v>187</v>
      </c>
      <c r="CB65" s="1" t="s">
        <v>229</v>
      </c>
      <c r="CC65" s="21"/>
      <c r="CN65" s="39" t="s">
        <v>179</v>
      </c>
      <c r="CO65" s="4" t="s">
        <v>230</v>
      </c>
    </row>
    <row r="66" spans="14:93" ht="15.6">
      <c r="N66"/>
      <c r="O66"/>
      <c r="P66"/>
      <c r="Q66"/>
      <c r="R66"/>
      <c r="CA66" s="21" t="s">
        <v>187</v>
      </c>
      <c r="CB66" s="1" t="s">
        <v>231</v>
      </c>
      <c r="CC66" s="1"/>
      <c r="CN66" s="39" t="s">
        <v>179</v>
      </c>
      <c r="CO66" s="4" t="s">
        <v>232</v>
      </c>
    </row>
    <row r="67" spans="14:93" ht="15.6">
      <c r="N67"/>
      <c r="O67"/>
      <c r="P67"/>
      <c r="Q67"/>
      <c r="R67"/>
      <c r="CA67" s="21" t="s">
        <v>187</v>
      </c>
      <c r="CB67" s="1" t="s">
        <v>233</v>
      </c>
      <c r="CC67" s="1"/>
      <c r="CN67" s="39" t="s">
        <v>234</v>
      </c>
      <c r="CO67" s="4" t="s">
        <v>235</v>
      </c>
    </row>
    <row r="68" spans="14:93" ht="15.6">
      <c r="N68"/>
      <c r="O68"/>
      <c r="P68"/>
      <c r="Q68"/>
      <c r="R68"/>
      <c r="CA68" s="21" t="s">
        <v>187</v>
      </c>
      <c r="CB68" s="1" t="s">
        <v>236</v>
      </c>
      <c r="CC68" s="1"/>
      <c r="CN68" s="39" t="s">
        <v>234</v>
      </c>
      <c r="CO68" s="1" t="s">
        <v>237</v>
      </c>
    </row>
    <row r="69" spans="14:93" ht="15.6">
      <c r="N69"/>
      <c r="O69"/>
      <c r="P69"/>
      <c r="Q69"/>
      <c r="R69"/>
      <c r="CA69" s="21" t="s">
        <v>187</v>
      </c>
      <c r="CB69" s="1" t="s">
        <v>238</v>
      </c>
      <c r="CC69" s="1"/>
      <c r="CN69" s="39" t="s">
        <v>234</v>
      </c>
      <c r="CO69" s="1" t="s">
        <v>239</v>
      </c>
    </row>
    <row r="70" spans="14:93" ht="15.6">
      <c r="N70"/>
      <c r="O70"/>
      <c r="P70"/>
      <c r="Q70"/>
      <c r="R70"/>
      <c r="CA70" s="21" t="s">
        <v>187</v>
      </c>
      <c r="CB70" s="1" t="s">
        <v>240</v>
      </c>
      <c r="CC70" s="21"/>
      <c r="CN70" s="39" t="s">
        <v>234</v>
      </c>
      <c r="CO70" s="1" t="s">
        <v>241</v>
      </c>
    </row>
    <row r="71" spans="14:93" ht="15.6">
      <c r="CA71" s="21" t="s">
        <v>187</v>
      </c>
      <c r="CB71" s="1" t="s">
        <v>242</v>
      </c>
      <c r="CC71" s="1"/>
      <c r="CN71" s="39" t="s">
        <v>234</v>
      </c>
      <c r="CO71" s="1" t="s">
        <v>243</v>
      </c>
    </row>
    <row r="72" spans="14:93" ht="15.6">
      <c r="CA72" s="21" t="s">
        <v>187</v>
      </c>
      <c r="CB72" s="1" t="s">
        <v>244</v>
      </c>
      <c r="CC72" s="1"/>
      <c r="CN72" s="39" t="s">
        <v>234</v>
      </c>
      <c r="CO72" s="1" t="s">
        <v>245</v>
      </c>
    </row>
    <row r="73" spans="14:93" ht="15.6">
      <c r="CA73" s="21" t="s">
        <v>187</v>
      </c>
      <c r="CB73" s="1" t="s">
        <v>246</v>
      </c>
      <c r="CC73" s="1"/>
      <c r="CN73" s="39" t="s">
        <v>234</v>
      </c>
      <c r="CO73" s="1" t="s">
        <v>247</v>
      </c>
    </row>
    <row r="74" spans="14:93" ht="15.6">
      <c r="CA74" s="21" t="s">
        <v>187</v>
      </c>
      <c r="CB74" s="1" t="s">
        <v>248</v>
      </c>
      <c r="CC74" s="1"/>
      <c r="CN74" s="39" t="s">
        <v>234</v>
      </c>
      <c r="CO74" s="1" t="s">
        <v>249</v>
      </c>
    </row>
    <row r="75" spans="14:93" ht="15.6">
      <c r="CA75" s="21" t="s">
        <v>187</v>
      </c>
      <c r="CB75" s="1" t="s">
        <v>250</v>
      </c>
      <c r="CC75" s="1"/>
      <c r="CN75" s="39" t="s">
        <v>234</v>
      </c>
      <c r="CO75" s="1" t="s">
        <v>251</v>
      </c>
    </row>
    <row r="76" spans="14:93" ht="15.6">
      <c r="CA76" s="21" t="s">
        <v>187</v>
      </c>
      <c r="CB76" s="1" t="s">
        <v>252</v>
      </c>
      <c r="CC76" s="1"/>
      <c r="CN76" s="39" t="s">
        <v>234</v>
      </c>
      <c r="CO76" s="1" t="s">
        <v>253</v>
      </c>
    </row>
    <row r="77" spans="14:93" ht="15.6">
      <c r="CA77" s="21" t="s">
        <v>187</v>
      </c>
      <c r="CB77" s="1" t="s">
        <v>254</v>
      </c>
      <c r="CC77" s="1"/>
      <c r="CN77" s="39" t="s">
        <v>234</v>
      </c>
      <c r="CO77" s="1" t="s">
        <v>255</v>
      </c>
    </row>
    <row r="78" spans="14:93" ht="15.6">
      <c r="CA78" s="21" t="s">
        <v>187</v>
      </c>
      <c r="CB78" s="1" t="s">
        <v>256</v>
      </c>
      <c r="CC78" s="1"/>
      <c r="CN78" s="39" t="s">
        <v>234</v>
      </c>
      <c r="CO78" s="1" t="s">
        <v>257</v>
      </c>
    </row>
    <row r="79" spans="14:93" ht="15.6">
      <c r="CA79" s="21" t="s">
        <v>187</v>
      </c>
      <c r="CB79" s="1" t="s">
        <v>258</v>
      </c>
      <c r="CC79" s="1"/>
      <c r="CN79" s="39" t="s">
        <v>234</v>
      </c>
      <c r="CO79" s="1" t="s">
        <v>259</v>
      </c>
    </row>
    <row r="80" spans="14:93" ht="15.6">
      <c r="CA80" s="21" t="s">
        <v>187</v>
      </c>
      <c r="CB80" s="1" t="s">
        <v>260</v>
      </c>
      <c r="CC80" s="1"/>
      <c r="CN80" s="39" t="s">
        <v>234</v>
      </c>
      <c r="CO80" s="1" t="s">
        <v>261</v>
      </c>
    </row>
    <row r="81" spans="79:93" ht="15.6">
      <c r="CA81" s="21" t="s">
        <v>187</v>
      </c>
      <c r="CB81" s="1" t="s">
        <v>262</v>
      </c>
      <c r="CC81" s="1"/>
      <c r="CN81" s="39" t="s">
        <v>234</v>
      </c>
      <c r="CO81" s="1" t="s">
        <v>263</v>
      </c>
    </row>
    <row r="82" spans="79:93" ht="15.6">
      <c r="CA82" s="21" t="s">
        <v>187</v>
      </c>
      <c r="CB82" s="1" t="s">
        <v>264</v>
      </c>
      <c r="CC82" s="1"/>
      <c r="CN82" s="39" t="s">
        <v>234</v>
      </c>
      <c r="CO82" s="1" t="s">
        <v>265</v>
      </c>
    </row>
    <row r="83" spans="79:93" ht="15.6">
      <c r="CA83" s="21" t="s">
        <v>187</v>
      </c>
      <c r="CB83" s="1" t="s">
        <v>266</v>
      </c>
      <c r="CC83" s="1"/>
      <c r="CN83" s="39" t="s">
        <v>234</v>
      </c>
      <c r="CO83" s="1" t="s">
        <v>267</v>
      </c>
    </row>
    <row r="84" spans="79:93" ht="15.6">
      <c r="CA84" s="21" t="s">
        <v>187</v>
      </c>
      <c r="CB84" s="1" t="s">
        <v>268</v>
      </c>
      <c r="CC84" s="1"/>
      <c r="CN84" s="39" t="s">
        <v>234</v>
      </c>
      <c r="CO84" s="1" t="s">
        <v>269</v>
      </c>
    </row>
    <row r="85" spans="79:93" ht="15.6">
      <c r="CA85" s="21" t="s">
        <v>187</v>
      </c>
      <c r="CB85" s="1" t="s">
        <v>270</v>
      </c>
      <c r="CC85" s="1"/>
      <c r="CN85" s="21" t="s">
        <v>271</v>
      </c>
      <c r="CO85" s="69" t="s">
        <v>272</v>
      </c>
    </row>
    <row r="86" spans="79:93" ht="15.6">
      <c r="CA86" s="21" t="s">
        <v>187</v>
      </c>
      <c r="CB86" s="1" t="s">
        <v>273</v>
      </c>
      <c r="CC86" s="1"/>
      <c r="CN86" s="21" t="s">
        <v>271</v>
      </c>
      <c r="CO86" s="69" t="s">
        <v>274</v>
      </c>
    </row>
    <row r="87" spans="79:93" ht="15.6">
      <c r="CA87" s="21" t="s">
        <v>187</v>
      </c>
      <c r="CB87" s="1" t="s">
        <v>275</v>
      </c>
      <c r="CC87" s="1"/>
      <c r="CN87" s="21" t="s">
        <v>271</v>
      </c>
      <c r="CO87" s="69" t="s">
        <v>276</v>
      </c>
    </row>
    <row r="88" spans="79:93" ht="15.6">
      <c r="CA88" s="21" t="s">
        <v>187</v>
      </c>
      <c r="CB88" s="1" t="s">
        <v>277</v>
      </c>
      <c r="CC88" s="1"/>
      <c r="CN88" s="21" t="s">
        <v>271</v>
      </c>
      <c r="CO88" s="69" t="s">
        <v>278</v>
      </c>
    </row>
    <row r="89" spans="79:93" ht="15.6">
      <c r="CA89" s="21" t="s">
        <v>187</v>
      </c>
      <c r="CB89" s="1" t="s">
        <v>279</v>
      </c>
      <c r="CC89" s="1"/>
      <c r="CN89" s="21" t="s">
        <v>271</v>
      </c>
      <c r="CO89" s="69" t="s">
        <v>280</v>
      </c>
    </row>
    <row r="90" spans="79:93" ht="15.6">
      <c r="CA90" s="21" t="s">
        <v>187</v>
      </c>
      <c r="CB90" s="1" t="s">
        <v>281</v>
      </c>
      <c r="CC90" s="1"/>
      <c r="CN90" s="21" t="s">
        <v>271</v>
      </c>
      <c r="CO90" s="69" t="s">
        <v>282</v>
      </c>
    </row>
    <row r="91" spans="79:93" ht="15.6">
      <c r="CA91" s="21" t="s">
        <v>187</v>
      </c>
      <c r="CB91" s="1" t="s">
        <v>283</v>
      </c>
      <c r="CC91" s="1"/>
      <c r="CN91" s="21" t="s">
        <v>271</v>
      </c>
      <c r="CO91" s="69" t="s">
        <v>284</v>
      </c>
    </row>
    <row r="92" spans="79:93" ht="15.6">
      <c r="CA92" s="21" t="s">
        <v>187</v>
      </c>
      <c r="CB92" s="1" t="s">
        <v>285</v>
      </c>
      <c r="CC92" s="1"/>
      <c r="CN92" s="21" t="s">
        <v>271</v>
      </c>
      <c r="CO92" s="69" t="s">
        <v>286</v>
      </c>
    </row>
    <row r="93" spans="79:93" ht="15.6">
      <c r="CA93" s="21" t="s">
        <v>187</v>
      </c>
      <c r="CB93" s="1" t="s">
        <v>287</v>
      </c>
      <c r="CC93" s="1"/>
      <c r="CN93" s="21" t="s">
        <v>271</v>
      </c>
      <c r="CO93" s="69" t="s">
        <v>288</v>
      </c>
    </row>
    <row r="94" spans="79:93" ht="15.6">
      <c r="CA94" s="21" t="s">
        <v>187</v>
      </c>
      <c r="CB94" s="1" t="s">
        <v>289</v>
      </c>
      <c r="CC94" s="1"/>
      <c r="CN94" s="21" t="s">
        <v>271</v>
      </c>
      <c r="CO94" s="69" t="s">
        <v>290</v>
      </c>
    </row>
    <row r="95" spans="79:93" ht="15.6">
      <c r="CA95" s="21" t="s">
        <v>187</v>
      </c>
      <c r="CB95" s="1" t="s">
        <v>291</v>
      </c>
      <c r="CC95" s="1"/>
      <c r="CN95" s="21" t="s">
        <v>271</v>
      </c>
      <c r="CO95" s="69" t="s">
        <v>292</v>
      </c>
    </row>
    <row r="96" spans="79:93" ht="15.6">
      <c r="CA96" s="21" t="s">
        <v>187</v>
      </c>
      <c r="CB96" s="1" t="s">
        <v>293</v>
      </c>
      <c r="CC96" s="1"/>
      <c r="CN96" s="21" t="s">
        <v>271</v>
      </c>
      <c r="CO96" s="69" t="s">
        <v>294</v>
      </c>
    </row>
    <row r="97" spans="79:93" ht="15.6">
      <c r="CA97" s="21" t="s">
        <v>187</v>
      </c>
      <c r="CB97" s="1" t="s">
        <v>295</v>
      </c>
      <c r="CC97" s="1"/>
      <c r="CN97" s="21" t="s">
        <v>271</v>
      </c>
      <c r="CO97" s="69" t="s">
        <v>296</v>
      </c>
    </row>
    <row r="98" spans="79:93" ht="15.6">
      <c r="CA98" s="21" t="s">
        <v>187</v>
      </c>
      <c r="CB98" s="1" t="s">
        <v>297</v>
      </c>
      <c r="CC98" s="1"/>
      <c r="CN98" s="21" t="s">
        <v>271</v>
      </c>
      <c r="CO98" s="69" t="s">
        <v>298</v>
      </c>
    </row>
    <row r="99" spans="79:93" ht="15.6">
      <c r="CA99" s="21" t="s">
        <v>187</v>
      </c>
      <c r="CB99" s="1" t="s">
        <v>299</v>
      </c>
      <c r="CC99" s="1"/>
      <c r="CN99" s="21" t="s">
        <v>271</v>
      </c>
      <c r="CO99" s="69" t="s">
        <v>300</v>
      </c>
    </row>
    <row r="100" spans="79:93" ht="15.6">
      <c r="CA100" s="21" t="s">
        <v>187</v>
      </c>
      <c r="CB100" s="1" t="s">
        <v>301</v>
      </c>
      <c r="CC100" s="1"/>
      <c r="CN100" s="21" t="s">
        <v>271</v>
      </c>
      <c r="CO100" s="69" t="s">
        <v>302</v>
      </c>
    </row>
    <row r="101" spans="79:93" ht="15.6">
      <c r="CA101" s="21" t="s">
        <v>187</v>
      </c>
      <c r="CB101" s="1" t="s">
        <v>303</v>
      </c>
      <c r="CC101" s="1"/>
      <c r="CN101" s="21" t="s">
        <v>271</v>
      </c>
      <c r="CO101" s="69" t="s">
        <v>304</v>
      </c>
    </row>
    <row r="102" spans="79:93" ht="15.6">
      <c r="CA102" s="21" t="s">
        <v>187</v>
      </c>
      <c r="CB102" s="1" t="s">
        <v>305</v>
      </c>
      <c r="CC102" s="1"/>
      <c r="CN102" s="21" t="s">
        <v>271</v>
      </c>
      <c r="CO102" s="69" t="s">
        <v>306</v>
      </c>
    </row>
    <row r="103" spans="79:93" ht="15.6">
      <c r="CA103" s="21" t="s">
        <v>187</v>
      </c>
      <c r="CB103" s="1" t="s">
        <v>307</v>
      </c>
      <c r="CC103" s="1"/>
      <c r="CN103" s="21" t="s">
        <v>271</v>
      </c>
      <c r="CO103" s="69" t="s">
        <v>308</v>
      </c>
    </row>
    <row r="104" spans="79:93" ht="15.6">
      <c r="CA104" s="21" t="s">
        <v>187</v>
      </c>
      <c r="CB104" s="1" t="s">
        <v>309</v>
      </c>
      <c r="CC104" s="1"/>
      <c r="CN104" s="21" t="s">
        <v>271</v>
      </c>
      <c r="CO104" s="69" t="s">
        <v>310</v>
      </c>
    </row>
    <row r="105" spans="79:93" ht="15.6">
      <c r="CA105" s="21" t="s">
        <v>187</v>
      </c>
      <c r="CB105" s="1" t="s">
        <v>311</v>
      </c>
      <c r="CC105" s="1"/>
      <c r="CN105" s="21" t="s">
        <v>271</v>
      </c>
      <c r="CO105" s="69" t="s">
        <v>312</v>
      </c>
    </row>
    <row r="106" spans="79:93" ht="15.6">
      <c r="CA106" s="21" t="s">
        <v>187</v>
      </c>
      <c r="CB106" s="1" t="s">
        <v>313</v>
      </c>
      <c r="CC106" s="1"/>
      <c r="CN106" s="21" t="s">
        <v>271</v>
      </c>
      <c r="CO106" s="69" t="s">
        <v>314</v>
      </c>
    </row>
    <row r="107" spans="79:93" ht="15.6">
      <c r="CA107" s="21" t="s">
        <v>187</v>
      </c>
      <c r="CB107" s="1" t="s">
        <v>315</v>
      </c>
      <c r="CC107" s="1"/>
      <c r="CN107" s="21" t="s">
        <v>271</v>
      </c>
      <c r="CO107" s="69" t="s">
        <v>316</v>
      </c>
    </row>
    <row r="108" spans="79:93" ht="15.6">
      <c r="CA108" s="21" t="s">
        <v>187</v>
      </c>
      <c r="CB108" s="1" t="s">
        <v>317</v>
      </c>
      <c r="CC108" s="1"/>
      <c r="CN108" s="21" t="s">
        <v>271</v>
      </c>
      <c r="CO108" s="69" t="s">
        <v>318</v>
      </c>
    </row>
    <row r="109" spans="79:93" ht="15.6">
      <c r="CA109" s="21" t="s">
        <v>187</v>
      </c>
      <c r="CB109" s="1" t="s">
        <v>319</v>
      </c>
      <c r="CC109" s="1"/>
      <c r="CN109" s="39" t="s">
        <v>199</v>
      </c>
      <c r="CO109" s="4" t="s">
        <v>320</v>
      </c>
    </row>
    <row r="110" spans="79:93" ht="15.6">
      <c r="CA110" s="21" t="s">
        <v>187</v>
      </c>
      <c r="CB110" s="1" t="s">
        <v>321</v>
      </c>
      <c r="CC110" s="1"/>
      <c r="CN110" s="39" t="s">
        <v>199</v>
      </c>
      <c r="CO110" s="4" t="s">
        <v>322</v>
      </c>
    </row>
    <row r="111" spans="79:93" ht="15.6">
      <c r="CA111" s="21" t="s">
        <v>187</v>
      </c>
      <c r="CB111" s="1" t="s">
        <v>323</v>
      </c>
      <c r="CC111" s="1"/>
      <c r="CN111" s="39" t="s">
        <v>199</v>
      </c>
      <c r="CO111" s="4" t="s">
        <v>324</v>
      </c>
    </row>
    <row r="112" spans="79:93" ht="15.6">
      <c r="CA112" s="21" t="s">
        <v>187</v>
      </c>
      <c r="CB112" s="1" t="s">
        <v>325</v>
      </c>
      <c r="CC112" s="1"/>
      <c r="CN112" s="39" t="s">
        <v>199</v>
      </c>
      <c r="CO112" s="4" t="s">
        <v>326</v>
      </c>
    </row>
    <row r="113" spans="79:93" ht="15.6">
      <c r="CA113" s="21" t="s">
        <v>187</v>
      </c>
      <c r="CB113" s="1" t="s">
        <v>327</v>
      </c>
      <c r="CC113" s="1"/>
      <c r="CN113" s="39" t="s">
        <v>199</v>
      </c>
      <c r="CO113" s="4" t="s">
        <v>328</v>
      </c>
    </row>
    <row r="114" spans="79:93" ht="15.6">
      <c r="CA114" s="21" t="s">
        <v>187</v>
      </c>
      <c r="CB114" s="1" t="s">
        <v>329</v>
      </c>
      <c r="CC114" s="1"/>
      <c r="CN114" s="39" t="s">
        <v>199</v>
      </c>
      <c r="CO114" s="4" t="s">
        <v>330</v>
      </c>
    </row>
    <row r="115" spans="79:93" ht="15.6">
      <c r="CA115" s="21" t="s">
        <v>187</v>
      </c>
      <c r="CB115" s="1" t="s">
        <v>331</v>
      </c>
      <c r="CC115" s="1"/>
      <c r="CN115" s="39" t="s">
        <v>199</v>
      </c>
      <c r="CO115" s="4" t="s">
        <v>332</v>
      </c>
    </row>
    <row r="116" spans="79:93" ht="15.6">
      <c r="CA116" s="21" t="s">
        <v>187</v>
      </c>
      <c r="CB116" s="1" t="s">
        <v>333</v>
      </c>
      <c r="CC116" s="1"/>
    </row>
    <row r="117" spans="79:93" ht="15.6">
      <c r="CA117" s="21" t="s">
        <v>187</v>
      </c>
      <c r="CB117" s="1" t="s">
        <v>334</v>
      </c>
      <c r="CC117" s="1"/>
    </row>
    <row r="118" spans="79:93" ht="15.6">
      <c r="CA118" s="21" t="s">
        <v>187</v>
      </c>
      <c r="CB118" s="1" t="s">
        <v>335</v>
      </c>
      <c r="CC118" s="1"/>
    </row>
    <row r="119" spans="79:93" ht="15.6">
      <c r="CA119" s="21" t="s">
        <v>187</v>
      </c>
      <c r="CB119" s="1" t="s">
        <v>336</v>
      </c>
      <c r="CC119" s="1"/>
    </row>
    <row r="120" spans="79:93" ht="15.6">
      <c r="CA120" s="21" t="s">
        <v>187</v>
      </c>
      <c r="CB120" s="1" t="s">
        <v>337</v>
      </c>
      <c r="CC120" s="1"/>
      <c r="CO120" s="39"/>
    </row>
    <row r="121" spans="79:93" ht="15.6">
      <c r="CA121" s="21" t="s">
        <v>187</v>
      </c>
      <c r="CB121" s="1" t="s">
        <v>338</v>
      </c>
      <c r="CC121" s="1"/>
    </row>
    <row r="122" spans="79:93" ht="15.6">
      <c r="CA122" s="21" t="s">
        <v>187</v>
      </c>
      <c r="CB122" s="1" t="s">
        <v>339</v>
      </c>
      <c r="CC122" s="1"/>
    </row>
    <row r="123" spans="79:93" ht="16.2">
      <c r="CA123" s="21" t="s">
        <v>199</v>
      </c>
      <c r="CB123" s="70" t="s">
        <v>340</v>
      </c>
      <c r="CC123" s="1"/>
    </row>
    <row r="124" spans="79:93" ht="16.2">
      <c r="CA124" s="21" t="s">
        <v>199</v>
      </c>
      <c r="CB124" s="70" t="s">
        <v>341</v>
      </c>
      <c r="CC124" s="1"/>
    </row>
    <row r="125" spans="79:93" ht="16.2">
      <c r="CA125" s="21" t="s">
        <v>199</v>
      </c>
      <c r="CB125" s="70" t="s">
        <v>342</v>
      </c>
      <c r="CC125" s="1"/>
    </row>
    <row r="126" spans="79:93" ht="15.6">
      <c r="CA126" s="21" t="s">
        <v>343</v>
      </c>
      <c r="CB126" s="1" t="s">
        <v>344</v>
      </c>
      <c r="CC126" s="1"/>
    </row>
    <row r="127" spans="79:93" ht="15.6">
      <c r="CA127" s="21" t="s">
        <v>343</v>
      </c>
      <c r="CB127" s="1" t="s">
        <v>345</v>
      </c>
      <c r="CC127" s="1"/>
    </row>
    <row r="128" spans="79:93" ht="15.6">
      <c r="CA128" s="21" t="s">
        <v>343</v>
      </c>
      <c r="CB128" s="1" t="s">
        <v>346</v>
      </c>
      <c r="CC128" s="1"/>
    </row>
    <row r="129" spans="79:81" ht="15.6">
      <c r="CA129" s="21" t="s">
        <v>343</v>
      </c>
      <c r="CB129" s="1" t="s">
        <v>347</v>
      </c>
      <c r="CC129" s="21"/>
    </row>
    <row r="130" spans="79:81" ht="15.6">
      <c r="CA130" s="21" t="s">
        <v>343</v>
      </c>
      <c r="CB130" s="1" t="s">
        <v>348</v>
      </c>
      <c r="CC130" s="21"/>
    </row>
    <row r="131" spans="79:81" ht="15.6">
      <c r="CA131" s="21" t="s">
        <v>343</v>
      </c>
      <c r="CB131" s="1" t="s">
        <v>349</v>
      </c>
      <c r="CC131" s="1"/>
    </row>
    <row r="132" spans="79:81" ht="16.2">
      <c r="CA132" s="21" t="s">
        <v>343</v>
      </c>
      <c r="CB132" s="70" t="s">
        <v>350</v>
      </c>
      <c r="CC132" s="1"/>
    </row>
    <row r="133" spans="79:81" ht="15.6">
      <c r="CA133" s="21" t="s">
        <v>343</v>
      </c>
      <c r="CB133" s="1" t="s">
        <v>351</v>
      </c>
      <c r="CC133" s="1"/>
    </row>
    <row r="134" spans="79:81" ht="16.2">
      <c r="CA134" s="21" t="s">
        <v>343</v>
      </c>
      <c r="CB134" s="70" t="s">
        <v>352</v>
      </c>
      <c r="CC134" s="21"/>
    </row>
    <row r="135" spans="79:81" ht="15.6">
      <c r="CA135" s="21" t="s">
        <v>343</v>
      </c>
      <c r="CB135" s="1" t="s">
        <v>353</v>
      </c>
      <c r="CC135" s="21"/>
    </row>
    <row r="136" spans="79:81" ht="15.6">
      <c r="CA136" s="21" t="s">
        <v>343</v>
      </c>
      <c r="CB136" s="1" t="s">
        <v>354</v>
      </c>
      <c r="CC136" s="71"/>
    </row>
    <row r="137" spans="79:81" ht="16.2">
      <c r="CA137" s="21" t="s">
        <v>343</v>
      </c>
      <c r="CB137" s="70" t="s">
        <v>355</v>
      </c>
      <c r="CC137" s="1"/>
    </row>
    <row r="138" spans="79:81" ht="16.2">
      <c r="CA138" s="21" t="s">
        <v>343</v>
      </c>
      <c r="CB138" s="70" t="s">
        <v>356</v>
      </c>
      <c r="CC138" s="1"/>
    </row>
    <row r="139" spans="79:81" ht="16.2">
      <c r="CA139" s="21" t="s">
        <v>343</v>
      </c>
      <c r="CB139" s="70" t="s">
        <v>357</v>
      </c>
      <c r="CC139" s="1"/>
    </row>
    <row r="140" spans="79:81" ht="16.2">
      <c r="CA140" s="21" t="s">
        <v>343</v>
      </c>
      <c r="CB140" s="70" t="s">
        <v>358</v>
      </c>
      <c r="CC140" s="1"/>
    </row>
    <row r="141" spans="79:81" ht="16.2">
      <c r="CA141" s="21" t="s">
        <v>343</v>
      </c>
      <c r="CB141" s="70" t="s">
        <v>359</v>
      </c>
      <c r="CC141" s="1"/>
    </row>
    <row r="142" spans="79:81" ht="15.6">
      <c r="CA142" s="21" t="s">
        <v>343</v>
      </c>
      <c r="CB142" s="1" t="s">
        <v>360</v>
      </c>
      <c r="CC142" s="1"/>
    </row>
    <row r="143" spans="79:81" ht="15.6">
      <c r="CA143" s="21" t="s">
        <v>343</v>
      </c>
      <c r="CB143" s="1" t="s">
        <v>361</v>
      </c>
      <c r="CC143" s="71"/>
    </row>
    <row r="144" spans="79:81" ht="15.6">
      <c r="CA144" s="21" t="s">
        <v>343</v>
      </c>
      <c r="CB144" s="1" t="s">
        <v>362</v>
      </c>
      <c r="CC144" s="71"/>
    </row>
    <row r="145" spans="77:81" ht="16.2">
      <c r="BY145" s="2" t="s">
        <v>363</v>
      </c>
      <c r="CA145" s="21"/>
      <c r="CB145" s="70"/>
      <c r="CC145" s="1"/>
    </row>
    <row r="146" spans="77:81" ht="15.6">
      <c r="CA146" s="21"/>
      <c r="CB146" s="1"/>
      <c r="CC146" s="1"/>
    </row>
    <row r="147" spans="77:81" ht="15.6">
      <c r="CA147" s="21"/>
      <c r="CB147" s="1"/>
      <c r="CC147" s="1"/>
    </row>
    <row r="148" spans="77:81" ht="15.6">
      <c r="CA148" s="21"/>
      <c r="CB148" s="1"/>
      <c r="CC148" s="1"/>
    </row>
    <row r="149" spans="77:81" ht="15.6">
      <c r="CC149" s="1"/>
    </row>
    <row r="150" spans="77:81" ht="15.6">
      <c r="CC150" s="1"/>
    </row>
    <row r="151" spans="77:81" ht="15.6">
      <c r="CC151" s="71"/>
    </row>
    <row r="152" spans="77:81" ht="15.6">
      <c r="CC152" s="1"/>
    </row>
    <row r="153" spans="77:81" ht="15.6">
      <c r="CC153" s="1"/>
    </row>
    <row r="154" spans="77:81" ht="15.6">
      <c r="CC154" s="1"/>
    </row>
    <row r="155" spans="77:81" ht="15.6">
      <c r="CC155" s="1"/>
    </row>
    <row r="156" spans="77:81" ht="15.6">
      <c r="CC156" s="1"/>
    </row>
    <row r="157" spans="77:81" ht="15.6">
      <c r="CC157" s="1"/>
    </row>
    <row r="158" spans="77:81" ht="15.6">
      <c r="CC158" s="1"/>
    </row>
    <row r="159" spans="77:81" ht="15.6">
      <c r="CC159" s="1"/>
    </row>
    <row r="160" spans="77:81" ht="15.6">
      <c r="CC160" s="1"/>
    </row>
  </sheetData>
  <mergeCells count="11">
    <mergeCell ref="O22:R23"/>
    <mergeCell ref="A50:F50"/>
    <mergeCell ref="A56:F57"/>
    <mergeCell ref="A58:F59"/>
    <mergeCell ref="A60:F61"/>
    <mergeCell ref="O20:R21"/>
    <mergeCell ref="D4:E4"/>
    <mergeCell ref="G4:H4"/>
    <mergeCell ref="J4:L4"/>
    <mergeCell ref="O16:R17"/>
    <mergeCell ref="O18:R19"/>
  </mergeCells>
  <conditionalFormatting sqref="E35">
    <cfRule type="expression" dxfId="36" priority="3" stopIfTrue="1">
      <formula>$D$35=1</formula>
    </cfRule>
  </conditionalFormatting>
  <conditionalFormatting sqref="H38">
    <cfRule type="expression" dxfId="35" priority="4" stopIfTrue="1">
      <formula>AND(NOT($B$37=$I$38),LEFT($B$37,3)=LEFT($I$38,3))</formula>
    </cfRule>
  </conditionalFormatting>
  <dataValidations count="5">
    <dataValidation type="list" allowBlank="1" showInputMessage="1" showErrorMessage="1" sqref="B20">
      <formula1>$CB$7:$CB$145</formula1>
    </dataValidation>
    <dataValidation type="list" allowBlank="1" showInputMessage="1" showErrorMessage="1" sqref="B37">
      <formula1>$CO$9:$CO$115</formula1>
    </dataValidation>
    <dataValidation type="list" allowBlank="1" showInputMessage="1" showErrorMessage="1" promptTitle="Different departments" prompt="Make sure to select social sciences from two different departments" sqref="I38">
      <formula1>$CO$9:$CO$115</formula1>
    </dataValidation>
    <dataValidation type="list" allowBlank="1" showInputMessage="1" showErrorMessage="1" sqref="I45">
      <formula1>$CJ$9:$CJ$52</formula1>
    </dataValidation>
    <dataValidation type="list" allowBlank="1" showInputMessage="1" showErrorMessage="1" sqref="I19">
      <formula1>$CE$9:$CE$38</formula1>
    </dataValidation>
  </dataValidations>
  <printOptions horizontalCentered="1" verticalCentered="1"/>
  <pageMargins left="0.5" right="0.5" top="0.1" bottom="0.1" header="0.5" footer="0.5"/>
  <headerFooter>
    <oddHeader>&amp;L&amp;C&amp;R_x000D__x000D_</oddHeader>
    <oddFooter>&amp;L&amp;C&amp;R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1:AL53"/>
  <sheetViews>
    <sheetView workbookViewId="0">
      <selection activeCell="AI21" sqref="AI21"/>
    </sheetView>
  </sheetViews>
  <sheetFormatPr defaultColWidth="10.796875" defaultRowHeight="15.6"/>
  <cols>
    <col min="1" max="1" width="10.796875" style="103"/>
    <col min="2" max="2" width="21.19921875" style="102" customWidth="1"/>
    <col min="3" max="3" width="6.69921875" style="102" customWidth="1"/>
    <col min="4" max="4" width="20.796875" style="102" customWidth="1"/>
    <col min="5" max="5" width="6.69921875" style="102" customWidth="1"/>
    <col min="6" max="6" width="19.69921875" style="102" customWidth="1"/>
    <col min="7" max="7" width="6.69921875" style="102" customWidth="1"/>
    <col min="8" max="8" width="20.19921875" style="102" customWidth="1"/>
    <col min="9" max="9" width="6.69921875" style="102" customWidth="1"/>
    <col min="10" max="10" width="21.296875" style="102" customWidth="1"/>
    <col min="11" max="11" width="14.796875" style="102" customWidth="1"/>
    <col min="12" max="12" width="21.69921875" style="102" customWidth="1"/>
    <col min="13" max="13" width="6.69921875" style="102" customWidth="1"/>
    <col min="14" max="14" width="18.296875" style="102" customWidth="1"/>
    <col min="15" max="15" width="32.19921875" style="102" customWidth="1"/>
    <col min="16" max="16" width="11.296875" style="103" customWidth="1"/>
    <col min="17" max="17" width="18.296875" style="103" customWidth="1"/>
    <col min="18" max="16384" width="10.796875" style="103"/>
  </cols>
  <sheetData>
    <row r="1" spans="2:38" ht="25.95" customHeight="1"/>
    <row r="2" spans="2:38" ht="12" customHeight="1" thickBot="1"/>
    <row r="3" spans="2:38" ht="30" customHeight="1">
      <c r="H3" s="193" t="str">
        <f>CONCATENATE("BS in Civil Engineering",CHAR(10),"Class of 2012 Flowchart")</f>
        <v>BS in Civil Engineering
Class of 2012 Flowchart</v>
      </c>
      <c r="I3" s="194"/>
      <c r="J3" s="195"/>
      <c r="AA3" s="103" t="str">
        <f>'EE Curriculum'!A8</f>
        <v>GEN 1001</v>
      </c>
      <c r="AB3" s="103" t="str">
        <f>'EE Curriculum'!B8</f>
        <v>Intro. to Eng.</v>
      </c>
      <c r="AC3" s="103">
        <f>'EE Curriculum'!C8</f>
        <v>4</v>
      </c>
      <c r="AD3" s="103" t="str">
        <f>'EE Curriculum'!D8</f>
        <v xml:space="preserve"> </v>
      </c>
      <c r="AE3" s="104"/>
      <c r="AF3" s="104"/>
      <c r="AG3" s="104"/>
      <c r="AH3" s="103" t="str">
        <f>'EE Curriculum'!H8</f>
        <v>EEN 1200</v>
      </c>
      <c r="AI3" s="103" t="str">
        <f>'EE Curriculum'!I8</f>
        <v>Digital Fundamentals</v>
      </c>
      <c r="AJ3" s="103">
        <f>'EE Curriculum'!J8</f>
        <v>4</v>
      </c>
      <c r="AK3" s="103" t="str">
        <f>'EE Curriculum'!K8</f>
        <v xml:space="preserve"> </v>
      </c>
      <c r="AL3" s="104"/>
    </row>
    <row r="4" spans="2:38" ht="30" customHeight="1" thickBot="1">
      <c r="H4" s="196"/>
      <c r="I4" s="197"/>
      <c r="J4" s="198"/>
      <c r="N4" s="105" t="s">
        <v>419</v>
      </c>
      <c r="O4" s="106" t="str">
        <f>'EE Curriculum'!B4</f>
        <v xml:space="preserve"> </v>
      </c>
      <c r="AA4" s="103" t="str">
        <f>'EE Curriculum'!A9</f>
        <v>MTH 1217</v>
      </c>
      <c r="AB4" s="103" t="str">
        <f>'EE Curriculum'!B9</f>
        <v>Calculus I</v>
      </c>
      <c r="AC4" s="103">
        <f>'EE Curriculum'!C9</f>
        <v>4</v>
      </c>
      <c r="AD4" s="103" t="str">
        <f>'EE Curriculum'!D9</f>
        <v xml:space="preserve"> </v>
      </c>
      <c r="AE4" s="104"/>
      <c r="AF4" s="104"/>
      <c r="AG4" s="104"/>
      <c r="AH4" s="103" t="str">
        <f>'EE Curriculum'!H9</f>
        <v>MTH 1218</v>
      </c>
      <c r="AI4" s="103" t="str">
        <f>'EE Curriculum'!I9</f>
        <v>Calculus II</v>
      </c>
      <c r="AJ4" s="103">
        <f>'EE Curriculum'!J9</f>
        <v>4</v>
      </c>
      <c r="AK4" s="103" t="str">
        <f>'EE Curriculum'!K9</f>
        <v xml:space="preserve"> </v>
      </c>
      <c r="AL4" s="104"/>
    </row>
    <row r="5" spans="2:38" ht="30" customHeight="1">
      <c r="N5"/>
      <c r="O5"/>
      <c r="AA5" s="103" t="str">
        <f>'EE Curriculum'!A10</f>
        <v>PHL 1000</v>
      </c>
      <c r="AB5" s="103" t="str">
        <f>'EE Curriculum'!B10</f>
        <v>Intro to Philosophy</v>
      </c>
      <c r="AC5" s="103">
        <f>'EE Curriculum'!C10</f>
        <v>4</v>
      </c>
      <c r="AD5" s="103">
        <f>'EE Curriculum'!D10</f>
        <v>0</v>
      </c>
      <c r="AE5" s="104"/>
      <c r="AF5" s="104"/>
      <c r="AG5" s="104"/>
      <c r="AH5" s="103" t="str">
        <f>'EE Curriculum'!H10</f>
        <v>CHM 1180</v>
      </c>
      <c r="AI5" s="103" t="str">
        <f>'EE Curriculum'!I10</f>
        <v>Engineering Chemistry</v>
      </c>
      <c r="AJ5" s="103">
        <f>'EE Curriculum'!J10</f>
        <v>4</v>
      </c>
      <c r="AK5" s="103" t="str">
        <f>'EE Curriculum'!K10</f>
        <v xml:space="preserve"> </v>
      </c>
      <c r="AL5" s="104"/>
    </row>
    <row r="6" spans="2:38" ht="30" customHeight="1">
      <c r="B6" s="107" t="str">
        <f>CONCATENATE('[1]CE Curriculum'!A8,CHAR(10),'[1]CE Curriculum'!B8)</f>
        <v>GEN 1001
Intro. to Eng.</v>
      </c>
      <c r="D6" s="107" t="str">
        <f>CONCATENATE(AH5," ",AI5)</f>
        <v>CHM 1180 Engineering Chemistry</v>
      </c>
      <c r="L6" s="107" t="str">
        <f>CONCATENATE(AA29," ",AB29)</f>
        <v>EEN 4750 VLSI Design</v>
      </c>
      <c r="N6"/>
      <c r="O6"/>
      <c r="AA6" s="103" t="str">
        <f>'EE Curriculum'!A11</f>
        <v>CSC 1610</v>
      </c>
      <c r="AB6" s="103" t="str">
        <f>'EE Curriculum'!B11</f>
        <v>Computer Science I</v>
      </c>
      <c r="AC6" s="103">
        <f>'EE Curriculum'!C11</f>
        <v>4</v>
      </c>
      <c r="AD6" s="103" t="str">
        <f>'EE Curriculum'!D11</f>
        <v xml:space="preserve"> </v>
      </c>
      <c r="AE6" s="104"/>
      <c r="AF6" s="104"/>
      <c r="AG6" s="104"/>
      <c r="AH6" s="103" t="str">
        <f>'EE Curriculum'!H11</f>
        <v>ENG 1050</v>
      </c>
      <c r="AI6" s="103" t="str">
        <f>'EE Curriculum'!I11</f>
        <v>College Writing</v>
      </c>
      <c r="AJ6" s="103">
        <f>'EE Curriculum'!J11</f>
        <v>4</v>
      </c>
      <c r="AK6" s="103" t="str">
        <f>'EE Curriculum'!K11</f>
        <v xml:space="preserve"> </v>
      </c>
      <c r="AL6" s="104"/>
    </row>
    <row r="7" spans="2:38" ht="30" customHeight="1">
      <c r="N7"/>
      <c r="O7"/>
      <c r="AA7" s="103" t="str">
        <f>'EE Curriculum'!A12</f>
        <v>EEN 1100</v>
      </c>
      <c r="AB7" s="103" t="str">
        <f>'EE Curriculum'!B12</f>
        <v>Analog Fundamentals</v>
      </c>
      <c r="AC7" s="103">
        <f>'EE Curriculum'!C12</f>
        <v>2</v>
      </c>
      <c r="AD7" s="103" t="str">
        <f>'EE Curriculum'!D12</f>
        <v xml:space="preserve"> </v>
      </c>
      <c r="AE7" s="104"/>
      <c r="AF7" s="104"/>
      <c r="AG7" s="104"/>
      <c r="AH7" s="104"/>
      <c r="AI7" s="104"/>
      <c r="AJ7" s="104"/>
      <c r="AK7" s="104"/>
      <c r="AL7" s="104"/>
    </row>
    <row r="8" spans="2:38" ht="31.2">
      <c r="B8" s="107" t="str">
        <f>CONCATENATE(AA7," ",AB7)</f>
        <v>EEN 1100 Analog Fundamentals</v>
      </c>
      <c r="D8" s="107" t="str">
        <f>CONCATENATE(AH3," ",AI3)</f>
        <v>EEN 1200 Digital Fundamentals</v>
      </c>
      <c r="F8" s="107" t="str">
        <f>CONCATENATE(AA11," ",AB11)</f>
        <v>EEN 2130 Circuit Theory I</v>
      </c>
      <c r="H8" s="107" t="str">
        <f>CONCATENATE(AH11," ",AI11)</f>
        <v>EEN 2140 Circuit Theory II</v>
      </c>
      <c r="J8" s="107" t="str">
        <f>CONCATENATE(AA22," ",AB22)</f>
        <v>EEN 3210 Electronics I</v>
      </c>
      <c r="L8" s="107" t="str">
        <f>CONCATENATE(AH22," ",AI22)</f>
        <v>EEN 3220 Electronics II</v>
      </c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</row>
    <row r="9" spans="2:38" ht="30" customHeight="1">
      <c r="D9" s="108"/>
      <c r="J9" s="108"/>
      <c r="L9" s="108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</row>
    <row r="10" spans="2:38" ht="30" customHeight="1">
      <c r="B10" s="107" t="str">
        <f>CONCATENATE(AA6," ",AB6)</f>
        <v>CSC 1610 Computer Science I</v>
      </c>
      <c r="F10" s="107" t="str">
        <f>CONCATENATE(AA14," ",AB14)</f>
        <v>EEN 2250 Assembly for EEN</v>
      </c>
      <c r="H10" s="107" t="str">
        <f>CONCATENATE(AH13," ",AI13,"*")</f>
        <v>EEN 2270 Embedded Microprocessors*</v>
      </c>
      <c r="J10" s="107" t="str">
        <f>CONCATENATE(AH21," ",AI21)</f>
        <v>EEN 3130 Linear Signals and Systems</v>
      </c>
      <c r="L10" s="107" t="str">
        <f>CONCATENATE(AH30," ",AI30)</f>
        <v>EEN 4270 Feedback Circuits</v>
      </c>
      <c r="AE10" s="104"/>
      <c r="AF10" s="103" t="str">
        <f>'[1]CE Curriculum'!F15</f>
        <v>SOPHOMORE YEAR</v>
      </c>
      <c r="AG10" s="104"/>
      <c r="AH10" s="104"/>
      <c r="AI10" s="104"/>
      <c r="AJ10" s="104"/>
      <c r="AK10" s="104"/>
      <c r="AL10" s="104"/>
    </row>
    <row r="11" spans="2:38" ht="30" customHeight="1">
      <c r="H11" s="118" t="s">
        <v>425</v>
      </c>
      <c r="J11"/>
      <c r="S11" s="103" t="s">
        <v>420</v>
      </c>
      <c r="AA11" s="103" t="str">
        <f>'EE Curriculum'!A16</f>
        <v>EEN 2130</v>
      </c>
      <c r="AB11" s="103" t="str">
        <f>'EE Curriculum'!B16</f>
        <v>Circuit Theory I</v>
      </c>
      <c r="AC11" s="103">
        <f>'EE Curriculum'!C16</f>
        <v>4</v>
      </c>
      <c r="AD11" s="103" t="str">
        <f>'EE Curriculum'!D16</f>
        <v xml:space="preserve"> </v>
      </c>
      <c r="AE11" s="104"/>
      <c r="AF11" s="104"/>
      <c r="AG11" s="104"/>
      <c r="AH11" s="103" t="str">
        <f>'EE Curriculum'!H16</f>
        <v>EEN 2140</v>
      </c>
      <c r="AI11" s="103" t="str">
        <f>'EE Curriculum'!I16</f>
        <v>Circuit Theory II</v>
      </c>
      <c r="AJ11" s="103">
        <f>'EE Curriculum'!J16</f>
        <v>4</v>
      </c>
      <c r="AK11" s="103" t="str">
        <f>'EE Curriculum'!K16</f>
        <v xml:space="preserve"> </v>
      </c>
      <c r="AL11" s="104"/>
    </row>
    <row r="12" spans="2:38" ht="30" customHeight="1">
      <c r="B12" s="107" t="str">
        <f>CONCATENATE(AA4,CHAR(10),AB4)</f>
        <v>MTH 1217
Calculus I</v>
      </c>
      <c r="D12" s="107" t="str">
        <f>CONCATENATE(AH4,CHAR(10),AI4)</f>
        <v>MTH 1218
Calculus II</v>
      </c>
      <c r="F12" s="107" t="str">
        <f>CONCATENATE(AA13,CHAR(10),AB13)</f>
        <v>MTH 2219
Calculus III</v>
      </c>
      <c r="H12" s="107" t="str">
        <f>CONCATENATE(AA21,CHAR(13),AB21)</f>
        <v>MTH 2220_x000D_Differential Equations</v>
      </c>
      <c r="J12" s="107" t="str">
        <f>CONCATENATE(AA32," ",AB32)</f>
        <v>EEN 4960 Design Project I</v>
      </c>
      <c r="L12" s="107" t="str">
        <f>CONCATENATE(AH32," ",AI32)</f>
        <v>EEN 4970 Design Project II</v>
      </c>
      <c r="S12" s="103">
        <v>1.63</v>
      </c>
      <c r="T12" s="103" t="s">
        <v>421</v>
      </c>
      <c r="AA12" s="103" t="str">
        <f>'EE Curriculum'!A17</f>
        <v>PHY 2211</v>
      </c>
      <c r="AB12" s="103" t="str">
        <f>'EE Curriculum'!B17</f>
        <v>Physics I</v>
      </c>
      <c r="AC12" s="103">
        <f>'EE Curriculum'!C17</f>
        <v>4</v>
      </c>
      <c r="AD12" s="103" t="str">
        <f>'EE Curriculum'!D17</f>
        <v xml:space="preserve"> </v>
      </c>
      <c r="AE12" s="104"/>
      <c r="AH12" s="103" t="str">
        <f>'EE Curriculum'!H17</f>
        <v>PHY 2212</v>
      </c>
      <c r="AI12" s="103" t="str">
        <f>'EE Curriculum'!I17</f>
        <v>Physics II</v>
      </c>
      <c r="AJ12" s="103">
        <f>'EE Curriculum'!J17</f>
        <v>4</v>
      </c>
      <c r="AK12" s="103" t="str">
        <f>'EE Curriculum'!K17</f>
        <v xml:space="preserve"> </v>
      </c>
      <c r="AL12" s="104"/>
    </row>
    <row r="13" spans="2:38" ht="30" customHeight="1">
      <c r="J13"/>
      <c r="L13"/>
      <c r="R13" s="103">
        <v>19.79</v>
      </c>
      <c r="S13" s="103">
        <f>R13*S12</f>
        <v>32.2577</v>
      </c>
      <c r="T13" s="103">
        <v>36</v>
      </c>
      <c r="AA13" s="103" t="str">
        <f>'EE Curriculum'!A18</f>
        <v>MTH 2219</v>
      </c>
      <c r="AB13" s="103" t="str">
        <f>'EE Curriculum'!B18</f>
        <v>Calculus III</v>
      </c>
      <c r="AC13" s="103">
        <f>'EE Curriculum'!C18</f>
        <v>4</v>
      </c>
      <c r="AD13" s="103" t="str">
        <f>'EE Curriculum'!D18</f>
        <v xml:space="preserve"> </v>
      </c>
      <c r="AE13" s="104"/>
      <c r="AF13" s="104"/>
      <c r="AG13" s="104"/>
      <c r="AH13" s="103" t="str">
        <f>'EE Curriculum'!H18</f>
        <v>EEN 2270</v>
      </c>
      <c r="AI13" s="103" t="str">
        <f>'EE Curriculum'!I18</f>
        <v>Embedded Microprocessors</v>
      </c>
      <c r="AJ13" s="103">
        <f>'EE Curriculum'!J18</f>
        <v>4</v>
      </c>
      <c r="AK13" s="103" t="str">
        <f>'EE Curriculum'!K18</f>
        <v xml:space="preserve"> </v>
      </c>
      <c r="AL13" s="104"/>
    </row>
    <row r="14" spans="2:38" ht="30" customHeight="1">
      <c r="B14"/>
      <c r="D14"/>
      <c r="H14" s="107" t="str">
        <f>CONCATENATE(AA20," ",AB20)</f>
        <v>EEN 3430 Eng. Electromagnetics I</v>
      </c>
      <c r="J14" s="107" t="str">
        <f>CONCATENATE(AH20," ",AI20)</f>
        <v>EEN 3270 Energy Gen., Cons., and Tech</v>
      </c>
      <c r="K14" s="128" t="s">
        <v>477</v>
      </c>
      <c r="L14"/>
      <c r="R14" s="103">
        <v>14.75</v>
      </c>
      <c r="S14" s="103">
        <f>R14*S12</f>
        <v>24.042499999999997</v>
      </c>
      <c r="T14" s="103">
        <v>24</v>
      </c>
      <c r="AA14" s="103" t="str">
        <f>'EE Curriculum'!A19</f>
        <v>EEN 2250</v>
      </c>
      <c r="AB14" s="103" t="str">
        <f>'EE Curriculum'!B19</f>
        <v>Assembly for EEN</v>
      </c>
      <c r="AC14" s="103">
        <f>'EE Curriculum'!C19</f>
        <v>2</v>
      </c>
      <c r="AD14" s="103" t="str">
        <f>'EE Curriculum'!D19</f>
        <v xml:space="preserve"> </v>
      </c>
      <c r="AE14" s="104"/>
      <c r="AF14" s="104"/>
      <c r="AG14" s="104"/>
      <c r="AH14" s="103" t="str">
        <f>'EE Curriculum'!H19</f>
        <v>Ethics (E)</v>
      </c>
      <c r="AI14" s="103" t="str">
        <f>'EE Curriculum'!I19</f>
        <v>Elective (course here)</v>
      </c>
      <c r="AJ14" s="103">
        <f>'EE Curriculum'!J19</f>
        <v>4</v>
      </c>
      <c r="AK14" s="103">
        <f>'EE Curriculum'!K19</f>
        <v>0</v>
      </c>
      <c r="AL14" s="104"/>
    </row>
    <row r="15" spans="2:38" ht="30" customHeight="1">
      <c r="J15"/>
      <c r="L15"/>
      <c r="AA15" s="103" t="str">
        <f>'EE Curriculum'!A20</f>
        <v>Arts &amp; Lit (AL)</v>
      </c>
      <c r="AB15" s="103" t="str">
        <f>'EE Curriculum'!B20</f>
        <v>Elective (course here)</v>
      </c>
      <c r="AC15" s="103">
        <f>'EE Curriculum'!C20</f>
        <v>4</v>
      </c>
      <c r="AD15" s="103">
        <f>'EE Curriculum'!D20</f>
        <v>0</v>
      </c>
      <c r="AE15" s="104"/>
      <c r="AF15" s="104"/>
      <c r="AG15" s="104"/>
      <c r="AL15" s="104"/>
    </row>
    <row r="16" spans="2:38" ht="30" customHeight="1">
      <c r="B16"/>
      <c r="F16" s="107" t="str">
        <f>CONCATENATE(AA12,CHAR(10),AB12)</f>
        <v>PHY 2211
Physics I</v>
      </c>
      <c r="H16" s="107" t="str">
        <f>CONCATENATE(AH12,CHAR(10),AI12)</f>
        <v>PHY 2212
Physics II</v>
      </c>
      <c r="J16" s="107" t="str">
        <f>CONCATENATE(AA30," ",AB30)</f>
        <v>EEN Elective (course here)</v>
      </c>
      <c r="K16" s="128" t="s">
        <v>438</v>
      </c>
      <c r="L16" s="107" t="str">
        <f>CONCATENATE(AH31," ",AI31)</f>
        <v>EEN Elective (course here)</v>
      </c>
      <c r="AE16" s="104"/>
      <c r="AF16" s="104"/>
      <c r="AG16" s="104"/>
      <c r="AL16" s="104"/>
    </row>
    <row r="17" spans="2:38" ht="30" customHeight="1">
      <c r="K17" s="129"/>
      <c r="L17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</row>
    <row r="18" spans="2:38" ht="30" customHeight="1">
      <c r="B18" s="107" t="str">
        <f>CONCATENATE(AH6," ",AI6)</f>
        <v>ENG 1050 College Writing</v>
      </c>
      <c r="F18"/>
      <c r="J18" s="107" t="e">
        <f>CONCATENATE(AA31," ",AB31)</f>
        <v>#REF!</v>
      </c>
      <c r="K18" s="128" t="s">
        <v>438</v>
      </c>
      <c r="L18"/>
      <c r="AA18"/>
      <c r="AB18"/>
      <c r="AC18"/>
      <c r="AD18"/>
      <c r="AE18" s="104"/>
      <c r="AF18" s="104"/>
      <c r="AG18" s="104"/>
      <c r="AH18" s="104"/>
      <c r="AI18" s="104"/>
      <c r="AJ18" s="104"/>
      <c r="AK18" s="104"/>
      <c r="AL18" s="104"/>
    </row>
    <row r="19" spans="2:38" ht="30" customHeight="1">
      <c r="L19"/>
      <c r="AA19"/>
      <c r="AB19"/>
      <c r="AC19"/>
      <c r="AD19"/>
      <c r="AE19" s="104"/>
      <c r="AF19" s="103" t="str">
        <f>'[1]CE Curriculum'!F24</f>
        <v>JUNIOR YEAR</v>
      </c>
      <c r="AG19" s="104"/>
      <c r="AH19" s="104"/>
      <c r="AI19" s="104"/>
      <c r="AJ19" s="104"/>
      <c r="AK19" s="104"/>
      <c r="AL19" s="104"/>
    </row>
    <row r="20" spans="2:38" ht="45.75" customHeight="1">
      <c r="B20" s="107" t="str">
        <f>CONCATENATE(AA23," ",AB23)</f>
        <v>RTS 1001 Christianity in Context</v>
      </c>
      <c r="D20" s="109" t="str">
        <f>CONCATENATE(AH14," ",AI14)</f>
        <v>Ethics (E) Elective (course here)</v>
      </c>
      <c r="F20"/>
      <c r="I20"/>
      <c r="J20"/>
      <c r="K20"/>
      <c r="L20"/>
      <c r="AA20" s="103" t="str">
        <f>'EE Curriculum'!H25</f>
        <v>EEN 3430</v>
      </c>
      <c r="AB20" s="103" t="str">
        <f>'EE Curriculum'!I25</f>
        <v>Eng. Electromagnetics I</v>
      </c>
      <c r="AC20" s="103">
        <f>'EE Curriculum'!J25</f>
        <v>4</v>
      </c>
      <c r="AD20" s="103" t="str">
        <f>'EE Curriculum'!K25</f>
        <v xml:space="preserve"> </v>
      </c>
      <c r="AE20" s="104"/>
      <c r="AF20" s="104"/>
      <c r="AG20" s="104"/>
      <c r="AH20" s="103" t="str">
        <f>'EE Curriculum'!A25</f>
        <v>EEN 3270</v>
      </c>
      <c r="AI20" s="103" t="str">
        <f>'EE Curriculum'!B25</f>
        <v>Energy Gen., Cons., and Tech</v>
      </c>
      <c r="AJ20" s="103">
        <f>'EE Curriculum'!C25</f>
        <v>4</v>
      </c>
      <c r="AK20" s="103">
        <f>'EE Curriculum'!D25</f>
        <v>0</v>
      </c>
      <c r="AL20" s="104"/>
    </row>
    <row r="21" spans="2:38" ht="30" customHeight="1">
      <c r="I21"/>
      <c r="J21"/>
      <c r="K21"/>
      <c r="L21"/>
      <c r="O21" s="110"/>
      <c r="AA21" s="103" t="str">
        <f>'EE Curriculum'!A26</f>
        <v>MTH 2220</v>
      </c>
      <c r="AB21" s="103" t="str">
        <f>'EE Curriculum'!B26</f>
        <v>Differential Equations</v>
      </c>
      <c r="AC21" s="103">
        <f>'EE Curriculum'!C26</f>
        <v>4</v>
      </c>
      <c r="AD21" s="103" t="str">
        <f>'EE Curriculum'!D26</f>
        <v xml:space="preserve"> </v>
      </c>
      <c r="AE21" s="104"/>
      <c r="AG21" s="104"/>
      <c r="AH21" s="103" t="str">
        <f>'EE Curriculum'!A36</f>
        <v>EEN 3130</v>
      </c>
      <c r="AI21" s="103" t="str">
        <f>'EE Curriculum'!B36</f>
        <v>Linear Signals and Systems</v>
      </c>
      <c r="AJ21" s="103">
        <f>'EE Curriculum'!C36</f>
        <v>4</v>
      </c>
      <c r="AK21" s="103">
        <f>'EE Curriculum'!D36</f>
        <v>0</v>
      </c>
      <c r="AL21" s="104"/>
    </row>
    <row r="22" spans="2:38" ht="30" customHeight="1">
      <c r="B22" s="107" t="str">
        <f>CONCATENATE(AA5," ",AB5)</f>
        <v>PHL 1000 Intro to Philosophy</v>
      </c>
      <c r="E22" s="2"/>
      <c r="F22" s="2"/>
      <c r="I22"/>
      <c r="J22"/>
      <c r="K22"/>
      <c r="L22"/>
      <c r="AA22" s="103" t="str">
        <f>'EE Curriculum'!A27</f>
        <v>EEN 3210</v>
      </c>
      <c r="AB22" s="103" t="str">
        <f>'EE Curriculum'!B27</f>
        <v>Electronics I</v>
      </c>
      <c r="AC22" s="103">
        <f>'EE Curriculum'!C27</f>
        <v>4</v>
      </c>
      <c r="AD22" s="103" t="str">
        <f>'EE Curriculum'!D27</f>
        <v xml:space="preserve"> </v>
      </c>
      <c r="AE22" s="104"/>
      <c r="AF22" s="104"/>
      <c r="AG22" s="104"/>
      <c r="AH22" s="103" t="str">
        <f>'EE Curriculum'!H26</f>
        <v>EEN 3220</v>
      </c>
      <c r="AI22" s="103" t="str">
        <f>'EE Curriculum'!I26</f>
        <v>Electronics II</v>
      </c>
      <c r="AJ22" s="103">
        <f>'EE Curriculum'!J26</f>
        <v>4</v>
      </c>
      <c r="AK22" s="103">
        <f>'EE Curriculum'!K26</f>
        <v>0</v>
      </c>
      <c r="AL22" s="104"/>
    </row>
    <row r="23" spans="2:38" ht="30" customHeight="1">
      <c r="I23"/>
      <c r="J23"/>
      <c r="K23"/>
      <c r="L23"/>
      <c r="AA23" s="103" t="str">
        <f>'EE Curriculum'!A28</f>
        <v>RTS 1001</v>
      </c>
      <c r="AB23" s="103" t="str">
        <f>'EE Curriculum'!B28</f>
        <v>Christianity in Context</v>
      </c>
      <c r="AC23" s="103">
        <f>'EE Curriculum'!C28</f>
        <v>4</v>
      </c>
      <c r="AD23" s="103" t="str">
        <f>'EE Curriculum'!D28</f>
        <v xml:space="preserve"> </v>
      </c>
      <c r="AE23" s="104"/>
      <c r="AF23" s="104"/>
      <c r="AG23" s="104"/>
      <c r="AH23" s="103" t="str">
        <f>'EE Curriculum'!H27</f>
        <v>Hist. Studies (H)</v>
      </c>
      <c r="AI23" s="103" t="str">
        <f>'EE Curriculum'!I27</f>
        <v>Elective (course here)</v>
      </c>
      <c r="AJ23" s="103">
        <f>'EE Curriculum'!J27</f>
        <v>4</v>
      </c>
      <c r="AK23" s="103">
        <f>'EE Curriculum'!K27</f>
        <v>0</v>
      </c>
      <c r="AL23" s="104"/>
    </row>
    <row r="24" spans="2:38" ht="30" customHeight="1">
      <c r="B24" s="107" t="str">
        <f>CONCATENATE(AA33," ",AB33)</f>
        <v>Soc. Science (SS) PSY 1000  Introduction to Psychology</v>
      </c>
      <c r="F24"/>
      <c r="G24"/>
      <c r="H24"/>
      <c r="I24"/>
      <c r="J24"/>
      <c r="K24"/>
      <c r="L24"/>
      <c r="AA24"/>
      <c r="AB24"/>
      <c r="AC24"/>
      <c r="AD24"/>
      <c r="AE24"/>
      <c r="AF24" s="104"/>
      <c r="AG24" s="104"/>
      <c r="AL24" s="104"/>
    </row>
    <row r="25" spans="2:38" ht="30" customHeight="1">
      <c r="D25" s="111"/>
      <c r="E25" s="111"/>
      <c r="F25"/>
      <c r="G25"/>
      <c r="H25"/>
      <c r="I25"/>
      <c r="J25"/>
      <c r="K25"/>
      <c r="L25"/>
      <c r="AA25"/>
      <c r="AB25"/>
      <c r="AC25"/>
      <c r="AD25"/>
      <c r="AE25"/>
      <c r="AF25" s="104"/>
      <c r="AG25" s="104"/>
      <c r="AH25"/>
      <c r="AI25"/>
      <c r="AJ25"/>
      <c r="AK25"/>
      <c r="AL25" s="104"/>
    </row>
    <row r="26" spans="2:38" ht="30" customHeight="1" thickBot="1">
      <c r="B26" s="107" t="str">
        <f>CONCATENATE(AA15," ",AB15)</f>
        <v>Arts &amp; Lit (AL) Elective (course here)</v>
      </c>
      <c r="D26" s="111"/>
      <c r="E26" s="111"/>
      <c r="F26"/>
      <c r="G26"/>
      <c r="H26"/>
      <c r="J26" s="112" t="s">
        <v>422</v>
      </c>
      <c r="K26" s="113"/>
      <c r="L26" s="113"/>
      <c r="AA26"/>
      <c r="AB26"/>
      <c r="AC26"/>
      <c r="AD26"/>
      <c r="AE26"/>
      <c r="AF26" s="104"/>
      <c r="AG26" s="104"/>
      <c r="AH26"/>
      <c r="AI26"/>
      <c r="AJ26"/>
      <c r="AK26"/>
      <c r="AL26" s="104"/>
    </row>
    <row r="27" spans="2:38" ht="30" customHeight="1">
      <c r="E27" s="111"/>
      <c r="F27"/>
      <c r="G27"/>
      <c r="H27"/>
      <c r="J27" s="114" t="s">
        <v>423</v>
      </c>
      <c r="K27" s="115"/>
      <c r="L27" s="113"/>
      <c r="AA27"/>
      <c r="AB27"/>
      <c r="AC27"/>
      <c r="AD27"/>
      <c r="AE27"/>
      <c r="AF27" s="104"/>
      <c r="AG27" s="104"/>
      <c r="AH27" s="104"/>
      <c r="AI27" s="104"/>
      <c r="AJ27" s="104"/>
      <c r="AK27" s="104"/>
      <c r="AL27" s="104"/>
    </row>
    <row r="28" spans="2:38" ht="30" customHeight="1" thickBot="1">
      <c r="B28" s="107" t="str">
        <f>CONCATENATE(AH33," ",AI33)</f>
        <v>Soc. Science (SS) POL 1000  Current Issues in Politics and Government </v>
      </c>
      <c r="F28"/>
      <c r="G28"/>
      <c r="H28"/>
      <c r="J28" s="116" t="s">
        <v>424</v>
      </c>
      <c r="K28" s="117"/>
      <c r="L28" s="113"/>
      <c r="AA28"/>
      <c r="AB28"/>
      <c r="AC28"/>
      <c r="AD28"/>
      <c r="AE28" s="104"/>
      <c r="AF28" s="103" t="str">
        <f>'[1]CE Curriculum'!F33</f>
        <v>SENIOR YEAR</v>
      </c>
      <c r="AG28" s="104"/>
      <c r="AH28" s="104"/>
      <c r="AI28" s="104"/>
      <c r="AJ28" s="104"/>
      <c r="AK28" s="104"/>
      <c r="AL28" s="104"/>
    </row>
    <row r="29" spans="2:38" ht="42" customHeight="1">
      <c r="F29"/>
      <c r="G29"/>
      <c r="H29"/>
      <c r="J29" s="113"/>
      <c r="K29" s="113"/>
      <c r="L29" s="113"/>
      <c r="AA29" s="103" t="str">
        <f>'EE Curriculum'!A34</f>
        <v>EEN 4750</v>
      </c>
      <c r="AB29" s="103" t="str">
        <f>'EE Curriculum'!B34</f>
        <v>VLSI Design</v>
      </c>
      <c r="AC29" s="103">
        <f>'EE Curriculum'!C34</f>
        <v>4</v>
      </c>
      <c r="AD29" s="103">
        <f>'EE Curriculum'!D34</f>
        <v>0</v>
      </c>
      <c r="AE29" s="104"/>
      <c r="AF29" s="104"/>
      <c r="AG29" s="104"/>
      <c r="AH29" s="103" t="str">
        <f>'EE Curriculum'!H34</f>
        <v>MTH 1505</v>
      </c>
      <c r="AI29" s="103" t="str">
        <f>'EE Curriculum'!I34</f>
        <v>Engineering Statistics</v>
      </c>
      <c r="AJ29" s="103">
        <f>'EE Curriculum'!J34</f>
        <v>4</v>
      </c>
      <c r="AK29" s="103">
        <f>'EE Curriculum'!K34</f>
        <v>0</v>
      </c>
      <c r="AL29" s="104"/>
    </row>
    <row r="30" spans="2:38" ht="30" customHeight="1">
      <c r="B30" s="107" t="str">
        <f>CONCATENATE(AH23," ",AI23)</f>
        <v>Hist. Studies (H) Elective (course here)</v>
      </c>
      <c r="F30"/>
      <c r="G30"/>
      <c r="H30"/>
      <c r="J30" s="113"/>
      <c r="K30" s="113"/>
      <c r="L30" s="113"/>
      <c r="AA30" s="103" t="str">
        <f>'EE Curriculum'!A35</f>
        <v>EEN</v>
      </c>
      <c r="AB30" s="103" t="str">
        <f>'EE Curriculum'!B35</f>
        <v>Elective (course here)</v>
      </c>
      <c r="AC30" s="103">
        <f>'EE Curriculum'!C35</f>
        <v>4</v>
      </c>
      <c r="AD30" s="103">
        <f>'EE Curriculum'!D35</f>
        <v>0</v>
      </c>
      <c r="AE30" s="104"/>
      <c r="AG30" s="104"/>
      <c r="AH30" s="103" t="str">
        <f>'EE Curriculum'!H35</f>
        <v>EEN 4270</v>
      </c>
      <c r="AI30" s="103" t="str">
        <f>'EE Curriculum'!I35</f>
        <v>Feedback Circuits</v>
      </c>
      <c r="AJ30" s="103">
        <f>'EE Curriculum'!J35</f>
        <v>4</v>
      </c>
      <c r="AK30" s="103">
        <f>'EE Curriculum'!K35</f>
        <v>0</v>
      </c>
      <c r="AL30" s="104"/>
    </row>
    <row r="31" spans="2:38" ht="40.950000000000003" customHeight="1">
      <c r="H31" s="199" t="s">
        <v>426</v>
      </c>
      <c r="I31" s="199"/>
      <c r="J31" s="199"/>
      <c r="K31" s="199"/>
      <c r="L31" s="199"/>
      <c r="M31" s="199"/>
      <c r="N31" s="199"/>
      <c r="O31" s="199"/>
      <c r="AA31" s="103" t="e">
        <f>'EE Curriculum'!#REF!</f>
        <v>#REF!</v>
      </c>
      <c r="AB31" s="103" t="e">
        <f>'EE Curriculum'!#REF!</f>
        <v>#REF!</v>
      </c>
      <c r="AC31" s="103" t="e">
        <f>'EE Curriculum'!#REF!</f>
        <v>#REF!</v>
      </c>
      <c r="AD31" s="103" t="e">
        <f>'EE Curriculum'!#REF!</f>
        <v>#REF!</v>
      </c>
      <c r="AH31" s="103" t="str">
        <f>'EE Curriculum'!H36</f>
        <v>EEN</v>
      </c>
      <c r="AI31" s="103" t="str">
        <f>'EE Curriculum'!I36</f>
        <v>Elective (course here)</v>
      </c>
      <c r="AJ31" s="103">
        <f>'EE Curriculum'!J36</f>
        <v>4</v>
      </c>
      <c r="AK31" s="103">
        <f>'EE Curriculum'!K36</f>
        <v>0</v>
      </c>
      <c r="AL31" s="104"/>
    </row>
    <row r="32" spans="2:38" ht="30" customHeight="1">
      <c r="AA32" s="103" t="str">
        <f>'EE Curriculum'!A37</f>
        <v>EEN 4960</v>
      </c>
      <c r="AB32" s="103" t="str">
        <f>'EE Curriculum'!B37</f>
        <v>Design Project I</v>
      </c>
      <c r="AC32" s="103">
        <f>'EE Curriculum'!C37</f>
        <v>2</v>
      </c>
      <c r="AD32" s="103">
        <f>'EE Curriculum'!D37</f>
        <v>0</v>
      </c>
      <c r="AE32" s="104"/>
      <c r="AF32" s="104"/>
      <c r="AG32" s="104"/>
      <c r="AH32" s="103" t="str">
        <f>'EE Curriculum'!H37</f>
        <v>EEN 4970</v>
      </c>
      <c r="AI32" s="103" t="str">
        <f>'EE Curriculum'!I37</f>
        <v>Design Project II</v>
      </c>
      <c r="AJ32" s="103">
        <f>'EE Curriculum'!J37</f>
        <v>2</v>
      </c>
      <c r="AK32" s="103">
        <f>'EE Curriculum'!K37</f>
        <v>0</v>
      </c>
      <c r="AL32" s="104"/>
    </row>
    <row r="33" spans="26:38" ht="30" customHeight="1">
      <c r="AA33" s="103" t="str">
        <f>'EE Curriculum'!A38</f>
        <v>Soc. Science (SS)</v>
      </c>
      <c r="AB33" s="103" t="str">
        <f>'EE Curriculum'!B38</f>
        <v>PSY 1000  Introduction to Psychology</v>
      </c>
      <c r="AC33" s="103">
        <f>'EE Curriculum'!C38</f>
        <v>4</v>
      </c>
      <c r="AD33" s="103" t="str">
        <f>'EE Curriculum'!D38</f>
        <v xml:space="preserve"> </v>
      </c>
      <c r="AE33" s="104"/>
      <c r="AF33" s="104"/>
      <c r="AG33" s="104"/>
      <c r="AH33" s="103" t="str">
        <f>'EE Curriculum'!H38</f>
        <v>Soc. Science (SS)</v>
      </c>
      <c r="AI33" s="103" t="str">
        <f>'EE Curriculum'!I38</f>
        <v>POL 1000  Current Issues in Politics and Government </v>
      </c>
      <c r="AJ33" s="103">
        <f>'EE Curriculum'!J38</f>
        <v>4</v>
      </c>
      <c r="AK33" s="103" t="str">
        <f>'EE Curriculum'!K38</f>
        <v xml:space="preserve"> </v>
      </c>
      <c r="AL33" s="104"/>
    </row>
    <row r="34" spans="26:38" ht="30" customHeight="1">
      <c r="Z34"/>
      <c r="AA34"/>
      <c r="AB34"/>
      <c r="AC34"/>
      <c r="AD34"/>
      <c r="AE34"/>
      <c r="AF34"/>
      <c r="AG34"/>
      <c r="AH34"/>
      <c r="AI34"/>
      <c r="AJ34"/>
      <c r="AK34"/>
      <c r="AL34" s="104"/>
    </row>
    <row r="35" spans="26:38" ht="30" customHeight="1">
      <c r="Z35"/>
      <c r="AA35"/>
      <c r="AB35"/>
      <c r="AC35"/>
      <c r="AD35"/>
      <c r="AE35"/>
      <c r="AF35"/>
      <c r="AG35"/>
      <c r="AH35"/>
      <c r="AI35"/>
      <c r="AJ35"/>
      <c r="AK35"/>
      <c r="AL35" s="104"/>
    </row>
    <row r="36" spans="26:38" ht="30" customHeight="1">
      <c r="Z36"/>
      <c r="AA36"/>
      <c r="AB36"/>
      <c r="AC36"/>
      <c r="AD36"/>
      <c r="AE36"/>
      <c r="AF36"/>
      <c r="AG36"/>
      <c r="AH36" s="104"/>
      <c r="AI36" s="104"/>
      <c r="AJ36" s="104"/>
      <c r="AK36" s="104"/>
      <c r="AL36" s="104"/>
    </row>
    <row r="37" spans="26:38" ht="30" customHeight="1">
      <c r="Z37"/>
      <c r="AA37"/>
      <c r="AB37"/>
      <c r="AC37"/>
      <c r="AD37"/>
      <c r="AE37"/>
      <c r="AF37"/>
      <c r="AG37"/>
      <c r="AH37" s="104"/>
      <c r="AI37" s="104"/>
      <c r="AJ37" s="104"/>
      <c r="AK37" s="104"/>
      <c r="AL37" s="104"/>
    </row>
    <row r="38" spans="26:38" ht="30" customHeight="1">
      <c r="Z38"/>
      <c r="AA38"/>
      <c r="AB38"/>
      <c r="AC38"/>
      <c r="AD38"/>
      <c r="AE38"/>
      <c r="AF38"/>
      <c r="AG38"/>
    </row>
    <row r="39" spans="26:38" ht="30" customHeight="1"/>
    <row r="40" spans="26:38" ht="30" customHeight="1"/>
    <row r="41" spans="26:38" ht="30" customHeight="1"/>
    <row r="42" spans="26:38" ht="30" customHeight="1"/>
    <row r="43" spans="26:38" ht="30" customHeight="1"/>
    <row r="44" spans="26:38" ht="30" customHeight="1"/>
    <row r="45" spans="26:38" ht="30" customHeight="1"/>
    <row r="46" spans="26:38" ht="30" customHeight="1"/>
    <row r="47" spans="26:38" ht="30" customHeight="1"/>
    <row r="48" spans="26:38" ht="30" customHeight="1"/>
    <row r="49" ht="30" customHeight="1"/>
    <row r="50" ht="30" customHeight="1"/>
    <row r="51" ht="30" customHeight="1"/>
    <row r="52" ht="30" customHeight="1"/>
    <row r="53" ht="30" customHeight="1"/>
  </sheetData>
  <mergeCells count="2">
    <mergeCell ref="H3:J4"/>
    <mergeCell ref="H31:O31"/>
  </mergeCells>
  <phoneticPr fontId="21" type="noConversion"/>
  <conditionalFormatting sqref="B6">
    <cfRule type="expression" dxfId="34" priority="36">
      <formula>$AD$3=1</formula>
    </cfRule>
  </conditionalFormatting>
  <conditionalFormatting sqref="B8">
    <cfRule type="expression" dxfId="33" priority="35">
      <formula>$AD$7=1</formula>
    </cfRule>
  </conditionalFormatting>
  <conditionalFormatting sqref="B10">
    <cfRule type="expression" dxfId="32" priority="34">
      <formula>$AD$6=1</formula>
    </cfRule>
  </conditionalFormatting>
  <conditionalFormatting sqref="B12">
    <cfRule type="expression" dxfId="31" priority="33">
      <formula>$AD$4</formula>
    </cfRule>
  </conditionalFormatting>
  <conditionalFormatting sqref="D6">
    <cfRule type="expression" dxfId="30" priority="32">
      <formula>$AK$5=1</formula>
    </cfRule>
  </conditionalFormatting>
  <conditionalFormatting sqref="D8">
    <cfRule type="expression" dxfId="29" priority="31">
      <formula>$AK$3=1</formula>
    </cfRule>
  </conditionalFormatting>
  <conditionalFormatting sqref="D12">
    <cfRule type="expression" dxfId="28" priority="30">
      <formula>$AK$4=1</formula>
    </cfRule>
  </conditionalFormatting>
  <conditionalFormatting sqref="F8">
    <cfRule type="expression" dxfId="27" priority="29">
      <formula>$AD$11=1</formula>
    </cfRule>
  </conditionalFormatting>
  <conditionalFormatting sqref="F10">
    <cfRule type="expression" dxfId="26" priority="28">
      <formula>$AD$14=1</formula>
    </cfRule>
  </conditionalFormatting>
  <conditionalFormatting sqref="F12">
    <cfRule type="expression" dxfId="25" priority="27">
      <formula>$AD$13</formula>
    </cfRule>
  </conditionalFormatting>
  <conditionalFormatting sqref="F16">
    <cfRule type="expression" dxfId="24" priority="26">
      <formula>$AD$12=1</formula>
    </cfRule>
  </conditionalFormatting>
  <conditionalFormatting sqref="H8">
    <cfRule type="expression" dxfId="23" priority="25">
      <formula>$AK$11</formula>
    </cfRule>
  </conditionalFormatting>
  <conditionalFormatting sqref="H10">
    <cfRule type="expression" dxfId="22" priority="24">
      <formula>$AK$13=1</formula>
    </cfRule>
  </conditionalFormatting>
  <conditionalFormatting sqref="H12">
    <cfRule type="expression" dxfId="21" priority="23">
      <formula>$AD$21=1</formula>
    </cfRule>
  </conditionalFormatting>
  <conditionalFormatting sqref="H14">
    <cfRule type="expression" dxfId="20" priority="22">
      <formula>$AD$20=1</formula>
    </cfRule>
  </conditionalFormatting>
  <conditionalFormatting sqref="H16">
    <cfRule type="expression" dxfId="19" priority="21">
      <formula>$AK$12=1</formula>
    </cfRule>
  </conditionalFormatting>
  <conditionalFormatting sqref="J8">
    <cfRule type="expression" dxfId="18" priority="20">
      <formula>$AD$22=1</formula>
    </cfRule>
  </conditionalFormatting>
  <conditionalFormatting sqref="J10">
    <cfRule type="expression" dxfId="17" priority="19">
      <formula>$AK$21=1</formula>
    </cfRule>
  </conditionalFormatting>
  <conditionalFormatting sqref="J14">
    <cfRule type="expression" dxfId="16" priority="17">
      <formula>$AK$20=1</formula>
    </cfRule>
  </conditionalFormatting>
  <conditionalFormatting sqref="B30">
    <cfRule type="expression" dxfId="15" priority="16">
      <formula>$AK$23=1</formula>
    </cfRule>
  </conditionalFormatting>
  <conditionalFormatting sqref="J18">
    <cfRule type="expression" dxfId="14" priority="15">
      <formula>$AD$30=1</formula>
    </cfRule>
  </conditionalFormatting>
  <conditionalFormatting sqref="L6">
    <cfRule type="expression" dxfId="13" priority="14">
      <formula>$AD$29=1</formula>
    </cfRule>
  </conditionalFormatting>
  <conditionalFormatting sqref="L8">
    <cfRule type="expression" dxfId="12" priority="13">
      <formula>$AK$22=1</formula>
    </cfRule>
  </conditionalFormatting>
  <conditionalFormatting sqref="L10">
    <cfRule type="expression" dxfId="11" priority="12">
      <formula>$AK$30=1</formula>
    </cfRule>
  </conditionalFormatting>
  <conditionalFormatting sqref="B18">
    <cfRule type="expression" dxfId="10" priority="10">
      <formula>$AK$6=1</formula>
    </cfRule>
  </conditionalFormatting>
  <conditionalFormatting sqref="B20">
    <cfRule type="expression" dxfId="9" priority="9">
      <formula>$AD$23=1</formula>
    </cfRule>
  </conditionalFormatting>
  <conditionalFormatting sqref="D20">
    <cfRule type="expression" dxfId="8" priority="8">
      <formula>$AK$14=1</formula>
    </cfRule>
  </conditionalFormatting>
  <conditionalFormatting sqref="B22">
    <cfRule type="expression" dxfId="7" priority="7">
      <formula>$AD$5=1</formula>
    </cfRule>
  </conditionalFormatting>
  <conditionalFormatting sqref="J12">
    <cfRule type="expression" dxfId="6" priority="6">
      <formula>$AD$32=1</formula>
    </cfRule>
  </conditionalFormatting>
  <conditionalFormatting sqref="B26">
    <cfRule type="expression" dxfId="5" priority="5">
      <formula>$AD$15=1</formula>
    </cfRule>
  </conditionalFormatting>
  <conditionalFormatting sqref="L12">
    <cfRule type="expression" dxfId="4" priority="4">
      <formula>$AK$32=1</formula>
    </cfRule>
  </conditionalFormatting>
  <conditionalFormatting sqref="B24">
    <cfRule type="expression" dxfId="3" priority="52">
      <formula>$AD$33=1</formula>
    </cfRule>
  </conditionalFormatting>
  <conditionalFormatting sqref="B28">
    <cfRule type="expression" dxfId="2" priority="53">
      <formula>$AK$33=1</formula>
    </cfRule>
  </conditionalFormatting>
  <conditionalFormatting sqref="J16">
    <cfRule type="expression" dxfId="1" priority="2">
      <formula>$AD$30=1</formula>
    </cfRule>
  </conditionalFormatting>
  <conditionalFormatting sqref="L16">
    <cfRule type="expression" dxfId="0" priority="1">
      <formula>$AD$30=1</formula>
    </cfRule>
  </conditionalFormatting>
  <printOptions horizontalCentered="1" verticalCentered="1"/>
  <pageMargins left="0.5" right="0.5" top="0.5" bottom="0.5" header="0.5" footer="0.5"/>
  <pageSetup paperSize="26" scale="61"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163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F63"/>
  <sheetViews>
    <sheetView workbookViewId="0">
      <selection activeCell="J25" sqref="J25"/>
    </sheetView>
  </sheetViews>
  <sheetFormatPr defaultColWidth="11.19921875" defaultRowHeight="15.6"/>
  <cols>
    <col min="4" max="4" width="34.69921875" customWidth="1"/>
    <col min="5" max="5" width="21.69921875" customWidth="1"/>
    <col min="6" max="6" width="19" customWidth="1"/>
  </cols>
  <sheetData>
    <row r="3" spans="4:6">
      <c r="D3" s="132"/>
      <c r="E3" s="133" t="s">
        <v>442</v>
      </c>
      <c r="F3" s="133" t="s">
        <v>443</v>
      </c>
    </row>
    <row r="4" spans="4:6">
      <c r="D4" s="134" t="s">
        <v>444</v>
      </c>
      <c r="E4" s="133" t="s">
        <v>445</v>
      </c>
      <c r="F4" s="133" t="s">
        <v>446</v>
      </c>
    </row>
    <row r="5" spans="4:6">
      <c r="D5" s="135" t="str">
        <f>'EE Curriculum'!A9</f>
        <v>MTH 1217</v>
      </c>
      <c r="E5" s="135">
        <f>'EE Curriculum'!C9</f>
        <v>4</v>
      </c>
      <c r="F5" s="135" t="e">
        <f>'EE Curriculum'!D9*E5</f>
        <v>#VALUE!</v>
      </c>
    </row>
    <row r="6" spans="4:6">
      <c r="D6" s="135" t="str">
        <f>'EE Curriculum'!H9</f>
        <v>MTH 1218</v>
      </c>
      <c r="E6" s="135">
        <f>'EE Curriculum'!J9</f>
        <v>4</v>
      </c>
      <c r="F6" s="135" t="e">
        <f>'EE Curriculum'!K9*E6</f>
        <v>#VALUE!</v>
      </c>
    </row>
    <row r="7" spans="4:6">
      <c r="D7" s="135" t="str">
        <f>'EE Curriculum'!A18</f>
        <v>MTH 2219</v>
      </c>
      <c r="E7" s="135">
        <f>'EE Curriculum'!C18</f>
        <v>4</v>
      </c>
      <c r="F7" s="135" t="e">
        <f>'EE Curriculum'!D18*E7</f>
        <v>#VALUE!</v>
      </c>
    </row>
    <row r="8" spans="4:6">
      <c r="D8" s="135" t="str">
        <f>'EE Curriculum'!A26</f>
        <v>MTH 2220</v>
      </c>
      <c r="E8" s="135">
        <f>'EE Curriculum'!C26</f>
        <v>4</v>
      </c>
      <c r="F8" s="135" t="e">
        <f>'EE Curriculum'!D26*E8</f>
        <v>#VALUE!</v>
      </c>
    </row>
    <row r="9" spans="4:6">
      <c r="D9" s="135" t="str">
        <f>'EE Curriculum'!H34</f>
        <v>MTH 1505</v>
      </c>
      <c r="E9" s="135">
        <f>'EE Curriculum'!J34</f>
        <v>4</v>
      </c>
      <c r="F9" s="135">
        <f>'EE Curriculum'!K34*E9</f>
        <v>0</v>
      </c>
    </row>
    <row r="10" spans="4:6" ht="16.2">
      <c r="D10" s="137" t="s">
        <v>447</v>
      </c>
      <c r="E10" s="138">
        <f>SUM(E5:E9)</f>
        <v>20</v>
      </c>
      <c r="F10" s="138" t="e">
        <f>SUM(F5:F9)</f>
        <v>#VALUE!</v>
      </c>
    </row>
    <row r="11" spans="4:6">
      <c r="D11" s="135" t="str">
        <f>'EE Curriculum'!A11</f>
        <v>CSC 1610</v>
      </c>
      <c r="E11" s="135">
        <f>'EE Curriculum'!C11</f>
        <v>4</v>
      </c>
      <c r="F11" s="135" t="e">
        <f>'EE Curriculum'!D11*E11</f>
        <v>#VALUE!</v>
      </c>
    </row>
    <row r="12" spans="4:6">
      <c r="D12" s="135" t="str">
        <f>'EE Curriculum'!H10</f>
        <v>CHM 1180</v>
      </c>
      <c r="E12" s="135">
        <f>'EE Curriculum'!J10</f>
        <v>4</v>
      </c>
      <c r="F12" s="135" t="e">
        <f>'EE Curriculum'!K10*E12</f>
        <v>#VALUE!</v>
      </c>
    </row>
    <row r="13" spans="4:6">
      <c r="D13" s="135" t="str">
        <f>'EE Curriculum'!A17</f>
        <v>PHY 2211</v>
      </c>
      <c r="E13" s="135">
        <f>'EE Curriculum'!C17</f>
        <v>4</v>
      </c>
      <c r="F13" s="135" t="e">
        <f>'EE Curriculum'!D17*E13</f>
        <v>#VALUE!</v>
      </c>
    </row>
    <row r="14" spans="4:6">
      <c r="D14" s="135" t="str">
        <f>'EE Curriculum'!H17</f>
        <v>PHY 2212</v>
      </c>
      <c r="E14" s="135">
        <f>'EE Curriculum'!J17</f>
        <v>4</v>
      </c>
      <c r="F14" s="135" t="e">
        <f>'EE Curriculum'!K17*E14</f>
        <v>#VALUE!</v>
      </c>
    </row>
    <row r="15" spans="4:6">
      <c r="D15" s="135"/>
      <c r="E15" s="135"/>
      <c r="F15" s="136"/>
    </row>
    <row r="16" spans="4:6" ht="16.2">
      <c r="D16" s="137" t="s">
        <v>448</v>
      </c>
      <c r="E16" s="138">
        <f>SUM(E11:E14)</f>
        <v>16</v>
      </c>
      <c r="F16" s="138" t="e">
        <f>SUM(F11:F14)</f>
        <v>#VALUE!</v>
      </c>
    </row>
    <row r="17" spans="4:6" ht="16.2">
      <c r="D17" s="137" t="s">
        <v>449</v>
      </c>
      <c r="E17" s="138">
        <f>E10+E16</f>
        <v>36</v>
      </c>
      <c r="F17" s="138" t="e">
        <f>F10+F16</f>
        <v>#VALUE!</v>
      </c>
    </row>
    <row r="18" spans="4:6">
      <c r="D18" s="132"/>
      <c r="E18" s="132"/>
      <c r="F18" s="132"/>
    </row>
    <row r="19" spans="4:6">
      <c r="D19" s="134" t="s">
        <v>450</v>
      </c>
      <c r="E19" s="132"/>
      <c r="F19" s="132"/>
    </row>
    <row r="20" spans="4:6">
      <c r="D20" s="135" t="str">
        <f>'EE Curriculum'!A8</f>
        <v>GEN 1001</v>
      </c>
      <c r="E20" s="135">
        <f>'EE Curriculum'!C8</f>
        <v>4</v>
      </c>
      <c r="F20" s="135" t="e">
        <f>'EE Curriculum'!D8*E20</f>
        <v>#VALUE!</v>
      </c>
    </row>
    <row r="21" spans="4:6">
      <c r="D21" s="135" t="str">
        <f>'EE Curriculum'!A12</f>
        <v>EEN 1100</v>
      </c>
      <c r="E21" s="135">
        <f>'EE Curriculum'!C12</f>
        <v>2</v>
      </c>
      <c r="F21" s="135" t="e">
        <f>'EE Curriculum'!D12*E21</f>
        <v>#VALUE!</v>
      </c>
    </row>
    <row r="22" spans="4:6">
      <c r="D22" s="135" t="str">
        <f>'EE Curriculum'!H8</f>
        <v>EEN 1200</v>
      </c>
      <c r="E22" s="135">
        <f>'EE Curriculum'!J8</f>
        <v>4</v>
      </c>
      <c r="F22" s="135" t="e">
        <f>'EE Curriculum'!K8*E22</f>
        <v>#VALUE!</v>
      </c>
    </row>
    <row r="23" spans="4:6">
      <c r="D23" s="135" t="str">
        <f>'EE Curriculum'!A16</f>
        <v>EEN 2130</v>
      </c>
      <c r="E23" s="135">
        <f>'EE Curriculum'!C16</f>
        <v>4</v>
      </c>
      <c r="F23" s="135" t="e">
        <f>'EE Curriculum'!D16*E23</f>
        <v>#VALUE!</v>
      </c>
    </row>
    <row r="24" spans="4:6">
      <c r="D24" s="135" t="str">
        <f>'EE Curriculum'!A19</f>
        <v>EEN 2250</v>
      </c>
      <c r="E24" s="135">
        <f>'EE Curriculum'!C19</f>
        <v>2</v>
      </c>
      <c r="F24" s="135" t="e">
        <f>'EE Curriculum'!D19*E24</f>
        <v>#VALUE!</v>
      </c>
    </row>
    <row r="25" spans="4:6">
      <c r="D25" s="135" t="str">
        <f>'EE Curriculum'!H16</f>
        <v>EEN 2140</v>
      </c>
      <c r="E25" s="135">
        <f>'EE Curriculum'!J16</f>
        <v>4</v>
      </c>
      <c r="F25" s="135" t="e">
        <f>'EE Curriculum'!K16*E25</f>
        <v>#VALUE!</v>
      </c>
    </row>
    <row r="26" spans="4:6">
      <c r="D26" s="135" t="str">
        <f>'EE Curriculum'!H18</f>
        <v>EEN 2270</v>
      </c>
      <c r="E26" s="135">
        <f>'EE Curriculum'!J18</f>
        <v>4</v>
      </c>
      <c r="F26" s="135" t="e">
        <f>'EE Curriculum'!K18*E26</f>
        <v>#VALUE!</v>
      </c>
    </row>
    <row r="27" spans="4:6">
      <c r="D27" s="135" t="str">
        <f>'EE Curriculum'!H25</f>
        <v>EEN 3430</v>
      </c>
      <c r="E27" s="135">
        <f>'EE Curriculum'!J25</f>
        <v>4</v>
      </c>
      <c r="F27" s="135" t="e">
        <f>'EE Curriculum'!K25*E27</f>
        <v>#VALUE!</v>
      </c>
    </row>
    <row r="28" spans="4:6">
      <c r="D28" s="135" t="str">
        <f>'EE Curriculum'!A27</f>
        <v>EEN 3210</v>
      </c>
      <c r="E28" s="135">
        <f>'EE Curriculum'!C27</f>
        <v>4</v>
      </c>
      <c r="F28" s="135" t="e">
        <f>'EE Curriculum'!D27*E28</f>
        <v>#VALUE!</v>
      </c>
    </row>
    <row r="29" spans="4:6">
      <c r="D29" s="135" t="str">
        <f>'EE Curriculum'!A25</f>
        <v>EEN 3270</v>
      </c>
      <c r="E29" s="135">
        <f>'EE Curriculum'!C25</f>
        <v>4</v>
      </c>
      <c r="F29" s="135">
        <f>'EE Curriculum'!D25*E29</f>
        <v>0</v>
      </c>
    </row>
    <row r="30" spans="4:6">
      <c r="D30" s="135" t="str">
        <f>'EE Curriculum'!A36</f>
        <v>EEN 3130</v>
      </c>
      <c r="E30" s="135">
        <f>'EE Curriculum'!C36</f>
        <v>4</v>
      </c>
      <c r="F30" s="135">
        <f>'EE Curriculum'!D36*E30</f>
        <v>0</v>
      </c>
    </row>
    <row r="31" spans="4:6">
      <c r="D31" s="135" t="str">
        <f>'EE Curriculum'!H26</f>
        <v>EEN 3220</v>
      </c>
      <c r="E31" s="135">
        <f>'EE Curriculum'!J26</f>
        <v>4</v>
      </c>
      <c r="F31" s="135">
        <f>'EE Curriculum'!K26*E31</f>
        <v>0</v>
      </c>
    </row>
    <row r="32" spans="4:6">
      <c r="D32" s="135" t="str">
        <f>CONCATENATE('EE Curriculum'!A35," ",'EE Curriculum'!B35)</f>
        <v>EEN Elective (course here)</v>
      </c>
      <c r="E32" s="135">
        <f>'EE Curriculum'!C35</f>
        <v>4</v>
      </c>
      <c r="F32" s="135">
        <f>'EE Curriculum'!D35*E32</f>
        <v>0</v>
      </c>
    </row>
    <row r="33" spans="4:6">
      <c r="D33" s="135"/>
      <c r="E33" s="135"/>
      <c r="F33" s="135"/>
    </row>
    <row r="34" spans="4:6">
      <c r="D34" s="135" t="str">
        <f>CONCATENATE('EE Curriculum'!H36," ",'EE Curriculum'!I36)</f>
        <v>EEN Elective (course here)</v>
      </c>
      <c r="E34" s="135">
        <f>'EE Curriculum'!J36</f>
        <v>4</v>
      </c>
      <c r="F34" s="135">
        <f>'EE Curriculum'!K36*E34</f>
        <v>0</v>
      </c>
    </row>
    <row r="35" spans="4:6">
      <c r="D35" s="135" t="str">
        <f>'EE Curriculum'!A34</f>
        <v>EEN 4750</v>
      </c>
      <c r="E35" s="135">
        <f>'EE Curriculum'!C34</f>
        <v>4</v>
      </c>
      <c r="F35" s="135">
        <f>'EE Curriculum'!D34*E35</f>
        <v>0</v>
      </c>
    </row>
    <row r="36" spans="4:6">
      <c r="D36" s="135" t="str">
        <f>'EE Curriculum'!H35</f>
        <v>EEN 4270</v>
      </c>
      <c r="E36" s="135">
        <f>'EE Curriculum'!J35</f>
        <v>4</v>
      </c>
      <c r="F36" s="135">
        <f>'EE Curriculum'!K35*E36</f>
        <v>0</v>
      </c>
    </row>
    <row r="37" spans="4:6">
      <c r="D37" s="135" t="str">
        <f>'EE Curriculum'!A37</f>
        <v>EEN 4960</v>
      </c>
      <c r="E37" s="135">
        <f>'EE Curriculum'!C37</f>
        <v>2</v>
      </c>
      <c r="F37" s="135">
        <f>'EE Curriculum'!D37*E37</f>
        <v>0</v>
      </c>
    </row>
    <row r="38" spans="4:6">
      <c r="D38" s="135" t="str">
        <f>'EE Curriculum'!H37</f>
        <v>EEN 4970</v>
      </c>
      <c r="E38" s="135">
        <f>'EE Curriculum'!J37</f>
        <v>2</v>
      </c>
      <c r="F38" s="135">
        <f>'EE Curriculum'!K37*E38</f>
        <v>0</v>
      </c>
    </row>
    <row r="39" spans="4:6" ht="16.2">
      <c r="D39" s="137" t="s">
        <v>451</v>
      </c>
      <c r="E39" s="138">
        <f>SUM(E20:E38)</f>
        <v>64</v>
      </c>
      <c r="F39" s="138" t="e">
        <f>SUM(F20:F38)</f>
        <v>#VALUE!</v>
      </c>
    </row>
    <row r="40" spans="4:6">
      <c r="D40" s="132"/>
      <c r="E40" s="132"/>
      <c r="F40" s="132"/>
    </row>
    <row r="41" spans="4:6" ht="16.2" thickBot="1">
      <c r="D41" s="139" t="s">
        <v>452</v>
      </c>
    </row>
    <row r="42" spans="4:6">
      <c r="D42" s="140" t="s">
        <v>453</v>
      </c>
      <c r="E42" s="141"/>
      <c r="F42" s="142"/>
    </row>
    <row r="43" spans="4:6">
      <c r="D43" s="143" t="s">
        <v>454</v>
      </c>
      <c r="E43" s="144">
        <v>4</v>
      </c>
      <c r="F43" s="145" t="e">
        <f>'EE Curriculum'!K11*E43</f>
        <v>#VALUE!</v>
      </c>
    </row>
    <row r="44" spans="4:6">
      <c r="D44" s="143" t="s">
        <v>455</v>
      </c>
      <c r="E44" s="144">
        <v>4</v>
      </c>
      <c r="F44" s="145">
        <f>'EE Curriculum'!D10*E44</f>
        <v>0</v>
      </c>
    </row>
    <row r="45" spans="4:6">
      <c r="D45" s="146" t="s">
        <v>473</v>
      </c>
      <c r="E45" s="147"/>
      <c r="F45" s="167" t="s">
        <v>26</v>
      </c>
    </row>
    <row r="46" spans="4:6">
      <c r="D46" s="143" t="s">
        <v>456</v>
      </c>
      <c r="E46" s="144">
        <v>4</v>
      </c>
      <c r="F46" s="145">
        <f>'EE Curriculum'!K19*E46</f>
        <v>0</v>
      </c>
    </row>
    <row r="47" spans="4:6">
      <c r="D47" s="148"/>
      <c r="E47" s="149"/>
      <c r="F47" s="150"/>
    </row>
    <row r="48" spans="4:6">
      <c r="D48" s="151" t="s">
        <v>457</v>
      </c>
      <c r="E48" s="149"/>
      <c r="F48" s="150"/>
    </row>
    <row r="49" spans="4:6">
      <c r="D49" s="152" t="s">
        <v>458</v>
      </c>
      <c r="E49" s="153">
        <v>4</v>
      </c>
      <c r="F49" s="154" t="e">
        <f>'EE Curriculum'!D28*E49</f>
        <v>#VALUE!</v>
      </c>
    </row>
    <row r="50" spans="4:6">
      <c r="D50" s="165" t="s">
        <v>459</v>
      </c>
      <c r="E50" s="153">
        <v>4</v>
      </c>
      <c r="F50" s="154">
        <f>'EE Curriculum'!D20*E50</f>
        <v>0</v>
      </c>
    </row>
    <row r="51" spans="4:6">
      <c r="D51" s="166" t="s">
        <v>468</v>
      </c>
      <c r="E51" s="153">
        <v>4</v>
      </c>
      <c r="F51" s="154" t="e">
        <f>F6</f>
        <v>#VALUE!</v>
      </c>
    </row>
    <row r="52" spans="4:6">
      <c r="D52" s="166" t="s">
        <v>460</v>
      </c>
      <c r="E52" s="153">
        <v>4</v>
      </c>
      <c r="F52" s="154">
        <f>'EE Curriculum'!K27*E52</f>
        <v>0</v>
      </c>
    </row>
    <row r="53" spans="4:6">
      <c r="D53" s="166" t="s">
        <v>461</v>
      </c>
      <c r="E53" s="153">
        <v>4</v>
      </c>
      <c r="F53" s="154" t="e">
        <f>'EE Curriculum'!D38*E53</f>
        <v>#VALUE!</v>
      </c>
    </row>
    <row r="54" spans="4:6">
      <c r="D54" s="166" t="s">
        <v>461</v>
      </c>
      <c r="E54" s="153">
        <v>4</v>
      </c>
      <c r="F54" s="154" t="e">
        <f>'EE Curriculum'!K38*E54</f>
        <v>#VALUE!</v>
      </c>
    </row>
    <row r="55" spans="4:6">
      <c r="D55" s="152" t="s">
        <v>469</v>
      </c>
      <c r="E55" s="153">
        <v>4</v>
      </c>
      <c r="F55" s="154" t="e">
        <f>F13</f>
        <v>#VALUE!</v>
      </c>
    </row>
    <row r="56" spans="4:6">
      <c r="D56" s="152" t="s">
        <v>470</v>
      </c>
      <c r="E56" s="153">
        <v>4</v>
      </c>
      <c r="F56" s="154" t="e">
        <f>F7</f>
        <v>#VALUE!</v>
      </c>
    </row>
    <row r="57" spans="4:6">
      <c r="D57" s="152" t="s">
        <v>462</v>
      </c>
      <c r="E57" s="155"/>
      <c r="F57" s="156" t="s">
        <v>463</v>
      </c>
    </row>
    <row r="58" spans="4:6">
      <c r="D58" s="148"/>
      <c r="E58" s="157"/>
      <c r="F58" s="158"/>
    </row>
    <row r="59" spans="4:6">
      <c r="D59" s="159" t="s">
        <v>464</v>
      </c>
      <c r="E59" s="160"/>
      <c r="F59" s="161"/>
    </row>
    <row r="60" spans="4:6">
      <c r="D60" s="152" t="s">
        <v>465</v>
      </c>
      <c r="E60" s="155"/>
      <c r="F60" s="168" t="s">
        <v>472</v>
      </c>
    </row>
    <row r="61" spans="4:6">
      <c r="D61" s="152" t="s">
        <v>466</v>
      </c>
      <c r="E61" s="155"/>
      <c r="F61" s="168" t="s">
        <v>471</v>
      </c>
    </row>
    <row r="62" spans="4:6">
      <c r="D62" s="148"/>
      <c r="E62" s="149"/>
      <c r="F62" s="150"/>
    </row>
    <row r="63" spans="4:6" ht="16.2" thickBot="1">
      <c r="D63" s="162" t="s">
        <v>467</v>
      </c>
      <c r="E63" s="163">
        <f>E43+E44+E46+E49+E50+E51+E52+E53+E54+E55+E56</f>
        <v>44</v>
      </c>
      <c r="F63" s="164" t="e">
        <f>F43+F44+F46+F49+F50+F51+F52+F53+F54+F55+F56</f>
        <v>#VALUE!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EE Curriculum</vt:lpstr>
      <vt:lpstr>EE CurriculumCO-OP</vt:lpstr>
      <vt:lpstr>Flowchart</vt:lpstr>
      <vt:lpstr>Summary Checklist</vt:lpstr>
      <vt:lpstr>'EE Curriculum'!_ftn1</vt:lpstr>
      <vt:lpstr>'EE CurriculumCO-OP'!_ftn1</vt:lpstr>
      <vt:lpstr>flow_chart_print</vt:lpstr>
      <vt:lpstr>'EE Curriculum'!Print_Area</vt:lpstr>
      <vt:lpstr>'EE CurriculumCO-OP'!Print_Area</vt:lpstr>
      <vt:lpstr>Flowchart!Print_Area</vt:lpstr>
    </vt:vector>
  </TitlesOfParts>
  <Company>Merrimack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Spring</dc:creator>
  <cp:lastModifiedBy>reynoldsj</cp:lastModifiedBy>
  <cp:lastPrinted>2013-01-11T19:27:59Z</cp:lastPrinted>
  <dcterms:created xsi:type="dcterms:W3CDTF">2012-07-18T17:52:31Z</dcterms:created>
  <dcterms:modified xsi:type="dcterms:W3CDTF">2013-01-17T20:41:45Z</dcterms:modified>
</cp:coreProperties>
</file>