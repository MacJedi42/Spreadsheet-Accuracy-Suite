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300" windowWidth="15576" windowHeight="12012"/>
  </bookViews>
  <sheets>
    <sheet name="6.7.13 to 8.15.13" sheetId="3" r:id="rId1"/>
    <sheet name="FinStmtGenTbl4PowerPointRpt" sheetId="2" state="hidden" r:id="rId2"/>
  </sheets>
  <calcPr calcId="145621"/>
</workbook>
</file>

<file path=xl/calcChain.xml><?xml version="1.0" encoding="utf-8"?>
<calcChain xmlns="http://schemas.openxmlformats.org/spreadsheetml/2006/main">
  <c r="I31" i="3" l="1"/>
  <c r="I29" i="3"/>
  <c r="I27" i="3"/>
  <c r="I25" i="3"/>
  <c r="I23" i="3"/>
  <c r="I26" i="3" s="1"/>
  <c r="H20" i="3"/>
  <c r="H30" i="3" s="1"/>
  <c r="G20" i="3"/>
  <c r="G30" i="3" s="1"/>
  <c r="F20" i="3"/>
  <c r="F30" i="3" s="1"/>
  <c r="E20" i="3"/>
  <c r="E30" i="3" s="1"/>
  <c r="D20" i="3"/>
  <c r="D30" i="3" s="1"/>
  <c r="C20" i="3"/>
  <c r="C30" i="3" s="1"/>
  <c r="B20" i="3"/>
  <c r="B30" i="3" s="1"/>
  <c r="I13" i="3"/>
  <c r="I20" i="3" s="1"/>
  <c r="I30" i="3" s="1"/>
  <c r="H11" i="3"/>
  <c r="H28" i="3" s="1"/>
  <c r="G11" i="3"/>
  <c r="G28" i="3" s="1"/>
  <c r="F11" i="3"/>
  <c r="F24" i="3" s="1"/>
  <c r="F26" i="3" s="1"/>
  <c r="E11" i="3"/>
  <c r="E28" i="3" s="1"/>
  <c r="D11" i="3"/>
  <c r="D28" i="3" s="1"/>
  <c r="C11" i="3"/>
  <c r="C28" i="3" s="1"/>
  <c r="B11" i="3"/>
  <c r="B24" i="3" s="1"/>
  <c r="B26" i="3" s="1"/>
  <c r="I10" i="3"/>
  <c r="I11" i="3" s="1"/>
  <c r="G8" i="2"/>
  <c r="G5" i="2"/>
  <c r="G4" i="2"/>
  <c r="F8" i="2"/>
  <c r="F9" i="2"/>
  <c r="F5" i="2"/>
  <c r="F4" i="2"/>
  <c r="G9" i="2"/>
  <c r="G7" i="2"/>
  <c r="F7" i="2"/>
  <c r="D6" i="2"/>
  <c r="E6" i="2"/>
  <c r="C6" i="2"/>
  <c r="G6" i="2" s="1"/>
  <c r="C24" i="3" l="1"/>
  <c r="C26" i="3" s="1"/>
  <c r="G24" i="3"/>
  <c r="G26" i="3" s="1"/>
  <c r="D24" i="3"/>
  <c r="D26" i="3" s="1"/>
  <c r="H24" i="3"/>
  <c r="H26" i="3" s="1"/>
  <c r="F6" i="2"/>
  <c r="I24" i="3"/>
  <c r="I28" i="3"/>
  <c r="B28" i="3"/>
  <c r="E24" i="3"/>
  <c r="E26" i="3" s="1"/>
  <c r="F28" i="3"/>
</calcChain>
</file>

<file path=xl/sharedStrings.xml><?xml version="1.0" encoding="utf-8"?>
<sst xmlns="http://schemas.openxmlformats.org/spreadsheetml/2006/main" count="62" uniqueCount="58">
  <si>
    <t>Treatment</t>
  </si>
  <si>
    <t>D1</t>
  </si>
  <si>
    <t>D2</t>
  </si>
  <si>
    <t>D3</t>
  </si>
  <si>
    <t>D4</t>
  </si>
  <si>
    <t>D5</t>
  </si>
  <si>
    <t>D6</t>
  </si>
  <si>
    <t>D7</t>
  </si>
  <si>
    <t>Grand Total</t>
  </si>
  <si>
    <t>Total</t>
  </si>
  <si>
    <t>Support Services</t>
  </si>
  <si>
    <t>Count of Paid Units</t>
  </si>
  <si>
    <t>Average Cost per Unit of Care</t>
  </si>
  <si>
    <t xml:space="preserve">Substance Abuse Treatment - ASAM                  </t>
  </si>
  <si>
    <t>Average Treatment Cost per Client</t>
  </si>
  <si>
    <t xml:space="preserve">Supportive Services                               </t>
  </si>
  <si>
    <t>Average Supportive Services Cost</t>
  </si>
  <si>
    <t>Average of Length of Stay</t>
  </si>
  <si>
    <t>Administrative Cost</t>
  </si>
  <si>
    <t xml:space="preserve">Assessment ONLY </t>
  </si>
  <si>
    <t>IDOC - Pre-Treatment Services</t>
  </si>
  <si>
    <t>IDOC - Stage 1: Level I - Outpatient</t>
  </si>
  <si>
    <t>IDOC - Stage 1: Level II - Intensive Outpatient</t>
  </si>
  <si>
    <t>IDOC - Stage 2: Level I - Outpatient</t>
  </si>
  <si>
    <t>IDOC - Stage 2: Level II - Intensive Outpatient</t>
  </si>
  <si>
    <t>Level III.2 - Adult Detoxification</t>
  </si>
  <si>
    <t>Oral Interpreter / Sign Language (includes travel)</t>
  </si>
  <si>
    <t>Child Care</t>
  </si>
  <si>
    <t>Drug Testing</t>
  </si>
  <si>
    <t>IDOC - Case Management (Basic &amp; Intensive)</t>
  </si>
  <si>
    <t>IDOC - Life Skills (Individual &amp; Group)</t>
  </si>
  <si>
    <t>Staffed Safe and Sober Adult Housing</t>
  </si>
  <si>
    <t>Transportation</t>
  </si>
  <si>
    <t>Institution Assessment</t>
  </si>
  <si>
    <t>Institution Assessment - Travel</t>
  </si>
  <si>
    <t>IDOC Financial Statement Generator Data</t>
  </si>
  <si>
    <t>Appropriation</t>
  </si>
  <si>
    <t>Expended</t>
  </si>
  <si>
    <t>Encumbered</t>
  </si>
  <si>
    <t>% Used of Appropriation</t>
  </si>
  <si>
    <t>Available</t>
  </si>
  <si>
    <t>Personnel Expenses - PCA 05011</t>
  </si>
  <si>
    <t>Operating Expenses - PCA 05011</t>
  </si>
  <si>
    <t>Trustee/Benefit Payments - PCA 05021</t>
  </si>
  <si>
    <t>Trustee/Benefit Payments - PCA 05011 &amp; 05010</t>
  </si>
  <si>
    <t>Category and PCA</t>
  </si>
  <si>
    <t>Direct Client Services - Screening &amp; Chart Review</t>
  </si>
  <si>
    <t>Client Region</t>
  </si>
  <si>
    <t>Provider Region</t>
  </si>
  <si>
    <t>Region 1</t>
  </si>
  <si>
    <t>Region 2</t>
  </si>
  <si>
    <t>Region 3</t>
  </si>
  <si>
    <t>Region 4</t>
  </si>
  <si>
    <t>Region 5</t>
  </si>
  <si>
    <t>Region 6</t>
  </si>
  <si>
    <t>Region 7</t>
  </si>
  <si>
    <t>Region None</t>
  </si>
  <si>
    <t>Unique Client Counts  (8/18/13)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</si>
</sst>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 degree="90">
        <stop position="0">
          <color theme="0"/>
        </stop>
        <stop position="1">
          <color theme="0" tint="-0.1490218817712943"/>
        </stop>
      </gradientFill>
    </fill>
    <fill>
      <gradientFill degree="90">
        <stop position="0">
          <color theme="0"/>
        </stop>
        <stop position="1">
          <color rgb="FFEDF587"/>
        </stop>
      </gradientFill>
    </fill>
    <fill>
      <gradientFill degree="90">
        <stop position="0">
          <color theme="0"/>
        </stop>
        <stop position="1">
          <color theme="3" tint="0.80001220740379042"/>
        </stop>
      </gradient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/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/>
    <xf numFmtId="0" fontId="2" fillId="5" borderId="0" xfId="0" applyFont="1" applyFill="1"/>
    <xf numFmtId="0" fontId="1" fillId="5" borderId="0" xfId="0" applyFont="1" applyFill="1"/>
    <xf numFmtId="0" fontId="0" fillId="5" borderId="0" xfId="0" applyFont="1" applyFill="1" applyBorder="1"/>
    <xf numFmtId="164" fontId="0" fillId="5" borderId="0" xfId="0" applyNumberFormat="1" applyFont="1" applyFill="1"/>
    <xf numFmtId="1" fontId="0" fillId="5" borderId="0" xfId="0" applyNumberFormat="1" applyFont="1" applyFill="1" applyBorder="1"/>
    <xf numFmtId="0" fontId="0" fillId="5" borderId="0" xfId="0" applyNumberFormat="1" applyFont="1" applyFill="1"/>
    <xf numFmtId="0" fontId="0" fillId="6" borderId="0" xfId="0" applyFill="1"/>
    <xf numFmtId="9" fontId="0" fillId="0" borderId="0" xfId="1" applyNumberFormat="1" applyFont="1"/>
    <xf numFmtId="42" fontId="0" fillId="0" borderId="0" xfId="1" applyNumberFormat="1" applyFont="1"/>
    <xf numFmtId="9" fontId="0" fillId="6" borderId="0" xfId="1" applyNumberFormat="1" applyFont="1" applyFill="1"/>
    <xf numFmtId="42" fontId="0" fillId="6" borderId="0" xfId="1" applyNumberFormat="1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4" fillId="7" borderId="0" xfId="0" applyFont="1" applyFill="1" applyBorder="1" applyAlignment="1"/>
    <xf numFmtId="0" fontId="5" fillId="0" borderId="3" xfId="0" applyFont="1" applyBorder="1" applyAlignment="1"/>
    <xf numFmtId="0" fontId="5" fillId="0" borderId="4" xfId="0" applyFont="1" applyFill="1" applyBorder="1" applyAlignment="1">
      <alignment horizontal="center"/>
    </xf>
    <xf numFmtId="0" fontId="6" fillId="0" borderId="6" xfId="0" pivotButton="1" applyFont="1" applyBorder="1" applyAlignment="1"/>
    <xf numFmtId="0" fontId="6" fillId="0" borderId="7" xfId="0" applyFont="1" applyFill="1" applyBorder="1" applyAlignment="1">
      <alignment horizontal="left"/>
    </xf>
    <xf numFmtId="0" fontId="6" fillId="0" borderId="10" xfId="0" pivotButton="1" applyFont="1" applyBorder="1" applyAlignment="1"/>
    <xf numFmtId="0" fontId="6" fillId="0" borderId="11" xfId="0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13" xfId="0" pivotButton="1" applyFont="1" applyBorder="1" applyAlignment="1"/>
    <xf numFmtId="0" fontId="6" fillId="0" borderId="14" xfId="0" applyFont="1" applyFill="1" applyBorder="1" applyAlignment="1">
      <alignment horizontal="left"/>
    </xf>
    <xf numFmtId="0" fontId="6" fillId="0" borderId="3" xfId="0" pivotButton="1" applyFont="1" applyBorder="1" applyAlignment="1"/>
    <xf numFmtId="0" fontId="6" fillId="0" borderId="4" xfId="0" applyFont="1" applyBorder="1" applyAlignment="1">
      <alignment horizontal="left"/>
    </xf>
    <xf numFmtId="0" fontId="6" fillId="0" borderId="0" xfId="0" applyFont="1" applyBorder="1"/>
    <xf numFmtId="10" fontId="6" fillId="0" borderId="0" xfId="0" applyNumberFormat="1" applyFont="1"/>
    <xf numFmtId="0" fontId="4" fillId="7" borderId="0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5" fillId="0" borderId="3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1" fontId="6" fillId="0" borderId="3" xfId="0" applyNumberFormat="1" applyFont="1" applyBorder="1" applyAlignment="1">
      <alignment horizontal="left"/>
    </xf>
    <xf numFmtId="1" fontId="6" fillId="0" borderId="5" xfId="0" applyNumberFormat="1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/>
    </xf>
  </cellXfs>
  <cellStyles count="2">
    <cellStyle name="Currency" xfId="1" builtinId="4"/>
    <cellStyle name="Normal" xfId="0" builtinId="0"/>
  </cellStyles>
  <dxfs count="3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</dxfs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6</xdr:row>
      <xdr:rowOff>0</xdr:rowOff>
    </xdr:from>
    <xdr:to>
      <xdr:col>12</xdr:col>
      <xdr:colOff>228600</xdr:colOff>
      <xdr:row>7</xdr:row>
      <xdr:rowOff>180975</xdr:rowOff>
    </xdr:to>
    <xdr:sp macro="" textlink="">
      <xdr:nvSpPr>
        <xdr:cNvPr id="2" name="TextBox 1"/>
        <xdr:cNvSpPr txBox="1"/>
      </xdr:nvSpPr>
      <xdr:spPr>
        <a:xfrm>
          <a:off x="8629650" y="1143000"/>
          <a:ext cx="3209925" cy="371475"/>
        </a:xfrm>
        <a:prstGeom prst="rect">
          <a:avLst/>
        </a:prstGeom>
        <a:solidFill>
          <a:srgbClr val="99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Hide  rows 7</a:t>
          </a:r>
          <a:r>
            <a:rPr lang="en-US" sz="1100" baseline="0"/>
            <a:t> &amp; </a:t>
          </a:r>
          <a:r>
            <a:rPr lang="en-US" sz="1100"/>
            <a:t>8 when moving to PowerPoint Report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B3:G9" totalsRowShown="0">
  <tableColumns count="6">
    <tableColumn id="1" name="Category and PCA"/>
    <tableColumn id="2" name="Appropriation" dataDxfId="2"/>
    <tableColumn id="3" name="Expended" dataDxfId="1"/>
    <tableColumn id="4" name="Encumbered" dataDxfId="0"/>
    <tableColumn id="5" name="% Used of Appropriation">
      <calculatedColumnFormula>Table1[[#This Row],[Expended]]/Table1[[#This Row],[Appropriation]]</calculatedColumnFormula>
    </tableColumn>
    <tableColumn id="6" name="Available"/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CC"/>
    <pageSetUpPr fitToPage="1"/>
  </sheetPr>
  <dimension ref="A1:I44"/>
  <sheetViews>
    <sheetView tabSelected="1" view="pageLayout" topLeftCell="D7" zoomScaleNormal="100" workbookViewId="0">
      <selection activeCell="I40" sqref="I40"/>
    </sheetView>
  </sheetViews>
  <sheetFormatPr defaultColWidth="6" defaultRowHeight="14.4" x14ac:dyDescent="0.3"/>
  <cols>
    <col min="1" max="1" width="36.109375" customWidth="1"/>
    <col min="2" max="9" width="12.441406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19</v>
      </c>
      <c r="B2" s="4">
        <v>5481.0300000000016</v>
      </c>
      <c r="C2" s="4">
        <v>1303.97</v>
      </c>
      <c r="D2" s="4">
        <v>10763.670000000004</v>
      </c>
      <c r="E2" s="4">
        <v>17584.009999999998</v>
      </c>
      <c r="F2" s="4">
        <v>434.02</v>
      </c>
      <c r="G2" s="4">
        <v>5580.2300000000032</v>
      </c>
      <c r="H2" s="4">
        <v>4712.2000000000016</v>
      </c>
      <c r="I2" s="4">
        <v>45859.130000000012</v>
      </c>
    </row>
    <row r="3" spans="1:9" x14ac:dyDescent="0.3">
      <c r="A3" s="3" t="s">
        <v>33</v>
      </c>
      <c r="B3" s="4">
        <v>4165.5</v>
      </c>
      <c r="C3" s="4">
        <v>1364.05</v>
      </c>
      <c r="D3" s="4">
        <v>13566.099999999995</v>
      </c>
      <c r="E3" s="4">
        <v>7700.7100000000046</v>
      </c>
      <c r="F3" s="4"/>
      <c r="G3" s="4">
        <v>5505.81</v>
      </c>
      <c r="H3" s="4">
        <v>2827.31</v>
      </c>
      <c r="I3" s="4">
        <v>35129.480000000003</v>
      </c>
    </row>
    <row r="4" spans="1:9" x14ac:dyDescent="0.3">
      <c r="A4" s="3" t="s">
        <v>34</v>
      </c>
      <c r="B4" s="4">
        <v>93.27000000000001</v>
      </c>
      <c r="C4" s="4">
        <v>346.5</v>
      </c>
      <c r="D4" s="4">
        <v>1212.8399999999999</v>
      </c>
      <c r="E4" s="4">
        <v>27.680000000000003</v>
      </c>
      <c r="F4" s="4"/>
      <c r="G4" s="4">
        <v>110.92</v>
      </c>
      <c r="H4" s="4">
        <v>56.6</v>
      </c>
      <c r="I4" s="4">
        <v>1847.81</v>
      </c>
    </row>
    <row r="5" spans="1:9" x14ac:dyDescent="0.3">
      <c r="A5" s="3" t="s">
        <v>20</v>
      </c>
      <c r="B5" s="4">
        <v>5266.340000000002</v>
      </c>
      <c r="C5" s="4">
        <v>1885.9600000000003</v>
      </c>
      <c r="D5" s="4">
        <v>11290.009999999984</v>
      </c>
      <c r="E5" s="4">
        <v>20388.059999999925</v>
      </c>
      <c r="F5" s="4">
        <v>3533.6599999999976</v>
      </c>
      <c r="G5" s="4">
        <v>7230.6000000000122</v>
      </c>
      <c r="H5" s="4">
        <v>5191.9500000000016</v>
      </c>
      <c r="I5" s="4">
        <v>54786.579999999922</v>
      </c>
    </row>
    <row r="6" spans="1:9" x14ac:dyDescent="0.3">
      <c r="A6" s="3" t="s">
        <v>21</v>
      </c>
      <c r="B6" s="4">
        <v>12020.129999999992</v>
      </c>
      <c r="C6" s="4">
        <v>12530.94000000003</v>
      </c>
      <c r="D6" s="4">
        <v>24617.69999999983</v>
      </c>
      <c r="E6" s="4">
        <v>51962.889999999388</v>
      </c>
      <c r="F6" s="4">
        <v>9186.3100000000013</v>
      </c>
      <c r="G6" s="4">
        <v>13173.799999999988</v>
      </c>
      <c r="H6" s="4">
        <v>10748.639999999972</v>
      </c>
      <c r="I6" s="4">
        <v>134240.40999999922</v>
      </c>
    </row>
    <row r="7" spans="1:9" x14ac:dyDescent="0.3">
      <c r="A7" s="3" t="s">
        <v>22</v>
      </c>
      <c r="B7" s="4">
        <v>1724.5500000000002</v>
      </c>
      <c r="C7" s="4">
        <v>13334.379999999979</v>
      </c>
      <c r="D7" s="4">
        <v>12402.469999999981</v>
      </c>
      <c r="E7" s="4">
        <v>20103.109999999961</v>
      </c>
      <c r="F7" s="4">
        <v>2663.18</v>
      </c>
      <c r="G7" s="4">
        <v>12866.889999999987</v>
      </c>
      <c r="H7" s="4">
        <v>3628.7500000000027</v>
      </c>
      <c r="I7" s="4">
        <v>66723.329999999914</v>
      </c>
    </row>
    <row r="8" spans="1:9" x14ac:dyDescent="0.3">
      <c r="A8" s="3" t="s">
        <v>23</v>
      </c>
      <c r="B8" s="4">
        <v>13352.369999999983</v>
      </c>
      <c r="C8" s="4">
        <v>10973.680000000008</v>
      </c>
      <c r="D8" s="4">
        <v>31713.689999999755</v>
      </c>
      <c r="E8" s="4">
        <v>42796.149999999652</v>
      </c>
      <c r="F8" s="4">
        <v>17100.949999999957</v>
      </c>
      <c r="G8" s="4">
        <v>21493.119999999912</v>
      </c>
      <c r="H8" s="4">
        <v>11796.870000000004</v>
      </c>
      <c r="I8" s="4">
        <v>149226.82999999926</v>
      </c>
    </row>
    <row r="9" spans="1:9" x14ac:dyDescent="0.3">
      <c r="A9" s="3" t="s">
        <v>24</v>
      </c>
      <c r="B9" s="4">
        <v>620.32000000000005</v>
      </c>
      <c r="C9" s="4">
        <v>16900.979999999981</v>
      </c>
      <c r="D9" s="4">
        <v>6229.4600000000037</v>
      </c>
      <c r="E9" s="4">
        <v>12944.510000000037</v>
      </c>
      <c r="F9" s="4">
        <v>682.65999999999985</v>
      </c>
      <c r="G9" s="4">
        <v>6178.9700000000084</v>
      </c>
      <c r="H9" s="4">
        <v>5602.1600000000062</v>
      </c>
      <c r="I9" s="4">
        <v>49159.060000000034</v>
      </c>
    </row>
    <row r="10" spans="1:9" x14ac:dyDescent="0.3">
      <c r="A10" s="3" t="s">
        <v>25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f t="shared" ref="I10" si="0">SUM(B10:H10)</f>
        <v>0</v>
      </c>
    </row>
    <row r="11" spans="1:9" ht="15" thickBot="1" x14ac:dyDescent="0.35">
      <c r="A11" s="5" t="s">
        <v>9</v>
      </c>
      <c r="B11" s="6">
        <f>SUM(B2:B10)</f>
        <v>42723.50999999998</v>
      </c>
      <c r="C11" s="6">
        <f t="shared" ref="C11:I11" si="1">SUM(C2:C10)</f>
        <v>58640.46</v>
      </c>
      <c r="D11" s="6">
        <f t="shared" si="1"/>
        <v>111795.93999999955</v>
      </c>
      <c r="E11" s="6">
        <f t="shared" si="1"/>
        <v>173507.11999999895</v>
      </c>
      <c r="F11" s="6">
        <f t="shared" si="1"/>
        <v>33600.779999999955</v>
      </c>
      <c r="G11" s="6">
        <f t="shared" si="1"/>
        <v>72140.339999999909</v>
      </c>
      <c r="H11" s="6">
        <f t="shared" si="1"/>
        <v>44564.479999999989</v>
      </c>
      <c r="I11" s="6">
        <f t="shared" si="1"/>
        <v>536972.62999999837</v>
      </c>
    </row>
    <row r="12" spans="1:9" ht="15" thickTop="1" x14ac:dyDescent="0.3">
      <c r="A12" s="7" t="s">
        <v>10</v>
      </c>
      <c r="B12" s="7"/>
      <c r="C12" s="7"/>
      <c r="D12" s="7"/>
      <c r="E12" s="7"/>
      <c r="F12" s="7"/>
      <c r="G12" s="7"/>
      <c r="H12" s="7"/>
      <c r="I12" s="7"/>
    </row>
    <row r="13" spans="1:9" x14ac:dyDescent="0.3">
      <c r="A13" s="3" t="s">
        <v>27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f>SUM(B13:H13)</f>
        <v>0</v>
      </c>
    </row>
    <row r="14" spans="1:9" x14ac:dyDescent="0.3">
      <c r="A14" s="3" t="s">
        <v>28</v>
      </c>
      <c r="B14" s="4">
        <v>5737.5</v>
      </c>
      <c r="C14" s="4">
        <v>6520.5</v>
      </c>
      <c r="D14" s="4">
        <v>8734.5</v>
      </c>
      <c r="E14" s="4">
        <v>19399.5</v>
      </c>
      <c r="F14" s="4">
        <v>4951.5</v>
      </c>
      <c r="G14" s="4">
        <v>1930.5</v>
      </c>
      <c r="H14" s="4">
        <v>256.5</v>
      </c>
      <c r="I14" s="4">
        <v>47530.5</v>
      </c>
    </row>
    <row r="15" spans="1:9" x14ac:dyDescent="0.3">
      <c r="A15" s="3" t="s">
        <v>29</v>
      </c>
      <c r="B15" s="4">
        <v>471.28</v>
      </c>
      <c r="C15" s="4">
        <v>1877.2799999999993</v>
      </c>
      <c r="D15" s="4">
        <v>4440.5599999999895</v>
      </c>
      <c r="E15" s="4">
        <v>17334.84</v>
      </c>
      <c r="F15" s="4">
        <v>1539.8799999999987</v>
      </c>
      <c r="G15" s="4">
        <v>7495.7299999999841</v>
      </c>
      <c r="H15" s="4">
        <v>3590.2399999999916</v>
      </c>
      <c r="I15" s="4">
        <v>36749.809999999961</v>
      </c>
    </row>
    <row r="16" spans="1:9" x14ac:dyDescent="0.3">
      <c r="A16" s="3" t="s">
        <v>30</v>
      </c>
      <c r="B16" s="4"/>
      <c r="C16" s="4">
        <v>112.88</v>
      </c>
      <c r="D16" s="4">
        <v>47.28</v>
      </c>
      <c r="E16" s="4">
        <v>875.5799999999997</v>
      </c>
      <c r="F16" s="4"/>
      <c r="G16" s="4">
        <v>104.96</v>
      </c>
      <c r="H16" s="4">
        <v>26.24</v>
      </c>
      <c r="I16" s="4">
        <v>1166.9399999999998</v>
      </c>
    </row>
    <row r="17" spans="1:9" x14ac:dyDescent="0.3">
      <c r="A17" s="3" t="s">
        <v>26</v>
      </c>
      <c r="B17" s="4"/>
      <c r="C17" s="4"/>
      <c r="D17" s="4"/>
      <c r="E17" s="4"/>
      <c r="F17" s="4"/>
      <c r="G17" s="4">
        <v>200</v>
      </c>
      <c r="H17" s="4"/>
      <c r="I17" s="4">
        <v>200</v>
      </c>
    </row>
    <row r="18" spans="1:9" x14ac:dyDescent="0.3">
      <c r="A18" s="3" t="s">
        <v>31</v>
      </c>
      <c r="B18" s="4">
        <v>2070</v>
      </c>
      <c r="C18" s="4">
        <v>598</v>
      </c>
      <c r="D18" s="4">
        <v>1805.5</v>
      </c>
      <c r="E18" s="4">
        <v>20723</v>
      </c>
      <c r="F18" s="4"/>
      <c r="G18" s="4"/>
      <c r="H18" s="4">
        <v>322</v>
      </c>
      <c r="I18" s="4">
        <v>25518.5</v>
      </c>
    </row>
    <row r="19" spans="1:9" x14ac:dyDescent="0.3">
      <c r="A19" s="3" t="s">
        <v>32</v>
      </c>
      <c r="B19" s="4"/>
      <c r="C19" s="4">
        <v>2192.220000000003</v>
      </c>
      <c r="D19" s="4">
        <v>1413.1700000000035</v>
      </c>
      <c r="E19" s="4">
        <v>14098.349999999911</v>
      </c>
      <c r="F19" s="4">
        <v>1585.68</v>
      </c>
      <c r="G19" s="4">
        <v>3574.650000000006</v>
      </c>
      <c r="H19" s="4">
        <v>2502.0000000000014</v>
      </c>
      <c r="I19" s="4">
        <v>25366.069999999923</v>
      </c>
    </row>
    <row r="20" spans="1:9" ht="15" thickBot="1" x14ac:dyDescent="0.35">
      <c r="A20" s="5" t="s">
        <v>9</v>
      </c>
      <c r="B20" s="6">
        <f>SUM(B13:B19)</f>
        <v>8278.7799999999988</v>
      </c>
      <c r="C20" s="6">
        <f t="shared" ref="C20:I20" si="2">SUM(C13:C19)</f>
        <v>11300.880000000001</v>
      </c>
      <c r="D20" s="6">
        <f t="shared" si="2"/>
        <v>16441.009999999995</v>
      </c>
      <c r="E20" s="6">
        <f t="shared" si="2"/>
        <v>72431.269999999902</v>
      </c>
      <c r="F20" s="6">
        <f t="shared" si="2"/>
        <v>8077.0599999999995</v>
      </c>
      <c r="G20" s="6">
        <f t="shared" si="2"/>
        <v>13305.839999999989</v>
      </c>
      <c r="H20" s="6">
        <f t="shared" si="2"/>
        <v>6696.9799999999923</v>
      </c>
      <c r="I20" s="6">
        <f t="shared" si="2"/>
        <v>136531.81999999989</v>
      </c>
    </row>
    <row r="21" spans="1:9" ht="15" thickTop="1" x14ac:dyDescent="0.3">
      <c r="A21" s="7" t="s">
        <v>18</v>
      </c>
      <c r="B21" s="7"/>
      <c r="C21" s="7"/>
      <c r="D21" s="7"/>
      <c r="E21" s="7"/>
      <c r="F21" s="7"/>
      <c r="G21" s="7"/>
      <c r="H21" s="7"/>
      <c r="I21" s="7"/>
    </row>
    <row r="22" spans="1:9" x14ac:dyDescent="0.3">
      <c r="A22" s="3" t="s">
        <v>46</v>
      </c>
      <c r="B22" s="4"/>
      <c r="C22" s="4"/>
      <c r="D22" s="4"/>
      <c r="E22" s="4"/>
      <c r="F22" s="4"/>
      <c r="G22" s="4"/>
      <c r="H22" s="4"/>
      <c r="I22" s="4">
        <v>80481.81</v>
      </c>
    </row>
    <row r="23" spans="1:9" ht="15" thickBot="1" x14ac:dyDescent="0.35">
      <c r="A23" s="5" t="s">
        <v>9</v>
      </c>
      <c r="B23" s="6"/>
      <c r="C23" s="6"/>
      <c r="D23" s="6"/>
      <c r="E23" s="6"/>
      <c r="F23" s="6"/>
      <c r="G23" s="6"/>
      <c r="H23" s="6"/>
      <c r="I23" s="6">
        <f>SUM(I22)</f>
        <v>80481.81</v>
      </c>
    </row>
    <row r="24" spans="1:9" ht="15.6" thickTop="1" thickBot="1" x14ac:dyDescent="0.35">
      <c r="A24" s="5" t="s">
        <v>8</v>
      </c>
      <c r="B24" s="6">
        <f t="shared" ref="B24:I24" si="3">B11+B20+B22</f>
        <v>51002.289999999979</v>
      </c>
      <c r="C24" s="6">
        <f t="shared" si="3"/>
        <v>69941.34</v>
      </c>
      <c r="D24" s="6">
        <f t="shared" si="3"/>
        <v>128236.94999999955</v>
      </c>
      <c r="E24" s="6">
        <f t="shared" si="3"/>
        <v>245938.38999999885</v>
      </c>
      <c r="F24" s="6">
        <f t="shared" si="3"/>
        <v>41677.839999999953</v>
      </c>
      <c r="G24" s="6">
        <f t="shared" si="3"/>
        <v>85446.179999999906</v>
      </c>
      <c r="H24" s="6">
        <f t="shared" si="3"/>
        <v>51261.459999999977</v>
      </c>
      <c r="I24" s="6">
        <f t="shared" si="3"/>
        <v>753986.25999999838</v>
      </c>
    </row>
    <row r="25" spans="1:9" ht="15" hidden="1" thickTop="1" x14ac:dyDescent="0.3">
      <c r="A25" s="8" t="s">
        <v>11</v>
      </c>
      <c r="B25" s="9">
        <v>1278</v>
      </c>
      <c r="C25" s="9">
        <v>1662</v>
      </c>
      <c r="D25" s="9">
        <v>3157</v>
      </c>
      <c r="E25" s="9">
        <v>8766</v>
      </c>
      <c r="F25" s="9">
        <v>1222</v>
      </c>
      <c r="G25" s="9">
        <v>1930</v>
      </c>
      <c r="H25" s="9">
        <v>1291</v>
      </c>
      <c r="I25" s="9">
        <f>SUM(B25:H25)</f>
        <v>19306</v>
      </c>
    </row>
    <row r="26" spans="1:9" ht="15" thickTop="1" x14ac:dyDescent="0.3">
      <c r="A26" s="8" t="s">
        <v>12</v>
      </c>
      <c r="B26" s="10">
        <f>B24/B25</f>
        <v>39.90789514866978</v>
      </c>
      <c r="C26" s="10">
        <f t="shared" ref="C26:H26" si="4">C24/C25</f>
        <v>42.082635379061372</v>
      </c>
      <c r="D26" s="10">
        <f t="shared" si="4"/>
        <v>40.619876464998271</v>
      </c>
      <c r="E26" s="10">
        <f t="shared" si="4"/>
        <v>28.055942276979106</v>
      </c>
      <c r="F26" s="10">
        <f t="shared" si="4"/>
        <v>34.106252045826473</v>
      </c>
      <c r="G26" s="10">
        <f t="shared" si="4"/>
        <v>44.272632124352285</v>
      </c>
      <c r="H26" s="10">
        <f t="shared" si="4"/>
        <v>39.706785437645216</v>
      </c>
      <c r="I26" s="10">
        <f>I23/I25</f>
        <v>4.168745985703926</v>
      </c>
    </row>
    <row r="27" spans="1:9" hidden="1" x14ac:dyDescent="0.3">
      <c r="A27" s="8" t="s">
        <v>13</v>
      </c>
      <c r="B27" s="9">
        <v>662</v>
      </c>
      <c r="C27" s="9">
        <v>968</v>
      </c>
      <c r="D27" s="9">
        <v>1982</v>
      </c>
      <c r="E27" s="9">
        <v>3734</v>
      </c>
      <c r="F27" s="9">
        <v>647</v>
      </c>
      <c r="G27" s="9">
        <v>1282</v>
      </c>
      <c r="H27" s="9">
        <v>853</v>
      </c>
      <c r="I27" s="9">
        <f>SUM(B27:H27)</f>
        <v>10128</v>
      </c>
    </row>
    <row r="28" spans="1:9" hidden="1" x14ac:dyDescent="0.3">
      <c r="A28" s="8" t="s">
        <v>14</v>
      </c>
      <c r="B28" s="10">
        <f t="shared" ref="B28:I28" si="5">B11/B27</f>
        <v>64.537024169184264</v>
      </c>
      <c r="C28" s="10">
        <f t="shared" si="5"/>
        <v>60.578987603305784</v>
      </c>
      <c r="D28" s="10">
        <f t="shared" si="5"/>
        <v>56.405620585267179</v>
      </c>
      <c r="E28" s="10">
        <f t="shared" si="5"/>
        <v>46.466823781467312</v>
      </c>
      <c r="F28" s="10">
        <f t="shared" si="5"/>
        <v>51.933199381761909</v>
      </c>
      <c r="G28" s="10">
        <f t="shared" si="5"/>
        <v>56.271716068642675</v>
      </c>
      <c r="H28" s="10">
        <f t="shared" si="5"/>
        <v>52.244407971863993</v>
      </c>
      <c r="I28" s="10">
        <f t="shared" si="5"/>
        <v>53.01862460505513</v>
      </c>
    </row>
    <row r="29" spans="1:9" hidden="1" x14ac:dyDescent="0.3">
      <c r="A29" s="8" t="s">
        <v>15</v>
      </c>
      <c r="B29" s="9">
        <v>616</v>
      </c>
      <c r="C29" s="9">
        <v>694</v>
      </c>
      <c r="D29" s="9">
        <v>1175</v>
      </c>
      <c r="E29" s="9">
        <v>5032</v>
      </c>
      <c r="F29" s="9">
        <v>575</v>
      </c>
      <c r="G29" s="9">
        <v>648</v>
      </c>
      <c r="H29" s="9">
        <v>438</v>
      </c>
      <c r="I29" s="9">
        <f>SUM(B29:H29)</f>
        <v>9178</v>
      </c>
    </row>
    <row r="30" spans="1:9" hidden="1" x14ac:dyDescent="0.3">
      <c r="A30" s="8" t="s">
        <v>16</v>
      </c>
      <c r="B30" s="10">
        <f>B20/B29</f>
        <v>13.43957792207792</v>
      </c>
      <c r="C30" s="10">
        <f t="shared" ref="C30:I30" si="6">C20/C29</f>
        <v>16.283688760806918</v>
      </c>
      <c r="D30" s="10">
        <f t="shared" si="6"/>
        <v>13.992348936170208</v>
      </c>
      <c r="E30" s="10">
        <f t="shared" si="6"/>
        <v>14.394131558028597</v>
      </c>
      <c r="F30" s="10">
        <f t="shared" si="6"/>
        <v>14.047060869565216</v>
      </c>
      <c r="G30" s="10">
        <f t="shared" si="6"/>
        <v>20.533703703703686</v>
      </c>
      <c r="H30" s="10">
        <f t="shared" si="6"/>
        <v>15.289908675799069</v>
      </c>
      <c r="I30" s="12">
        <f t="shared" si="6"/>
        <v>14.87598823273043</v>
      </c>
    </row>
    <row r="31" spans="1:9" x14ac:dyDescent="0.3">
      <c r="A31" s="8" t="s">
        <v>17</v>
      </c>
      <c r="B31" s="11">
        <v>169.21126760563379</v>
      </c>
      <c r="C31" s="11">
        <v>163.76835138387486</v>
      </c>
      <c r="D31" s="11">
        <v>156.53278428888186</v>
      </c>
      <c r="E31" s="11">
        <v>135.98699520876113</v>
      </c>
      <c r="F31" s="11">
        <v>176.60720130932896</v>
      </c>
      <c r="G31" s="11">
        <v>186.69222797927461</v>
      </c>
      <c r="H31" s="11">
        <v>167.97288923315259</v>
      </c>
      <c r="I31" s="11">
        <f>AVERAGE(B31:H31)</f>
        <v>165.25310242984395</v>
      </c>
    </row>
    <row r="33" spans="1:4" x14ac:dyDescent="0.3">
      <c r="A33" s="34" t="s">
        <v>57</v>
      </c>
      <c r="B33" s="34"/>
      <c r="C33" s="34"/>
      <c r="D33" s="20"/>
    </row>
    <row r="34" spans="1:4" x14ac:dyDescent="0.3">
      <c r="A34" s="21"/>
      <c r="B34" s="22" t="s">
        <v>47</v>
      </c>
      <c r="C34" s="39" t="s">
        <v>48</v>
      </c>
      <c r="D34" s="40"/>
    </row>
    <row r="35" spans="1:4" x14ac:dyDescent="0.3">
      <c r="A35" s="23" t="s">
        <v>49</v>
      </c>
      <c r="B35" s="24">
        <v>109</v>
      </c>
      <c r="C35" s="37">
        <v>118</v>
      </c>
      <c r="D35" s="38"/>
    </row>
    <row r="36" spans="1:4" x14ac:dyDescent="0.3">
      <c r="A36" s="25" t="s">
        <v>50</v>
      </c>
      <c r="B36" s="26">
        <v>49</v>
      </c>
      <c r="C36" s="35">
        <v>50</v>
      </c>
      <c r="D36" s="36"/>
    </row>
    <row r="37" spans="1:4" x14ac:dyDescent="0.3">
      <c r="A37" s="25" t="s">
        <v>51</v>
      </c>
      <c r="B37" s="26">
        <v>183</v>
      </c>
      <c r="C37" s="35">
        <v>202</v>
      </c>
      <c r="D37" s="36"/>
    </row>
    <row r="38" spans="1:4" x14ac:dyDescent="0.3">
      <c r="A38" s="25" t="s">
        <v>52</v>
      </c>
      <c r="B38" s="26">
        <v>262</v>
      </c>
      <c r="C38" s="35">
        <v>249</v>
      </c>
      <c r="D38" s="36"/>
    </row>
    <row r="39" spans="1:4" x14ac:dyDescent="0.3">
      <c r="A39" s="25" t="s">
        <v>53</v>
      </c>
      <c r="B39" s="26">
        <v>77</v>
      </c>
      <c r="C39" s="35">
        <v>75</v>
      </c>
      <c r="D39" s="36"/>
    </row>
    <row r="40" spans="1:4" x14ac:dyDescent="0.3">
      <c r="A40" s="25" t="s">
        <v>54</v>
      </c>
      <c r="B40" s="27">
        <v>136</v>
      </c>
      <c r="C40" s="35">
        <v>137</v>
      </c>
      <c r="D40" s="36"/>
    </row>
    <row r="41" spans="1:4" x14ac:dyDescent="0.3">
      <c r="A41" s="25" t="s">
        <v>55</v>
      </c>
      <c r="B41" s="26">
        <v>88</v>
      </c>
      <c r="C41" s="35">
        <v>94</v>
      </c>
      <c r="D41" s="36"/>
    </row>
    <row r="42" spans="1:4" x14ac:dyDescent="0.3">
      <c r="A42" s="28" t="s">
        <v>56</v>
      </c>
      <c r="B42" s="29">
        <v>17</v>
      </c>
      <c r="C42" s="43">
        <v>0</v>
      </c>
      <c r="D42" s="44"/>
    </row>
    <row r="43" spans="1:4" x14ac:dyDescent="0.3">
      <c r="A43" s="30" t="s">
        <v>9</v>
      </c>
      <c r="B43" s="31">
        <v>921</v>
      </c>
      <c r="C43" s="41">
        <v>921</v>
      </c>
      <c r="D43" s="42"/>
    </row>
    <row r="44" spans="1:4" x14ac:dyDescent="0.3">
      <c r="A44" s="32"/>
      <c r="B44" s="32"/>
      <c r="C44" s="33"/>
      <c r="D44" s="32"/>
    </row>
  </sheetData>
  <mergeCells count="11">
    <mergeCell ref="C38:D38"/>
    <mergeCell ref="C43:D43"/>
    <mergeCell ref="C42:D42"/>
    <mergeCell ref="C41:D41"/>
    <mergeCell ref="C40:D40"/>
    <mergeCell ref="C39:D39"/>
    <mergeCell ref="A33:C33"/>
    <mergeCell ref="C37:D37"/>
    <mergeCell ref="C36:D36"/>
    <mergeCell ref="C35:D35"/>
    <mergeCell ref="C34:D34"/>
  </mergeCells>
  <pageMargins left="0.375" right="0.42281249999999998" top="0.75" bottom="0.75" header="0.3" footer="0.3"/>
  <pageSetup scale="90" orientation="landscape" r:id="rId1"/>
  <headerFooter>
    <oddHeader>&amp;CIDOC FY14 Substance Use Disorder Utilization Report
YTD 8/15/13&amp;RReport date: 8/23/2013</oddHeader>
    <oddFooter>&amp;LFiscal Data is based on BPA's Claims Report for period of 6/7/13 to 8/15/13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"/>
  <sheetViews>
    <sheetView workbookViewId="0">
      <selection activeCell="B16" sqref="B16"/>
    </sheetView>
  </sheetViews>
  <sheetFormatPr defaultRowHeight="14.4" x14ac:dyDescent="0.3"/>
  <cols>
    <col min="2" max="2" width="43.33203125" bestFit="1" customWidth="1"/>
    <col min="3" max="3" width="17.5546875" customWidth="1"/>
    <col min="4" max="4" width="14.33203125" bestFit="1" customWidth="1"/>
    <col min="5" max="5" width="14.44140625" bestFit="1" customWidth="1"/>
    <col min="6" max="6" width="15.6640625" customWidth="1"/>
    <col min="7" max="7" width="14.109375" customWidth="1"/>
  </cols>
  <sheetData>
    <row r="1" spans="2:7" x14ac:dyDescent="0.3">
      <c r="B1" t="s">
        <v>35</v>
      </c>
    </row>
    <row r="3" spans="2:7" ht="31.5" customHeight="1" x14ac:dyDescent="0.3">
      <c r="B3" t="s">
        <v>45</v>
      </c>
      <c r="C3" s="18" t="s">
        <v>36</v>
      </c>
      <c r="D3" s="18" t="s">
        <v>37</v>
      </c>
      <c r="E3" s="18" t="s">
        <v>38</v>
      </c>
      <c r="F3" s="19" t="s">
        <v>39</v>
      </c>
      <c r="G3" s="18" t="s">
        <v>40</v>
      </c>
    </row>
    <row r="4" spans="2:7" x14ac:dyDescent="0.3">
      <c r="B4" t="s">
        <v>41</v>
      </c>
      <c r="C4" s="15"/>
      <c r="D4" s="15"/>
      <c r="E4" s="15">
        <v>0</v>
      </c>
      <c r="F4" s="14" t="e">
        <f>(Table1[[#This Row],[Expended]]+Table1[[#This Row],[Encumbered]])/Table1[[#This Row],[Appropriation]]</f>
        <v>#DIV/0!</v>
      </c>
      <c r="G4" s="15">
        <f>Table1[[#This Row],[Appropriation]]-(Table1[[#This Row],[Expended]]+Table1[[#This Row],[Encumbered]])</f>
        <v>0</v>
      </c>
    </row>
    <row r="5" spans="2:7" x14ac:dyDescent="0.3">
      <c r="B5" t="s">
        <v>42</v>
      </c>
      <c r="C5" s="15"/>
      <c r="D5" s="15"/>
      <c r="E5" s="15">
        <v>0</v>
      </c>
      <c r="F5" s="14" t="e">
        <f>(Table1[[#This Row],[Expended]]+Table1[[#This Row],[Encumbered]])/Table1[[#This Row],[Appropriation]]</f>
        <v>#DIV/0!</v>
      </c>
      <c r="G5" s="15">
        <f>Table1[[#This Row],[Appropriation]]-(Table1[[#This Row],[Expended]]+Table1[[#This Row],[Encumbered]])</f>
        <v>0</v>
      </c>
    </row>
    <row r="6" spans="2:7" x14ac:dyDescent="0.3">
      <c r="B6" t="s">
        <v>44</v>
      </c>
      <c r="C6" s="15">
        <f>SUM(C7:C8)</f>
        <v>0</v>
      </c>
      <c r="D6" s="15">
        <f t="shared" ref="D6:E6" si="0">SUM(D7:D8)</f>
        <v>0</v>
      </c>
      <c r="E6" s="15">
        <f t="shared" si="0"/>
        <v>0</v>
      </c>
      <c r="F6" s="14" t="e">
        <f>(Table1[[#This Row],[Expended]]+Table1[[#This Row],[Encumbered]])/Table1[[#This Row],[Appropriation]]</f>
        <v>#DIV/0!</v>
      </c>
      <c r="G6" s="15">
        <f>Table1[[#This Row],[Appropriation]]-(Table1[[#This Row],[Expended]]+Table1[[#This Row],[Encumbered]])</f>
        <v>0</v>
      </c>
    </row>
    <row r="7" spans="2:7" x14ac:dyDescent="0.3">
      <c r="B7" s="13">
        <v>5011</v>
      </c>
      <c r="C7" s="17"/>
      <c r="D7" s="17"/>
      <c r="E7" s="17"/>
      <c r="F7" s="16" t="e">
        <f>(Table1[[#This Row],[Expended]]+Table1[[#This Row],[Encumbered]])/Table1[[#This Row],[Appropriation]]</f>
        <v>#DIV/0!</v>
      </c>
      <c r="G7" s="17">
        <f>Table1[[#This Row],[Appropriation]]-(Table1[[#This Row],[Expended]]+Table1[[#This Row],[Encumbered]])</f>
        <v>0</v>
      </c>
    </row>
    <row r="8" spans="2:7" x14ac:dyDescent="0.3">
      <c r="B8" s="13">
        <v>5010</v>
      </c>
      <c r="C8" s="17"/>
      <c r="D8" s="17"/>
      <c r="E8" s="17">
        <v>0</v>
      </c>
      <c r="F8" s="16" t="e">
        <f>(Table1[[#This Row],[Expended]]+Table1[[#This Row],[Encumbered]])/Table1[[#This Row],[Appropriation]]</f>
        <v>#DIV/0!</v>
      </c>
      <c r="G8" s="17">
        <f>Table1[[#This Row],[Appropriation]]-(Table1[[#This Row],[Expended]]+Table1[[#This Row],[Encumbered]])</f>
        <v>0</v>
      </c>
    </row>
    <row r="9" spans="2:7" x14ac:dyDescent="0.3">
      <c r="B9" t="s">
        <v>43</v>
      </c>
      <c r="C9" s="15"/>
      <c r="D9" s="15"/>
      <c r="E9" s="15"/>
      <c r="F9" s="14" t="e">
        <f>(Table1[[#This Row],[Expended]]+Table1[[#This Row],[Encumbered]])/Table1[[#This Row],[Appropriation]]</f>
        <v>#DIV/0!</v>
      </c>
      <c r="G9" s="15">
        <f>Table1[[#This Row],[Appropriation]]-(Table1[[#This Row],[Expended]]+Table1[[#This Row],[Encumbered]])</f>
        <v>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6.7.13 to 8.15.13</vt:lpstr>
      <vt:lpstr>FinStmtGenTbl4PowerPointRpt</vt:lpstr>
    </vt:vector>
  </TitlesOfParts>
  <Company>IDOC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Keim, Darrell E. - Reg2</cp:lastModifiedBy>
  <cp:lastPrinted>2013-09-09T17:06:52Z</cp:lastPrinted>
  <dcterms:created xsi:type="dcterms:W3CDTF">2013-05-09T21:53:06Z</dcterms:created>
  <dcterms:modified xsi:type="dcterms:W3CDTF">2013-09-10T16:25:23Z</dcterms:modified>
</cp:coreProperties>
</file>