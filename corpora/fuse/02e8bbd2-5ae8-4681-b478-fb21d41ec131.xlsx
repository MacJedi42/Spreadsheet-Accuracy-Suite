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52" windowWidth="16272" windowHeight="781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Sheet1!$A$1:$C$50</definedName>
  </definedNames>
  <calcPr calcId="145621"/>
</workbook>
</file>

<file path=xl/calcChain.xml><?xml version="1.0" encoding="utf-8"?>
<calcChain xmlns="http://schemas.openxmlformats.org/spreadsheetml/2006/main">
  <c r="B50" i="1" l="1"/>
  <c r="B41" i="1"/>
  <c r="B12" i="1"/>
  <c r="B8" i="1"/>
  <c r="B17" i="1"/>
  <c r="B25" i="1" s="1"/>
  <c r="B26" i="1" s="1"/>
  <c r="B28" i="1" l="1"/>
  <c r="B29" i="1" s="1"/>
  <c r="B32" i="1" l="1"/>
</calcChain>
</file>

<file path=xl/sharedStrings.xml><?xml version="1.0" encoding="utf-8"?>
<sst xmlns="http://schemas.openxmlformats.org/spreadsheetml/2006/main" count="58" uniqueCount="52">
  <si>
    <t>ACQUISITION COSTS</t>
  </si>
  <si>
    <t xml:space="preserve">     Purchase Price</t>
  </si>
  <si>
    <t xml:space="preserve">     Total Acquisition Costs</t>
  </si>
  <si>
    <t xml:space="preserve">     Hard Construction Costs</t>
  </si>
  <si>
    <t xml:space="preserve">     Contingency</t>
  </si>
  <si>
    <t>SOFT COSTS</t>
  </si>
  <si>
    <t xml:space="preserve">   Property Insurance</t>
  </si>
  <si>
    <t>Total Soft Costs</t>
  </si>
  <si>
    <t xml:space="preserve">TOTAL DEVELOPMENT COSTS </t>
  </si>
  <si>
    <t>Seller's Closing Costs</t>
  </si>
  <si>
    <t xml:space="preserve">     Scope/Specs Preparation </t>
  </si>
  <si>
    <t xml:space="preserve">     Legal Work </t>
  </si>
  <si>
    <t xml:space="preserve">     After Rehab Appraisal Fee</t>
  </si>
  <si>
    <t xml:space="preserve">     Closing Costs - Acquisition</t>
  </si>
  <si>
    <t xml:space="preserve">     Total Construction Costs</t>
  </si>
  <si>
    <t>15% rehab; 5% new construction</t>
  </si>
  <si>
    <t>Contract Amount</t>
  </si>
  <si>
    <t>Marketing/Staging</t>
  </si>
  <si>
    <t>Survey</t>
  </si>
  <si>
    <t>Soil Tests</t>
  </si>
  <si>
    <t>Radon/Abestos/Lead Tests</t>
  </si>
  <si>
    <t>Real Estate Commission Fee-6%</t>
  </si>
  <si>
    <t>First Mortgage</t>
  </si>
  <si>
    <t>NSP Value Gap Assistance</t>
  </si>
  <si>
    <t>Other Source</t>
  </si>
  <si>
    <t>Total</t>
  </si>
  <si>
    <t>Holding Costs (maintenance, utilities)</t>
  </si>
  <si>
    <t>not eligible to include in TDC when determining NSP sale price</t>
  </si>
  <si>
    <t>Buyer's first mortgage</t>
  </si>
  <si>
    <t>10% of Total Construction &amp; Soft Costs</t>
  </si>
  <si>
    <t>Permanent Financing</t>
  </si>
  <si>
    <t>Interim Financing</t>
  </si>
  <si>
    <t>Construction Loan</t>
  </si>
  <si>
    <t>Equity</t>
  </si>
  <si>
    <t>Project Budget: Total Development Costs</t>
  </si>
  <si>
    <t xml:space="preserve">NSP eligible TDC </t>
  </si>
  <si>
    <t>Appraised value of home or NSP eligible TDC, whichever is less</t>
  </si>
  <si>
    <t>Sale Price</t>
  </si>
  <si>
    <t xml:space="preserve">Projected Value Gap </t>
  </si>
  <si>
    <t>Total Development Costs less Sale Price</t>
  </si>
  <si>
    <t>Developer’s Fee</t>
  </si>
  <si>
    <t>Acquisition, Construction Costs, Soft Costs, and Developer Fee</t>
  </si>
  <si>
    <t>TDC less holding costs: for purpose of determining sale price</t>
  </si>
  <si>
    <t>Address:</t>
  </si>
  <si>
    <t>Description:</t>
  </si>
  <si>
    <t>xxx Street</t>
  </si>
  <si>
    <t>CONSTRUCTION COSTS</t>
  </si>
  <si>
    <t>Rehab of 1 unit housing for sale/ownership</t>
  </si>
  <si>
    <t>HRA Value Gap Assistance</t>
  </si>
  <si>
    <t>NSP Affordability Assistance*</t>
  </si>
  <si>
    <t>$2,500 if above 80% AMI; $5,000 if less than 80% AMI (only on homes with NSP financing)</t>
  </si>
  <si>
    <t>Use price from HRA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</si>
</sst>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26"/>
      <color indexed="8"/>
      <name val="Arial"/>
      <family val="2"/>
    </font>
    <font>
      <b/>
      <sz val="11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5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44" fontId="2" fillId="0" borderId="0" xfId="1" applyFont="1" applyBorder="1"/>
    <xf numFmtId="0" fontId="0" fillId="0" borderId="0" xfId="0" applyBorder="1"/>
    <xf numFmtId="44" fontId="3" fillId="0" borderId="5" xfId="1" applyFont="1" applyBorder="1"/>
    <xf numFmtId="0" fontId="3" fillId="0" borderId="5" xfId="0" applyFont="1" applyBorder="1"/>
    <xf numFmtId="44" fontId="0" fillId="0" borderId="0" xfId="0" applyNumberFormat="1" applyBorder="1"/>
    <xf numFmtId="0" fontId="6" fillId="0" borderId="0" xfId="0" applyFont="1" applyBorder="1"/>
    <xf numFmtId="0" fontId="4" fillId="0" borderId="0" xfId="0" applyFont="1" applyBorder="1"/>
    <xf numFmtId="0" fontId="2" fillId="0" borderId="0" xfId="0" applyFont="1" applyBorder="1"/>
    <xf numFmtId="44" fontId="3" fillId="0" borderId="0" xfId="1" applyFont="1" applyBorder="1"/>
    <xf numFmtId="9" fontId="0" fillId="0" borderId="0" xfId="0" applyNumberFormat="1" applyBorder="1"/>
    <xf numFmtId="0" fontId="3" fillId="0" borderId="0" xfId="0" applyFont="1" applyBorder="1"/>
    <xf numFmtId="44" fontId="0" fillId="0" borderId="0" xfId="1" applyFont="1" applyBorder="1"/>
    <xf numFmtId="0" fontId="2" fillId="0" borderId="8" xfId="0" applyFont="1" applyBorder="1"/>
    <xf numFmtId="44" fontId="2" fillId="0" borderId="9" xfId="1" applyFont="1" applyBorder="1"/>
    <xf numFmtId="0" fontId="2" fillId="0" borderId="10" xfId="0" applyFont="1" applyBorder="1"/>
    <xf numFmtId="44" fontId="2" fillId="0" borderId="11" xfId="1" applyFont="1" applyBorder="1"/>
    <xf numFmtId="0" fontId="3" fillId="2" borderId="12" xfId="0" applyFont="1" applyFill="1" applyBorder="1"/>
    <xf numFmtId="44" fontId="2" fillId="2" borderId="13" xfId="1" applyFont="1" applyFill="1" applyBorder="1"/>
    <xf numFmtId="44" fontId="2" fillId="0" borderId="1" xfId="1" applyFont="1" applyBorder="1"/>
    <xf numFmtId="44" fontId="3" fillId="2" borderId="13" xfId="1" applyFont="1" applyFill="1" applyBorder="1"/>
    <xf numFmtId="0" fontId="2" fillId="0" borderId="10" xfId="0" applyFont="1" applyFill="1" applyBorder="1"/>
    <xf numFmtId="0" fontId="2" fillId="0" borderId="10" xfId="0" applyFont="1" applyFill="1" applyBorder="1" applyAlignment="1">
      <alignment horizontal="left" indent="2"/>
    </xf>
    <xf numFmtId="0" fontId="2" fillId="0" borderId="10" xfId="0" applyFont="1" applyBorder="1" applyAlignment="1">
      <alignment horizontal="left" indent="2"/>
    </xf>
    <xf numFmtId="0" fontId="2" fillId="0" borderId="10" xfId="0" applyFont="1" applyBorder="1" applyAlignment="1">
      <alignment horizontal="left" indent="1"/>
    </xf>
    <xf numFmtId="0" fontId="3" fillId="0" borderId="3" xfId="0" applyFont="1" applyBorder="1"/>
    <xf numFmtId="44" fontId="3" fillId="0" borderId="4" xfId="1" applyFont="1" applyBorder="1"/>
    <xf numFmtId="0" fontId="3" fillId="2" borderId="15" xfId="0" applyFont="1" applyFill="1" applyBorder="1"/>
    <xf numFmtId="44" fontId="3" fillId="2" borderId="16" xfId="1" applyFont="1" applyFill="1" applyBorder="1"/>
    <xf numFmtId="0" fontId="2" fillId="2" borderId="7" xfId="0" applyFont="1" applyFill="1" applyBorder="1"/>
    <xf numFmtId="44" fontId="2" fillId="2" borderId="7" xfId="1" applyFont="1" applyFill="1" applyBorder="1"/>
    <xf numFmtId="0" fontId="3" fillId="3" borderId="7" xfId="0" applyFont="1" applyFill="1" applyBorder="1" applyAlignment="1">
      <alignment horizontal="left" indent="5"/>
    </xf>
    <xf numFmtId="44" fontId="3" fillId="3" borderId="7" xfId="1" applyFont="1" applyFill="1" applyBorder="1"/>
    <xf numFmtId="44" fontId="0" fillId="0" borderId="11" xfId="1" applyFont="1" applyBorder="1"/>
    <xf numFmtId="0" fontId="0" fillId="0" borderId="10" xfId="0" applyBorder="1"/>
    <xf numFmtId="0" fontId="7" fillId="2" borderId="12" xfId="0" applyFont="1" applyFill="1" applyBorder="1"/>
    <xf numFmtId="44" fontId="7" fillId="2" borderId="13" xfId="1" applyFont="1" applyFill="1" applyBorder="1"/>
    <xf numFmtId="0" fontId="0" fillId="0" borderId="10" xfId="0" applyFont="1" applyBorder="1"/>
    <xf numFmtId="0" fontId="8" fillId="0" borderId="6" xfId="0" applyFont="1" applyBorder="1"/>
    <xf numFmtId="0" fontId="8" fillId="0" borderId="14" xfId="0" applyFont="1" applyBorder="1"/>
    <xf numFmtId="44" fontId="2" fillId="0" borderId="2" xfId="1" applyFont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1</xdr:col>
      <xdr:colOff>409575</xdr:colOff>
      <xdr:row>0</xdr:row>
      <xdr:rowOff>9525</xdr:rowOff>
    </xdr:to>
    <xdr:pic>
      <xdr:nvPicPr>
        <xdr:cNvPr id="10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34956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tabSelected="1" view="pageBreakPreview" zoomScale="60" zoomScaleNormal="85" workbookViewId="0">
      <selection activeCell="C50" sqref="A1:C50"/>
    </sheetView>
  </sheetViews>
  <sheetFormatPr defaultColWidth="9.109375" defaultRowHeight="14.4" x14ac:dyDescent="0.3"/>
  <cols>
    <col min="1" max="1" width="44.88671875" style="2" customWidth="1"/>
    <col min="2" max="2" width="42.33203125" style="12" customWidth="1"/>
    <col min="3" max="3" width="87.77734375" style="2" customWidth="1"/>
    <col min="4" max="16384" width="9.109375" style="2"/>
  </cols>
  <sheetData>
    <row r="1" spans="1:3" ht="30.75" customHeight="1" x14ac:dyDescent="0.5">
      <c r="A1" s="44" t="s">
        <v>34</v>
      </c>
      <c r="B1" s="45"/>
      <c r="C1" s="45"/>
    </row>
    <row r="2" spans="1:3" ht="16.5" customHeight="1" thickBot="1" x14ac:dyDescent="0.55000000000000004">
      <c r="A2" s="41"/>
      <c r="B2" s="42"/>
      <c r="C2" s="42"/>
    </row>
    <row r="3" spans="1:3" ht="19.5" customHeight="1" x14ac:dyDescent="0.3">
      <c r="A3" s="38" t="s">
        <v>43</v>
      </c>
      <c r="B3" s="19" t="s">
        <v>45</v>
      </c>
    </row>
    <row r="4" spans="1:3" ht="19.5" customHeight="1" thickBot="1" x14ac:dyDescent="0.35">
      <c r="A4" s="39" t="s">
        <v>44</v>
      </c>
      <c r="B4" s="40" t="s">
        <v>47</v>
      </c>
    </row>
    <row r="5" spans="1:3" ht="16.5" thickBot="1" x14ac:dyDescent="0.3">
      <c r="A5" s="7" t="s">
        <v>0</v>
      </c>
      <c r="B5" s="1"/>
    </row>
    <row r="6" spans="1:3" ht="15" x14ac:dyDescent="0.25">
      <c r="A6" s="13" t="s">
        <v>1</v>
      </c>
      <c r="B6" s="14">
        <v>0</v>
      </c>
      <c r="C6" s="2" t="s">
        <v>51</v>
      </c>
    </row>
    <row r="7" spans="1:3" ht="15" x14ac:dyDescent="0.25">
      <c r="A7" s="15" t="s">
        <v>13</v>
      </c>
      <c r="B7" s="16">
        <v>0</v>
      </c>
    </row>
    <row r="8" spans="1:3" ht="15.75" thickBot="1" x14ac:dyDescent="0.3">
      <c r="A8" s="17" t="s">
        <v>2</v>
      </c>
      <c r="B8" s="18">
        <f>SUM(B6:B7)</f>
        <v>0</v>
      </c>
    </row>
    <row r="9" spans="1:3" ht="16.5" thickBot="1" x14ac:dyDescent="0.3">
      <c r="A9" s="7" t="s">
        <v>46</v>
      </c>
      <c r="B9" s="9"/>
    </row>
    <row r="10" spans="1:3" ht="15" x14ac:dyDescent="0.25">
      <c r="A10" s="13" t="s">
        <v>3</v>
      </c>
      <c r="B10" s="14">
        <v>0</v>
      </c>
      <c r="C10" s="2" t="s">
        <v>16</v>
      </c>
    </row>
    <row r="11" spans="1:3" ht="15" x14ac:dyDescent="0.25">
      <c r="A11" s="15" t="s">
        <v>4</v>
      </c>
      <c r="B11" s="16">
        <v>0</v>
      </c>
      <c r="C11" s="2" t="s">
        <v>15</v>
      </c>
    </row>
    <row r="12" spans="1:3" ht="15.75" thickBot="1" x14ac:dyDescent="0.3">
      <c r="A12" s="17" t="s">
        <v>14</v>
      </c>
      <c r="B12" s="20">
        <f>SUM(B10:B11)</f>
        <v>0</v>
      </c>
      <c r="C12" s="5"/>
    </row>
    <row r="13" spans="1:3" ht="16.5" thickBot="1" x14ac:dyDescent="0.3">
      <c r="A13" s="7" t="s">
        <v>5</v>
      </c>
      <c r="B13" s="1"/>
    </row>
    <row r="14" spans="1:3" ht="15" x14ac:dyDescent="0.25">
      <c r="A14" s="13" t="s">
        <v>10</v>
      </c>
      <c r="B14" s="14">
        <v>0</v>
      </c>
    </row>
    <row r="15" spans="1:3" ht="15" x14ac:dyDescent="0.25">
      <c r="A15" s="21" t="s">
        <v>11</v>
      </c>
      <c r="B15" s="16">
        <v>0</v>
      </c>
      <c r="C15" s="43"/>
    </row>
    <row r="16" spans="1:3" ht="15" x14ac:dyDescent="0.25">
      <c r="A16" s="22" t="s">
        <v>20</v>
      </c>
      <c r="B16" s="16">
        <v>0</v>
      </c>
    </row>
    <row r="17" spans="1:5" s="6" customFormat="1" ht="15" x14ac:dyDescent="0.25">
      <c r="A17" s="23" t="s">
        <v>21</v>
      </c>
      <c r="B17" s="16">
        <f>B30*0.06</f>
        <v>0</v>
      </c>
    </row>
    <row r="18" spans="1:5" ht="15" x14ac:dyDescent="0.25">
      <c r="A18" s="22" t="s">
        <v>19</v>
      </c>
      <c r="B18" s="16">
        <v>0</v>
      </c>
    </row>
    <row r="19" spans="1:5" ht="15" x14ac:dyDescent="0.25">
      <c r="A19" s="22" t="s">
        <v>18</v>
      </c>
      <c r="B19" s="16">
        <v>0</v>
      </c>
    </row>
    <row r="20" spans="1:5" ht="15" x14ac:dyDescent="0.25">
      <c r="A20" s="23" t="s">
        <v>17</v>
      </c>
      <c r="B20" s="16">
        <v>0</v>
      </c>
    </row>
    <row r="21" spans="1:5" s="6" customFormat="1" ht="15" x14ac:dyDescent="0.25">
      <c r="A21" s="23" t="s">
        <v>9</v>
      </c>
      <c r="B21" s="16">
        <v>0</v>
      </c>
    </row>
    <row r="22" spans="1:5" ht="15" x14ac:dyDescent="0.25">
      <c r="A22" s="15" t="s">
        <v>12</v>
      </c>
      <c r="B22" s="16">
        <v>0</v>
      </c>
    </row>
    <row r="23" spans="1:5" ht="15" x14ac:dyDescent="0.25">
      <c r="A23" s="23" t="s">
        <v>26</v>
      </c>
      <c r="B23" s="16">
        <v>0</v>
      </c>
      <c r="C23" s="2" t="s">
        <v>27</v>
      </c>
    </row>
    <row r="24" spans="1:5" ht="15" x14ac:dyDescent="0.25">
      <c r="A24" s="24" t="s">
        <v>6</v>
      </c>
      <c r="B24" s="16">
        <v>0</v>
      </c>
      <c r="E24" s="10"/>
    </row>
    <row r="25" spans="1:5" ht="15.75" thickBot="1" x14ac:dyDescent="0.3">
      <c r="A25" s="17" t="s">
        <v>7</v>
      </c>
      <c r="B25" s="20">
        <f>SUM(B14:B24)</f>
        <v>0</v>
      </c>
    </row>
    <row r="26" spans="1:5" s="6" customFormat="1" x14ac:dyDescent="0.3">
      <c r="A26" s="29" t="s">
        <v>40</v>
      </c>
      <c r="B26" s="30">
        <f>B25+B12*0.1</f>
        <v>0</v>
      </c>
      <c r="C26" s="6" t="s">
        <v>29</v>
      </c>
    </row>
    <row r="27" spans="1:5" ht="15" thickBot="1" x14ac:dyDescent="0.35">
      <c r="A27" s="11"/>
      <c r="B27" s="9"/>
    </row>
    <row r="28" spans="1:5" ht="15" thickBot="1" x14ac:dyDescent="0.35">
      <c r="A28" s="27" t="s">
        <v>8</v>
      </c>
      <c r="B28" s="28">
        <f>B26+B25+B12+B8</f>
        <v>0</v>
      </c>
      <c r="C28" s="5" t="s">
        <v>41</v>
      </c>
    </row>
    <row r="29" spans="1:5" x14ac:dyDescent="0.3">
      <c r="A29" s="31" t="s">
        <v>35</v>
      </c>
      <c r="B29" s="32">
        <f>B28-B23</f>
        <v>0</v>
      </c>
      <c r="C29" s="5" t="s">
        <v>42</v>
      </c>
    </row>
    <row r="30" spans="1:5" x14ac:dyDescent="0.3">
      <c r="A30" s="4" t="s">
        <v>37</v>
      </c>
      <c r="B30" s="3">
        <v>0</v>
      </c>
      <c r="C30" s="2" t="s">
        <v>36</v>
      </c>
    </row>
    <row r="31" spans="1:5" ht="15" thickBot="1" x14ac:dyDescent="0.35">
      <c r="A31" s="8"/>
      <c r="B31" s="1"/>
    </row>
    <row r="32" spans="1:5" ht="15" thickBot="1" x14ac:dyDescent="0.35">
      <c r="A32" s="25" t="s">
        <v>38</v>
      </c>
      <c r="B32" s="26">
        <f>B28-B30</f>
        <v>0</v>
      </c>
      <c r="C32" s="2" t="s">
        <v>39</v>
      </c>
    </row>
    <row r="33" spans="1:3" x14ac:dyDescent="0.3">
      <c r="A33" s="8"/>
      <c r="B33" s="1"/>
    </row>
    <row r="34" spans="1:3" ht="16.2" thickBot="1" x14ac:dyDescent="0.35">
      <c r="A34" s="7" t="s">
        <v>30</v>
      </c>
      <c r="B34" s="1"/>
    </row>
    <row r="35" spans="1:3" x14ac:dyDescent="0.3">
      <c r="A35" s="13" t="s">
        <v>22</v>
      </c>
      <c r="B35" s="14">
        <v>0</v>
      </c>
      <c r="C35" s="2" t="s">
        <v>28</v>
      </c>
    </row>
    <row r="36" spans="1:3" x14ac:dyDescent="0.3">
      <c r="A36" s="21" t="s">
        <v>49</v>
      </c>
      <c r="B36" s="33">
        <v>0</v>
      </c>
      <c r="C36" s="2" t="s">
        <v>50</v>
      </c>
    </row>
    <row r="37" spans="1:3" x14ac:dyDescent="0.3">
      <c r="A37" s="34" t="s">
        <v>48</v>
      </c>
      <c r="B37" s="33">
        <v>0</v>
      </c>
    </row>
    <row r="38" spans="1:3" x14ac:dyDescent="0.3">
      <c r="A38" s="34" t="s">
        <v>24</v>
      </c>
      <c r="B38" s="33">
        <v>0</v>
      </c>
    </row>
    <row r="39" spans="1:3" x14ac:dyDescent="0.3">
      <c r="A39" s="34" t="s">
        <v>24</v>
      </c>
      <c r="B39" s="33">
        <v>0</v>
      </c>
    </row>
    <row r="40" spans="1:3" x14ac:dyDescent="0.3">
      <c r="A40" s="34" t="s">
        <v>24</v>
      </c>
      <c r="B40" s="33">
        <v>0</v>
      </c>
    </row>
    <row r="41" spans="1:3" ht="20.399999999999999" thickBot="1" x14ac:dyDescent="0.45">
      <c r="A41" s="35" t="s">
        <v>25</v>
      </c>
      <c r="B41" s="36">
        <f>SUM(B35:B40)</f>
        <v>0</v>
      </c>
    </row>
    <row r="43" spans="1:3" ht="16.2" thickBot="1" x14ac:dyDescent="0.35">
      <c r="A43" s="7" t="s">
        <v>31</v>
      </c>
      <c r="B43" s="1"/>
    </row>
    <row r="44" spans="1:3" x14ac:dyDescent="0.3">
      <c r="A44" s="13" t="s">
        <v>33</v>
      </c>
      <c r="B44" s="14">
        <v>0</v>
      </c>
    </row>
    <row r="45" spans="1:3" x14ac:dyDescent="0.3">
      <c r="A45" s="15" t="s">
        <v>32</v>
      </c>
      <c r="B45" s="16">
        <v>0</v>
      </c>
    </row>
    <row r="46" spans="1:3" x14ac:dyDescent="0.3">
      <c r="A46" s="37" t="s">
        <v>23</v>
      </c>
      <c r="B46" s="33">
        <v>0</v>
      </c>
    </row>
    <row r="47" spans="1:3" x14ac:dyDescent="0.3">
      <c r="A47" s="37" t="s">
        <v>24</v>
      </c>
      <c r="B47" s="33">
        <v>0</v>
      </c>
    </row>
    <row r="48" spans="1:3" x14ac:dyDescent="0.3">
      <c r="A48" s="37" t="s">
        <v>24</v>
      </c>
      <c r="B48" s="33">
        <v>0</v>
      </c>
    </row>
    <row r="49" spans="1:2" x14ac:dyDescent="0.3">
      <c r="A49" s="37" t="s">
        <v>24</v>
      </c>
      <c r="B49" s="33">
        <v>0</v>
      </c>
    </row>
    <row r="50" spans="1:2" ht="20.399999999999999" thickBot="1" x14ac:dyDescent="0.45">
      <c r="A50" s="35" t="s">
        <v>25</v>
      </c>
      <c r="B50" s="36">
        <f>SUM(B44:B49)</f>
        <v>0</v>
      </c>
    </row>
  </sheetData>
  <mergeCells count="1">
    <mergeCell ref="A1:C1"/>
  </mergeCells>
  <phoneticPr fontId="0" type="noConversion"/>
  <pageMargins left="0.7" right="0.7" top="0.75" bottom="0.75" header="0.3" footer="0.3"/>
  <pageSetup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Roxanne Young</cp:lastModifiedBy>
  <cp:lastPrinted>2012-07-11T13:06:28Z</cp:lastPrinted>
  <dcterms:created xsi:type="dcterms:W3CDTF">2012-05-17T12:01:54Z</dcterms:created>
  <dcterms:modified xsi:type="dcterms:W3CDTF">2013-08-16T14:02:28Z</dcterms:modified>
</cp:coreProperties>
</file>