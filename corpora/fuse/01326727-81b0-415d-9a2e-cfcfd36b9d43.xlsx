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24780" windowHeight="11895"/>
  </bookViews>
  <sheets>
    <sheet name="Budget Worksheet" sheetId="1" r:id="rId1"/>
    <sheet name="Fringe Rates" sheetId="3" r:id="rId2"/>
  </sheets>
  <definedNames>
    <definedName name="Factors">#REF!</definedName>
    <definedName name="Fringe">'Fringe Rates'!$B$4:$B$7</definedName>
    <definedName name="Rates">'Fringe Rates'!$B$4:$B$8</definedName>
  </definedNames>
  <calcPr calcId="145621"/>
</workbook>
</file>

<file path=xl/calcChain.xml><?xml version="1.0" encoding="utf-8"?>
<calcChain xmlns="http://schemas.openxmlformats.org/spreadsheetml/2006/main">
  <c r="G51" i="1" l="1"/>
  <c r="H51" i="1" s="1"/>
  <c r="I51" i="1" s="1"/>
  <c r="F51" i="1"/>
  <c r="F52" i="1"/>
  <c r="G52" i="1" s="1"/>
  <c r="H52" i="1" s="1"/>
  <c r="I52" i="1" s="1"/>
  <c r="F53" i="1"/>
  <c r="G53" i="1" s="1"/>
  <c r="H53" i="1" s="1"/>
  <c r="I53" i="1" s="1"/>
  <c r="F54" i="1"/>
  <c r="G54" i="1" s="1"/>
  <c r="H54" i="1" s="1"/>
  <c r="I54" i="1" s="1"/>
  <c r="F50" i="1"/>
  <c r="G50" i="1" s="1"/>
  <c r="H50" i="1" s="1"/>
  <c r="I50" i="1" s="1"/>
  <c r="F70" i="1"/>
  <c r="G70" i="1" s="1"/>
  <c r="O11" i="1"/>
  <c r="P11" i="1" s="1"/>
  <c r="Q11" i="1" s="1"/>
  <c r="R11" i="1" s="1"/>
  <c r="O15" i="1"/>
  <c r="P15" i="1" s="1"/>
  <c r="Q15" i="1" s="1"/>
  <c r="R15" i="1" s="1"/>
  <c r="F61" i="1"/>
  <c r="G61" i="1" s="1"/>
  <c r="H61" i="1" s="1"/>
  <c r="I61" i="1" s="1"/>
  <c r="F62" i="1"/>
  <c r="G62" i="1" s="1"/>
  <c r="H62" i="1" s="1"/>
  <c r="I62" i="1" s="1"/>
  <c r="F63" i="1"/>
  <c r="G63" i="1" s="1"/>
  <c r="H63" i="1" s="1"/>
  <c r="I63" i="1" s="1"/>
  <c r="F64" i="1"/>
  <c r="G64" i="1" s="1"/>
  <c r="H64" i="1" s="1"/>
  <c r="I64" i="1" s="1"/>
  <c r="F65" i="1"/>
  <c r="G65" i="1" s="1"/>
  <c r="H65" i="1" s="1"/>
  <c r="I65" i="1" s="1"/>
  <c r="F66" i="1"/>
  <c r="G66" i="1" s="1"/>
  <c r="H66" i="1" s="1"/>
  <c r="I66" i="1" s="1"/>
  <c r="F67" i="1"/>
  <c r="G67" i="1" s="1"/>
  <c r="H67" i="1" s="1"/>
  <c r="I67" i="1" s="1"/>
  <c r="J67" i="1" s="1"/>
  <c r="F68" i="1"/>
  <c r="G68" i="1" s="1"/>
  <c r="H68" i="1" s="1"/>
  <c r="I68" i="1" s="1"/>
  <c r="F69" i="1"/>
  <c r="G69" i="1" s="1"/>
  <c r="H69" i="1" s="1"/>
  <c r="I69" i="1" s="1"/>
  <c r="I78" i="1" s="1"/>
  <c r="F60" i="1"/>
  <c r="G60" i="1" s="1"/>
  <c r="H60" i="1" s="1"/>
  <c r="I60" i="1" s="1"/>
  <c r="E78" i="1"/>
  <c r="E82" i="1"/>
  <c r="E80" i="1"/>
  <c r="F80" i="1" s="1"/>
  <c r="E81" i="1"/>
  <c r="E79" i="1"/>
  <c r="F77" i="1"/>
  <c r="G77" i="1"/>
  <c r="H77" i="1"/>
  <c r="I77" i="1"/>
  <c r="E77" i="1"/>
  <c r="N9" i="1"/>
  <c r="O9" i="1" s="1"/>
  <c r="P9" i="1" s="1"/>
  <c r="Q9" i="1" s="1"/>
  <c r="R9" i="1" s="1"/>
  <c r="E72" i="1"/>
  <c r="F82" i="1"/>
  <c r="E57" i="1"/>
  <c r="J45" i="1"/>
  <c r="J44" i="1"/>
  <c r="F47" i="1"/>
  <c r="G47" i="1"/>
  <c r="H47" i="1"/>
  <c r="I47" i="1"/>
  <c r="E47" i="1"/>
  <c r="J35" i="1"/>
  <c r="J36" i="1"/>
  <c r="J37" i="1"/>
  <c r="J38" i="1"/>
  <c r="J39" i="1"/>
  <c r="J34" i="1"/>
  <c r="F41" i="1"/>
  <c r="G41" i="1"/>
  <c r="H41" i="1"/>
  <c r="I41" i="1"/>
  <c r="E41" i="1"/>
  <c r="D22" i="1"/>
  <c r="D23" i="1"/>
  <c r="D24" i="1"/>
  <c r="D25" i="1"/>
  <c r="D26" i="1"/>
  <c r="D27" i="1"/>
  <c r="D28" i="1"/>
  <c r="D21" i="1"/>
  <c r="A22" i="1"/>
  <c r="A23" i="1"/>
  <c r="A24" i="1"/>
  <c r="A25" i="1"/>
  <c r="A26" i="1"/>
  <c r="A27" i="1"/>
  <c r="A28" i="1"/>
  <c r="A21" i="1"/>
  <c r="B22" i="1"/>
  <c r="B23" i="1"/>
  <c r="B24" i="1"/>
  <c r="B25" i="1"/>
  <c r="B26" i="1"/>
  <c r="B27" i="1"/>
  <c r="B28" i="1"/>
  <c r="B21" i="1"/>
  <c r="C16" i="1"/>
  <c r="C15" i="1"/>
  <c r="C14" i="1"/>
  <c r="C13" i="1"/>
  <c r="C12" i="1"/>
  <c r="C11" i="1"/>
  <c r="C10" i="1"/>
  <c r="C9" i="1"/>
  <c r="N16" i="1"/>
  <c r="E16" i="1" s="1"/>
  <c r="E28" i="1" s="1"/>
  <c r="N15" i="1"/>
  <c r="E15" i="1" s="1"/>
  <c r="E27" i="1" s="1"/>
  <c r="N14" i="1"/>
  <c r="E14" i="1" s="1"/>
  <c r="E26" i="1" s="1"/>
  <c r="N13" i="1"/>
  <c r="E13" i="1" s="1"/>
  <c r="E25" i="1" s="1"/>
  <c r="N12" i="1"/>
  <c r="E12" i="1" s="1"/>
  <c r="E24" i="1" s="1"/>
  <c r="N11" i="1"/>
  <c r="E11" i="1" s="1"/>
  <c r="E23" i="1" s="1"/>
  <c r="N10" i="1"/>
  <c r="E22" i="1" s="1"/>
  <c r="H70" i="1" l="1"/>
  <c r="I70" i="1" s="1"/>
  <c r="O13" i="1"/>
  <c r="P13" i="1" s="1"/>
  <c r="Q13" i="1" s="1"/>
  <c r="R13" i="1" s="1"/>
  <c r="O16" i="1"/>
  <c r="P16" i="1" s="1"/>
  <c r="Q16" i="1" s="1"/>
  <c r="R16" i="1" s="1"/>
  <c r="O12" i="1"/>
  <c r="P12" i="1" s="1"/>
  <c r="Q12" i="1" s="1"/>
  <c r="R12" i="1" s="1"/>
  <c r="O14" i="1"/>
  <c r="P14" i="1" s="1"/>
  <c r="Q14" i="1" s="1"/>
  <c r="R14" i="1" s="1"/>
  <c r="O10" i="1"/>
  <c r="P10" i="1" s="1"/>
  <c r="Q10" i="1" s="1"/>
  <c r="R10" i="1" s="1"/>
  <c r="E9" i="1"/>
  <c r="E17" i="1" s="1"/>
  <c r="J69" i="1"/>
  <c r="F78" i="1"/>
  <c r="G80" i="1"/>
  <c r="H80" i="1" s="1"/>
  <c r="I80" i="1" s="1"/>
  <c r="J65" i="1"/>
  <c r="J47" i="1"/>
  <c r="J66" i="1"/>
  <c r="J63" i="1"/>
  <c r="J61" i="1"/>
  <c r="H78" i="1"/>
  <c r="H82" i="1"/>
  <c r="F79" i="1"/>
  <c r="G79" i="1" s="1"/>
  <c r="F81" i="1"/>
  <c r="G81" i="1" s="1"/>
  <c r="H81" i="1" s="1"/>
  <c r="I81" i="1" s="1"/>
  <c r="J68" i="1"/>
  <c r="J60" i="1"/>
  <c r="J62" i="1"/>
  <c r="E84" i="1"/>
  <c r="G78" i="1"/>
  <c r="G82" i="1"/>
  <c r="F57" i="1"/>
  <c r="J77" i="1"/>
  <c r="G72" i="1"/>
  <c r="F72" i="1"/>
  <c r="J41" i="1"/>
  <c r="J52" i="1"/>
  <c r="J54" i="1"/>
  <c r="J53" i="1"/>
  <c r="J51" i="1"/>
  <c r="H57" i="1"/>
  <c r="G57" i="1"/>
  <c r="I57" i="1"/>
  <c r="J50" i="1"/>
  <c r="F16" i="1"/>
  <c r="F28" i="1" s="1"/>
  <c r="F14" i="1"/>
  <c r="F26" i="1" s="1"/>
  <c r="F12" i="1"/>
  <c r="F24" i="1" s="1"/>
  <c r="F21" i="1"/>
  <c r="F15" i="1"/>
  <c r="F27" i="1" s="1"/>
  <c r="F11" i="1"/>
  <c r="F23" i="1" s="1"/>
  <c r="I82" i="1" l="1"/>
  <c r="J70" i="1"/>
  <c r="J80" i="1"/>
  <c r="F13" i="1"/>
  <c r="F25" i="1" s="1"/>
  <c r="J82" i="1"/>
  <c r="F10" i="1"/>
  <c r="F22" i="1" s="1"/>
  <c r="F29" i="1" s="1"/>
  <c r="E21" i="1"/>
  <c r="E29" i="1" s="1"/>
  <c r="E31" i="1" s="1"/>
  <c r="E74" i="1" s="1"/>
  <c r="J78" i="1"/>
  <c r="H79" i="1"/>
  <c r="F84" i="1"/>
  <c r="G84" i="1"/>
  <c r="J81" i="1"/>
  <c r="H84" i="1"/>
  <c r="H72" i="1"/>
  <c r="J57" i="1"/>
  <c r="G13" i="1"/>
  <c r="G25" i="1" s="1"/>
  <c r="G21" i="1"/>
  <c r="G12" i="1"/>
  <c r="G24" i="1" s="1"/>
  <c r="G16" i="1"/>
  <c r="G28" i="1" s="1"/>
  <c r="G11" i="1"/>
  <c r="G23" i="1" s="1"/>
  <c r="G15" i="1"/>
  <c r="G27" i="1" s="1"/>
  <c r="G10" i="1"/>
  <c r="G22" i="1" s="1"/>
  <c r="G14" i="1"/>
  <c r="G26" i="1" s="1"/>
  <c r="I79" i="1" l="1"/>
  <c r="I72" i="1"/>
  <c r="J72" i="1" s="1"/>
  <c r="J64" i="1"/>
  <c r="G29" i="1"/>
  <c r="H15" i="1"/>
  <c r="H27" i="1" s="1"/>
  <c r="H11" i="1"/>
  <c r="H23" i="1" s="1"/>
  <c r="H21" i="1"/>
  <c r="H13" i="1"/>
  <c r="H25" i="1" s="1"/>
  <c r="H14" i="1"/>
  <c r="H26" i="1" s="1"/>
  <c r="H22" i="1"/>
  <c r="H16" i="1"/>
  <c r="H28" i="1" s="1"/>
  <c r="H12" i="1"/>
  <c r="H24" i="1" s="1"/>
  <c r="F17" i="1"/>
  <c r="F31" i="1" s="1"/>
  <c r="F74" i="1" s="1"/>
  <c r="J79" i="1" l="1"/>
  <c r="J84" i="1" s="1"/>
  <c r="I84" i="1"/>
  <c r="F86" i="1"/>
  <c r="F89" i="1" s="1"/>
  <c r="F91" i="1" s="1"/>
  <c r="E86" i="1"/>
  <c r="H29" i="1"/>
  <c r="I13" i="1"/>
  <c r="I25" i="1" s="1"/>
  <c r="J25" i="1" s="1"/>
  <c r="I11" i="1"/>
  <c r="I23" i="1" s="1"/>
  <c r="J23" i="1" s="1"/>
  <c r="I15" i="1"/>
  <c r="I27" i="1" s="1"/>
  <c r="J27" i="1" s="1"/>
  <c r="I12" i="1"/>
  <c r="I24" i="1" s="1"/>
  <c r="J24" i="1" s="1"/>
  <c r="I22" i="1"/>
  <c r="J22" i="1" s="1"/>
  <c r="G17" i="1"/>
  <c r="G31" i="1" s="1"/>
  <c r="G74" i="1" s="1"/>
  <c r="I21" i="1"/>
  <c r="J21" i="1" s="1"/>
  <c r="E89" i="1" l="1"/>
  <c r="G86" i="1"/>
  <c r="G89" i="1" s="1"/>
  <c r="G91" i="1" s="1"/>
  <c r="I14" i="1"/>
  <c r="I16" i="1"/>
  <c r="H17" i="1"/>
  <c r="H31" i="1" s="1"/>
  <c r="H74" i="1" s="1"/>
  <c r="J9" i="1"/>
  <c r="J10" i="1"/>
  <c r="J12" i="1"/>
  <c r="J15" i="1"/>
  <c r="J11" i="1"/>
  <c r="J13" i="1"/>
  <c r="H86" i="1" l="1"/>
  <c r="H89" i="1" s="1"/>
  <c r="H91" i="1" s="1"/>
  <c r="E91" i="1"/>
  <c r="J14" i="1"/>
  <c r="I26" i="1"/>
  <c r="J26" i="1" s="1"/>
  <c r="J16" i="1"/>
  <c r="I28" i="1"/>
  <c r="I17" i="1"/>
  <c r="J17" i="1" l="1"/>
  <c r="I29" i="1"/>
  <c r="J29" i="1" s="1"/>
  <c r="J28" i="1"/>
  <c r="I31" i="1" l="1"/>
  <c r="I74" i="1" s="1"/>
  <c r="J31" i="1" l="1"/>
  <c r="J74" i="1"/>
  <c r="I86" i="1"/>
  <c r="I89" i="1" l="1"/>
  <c r="J86" i="1"/>
  <c r="J89" i="1" l="1"/>
  <c r="J91" i="1" s="1"/>
  <c r="I91" i="1"/>
</calcChain>
</file>

<file path=xl/sharedStrings.xml><?xml version="1.0" encoding="utf-8"?>
<sst xmlns="http://schemas.openxmlformats.org/spreadsheetml/2006/main" count="79" uniqueCount="73">
  <si>
    <t>PI Name</t>
  </si>
  <si>
    <t>Deadline</t>
  </si>
  <si>
    <t>Grant Number or Name</t>
  </si>
  <si>
    <t>Category</t>
  </si>
  <si>
    <t>Year 2</t>
  </si>
  <si>
    <t>Year 3</t>
  </si>
  <si>
    <t>Year 4</t>
  </si>
  <si>
    <t>Year 5</t>
  </si>
  <si>
    <t>Total</t>
  </si>
  <si>
    <t>A. &amp; B. Personnel</t>
  </si>
  <si>
    <r>
      <t xml:space="preserve">     </t>
    </r>
    <r>
      <rPr>
        <u/>
        <sz val="10"/>
        <rFont val="Arial"/>
        <family val="2"/>
      </rPr>
      <t>Salary - Personnel</t>
    </r>
  </si>
  <si>
    <t>Salary Increase Base Calculations</t>
  </si>
  <si>
    <t>Name</t>
  </si>
  <si>
    <t>% Effort</t>
  </si>
  <si>
    <t>Person Mos*</t>
  </si>
  <si>
    <t>Current Salary</t>
  </si>
  <si>
    <t>Yr2 Salary</t>
  </si>
  <si>
    <t>Yr3 Salary</t>
  </si>
  <si>
    <t>Yr4 Salary</t>
  </si>
  <si>
    <t>Yr5 Salary</t>
  </si>
  <si>
    <t>Total Salaries</t>
  </si>
  <si>
    <t>*See the person months conversion calculator for anything other than 12 month appointments</t>
  </si>
  <si>
    <r>
      <t xml:space="preserve">     </t>
    </r>
    <r>
      <rPr>
        <u/>
        <sz val="10"/>
        <rFont val="Arial"/>
        <family val="2"/>
      </rPr>
      <t>Fringe - Personnel</t>
    </r>
  </si>
  <si>
    <t>Fringe Rate</t>
  </si>
  <si>
    <t>Total Fringes</t>
  </si>
  <si>
    <t>Total Personnel</t>
  </si>
  <si>
    <t>C. Equipment</t>
  </si>
  <si>
    <t>Total Equipment</t>
  </si>
  <si>
    <t>D. Travel</t>
  </si>
  <si>
    <r>
      <t xml:space="preserve">     </t>
    </r>
    <r>
      <rPr>
        <u/>
        <sz val="10"/>
        <rFont val="Arial"/>
        <family val="2"/>
      </rPr>
      <t>Domestic</t>
    </r>
  </si>
  <si>
    <r>
      <t xml:space="preserve">     </t>
    </r>
    <r>
      <rPr>
        <u/>
        <sz val="10"/>
        <rFont val="Arial"/>
        <family val="2"/>
      </rPr>
      <t>Foreign</t>
    </r>
  </si>
  <si>
    <t>Total Travel</t>
  </si>
  <si>
    <r>
      <t xml:space="preserve">     </t>
    </r>
    <r>
      <rPr>
        <u/>
        <sz val="10"/>
        <rFont val="Arial"/>
        <family val="2"/>
      </rPr>
      <t>Stipends</t>
    </r>
  </si>
  <si>
    <r>
      <t xml:space="preserve">     </t>
    </r>
    <r>
      <rPr>
        <u/>
        <sz val="10"/>
        <rFont val="Arial"/>
        <family val="2"/>
      </rPr>
      <t>Travel</t>
    </r>
  </si>
  <si>
    <r>
      <t xml:space="preserve">     </t>
    </r>
    <r>
      <rPr>
        <u/>
        <sz val="10"/>
        <rFont val="Arial"/>
        <family val="2"/>
      </rPr>
      <t>Subsistence</t>
    </r>
  </si>
  <si>
    <r>
      <t xml:space="preserve">     </t>
    </r>
    <r>
      <rPr>
        <u/>
        <sz val="10"/>
        <rFont val="Arial"/>
        <family val="2"/>
      </rPr>
      <t xml:space="preserve">Other </t>
    </r>
  </si>
  <si>
    <t>Total Participant/Trainee Support Costs</t>
  </si>
  <si>
    <t>F. Other Expenses/Direct Costs</t>
  </si>
  <si>
    <r>
      <t xml:space="preserve">     </t>
    </r>
    <r>
      <rPr>
        <u/>
        <sz val="10"/>
        <rFont val="Arial"/>
        <family val="2"/>
      </rPr>
      <t>Materials/Supplies</t>
    </r>
  </si>
  <si>
    <r>
      <t xml:space="preserve">     </t>
    </r>
    <r>
      <rPr>
        <u/>
        <sz val="10"/>
        <rFont val="Arial"/>
        <family val="2"/>
      </rPr>
      <t>Publication Costs</t>
    </r>
  </si>
  <si>
    <r>
      <t xml:space="preserve">     </t>
    </r>
    <r>
      <rPr>
        <u/>
        <sz val="10"/>
        <rFont val="Arial"/>
        <family val="2"/>
      </rPr>
      <t>Consultant Services</t>
    </r>
  </si>
  <si>
    <r>
      <t xml:space="preserve">     </t>
    </r>
    <r>
      <rPr>
        <u/>
        <sz val="10"/>
        <rFont val="Arial"/>
        <family val="2"/>
      </rPr>
      <t>Computer Services</t>
    </r>
  </si>
  <si>
    <r>
      <t xml:space="preserve">     </t>
    </r>
    <r>
      <rPr>
        <u/>
        <sz val="10"/>
        <rFont val="Arial"/>
        <family val="2"/>
      </rPr>
      <t>Subawards/Consortium/Contractual Costs #1</t>
    </r>
  </si>
  <si>
    <r>
      <t xml:space="preserve">     </t>
    </r>
    <r>
      <rPr>
        <u/>
        <sz val="10"/>
        <rFont val="Arial"/>
        <family val="2"/>
      </rPr>
      <t>Subawards/Consortium/Contractual Costs #2</t>
    </r>
  </si>
  <si>
    <r>
      <t xml:space="preserve">     </t>
    </r>
    <r>
      <rPr>
        <u/>
        <sz val="10"/>
        <rFont val="Arial"/>
        <family val="2"/>
      </rPr>
      <t>Subawards/Consortium/Contractual Costs #3</t>
    </r>
  </si>
  <si>
    <r>
      <t xml:space="preserve">     </t>
    </r>
    <r>
      <rPr>
        <u/>
        <sz val="10"/>
        <rFont val="Arial"/>
        <family val="2"/>
      </rPr>
      <t>Equipment or Facility Rental/User Fees</t>
    </r>
  </si>
  <si>
    <r>
      <t xml:space="preserve">     </t>
    </r>
    <r>
      <rPr>
        <u/>
        <sz val="10"/>
        <rFont val="Arial"/>
        <family val="2"/>
      </rPr>
      <t>Alterations or Renovations</t>
    </r>
  </si>
  <si>
    <r>
      <t xml:space="preserve">     </t>
    </r>
    <r>
      <rPr>
        <u/>
        <sz val="10"/>
        <rFont val="Arial"/>
        <family val="2"/>
      </rPr>
      <t>Patient Care</t>
    </r>
  </si>
  <si>
    <r>
      <t xml:space="preserve">     </t>
    </r>
    <r>
      <rPr>
        <u/>
        <sz val="10"/>
        <rFont val="Arial"/>
        <family val="2"/>
      </rPr>
      <t>Tuition Remission</t>
    </r>
  </si>
  <si>
    <t>Total Other Expenses</t>
  </si>
  <si>
    <t>Total Estimated Direct Costs</t>
  </si>
  <si>
    <t>Exclusions</t>
  </si>
  <si>
    <r>
      <t xml:space="preserve">     </t>
    </r>
    <r>
      <rPr>
        <u/>
        <sz val="10"/>
        <rFont val="Arial"/>
        <family val="2"/>
      </rPr>
      <t>Equipment</t>
    </r>
  </si>
  <si>
    <r>
      <t xml:space="preserve">     </t>
    </r>
    <r>
      <rPr>
        <u/>
        <sz val="10"/>
        <rFont val="Arial"/>
        <family val="2"/>
      </rPr>
      <t>Patient Care</t>
    </r>
  </si>
  <si>
    <r>
      <t xml:space="preserve">     </t>
    </r>
    <r>
      <rPr>
        <u/>
        <sz val="10"/>
        <rFont val="Arial"/>
        <family val="2"/>
      </rPr>
      <t>Consortium &gt;25k</t>
    </r>
  </si>
  <si>
    <r>
      <t xml:space="preserve">     </t>
    </r>
    <r>
      <rPr>
        <u/>
        <sz val="10"/>
        <rFont val="Arial"/>
        <family val="2"/>
      </rPr>
      <t>Tuition Exclusion</t>
    </r>
  </si>
  <si>
    <t>Total Exclusions</t>
  </si>
  <si>
    <t>Total Estimated Modified Direct Costs</t>
  </si>
  <si>
    <t>Appropriate F&amp;A Rate</t>
  </si>
  <si>
    <t>F&amp;A (Indirect) Costs</t>
  </si>
  <si>
    <t>Total Costs</t>
  </si>
  <si>
    <t>Yr1 Salary</t>
  </si>
  <si>
    <t>Fringe Rates</t>
  </si>
  <si>
    <t>% Rate</t>
  </si>
  <si>
    <t>Category I - Salaries</t>
  </si>
  <si>
    <t>Category II - Graduate Assistant</t>
  </si>
  <si>
    <t>Category III - Wages</t>
  </si>
  <si>
    <t>Category IIII - Students</t>
  </si>
  <si>
    <t>Initial Yr Factor</t>
  </si>
  <si>
    <t>Year 1</t>
  </si>
  <si>
    <t>E. Participant/Trainee Support Costs (Career Development ONLY)</t>
  </si>
  <si>
    <r>
      <t xml:space="preserve">     </t>
    </r>
    <r>
      <rPr>
        <u/>
        <sz val="10"/>
        <rFont val="Arial"/>
        <family val="2"/>
      </rPr>
      <t>Tuition/Fees/Health Insurance</t>
    </r>
  </si>
  <si>
    <t>Postdocs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</si>
</sst>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164" formatCode="0.0000000000"/>
    <numFmt numFmtId="165" formatCode="mm/dd/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76">
    <xf numFmtId="0" fontId="0" fillId="0" borderId="0" xfId="0"/>
    <xf numFmtId="0" fontId="1" fillId="0" borderId="0" xfId="1"/>
    <xf numFmtId="164" fontId="1" fillId="0" borderId="0" xfId="1" applyNumberFormat="1"/>
    <xf numFmtId="0" fontId="2" fillId="0" borderId="0" xfId="1" applyFont="1"/>
    <xf numFmtId="0" fontId="2" fillId="0" borderId="0" xfId="1" applyFont="1" applyAlignment="1">
      <alignment horizontal="right"/>
    </xf>
    <xf numFmtId="0" fontId="1" fillId="0" borderId="0" xfId="1" applyNumberFormat="1"/>
    <xf numFmtId="0" fontId="5" fillId="0" borderId="0" xfId="1" applyFont="1"/>
    <xf numFmtId="0" fontId="1" fillId="0" borderId="1" xfId="1" applyBorder="1"/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6" fontId="1" fillId="0" borderId="0" xfId="1" applyNumberFormat="1"/>
    <xf numFmtId="6" fontId="1" fillId="0" borderId="2" xfId="1" applyNumberFormat="1" applyBorder="1"/>
    <xf numFmtId="38" fontId="1" fillId="0" borderId="0" xfId="1" applyNumberFormat="1"/>
    <xf numFmtId="6" fontId="1" fillId="0" borderId="3" xfId="1" applyNumberFormat="1" applyBorder="1"/>
    <xf numFmtId="6" fontId="1" fillId="0" borderId="4" xfId="1" applyNumberFormat="1" applyBorder="1"/>
    <xf numFmtId="6" fontId="1" fillId="0" borderId="0" xfId="1" applyNumberFormat="1" applyProtection="1"/>
    <xf numFmtId="0" fontId="1" fillId="0" borderId="0" xfId="1" applyProtection="1"/>
    <xf numFmtId="164" fontId="1" fillId="0" borderId="0" xfId="1" applyNumberFormat="1" applyProtection="1"/>
    <xf numFmtId="6" fontId="1" fillId="0" borderId="0" xfId="1" applyNumberFormat="1" applyProtection="1">
      <protection locked="0"/>
    </xf>
    <xf numFmtId="0" fontId="1" fillId="0" borderId="0" xfId="1" applyAlignment="1"/>
    <xf numFmtId="10" fontId="1" fillId="0" borderId="0" xfId="1" applyNumberFormat="1"/>
    <xf numFmtId="6" fontId="1" fillId="0" borderId="0" xfId="1" applyNumberFormat="1" applyFill="1" applyProtection="1">
      <protection locked="0"/>
    </xf>
    <xf numFmtId="10" fontId="1" fillId="0" borderId="0" xfId="1" applyNumberFormat="1" applyAlignment="1"/>
    <xf numFmtId="0" fontId="9" fillId="0" borderId="0" xfId="1" quotePrefix="1" applyFont="1"/>
    <xf numFmtId="0" fontId="5" fillId="0" borderId="0" xfId="1" applyFont="1" applyAlignment="1">
      <alignment horizontal="right"/>
    </xf>
    <xf numFmtId="0" fontId="5" fillId="0" borderId="0" xfId="1" applyFont="1" applyAlignment="1"/>
    <xf numFmtId="0" fontId="2" fillId="0" borderId="0" xfId="1" applyFont="1" applyAlignment="1"/>
    <xf numFmtId="0" fontId="2" fillId="0" borderId="0" xfId="1" applyFont="1" applyBorder="1" applyAlignment="1"/>
    <xf numFmtId="0" fontId="3" fillId="0" borderId="0" xfId="1" applyFont="1" applyAlignment="1"/>
    <xf numFmtId="0" fontId="5" fillId="0" borderId="0" xfId="1" applyFont="1" applyAlignment="1" applyProtection="1">
      <alignment horizontal="left"/>
    </xf>
    <xf numFmtId="0" fontId="2" fillId="0" borderId="0" xfId="1" applyFont="1" applyAlignment="1" applyProtection="1">
      <alignment horizontal="right"/>
    </xf>
    <xf numFmtId="164" fontId="4" fillId="0" borderId="0" xfId="1" applyNumberFormat="1" applyFont="1" applyAlignment="1"/>
    <xf numFmtId="0" fontId="4" fillId="0" borderId="0" xfId="1" applyFont="1" applyAlignment="1"/>
    <xf numFmtId="0" fontId="2" fillId="0" borderId="0" xfId="1" applyFont="1" applyAlignment="1" applyProtection="1"/>
    <xf numFmtId="0" fontId="5" fillId="0" borderId="0" xfId="1" applyFont="1" applyAlignment="1" applyProtection="1"/>
    <xf numFmtId="0" fontId="2" fillId="2" borderId="0" xfId="1" applyFont="1" applyFill="1" applyAlignment="1" applyProtection="1">
      <alignment horizontal="center"/>
      <protection locked="0"/>
    </xf>
    <xf numFmtId="0" fontId="1" fillId="2" borderId="0" xfId="1" applyFill="1" applyProtection="1">
      <protection locked="0"/>
    </xf>
    <xf numFmtId="10" fontId="1" fillId="2" borderId="0" xfId="1" applyNumberFormat="1" applyFill="1" applyProtection="1">
      <protection locked="0"/>
    </xf>
    <xf numFmtId="6" fontId="1" fillId="2" borderId="0" xfId="1" applyNumberFormat="1" applyFill="1" applyProtection="1"/>
    <xf numFmtId="6" fontId="1" fillId="2" borderId="0" xfId="1" applyNumberFormat="1" applyFill="1" applyProtection="1">
      <protection locked="0"/>
    </xf>
    <xf numFmtId="6" fontId="1" fillId="2" borderId="2" xfId="1" applyNumberFormat="1" applyFill="1" applyBorder="1"/>
    <xf numFmtId="6" fontId="1" fillId="2" borderId="0" xfId="1" applyNumberFormat="1" applyFill="1"/>
    <xf numFmtId="10" fontId="1" fillId="2" borderId="0" xfId="1" applyNumberFormat="1" applyFont="1" applyFill="1" applyProtection="1">
      <protection locked="0"/>
    </xf>
    <xf numFmtId="6" fontId="1" fillId="2" borderId="0" xfId="1" applyNumberFormat="1" applyFill="1" applyBorder="1" applyProtection="1">
      <protection locked="0"/>
    </xf>
    <xf numFmtId="6" fontId="1" fillId="2" borderId="4" xfId="1" applyNumberFormat="1" applyFill="1" applyBorder="1"/>
    <xf numFmtId="6" fontId="2" fillId="2" borderId="4" xfId="1" applyNumberFormat="1" applyFont="1" applyFill="1" applyBorder="1"/>
    <xf numFmtId="165" fontId="5" fillId="2" borderId="5" xfId="1" applyNumberFormat="1" applyFont="1" applyFill="1" applyBorder="1" applyAlignment="1" applyProtection="1">
      <protection locked="0"/>
    </xf>
    <xf numFmtId="0" fontId="5" fillId="0" borderId="0" xfId="2"/>
    <xf numFmtId="0" fontId="2" fillId="0" borderId="0" xfId="2" applyFont="1"/>
    <xf numFmtId="0" fontId="2" fillId="0" borderId="0" xfId="2" applyFont="1" applyAlignment="1">
      <alignment horizontal="center"/>
    </xf>
    <xf numFmtId="0" fontId="11" fillId="0" borderId="0" xfId="2" applyFont="1" applyAlignment="1">
      <alignment horizontal="centerContinuous"/>
    </xf>
    <xf numFmtId="0" fontId="5" fillId="0" borderId="0" xfId="2" applyAlignment="1">
      <alignment horizontal="center"/>
    </xf>
    <xf numFmtId="0" fontId="7" fillId="0" borderId="0" xfId="2" applyFont="1" applyAlignment="1">
      <alignment horizontal="centerContinuous"/>
    </xf>
    <xf numFmtId="10" fontId="5" fillId="0" borderId="0" xfId="2" applyNumberFormat="1"/>
    <xf numFmtId="6" fontId="0" fillId="0" borderId="0" xfId="0" applyNumberFormat="1"/>
    <xf numFmtId="6" fontId="5" fillId="0" borderId="0" xfId="2" applyNumberFormat="1"/>
    <xf numFmtId="0" fontId="2" fillId="0" borderId="0" xfId="1" applyFont="1" applyAlignment="1">
      <alignment horizontal="centerContinuous"/>
    </xf>
    <xf numFmtId="0" fontId="8" fillId="2" borderId="7" xfId="1" applyFont="1" applyFill="1" applyBorder="1" applyAlignment="1" applyProtection="1">
      <alignment horizontal="center"/>
      <protection locked="0"/>
    </xf>
    <xf numFmtId="0" fontId="10" fillId="0" borderId="0" xfId="1" applyFont="1" applyFill="1" applyBorder="1" applyAlignment="1">
      <alignment horizontal="left"/>
    </xf>
    <xf numFmtId="0" fontId="1" fillId="0" borderId="0" xfId="1" applyFill="1" applyBorder="1" applyAlignment="1">
      <alignment horizontal="left"/>
    </xf>
    <xf numFmtId="0" fontId="12" fillId="3" borderId="6" xfId="0" applyFont="1" applyFill="1" applyBorder="1"/>
    <xf numFmtId="0" fontId="1" fillId="0" borderId="0" xfId="2" applyFont="1" applyFill="1"/>
    <xf numFmtId="0" fontId="5" fillId="0" borderId="0" xfId="1" applyFont="1" applyFill="1" applyBorder="1" applyAlignment="1"/>
    <xf numFmtId="0" fontId="5" fillId="0" borderId="0" xfId="1" applyFont="1" applyAlignment="1"/>
    <xf numFmtId="0" fontId="1" fillId="0" borderId="0" xfId="1" applyAlignment="1"/>
    <xf numFmtId="0" fontId="2" fillId="0" borderId="0" xfId="1" applyFont="1" applyAlignment="1">
      <alignment horizontal="right"/>
    </xf>
    <xf numFmtId="0" fontId="5" fillId="0" borderId="0" xfId="1" applyFont="1" applyAlignment="1" applyProtection="1">
      <alignment horizontal="left"/>
    </xf>
    <xf numFmtId="0" fontId="2" fillId="0" borderId="0" xfId="1" applyFont="1" applyAlignment="1" applyProtection="1">
      <alignment horizontal="right"/>
    </xf>
    <xf numFmtId="0" fontId="1" fillId="0" borderId="0" xfId="1" applyAlignment="1" applyProtection="1"/>
    <xf numFmtId="0" fontId="1" fillId="0" borderId="0" xfId="1" applyAlignment="1">
      <alignment horizontal="right"/>
    </xf>
    <xf numFmtId="0" fontId="4" fillId="2" borderId="0" xfId="1" applyFont="1" applyFill="1" applyAlignment="1" applyProtection="1">
      <alignment horizontal="left"/>
      <protection locked="0"/>
    </xf>
    <xf numFmtId="0" fontId="2" fillId="0" borderId="1" xfId="1" applyFont="1" applyBorder="1" applyAlignment="1"/>
    <xf numFmtId="0" fontId="6" fillId="0" borderId="0" xfId="1" applyFont="1" applyAlignment="1" applyProtection="1">
      <protection locked="0"/>
    </xf>
    <xf numFmtId="0" fontId="2" fillId="0" borderId="0" xfId="1" applyFont="1" applyAlignment="1" applyProtection="1">
      <alignment horizontal="left"/>
    </xf>
    <xf numFmtId="0" fontId="1" fillId="0" borderId="0" xfId="1" applyAlignment="1">
      <alignment horizontal="left"/>
    </xf>
    <xf numFmtId="0" fontId="1" fillId="0" borderId="0" xfId="1" applyFont="1" applyAlignment="1" applyProtection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tabSelected="1" zoomScaleNormal="100"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E88" sqref="E88"/>
    </sheetView>
  </sheetViews>
  <sheetFormatPr defaultRowHeight="15" x14ac:dyDescent="0.25"/>
  <cols>
    <col min="1" max="1" width="23.85546875" customWidth="1"/>
    <col min="4" max="4" width="13" customWidth="1"/>
    <col min="5" max="10" width="11.7109375" customWidth="1"/>
    <col min="12" max="12" width="14.7109375" customWidth="1"/>
  </cols>
  <sheetData>
    <row r="1" spans="1:18" ht="15.75" thickBot="1" x14ac:dyDescent="0.3">
      <c r="A1" s="4" t="s">
        <v>0</v>
      </c>
      <c r="B1" s="70"/>
      <c r="C1" s="70"/>
      <c r="D1" s="70"/>
      <c r="E1" s="70"/>
      <c r="F1" s="70"/>
      <c r="G1" s="70"/>
      <c r="H1" s="70"/>
      <c r="I1" s="35" t="s">
        <v>1</v>
      </c>
      <c r="J1" s="46"/>
      <c r="K1" s="1"/>
      <c r="L1" s="1"/>
      <c r="M1" s="1"/>
      <c r="N1" s="1"/>
      <c r="O1" s="1"/>
      <c r="P1" s="1"/>
      <c r="Q1" s="1"/>
      <c r="R1" s="1"/>
    </row>
    <row r="2" spans="1:18" x14ac:dyDescent="0.25">
      <c r="A2" s="4" t="s">
        <v>2</v>
      </c>
      <c r="B2" s="70"/>
      <c r="C2" s="70"/>
      <c r="D2" s="70"/>
      <c r="E2" s="70"/>
      <c r="F2" s="70"/>
      <c r="G2" s="70"/>
      <c r="H2" s="70"/>
      <c r="I2" s="70"/>
      <c r="J2" s="70"/>
      <c r="K2" s="1"/>
      <c r="L2" s="1"/>
      <c r="M2" s="1"/>
      <c r="N2" s="1"/>
      <c r="O2" s="1"/>
      <c r="P2" s="1"/>
      <c r="Q2" s="1"/>
      <c r="R2" s="1"/>
    </row>
    <row r="3" spans="1:18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x14ac:dyDescent="0.25">
      <c r="A4" s="71" t="s">
        <v>3</v>
      </c>
      <c r="B4" s="71"/>
      <c r="C4" s="71"/>
      <c r="D4" s="71"/>
      <c r="E4" s="8" t="s">
        <v>69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1"/>
      <c r="L4" s="1"/>
      <c r="M4" s="1"/>
      <c r="N4" s="1"/>
      <c r="O4" s="1"/>
      <c r="P4" s="1"/>
      <c r="Q4" s="1"/>
      <c r="R4" s="1"/>
    </row>
    <row r="5" spans="1:18" x14ac:dyDescent="0.25">
      <c r="A5" s="27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5">
      <c r="A6" s="27" t="s">
        <v>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15.75" thickBot="1" x14ac:dyDescent="0.3">
      <c r="A7" s="6" t="s">
        <v>10</v>
      </c>
      <c r="B7" s="1"/>
      <c r="C7" s="1"/>
      <c r="D7" s="1"/>
      <c r="E7" s="23"/>
      <c r="F7" s="1"/>
      <c r="G7" s="1"/>
      <c r="H7" s="1"/>
      <c r="I7" s="1"/>
      <c r="J7" s="1"/>
      <c r="K7" s="1"/>
      <c r="L7" s="1"/>
      <c r="M7" s="1"/>
      <c r="N7" s="1"/>
      <c r="O7" s="56" t="s">
        <v>11</v>
      </c>
      <c r="P7" s="56"/>
      <c r="Q7" s="56"/>
      <c r="R7" s="56"/>
    </row>
    <row r="8" spans="1:18" ht="15.75" thickBot="1" x14ac:dyDescent="0.3">
      <c r="A8" s="9" t="s">
        <v>12</v>
      </c>
      <c r="B8" s="7" t="s">
        <v>13</v>
      </c>
      <c r="C8" s="7" t="s">
        <v>14</v>
      </c>
      <c r="D8" s="7" t="s">
        <v>15</v>
      </c>
      <c r="E8" s="1"/>
      <c r="F8" s="1"/>
      <c r="G8" s="1"/>
      <c r="H8" s="1"/>
      <c r="I8" s="1"/>
      <c r="J8" s="1"/>
      <c r="L8" s="60" t="s">
        <v>68</v>
      </c>
      <c r="M8" s="57">
        <v>1.0249999999999999</v>
      </c>
      <c r="N8" s="3" t="s">
        <v>61</v>
      </c>
      <c r="O8" s="3" t="s">
        <v>16</v>
      </c>
      <c r="P8" s="3" t="s">
        <v>17</v>
      </c>
      <c r="Q8" s="3" t="s">
        <v>18</v>
      </c>
      <c r="R8" s="3" t="s">
        <v>19</v>
      </c>
    </row>
    <row r="9" spans="1:18" x14ac:dyDescent="0.25">
      <c r="A9" s="36"/>
      <c r="B9" s="37"/>
      <c r="C9" s="1">
        <f t="shared" ref="C9:C16" si="0">B9*12</f>
        <v>0</v>
      </c>
      <c r="D9" s="38"/>
      <c r="E9" s="18">
        <f>N9*B9</f>
        <v>0</v>
      </c>
      <c r="F9" s="18"/>
      <c r="G9" s="18"/>
      <c r="H9" s="18"/>
      <c r="I9" s="18"/>
      <c r="J9" s="39">
        <f>SUM(E9:I9)</f>
        <v>0</v>
      </c>
      <c r="K9" s="1"/>
      <c r="L9" s="1"/>
      <c r="M9" s="2"/>
      <c r="N9" s="10">
        <f>D9*M8</f>
        <v>0</v>
      </c>
      <c r="O9" s="55">
        <f>N9*1.025</f>
        <v>0</v>
      </c>
      <c r="P9" s="55">
        <f t="shared" ref="P9:R9" si="1">O9*1.025</f>
        <v>0</v>
      </c>
      <c r="Q9" s="55">
        <f t="shared" si="1"/>
        <v>0</v>
      </c>
      <c r="R9" s="55">
        <f t="shared" si="1"/>
        <v>0</v>
      </c>
    </row>
    <row r="10" spans="1:18" x14ac:dyDescent="0.25">
      <c r="A10" s="36"/>
      <c r="B10" s="37"/>
      <c r="C10" s="1">
        <f t="shared" si="0"/>
        <v>0</v>
      </c>
      <c r="D10" s="38"/>
      <c r="E10" s="18"/>
      <c r="F10" s="18">
        <f t="shared" ref="F10:F16" si="2">O10*B10</f>
        <v>0</v>
      </c>
      <c r="G10" s="18">
        <f t="shared" ref="G10:G16" si="3">P10*B10</f>
        <v>0</v>
      </c>
      <c r="H10" s="18"/>
      <c r="I10" s="18"/>
      <c r="J10" s="39">
        <f t="shared" ref="J10:J16" si="4">SUM(E10:I10)</f>
        <v>0</v>
      </c>
      <c r="K10" s="1"/>
      <c r="L10" s="1"/>
      <c r="M10" s="1"/>
      <c r="N10" s="10">
        <f>D10*M8</f>
        <v>0</v>
      </c>
      <c r="O10" s="55">
        <f t="shared" ref="O10:R16" si="5">N10*1.025</f>
        <v>0</v>
      </c>
      <c r="P10" s="55">
        <f t="shared" si="5"/>
        <v>0</v>
      </c>
      <c r="Q10" s="55">
        <f t="shared" si="5"/>
        <v>0</v>
      </c>
      <c r="R10" s="55">
        <f t="shared" si="5"/>
        <v>0</v>
      </c>
    </row>
    <row r="11" spans="1:18" x14ac:dyDescent="0.25">
      <c r="A11" s="36"/>
      <c r="B11" s="37"/>
      <c r="C11" s="1">
        <f t="shared" si="0"/>
        <v>0</v>
      </c>
      <c r="D11" s="38"/>
      <c r="E11" s="18">
        <f t="shared" ref="E11:E16" si="6">N11*B11</f>
        <v>0</v>
      </c>
      <c r="F11" s="18">
        <f t="shared" si="2"/>
        <v>0</v>
      </c>
      <c r="G11" s="18">
        <f t="shared" si="3"/>
        <v>0</v>
      </c>
      <c r="H11" s="18">
        <f t="shared" ref="H11:H16" si="7">Q11*B11</f>
        <v>0</v>
      </c>
      <c r="I11" s="18">
        <f t="shared" ref="I11:I16" si="8">R11*B11</f>
        <v>0</v>
      </c>
      <c r="J11" s="39">
        <f t="shared" si="4"/>
        <v>0</v>
      </c>
      <c r="K11" s="1"/>
      <c r="L11" s="1"/>
      <c r="M11" s="2"/>
      <c r="N11" s="10">
        <f>D11*M8</f>
        <v>0</v>
      </c>
      <c r="O11" s="55">
        <f t="shared" si="5"/>
        <v>0</v>
      </c>
      <c r="P11" s="55">
        <f t="shared" si="5"/>
        <v>0</v>
      </c>
      <c r="Q11" s="55">
        <f t="shared" si="5"/>
        <v>0</v>
      </c>
      <c r="R11" s="55">
        <f t="shared" si="5"/>
        <v>0</v>
      </c>
    </row>
    <row r="12" spans="1:18" x14ac:dyDescent="0.25">
      <c r="A12" s="36"/>
      <c r="B12" s="37"/>
      <c r="C12" s="1">
        <f t="shared" si="0"/>
        <v>0</v>
      </c>
      <c r="D12" s="38"/>
      <c r="E12" s="18">
        <f t="shared" si="6"/>
        <v>0</v>
      </c>
      <c r="F12" s="18">
        <f t="shared" si="2"/>
        <v>0</v>
      </c>
      <c r="G12" s="18">
        <f t="shared" si="3"/>
        <v>0</v>
      </c>
      <c r="H12" s="18">
        <f t="shared" si="7"/>
        <v>0</v>
      </c>
      <c r="I12" s="18">
        <f t="shared" si="8"/>
        <v>0</v>
      </c>
      <c r="J12" s="39">
        <f t="shared" si="4"/>
        <v>0</v>
      </c>
      <c r="K12" s="1"/>
      <c r="L12" s="1"/>
      <c r="M12" s="2"/>
      <c r="N12" s="10">
        <f>D12*M8</f>
        <v>0</v>
      </c>
      <c r="O12" s="55">
        <f t="shared" si="5"/>
        <v>0</v>
      </c>
      <c r="P12" s="55">
        <f t="shared" si="5"/>
        <v>0</v>
      </c>
      <c r="Q12" s="55">
        <f t="shared" si="5"/>
        <v>0</v>
      </c>
      <c r="R12" s="55">
        <f t="shared" si="5"/>
        <v>0</v>
      </c>
    </row>
    <row r="13" spans="1:18" x14ac:dyDescent="0.25">
      <c r="A13" s="36"/>
      <c r="B13" s="37"/>
      <c r="C13" s="1">
        <f t="shared" si="0"/>
        <v>0</v>
      </c>
      <c r="D13" s="38"/>
      <c r="E13" s="18">
        <f t="shared" si="6"/>
        <v>0</v>
      </c>
      <c r="F13" s="18">
        <f t="shared" si="2"/>
        <v>0</v>
      </c>
      <c r="G13" s="18">
        <f t="shared" si="3"/>
        <v>0</v>
      </c>
      <c r="H13" s="18">
        <f t="shared" si="7"/>
        <v>0</v>
      </c>
      <c r="I13" s="18">
        <f t="shared" si="8"/>
        <v>0</v>
      </c>
      <c r="J13" s="39">
        <f t="shared" si="4"/>
        <v>0</v>
      </c>
      <c r="K13" s="1"/>
      <c r="L13" s="1"/>
      <c r="M13" s="2"/>
      <c r="N13" s="10">
        <f>D13*M8</f>
        <v>0</v>
      </c>
      <c r="O13" s="55">
        <f t="shared" si="5"/>
        <v>0</v>
      </c>
      <c r="P13" s="55">
        <f t="shared" si="5"/>
        <v>0</v>
      </c>
      <c r="Q13" s="55">
        <f t="shared" si="5"/>
        <v>0</v>
      </c>
      <c r="R13" s="55">
        <f t="shared" si="5"/>
        <v>0</v>
      </c>
    </row>
    <row r="14" spans="1:18" x14ac:dyDescent="0.25">
      <c r="A14" s="36"/>
      <c r="B14" s="37"/>
      <c r="C14" s="1">
        <f t="shared" si="0"/>
        <v>0</v>
      </c>
      <c r="D14" s="38"/>
      <c r="E14" s="18">
        <f t="shared" si="6"/>
        <v>0</v>
      </c>
      <c r="F14" s="18">
        <f t="shared" si="2"/>
        <v>0</v>
      </c>
      <c r="G14" s="18">
        <f t="shared" si="3"/>
        <v>0</v>
      </c>
      <c r="H14" s="18">
        <f t="shared" si="7"/>
        <v>0</v>
      </c>
      <c r="I14" s="18">
        <f t="shared" si="8"/>
        <v>0</v>
      </c>
      <c r="J14" s="39">
        <f t="shared" si="4"/>
        <v>0</v>
      </c>
      <c r="K14" s="1"/>
      <c r="L14" s="1"/>
      <c r="M14" s="2"/>
      <c r="N14" s="10">
        <f>D14*M8</f>
        <v>0</v>
      </c>
      <c r="O14" s="55">
        <f t="shared" si="5"/>
        <v>0</v>
      </c>
      <c r="P14" s="55">
        <f t="shared" si="5"/>
        <v>0</v>
      </c>
      <c r="Q14" s="55">
        <f t="shared" si="5"/>
        <v>0</v>
      </c>
      <c r="R14" s="55">
        <f t="shared" si="5"/>
        <v>0</v>
      </c>
    </row>
    <row r="15" spans="1:18" x14ac:dyDescent="0.25">
      <c r="A15" s="36"/>
      <c r="B15" s="37"/>
      <c r="C15" s="1">
        <f t="shared" si="0"/>
        <v>0</v>
      </c>
      <c r="D15" s="38"/>
      <c r="E15" s="18">
        <f t="shared" si="6"/>
        <v>0</v>
      </c>
      <c r="F15" s="18">
        <f t="shared" si="2"/>
        <v>0</v>
      </c>
      <c r="G15" s="18">
        <f t="shared" si="3"/>
        <v>0</v>
      </c>
      <c r="H15" s="18">
        <f t="shared" si="7"/>
        <v>0</v>
      </c>
      <c r="I15" s="18">
        <f t="shared" si="8"/>
        <v>0</v>
      </c>
      <c r="J15" s="39">
        <f t="shared" si="4"/>
        <v>0</v>
      </c>
      <c r="K15" s="1"/>
      <c r="L15" s="1"/>
      <c r="M15" s="2"/>
      <c r="N15" s="10">
        <f>D15*M8</f>
        <v>0</v>
      </c>
      <c r="O15" s="55">
        <f t="shared" si="5"/>
        <v>0</v>
      </c>
      <c r="P15" s="55">
        <f t="shared" si="5"/>
        <v>0</v>
      </c>
      <c r="Q15" s="55">
        <f t="shared" si="5"/>
        <v>0</v>
      </c>
      <c r="R15" s="55">
        <f t="shared" si="5"/>
        <v>0</v>
      </c>
    </row>
    <row r="16" spans="1:18" x14ac:dyDescent="0.25">
      <c r="A16" s="36"/>
      <c r="B16" s="37"/>
      <c r="C16" s="1">
        <f t="shared" si="0"/>
        <v>0</v>
      </c>
      <c r="D16" s="38"/>
      <c r="E16" s="18">
        <f t="shared" si="6"/>
        <v>0</v>
      </c>
      <c r="F16" s="18">
        <f t="shared" si="2"/>
        <v>0</v>
      </c>
      <c r="G16" s="18">
        <f t="shared" si="3"/>
        <v>0</v>
      </c>
      <c r="H16" s="18">
        <f t="shared" si="7"/>
        <v>0</v>
      </c>
      <c r="I16" s="18">
        <f t="shared" si="8"/>
        <v>0</v>
      </c>
      <c r="J16" s="39">
        <f t="shared" si="4"/>
        <v>0</v>
      </c>
      <c r="K16" s="1"/>
      <c r="L16" s="1"/>
      <c r="M16" s="2"/>
      <c r="N16" s="10">
        <f>D16*M8</f>
        <v>0</v>
      </c>
      <c r="O16" s="55">
        <f t="shared" si="5"/>
        <v>0</v>
      </c>
      <c r="P16" s="55">
        <f t="shared" si="5"/>
        <v>0</v>
      </c>
      <c r="Q16" s="55">
        <f t="shared" si="5"/>
        <v>0</v>
      </c>
      <c r="R16" s="55">
        <f t="shared" si="5"/>
        <v>0</v>
      </c>
    </row>
    <row r="17" spans="1:18" ht="15.75" thickBot="1" x14ac:dyDescent="0.3">
      <c r="A17" s="65" t="s">
        <v>20</v>
      </c>
      <c r="B17" s="64"/>
      <c r="C17" s="64"/>
      <c r="D17" s="64"/>
      <c r="E17" s="11">
        <f>SUM(E9:E16)</f>
        <v>0</v>
      </c>
      <c r="F17" s="11">
        <f t="shared" ref="F17:I17" si="9">SUM(F9:F16)</f>
        <v>0</v>
      </c>
      <c r="G17" s="11">
        <f t="shared" si="9"/>
        <v>0</v>
      </c>
      <c r="H17" s="11">
        <f t="shared" si="9"/>
        <v>0</v>
      </c>
      <c r="I17" s="11">
        <f t="shared" si="9"/>
        <v>0</v>
      </c>
      <c r="J17" s="40">
        <f>SUM(J9:J16)</f>
        <v>0</v>
      </c>
      <c r="K17" s="1"/>
      <c r="L17" s="58"/>
      <c r="M17" s="59"/>
      <c r="N17" s="1"/>
      <c r="O17" s="1"/>
      <c r="R17" s="54"/>
    </row>
    <row r="18" spans="1:18" ht="15.75" thickTop="1" x14ac:dyDescent="0.25">
      <c r="A18" s="28" t="s">
        <v>21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1:18" x14ac:dyDescent="0.25">
      <c r="A19" s="25" t="s">
        <v>22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8" x14ac:dyDescent="0.25">
      <c r="A20" s="9" t="s">
        <v>12</v>
      </c>
      <c r="B20" s="7" t="s">
        <v>13</v>
      </c>
      <c r="C20" s="7" t="s">
        <v>23</v>
      </c>
      <c r="D20" s="7" t="s">
        <v>15</v>
      </c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</row>
    <row r="21" spans="1:18" x14ac:dyDescent="0.25">
      <c r="A21" s="5">
        <f>A9</f>
        <v>0</v>
      </c>
      <c r="B21" s="20">
        <f>B9</f>
        <v>0</v>
      </c>
      <c r="C21" s="42"/>
      <c r="D21" s="10">
        <f>D9</f>
        <v>0</v>
      </c>
      <c r="E21" s="10">
        <f>C21*E9</f>
        <v>0</v>
      </c>
      <c r="F21" s="10">
        <f>C21*F9</f>
        <v>0</v>
      </c>
      <c r="G21" s="10">
        <f>C21*G9</f>
        <v>0</v>
      </c>
      <c r="H21" s="10">
        <f>C21*H9</f>
        <v>0</v>
      </c>
      <c r="I21" s="10">
        <f>C21*I9</f>
        <v>0</v>
      </c>
      <c r="J21" s="41">
        <f>SUM(E21:I21)</f>
        <v>0</v>
      </c>
      <c r="K21" s="10"/>
      <c r="L21" s="2"/>
      <c r="M21" s="1"/>
      <c r="N21" s="1"/>
      <c r="O21" s="1"/>
    </row>
    <row r="22" spans="1:18" x14ac:dyDescent="0.25">
      <c r="A22" s="5">
        <f t="shared" ref="A22:A28" si="10">A10</f>
        <v>0</v>
      </c>
      <c r="B22" s="20">
        <f t="shared" ref="B22:B28" si="11">B10</f>
        <v>0</v>
      </c>
      <c r="C22" s="42"/>
      <c r="D22" s="10">
        <f t="shared" ref="D22:D28" si="12">D10</f>
        <v>0</v>
      </c>
      <c r="E22" s="10">
        <f t="shared" ref="E22:E28" si="13">C22*E10</f>
        <v>0</v>
      </c>
      <c r="F22" s="10">
        <f t="shared" ref="F22:F28" si="14">C22*F10</f>
        <v>0</v>
      </c>
      <c r="G22" s="10">
        <f t="shared" ref="G22:G28" si="15">C22*G10</f>
        <v>0</v>
      </c>
      <c r="H22" s="10">
        <f t="shared" ref="H22:H28" si="16">C22*H10</f>
        <v>0</v>
      </c>
      <c r="I22" s="10">
        <f t="shared" ref="I22:I28" si="17">C22*I10</f>
        <v>0</v>
      </c>
      <c r="J22" s="41">
        <f t="shared" ref="J22:J28" si="18">SUM(E22:I22)</f>
        <v>0</v>
      </c>
      <c r="K22" s="1"/>
      <c r="L22" s="2"/>
      <c r="M22" s="1"/>
      <c r="N22" s="1"/>
      <c r="O22" s="12"/>
    </row>
    <row r="23" spans="1:18" x14ac:dyDescent="0.25">
      <c r="A23" s="5">
        <f t="shared" si="10"/>
        <v>0</v>
      </c>
      <c r="B23" s="20">
        <f t="shared" si="11"/>
        <v>0</v>
      </c>
      <c r="C23" s="42"/>
      <c r="D23" s="10">
        <f t="shared" si="12"/>
        <v>0</v>
      </c>
      <c r="E23" s="10">
        <f>C23*E11</f>
        <v>0</v>
      </c>
      <c r="F23" s="10">
        <f t="shared" si="14"/>
        <v>0</v>
      </c>
      <c r="G23" s="10">
        <f t="shared" si="15"/>
        <v>0</v>
      </c>
      <c r="H23" s="10">
        <f t="shared" si="16"/>
        <v>0</v>
      </c>
      <c r="I23" s="10">
        <f t="shared" si="17"/>
        <v>0</v>
      </c>
      <c r="J23" s="41">
        <f t="shared" si="18"/>
        <v>0</v>
      </c>
      <c r="K23" s="1"/>
      <c r="L23" s="2"/>
      <c r="M23" s="1"/>
      <c r="N23" s="1"/>
      <c r="O23" s="1"/>
    </row>
    <row r="24" spans="1:18" x14ac:dyDescent="0.25">
      <c r="A24" s="5">
        <f t="shared" si="10"/>
        <v>0</v>
      </c>
      <c r="B24" s="20">
        <f t="shared" si="11"/>
        <v>0</v>
      </c>
      <c r="C24" s="42"/>
      <c r="D24" s="10">
        <f t="shared" si="12"/>
        <v>0</v>
      </c>
      <c r="E24" s="10">
        <f t="shared" si="13"/>
        <v>0</v>
      </c>
      <c r="F24" s="10">
        <f t="shared" si="14"/>
        <v>0</v>
      </c>
      <c r="G24" s="10">
        <f t="shared" si="15"/>
        <v>0</v>
      </c>
      <c r="H24" s="10">
        <f t="shared" si="16"/>
        <v>0</v>
      </c>
      <c r="I24" s="10">
        <f t="shared" si="17"/>
        <v>0</v>
      </c>
      <c r="J24" s="41">
        <f t="shared" si="18"/>
        <v>0</v>
      </c>
      <c r="K24" s="1"/>
      <c r="L24" s="2"/>
      <c r="M24" s="1"/>
      <c r="N24" s="1"/>
      <c r="O24" s="1"/>
    </row>
    <row r="25" spans="1:18" x14ac:dyDescent="0.25">
      <c r="A25" s="5">
        <f t="shared" si="10"/>
        <v>0</v>
      </c>
      <c r="B25" s="20">
        <f t="shared" si="11"/>
        <v>0</v>
      </c>
      <c r="C25" s="42"/>
      <c r="D25" s="10">
        <f t="shared" si="12"/>
        <v>0</v>
      </c>
      <c r="E25" s="10">
        <f t="shared" si="13"/>
        <v>0</v>
      </c>
      <c r="F25" s="10">
        <f t="shared" si="14"/>
        <v>0</v>
      </c>
      <c r="G25" s="10">
        <f t="shared" si="15"/>
        <v>0</v>
      </c>
      <c r="H25" s="10">
        <f t="shared" si="16"/>
        <v>0</v>
      </c>
      <c r="I25" s="10">
        <f t="shared" si="17"/>
        <v>0</v>
      </c>
      <c r="J25" s="41">
        <f t="shared" si="18"/>
        <v>0</v>
      </c>
      <c r="K25" s="1"/>
      <c r="L25" s="2"/>
      <c r="M25" s="1"/>
      <c r="N25" s="1"/>
      <c r="O25" s="1"/>
    </row>
    <row r="26" spans="1:18" x14ac:dyDescent="0.25">
      <c r="A26" s="5">
        <f t="shared" si="10"/>
        <v>0</v>
      </c>
      <c r="B26" s="20">
        <f t="shared" si="11"/>
        <v>0</v>
      </c>
      <c r="C26" s="42"/>
      <c r="D26" s="10">
        <f t="shared" si="12"/>
        <v>0</v>
      </c>
      <c r="E26" s="10">
        <f t="shared" si="13"/>
        <v>0</v>
      </c>
      <c r="F26" s="10">
        <f t="shared" si="14"/>
        <v>0</v>
      </c>
      <c r="G26" s="10">
        <f t="shared" si="15"/>
        <v>0</v>
      </c>
      <c r="H26" s="10">
        <f t="shared" si="16"/>
        <v>0</v>
      </c>
      <c r="I26" s="10">
        <f t="shared" si="17"/>
        <v>0</v>
      </c>
      <c r="J26" s="41">
        <f t="shared" si="18"/>
        <v>0</v>
      </c>
      <c r="K26" s="1"/>
      <c r="L26" s="2"/>
      <c r="M26" s="1"/>
      <c r="N26" s="1"/>
      <c r="O26" s="1"/>
    </row>
    <row r="27" spans="1:18" x14ac:dyDescent="0.25">
      <c r="A27" s="5">
        <f t="shared" si="10"/>
        <v>0</v>
      </c>
      <c r="B27" s="20">
        <f t="shared" si="11"/>
        <v>0</v>
      </c>
      <c r="C27" s="42"/>
      <c r="D27" s="10">
        <f t="shared" si="12"/>
        <v>0</v>
      </c>
      <c r="E27" s="10">
        <f t="shared" si="13"/>
        <v>0</v>
      </c>
      <c r="F27" s="10">
        <f t="shared" si="14"/>
        <v>0</v>
      </c>
      <c r="G27" s="10">
        <f t="shared" si="15"/>
        <v>0</v>
      </c>
      <c r="H27" s="10">
        <f t="shared" si="16"/>
        <v>0</v>
      </c>
      <c r="I27" s="10">
        <f t="shared" si="17"/>
        <v>0</v>
      </c>
      <c r="J27" s="41">
        <f t="shared" si="18"/>
        <v>0</v>
      </c>
      <c r="K27" s="1"/>
      <c r="L27" s="2"/>
      <c r="M27" s="1"/>
      <c r="N27" s="1"/>
      <c r="O27" s="1"/>
    </row>
    <row r="28" spans="1:18" x14ac:dyDescent="0.25">
      <c r="A28" s="5">
        <f t="shared" si="10"/>
        <v>0</v>
      </c>
      <c r="B28" s="20">
        <f t="shared" si="11"/>
        <v>0</v>
      </c>
      <c r="C28" s="42"/>
      <c r="D28" s="10">
        <f t="shared" si="12"/>
        <v>0</v>
      </c>
      <c r="E28" s="10">
        <f t="shared" si="13"/>
        <v>0</v>
      </c>
      <c r="F28" s="10">
        <f t="shared" si="14"/>
        <v>0</v>
      </c>
      <c r="G28" s="10">
        <f t="shared" si="15"/>
        <v>0</v>
      </c>
      <c r="H28" s="10">
        <f t="shared" si="16"/>
        <v>0</v>
      </c>
      <c r="I28" s="10">
        <f t="shared" si="17"/>
        <v>0</v>
      </c>
      <c r="J28" s="41">
        <f t="shared" si="18"/>
        <v>0</v>
      </c>
      <c r="K28" s="1"/>
      <c r="L28" s="2"/>
      <c r="M28" s="1"/>
      <c r="N28" s="1"/>
      <c r="O28" s="1"/>
    </row>
    <row r="29" spans="1:18" ht="15.75" thickBot="1" x14ac:dyDescent="0.3">
      <c r="A29" s="65" t="s">
        <v>24</v>
      </c>
      <c r="B29" s="64"/>
      <c r="C29" s="64"/>
      <c r="D29" s="64"/>
      <c r="E29" s="13">
        <f>SUM(E21:E28)</f>
        <v>0</v>
      </c>
      <c r="F29" s="13">
        <f t="shared" ref="F29:I29" si="19">SUM(F21:F28)</f>
        <v>0</v>
      </c>
      <c r="G29" s="13">
        <f t="shared" si="19"/>
        <v>0</v>
      </c>
      <c r="H29" s="13">
        <f t="shared" si="19"/>
        <v>0</v>
      </c>
      <c r="I29" s="13">
        <f t="shared" si="19"/>
        <v>0</v>
      </c>
      <c r="J29" s="40">
        <f>SUM(E29:I29)</f>
        <v>0</v>
      </c>
      <c r="K29" s="1"/>
      <c r="L29" s="2"/>
      <c r="M29" s="1"/>
      <c r="N29" s="1"/>
      <c r="O29" s="1"/>
    </row>
    <row r="30" spans="1:18" ht="15.75" thickTop="1" x14ac:dyDescent="0.25">
      <c r="A30" s="4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8" ht="15.75" thickBot="1" x14ac:dyDescent="0.3">
      <c r="A31" s="65" t="s">
        <v>25</v>
      </c>
      <c r="B31" s="64"/>
      <c r="C31" s="64"/>
      <c r="D31" s="64"/>
      <c r="E31" s="11">
        <f>E17+E29</f>
        <v>0</v>
      </c>
      <c r="F31" s="11">
        <f>F17+F29</f>
        <v>0</v>
      </c>
      <c r="G31" s="11">
        <f>G17+G29</f>
        <v>0</v>
      </c>
      <c r="H31" s="11">
        <f>H17+H29</f>
        <v>0</v>
      </c>
      <c r="I31" s="11">
        <f>I17+I29</f>
        <v>0</v>
      </c>
      <c r="J31" s="11">
        <f>SUM(E31:I31)</f>
        <v>0</v>
      </c>
      <c r="K31" s="1"/>
      <c r="L31" s="2"/>
      <c r="M31" s="1"/>
      <c r="N31" s="1"/>
      <c r="O31" s="1"/>
    </row>
    <row r="32" spans="1:18" ht="15.75" thickTop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2" x14ac:dyDescent="0.25">
      <c r="A33" s="26" t="s">
        <v>26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12" x14ac:dyDescent="0.25">
      <c r="A34" s="72"/>
      <c r="B34" s="72"/>
      <c r="C34" s="72"/>
      <c r="D34" s="72"/>
      <c r="E34" s="39"/>
      <c r="F34" s="18"/>
      <c r="G34" s="18"/>
      <c r="H34" s="18"/>
      <c r="I34" s="18"/>
      <c r="J34" s="39">
        <f>SUM(E34:I34)</f>
        <v>0</v>
      </c>
      <c r="K34" s="1"/>
      <c r="L34" s="2"/>
    </row>
    <row r="35" spans="1:12" x14ac:dyDescent="0.25">
      <c r="A35" s="72"/>
      <c r="B35" s="72"/>
      <c r="C35" s="72"/>
      <c r="D35" s="72"/>
      <c r="E35" s="39"/>
      <c r="F35" s="18"/>
      <c r="G35" s="18"/>
      <c r="H35" s="18"/>
      <c r="I35" s="18"/>
      <c r="J35" s="39">
        <f t="shared" ref="J35:J39" si="20">SUM(E35:I35)</f>
        <v>0</v>
      </c>
      <c r="K35" s="1"/>
      <c r="L35" s="2"/>
    </row>
    <row r="36" spans="1:12" x14ac:dyDescent="0.25">
      <c r="A36" s="72"/>
      <c r="B36" s="72"/>
      <c r="C36" s="72"/>
      <c r="D36" s="72"/>
      <c r="E36" s="39"/>
      <c r="F36" s="18"/>
      <c r="G36" s="18"/>
      <c r="H36" s="18"/>
      <c r="I36" s="18"/>
      <c r="J36" s="39">
        <f t="shared" si="20"/>
        <v>0</v>
      </c>
      <c r="K36" s="1"/>
      <c r="L36" s="2"/>
    </row>
    <row r="37" spans="1:12" x14ac:dyDescent="0.25">
      <c r="A37" s="72"/>
      <c r="B37" s="72"/>
      <c r="C37" s="72"/>
      <c r="D37" s="72"/>
      <c r="E37" s="39"/>
      <c r="F37" s="18"/>
      <c r="G37" s="18"/>
      <c r="H37" s="18"/>
      <c r="I37" s="18"/>
      <c r="J37" s="39">
        <f t="shared" si="20"/>
        <v>0</v>
      </c>
      <c r="K37" s="1"/>
      <c r="L37" s="2"/>
    </row>
    <row r="38" spans="1:12" x14ac:dyDescent="0.25">
      <c r="A38" s="72"/>
      <c r="B38" s="72"/>
      <c r="C38" s="72"/>
      <c r="D38" s="72"/>
      <c r="E38" s="39"/>
      <c r="F38" s="18"/>
      <c r="G38" s="18"/>
      <c r="H38" s="18"/>
      <c r="I38" s="18"/>
      <c r="J38" s="39">
        <f t="shared" si="20"/>
        <v>0</v>
      </c>
      <c r="K38" s="1"/>
      <c r="L38" s="2"/>
    </row>
    <row r="39" spans="1:12" x14ac:dyDescent="0.25">
      <c r="A39" s="72"/>
      <c r="B39" s="72"/>
      <c r="C39" s="72"/>
      <c r="D39" s="72"/>
      <c r="E39" s="39"/>
      <c r="F39" s="18"/>
      <c r="G39" s="18"/>
      <c r="H39" s="18"/>
      <c r="I39" s="18"/>
      <c r="J39" s="39">
        <f t="shared" si="20"/>
        <v>0</v>
      </c>
      <c r="K39" s="1"/>
      <c r="L39" s="2"/>
    </row>
    <row r="40" spans="1:12" x14ac:dyDescent="0.25">
      <c r="A40" s="33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1:12" ht="15.75" thickBot="1" x14ac:dyDescent="0.3">
      <c r="A41" s="67" t="s">
        <v>27</v>
      </c>
      <c r="B41" s="68"/>
      <c r="C41" s="68"/>
      <c r="D41" s="68"/>
      <c r="E41" s="11">
        <f>SUM(E34:E39)</f>
        <v>0</v>
      </c>
      <c r="F41" s="11">
        <f t="shared" ref="F41:I41" si="21">SUM(F34:F39)</f>
        <v>0</v>
      </c>
      <c r="G41" s="11">
        <f t="shared" si="21"/>
        <v>0</v>
      </c>
      <c r="H41" s="11">
        <f t="shared" si="21"/>
        <v>0</v>
      </c>
      <c r="I41" s="11">
        <f t="shared" si="21"/>
        <v>0</v>
      </c>
      <c r="J41" s="40">
        <f>SUM(E41:I41)</f>
        <v>0</v>
      </c>
      <c r="K41" s="16"/>
      <c r="L41" s="17"/>
    </row>
    <row r="42" spans="1:12" ht="15.75" thickTop="1" x14ac:dyDescent="0.25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</row>
    <row r="43" spans="1:12" x14ac:dyDescent="0.25">
      <c r="A43" s="26" t="s">
        <v>28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spans="1:12" x14ac:dyDescent="0.25">
      <c r="A44" s="63" t="s">
        <v>29</v>
      </c>
      <c r="B44" s="63"/>
      <c r="C44" s="63"/>
      <c r="D44" s="63"/>
      <c r="E44" s="39"/>
      <c r="F44" s="15"/>
      <c r="G44" s="15"/>
      <c r="H44" s="15"/>
      <c r="I44" s="15"/>
      <c r="J44" s="38">
        <f>SUM(E44:I44)</f>
        <v>0</v>
      </c>
      <c r="K44" s="1"/>
      <c r="L44" s="1"/>
    </row>
    <row r="45" spans="1:12" x14ac:dyDescent="0.25">
      <c r="A45" s="63" t="s">
        <v>30</v>
      </c>
      <c r="B45" s="63"/>
      <c r="C45" s="63"/>
      <c r="D45" s="63"/>
      <c r="E45" s="39"/>
      <c r="F45" s="15"/>
      <c r="H45" s="15"/>
      <c r="I45" s="15"/>
      <c r="J45" s="38">
        <f>SUM(E45:I45)</f>
        <v>0</v>
      </c>
      <c r="K45" s="1"/>
      <c r="L45" s="1"/>
    </row>
    <row r="46" spans="1:12" x14ac:dyDescent="0.2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thickBot="1" x14ac:dyDescent="0.3">
      <c r="A47" s="67" t="s">
        <v>31</v>
      </c>
      <c r="B47" s="68"/>
      <c r="C47" s="68"/>
      <c r="D47" s="68"/>
      <c r="E47" s="11">
        <f>SUM(E44:E45)</f>
        <v>0</v>
      </c>
      <c r="F47" s="11">
        <f t="shared" ref="F47:I47" si="22">SUM(F44:F45)</f>
        <v>0</v>
      </c>
      <c r="G47" s="11">
        <f t="shared" si="22"/>
        <v>0</v>
      </c>
      <c r="H47" s="11">
        <f>SUM(H44:H45)</f>
        <v>0</v>
      </c>
      <c r="I47" s="11">
        <f t="shared" si="22"/>
        <v>0</v>
      </c>
      <c r="J47" s="40">
        <f>SUM(E47:I47)</f>
        <v>0</v>
      </c>
      <c r="K47" s="1"/>
      <c r="L47" s="1"/>
    </row>
    <row r="48" spans="1:12" ht="15.75" thickTop="1" x14ac:dyDescent="0.25">
      <c r="A48" s="30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1:10" x14ac:dyDescent="0.25">
      <c r="A49" s="73" t="s">
        <v>70</v>
      </c>
      <c r="B49" s="74"/>
      <c r="C49" s="74"/>
      <c r="D49" s="74"/>
      <c r="E49" s="74"/>
      <c r="F49" s="74"/>
      <c r="G49" s="74"/>
      <c r="H49" s="74"/>
      <c r="I49" s="74"/>
      <c r="J49" s="74"/>
    </row>
    <row r="50" spans="1:10" x14ac:dyDescent="0.25">
      <c r="A50" s="75" t="s">
        <v>71</v>
      </c>
      <c r="B50" s="64"/>
      <c r="C50" s="64"/>
      <c r="D50" s="64"/>
      <c r="E50" s="43"/>
      <c r="F50" s="15">
        <f>E50*1.025</f>
        <v>0</v>
      </c>
      <c r="G50" s="15">
        <f t="shared" ref="G50:I50" si="23">F50*1.025</f>
        <v>0</v>
      </c>
      <c r="H50" s="15">
        <f t="shared" si="23"/>
        <v>0</v>
      </c>
      <c r="I50" s="15">
        <f t="shared" si="23"/>
        <v>0</v>
      </c>
      <c r="J50" s="38">
        <f>SUM(E50:I50)</f>
        <v>0</v>
      </c>
    </row>
    <row r="51" spans="1:10" x14ac:dyDescent="0.25">
      <c r="A51" s="66" t="s">
        <v>32</v>
      </c>
      <c r="B51" s="64"/>
      <c r="C51" s="64"/>
      <c r="D51" s="64"/>
      <c r="E51" s="43"/>
      <c r="F51" s="15">
        <f t="shared" ref="F51:I54" si="24">E51*1.025</f>
        <v>0</v>
      </c>
      <c r="G51" s="15">
        <f t="shared" si="24"/>
        <v>0</v>
      </c>
      <c r="H51" s="15">
        <f t="shared" si="24"/>
        <v>0</v>
      </c>
      <c r="I51" s="15">
        <f t="shared" si="24"/>
        <v>0</v>
      </c>
      <c r="J51" s="38">
        <f t="shared" ref="J51:J54" si="25">SUM(E51:I51)</f>
        <v>0</v>
      </c>
    </row>
    <row r="52" spans="1:10" x14ac:dyDescent="0.25">
      <c r="A52" s="66" t="s">
        <v>33</v>
      </c>
      <c r="B52" s="64"/>
      <c r="C52" s="64"/>
      <c r="D52" s="64"/>
      <c r="E52" s="43"/>
      <c r="F52" s="15">
        <f t="shared" si="24"/>
        <v>0</v>
      </c>
      <c r="G52" s="15">
        <f t="shared" si="24"/>
        <v>0</v>
      </c>
      <c r="H52" s="15">
        <f t="shared" si="24"/>
        <v>0</v>
      </c>
      <c r="I52" s="15">
        <f t="shared" si="24"/>
        <v>0</v>
      </c>
      <c r="J52" s="38">
        <f t="shared" si="25"/>
        <v>0</v>
      </c>
    </row>
    <row r="53" spans="1:10" x14ac:dyDescent="0.25">
      <c r="A53" s="66" t="s">
        <v>34</v>
      </c>
      <c r="B53" s="64"/>
      <c r="C53" s="64"/>
      <c r="D53" s="64"/>
      <c r="E53" s="43"/>
      <c r="F53" s="15">
        <f t="shared" si="24"/>
        <v>0</v>
      </c>
      <c r="G53" s="15">
        <f t="shared" si="24"/>
        <v>0</v>
      </c>
      <c r="H53" s="15">
        <f t="shared" si="24"/>
        <v>0</v>
      </c>
      <c r="I53" s="15">
        <f t="shared" si="24"/>
        <v>0</v>
      </c>
      <c r="J53" s="38">
        <f t="shared" si="25"/>
        <v>0</v>
      </c>
    </row>
    <row r="54" spans="1:10" x14ac:dyDescent="0.25">
      <c r="A54" s="66" t="s">
        <v>35</v>
      </c>
      <c r="B54" s="64"/>
      <c r="C54" s="64"/>
      <c r="D54" s="64"/>
      <c r="E54" s="43"/>
      <c r="F54" s="15">
        <f t="shared" si="24"/>
        <v>0</v>
      </c>
      <c r="G54" s="15">
        <f t="shared" si="24"/>
        <v>0</v>
      </c>
      <c r="H54" s="15">
        <f t="shared" si="24"/>
        <v>0</v>
      </c>
      <c r="I54" s="15">
        <f t="shared" si="24"/>
        <v>0</v>
      </c>
      <c r="J54" s="38">
        <f t="shared" si="25"/>
        <v>0</v>
      </c>
    </row>
    <row r="55" spans="1:10" x14ac:dyDescent="0.25">
      <c r="A55" s="29"/>
      <c r="B55" s="19"/>
      <c r="C55" s="19"/>
      <c r="D55" s="19"/>
      <c r="E55" s="19"/>
      <c r="F55" s="19"/>
      <c r="G55" s="19"/>
      <c r="H55" s="19"/>
      <c r="I55" s="19"/>
      <c r="J55" s="19"/>
    </row>
    <row r="57" spans="1:10" ht="15.75" thickBot="1" x14ac:dyDescent="0.3">
      <c r="A57" s="67" t="s">
        <v>36</v>
      </c>
      <c r="B57" s="68"/>
      <c r="C57" s="68"/>
      <c r="D57" s="68"/>
      <c r="E57" s="11">
        <f>SUM(E50:E54)</f>
        <v>0</v>
      </c>
      <c r="F57" s="11">
        <f t="shared" ref="F57:I57" si="26">SUM(F50:F54)</f>
        <v>0</v>
      </c>
      <c r="G57" s="11">
        <f t="shared" si="26"/>
        <v>0</v>
      </c>
      <c r="H57" s="11">
        <f t="shared" si="26"/>
        <v>0</v>
      </c>
      <c r="I57" s="11">
        <f t="shared" si="26"/>
        <v>0</v>
      </c>
      <c r="J57" s="40">
        <f>SUM(E57:I57)</f>
        <v>0</v>
      </c>
    </row>
    <row r="58" spans="1:10" ht="15.75" thickTop="1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</row>
    <row r="59" spans="1:10" x14ac:dyDescent="0.25">
      <c r="A59" s="26" t="s">
        <v>37</v>
      </c>
      <c r="B59" s="19"/>
      <c r="C59" s="19"/>
      <c r="D59" s="19"/>
      <c r="E59" s="19"/>
      <c r="F59" s="19"/>
      <c r="G59" s="19"/>
      <c r="H59" s="19"/>
      <c r="I59" s="19"/>
      <c r="J59" s="19"/>
    </row>
    <row r="60" spans="1:10" x14ac:dyDescent="0.25">
      <c r="A60" s="63" t="s">
        <v>38</v>
      </c>
      <c r="B60" s="64"/>
      <c r="C60" s="64"/>
      <c r="D60" s="64"/>
      <c r="E60" s="39"/>
      <c r="F60" s="15">
        <f>E60*1.025</f>
        <v>0</v>
      </c>
      <c r="G60" s="15">
        <f t="shared" ref="G60:I60" si="27">F60*1.025</f>
        <v>0</v>
      </c>
      <c r="H60" s="15">
        <f t="shared" si="27"/>
        <v>0</v>
      </c>
      <c r="I60" s="15">
        <f t="shared" si="27"/>
        <v>0</v>
      </c>
      <c r="J60" s="38">
        <f>SUM(E60:I60)</f>
        <v>0</v>
      </c>
    </row>
    <row r="61" spans="1:10" x14ac:dyDescent="0.25">
      <c r="A61" s="63" t="s">
        <v>39</v>
      </c>
      <c r="B61" s="64"/>
      <c r="C61" s="64"/>
      <c r="D61" s="64"/>
      <c r="E61" s="39"/>
      <c r="F61" s="15">
        <f t="shared" ref="F61:I69" si="28">E61*1.025</f>
        <v>0</v>
      </c>
      <c r="G61" s="15">
        <f t="shared" si="28"/>
        <v>0</v>
      </c>
      <c r="H61" s="15">
        <f t="shared" si="28"/>
        <v>0</v>
      </c>
      <c r="I61" s="15">
        <f t="shared" si="28"/>
        <v>0</v>
      </c>
      <c r="J61" s="38">
        <f t="shared" ref="J61:J70" si="29">SUM(E61:I61)</f>
        <v>0</v>
      </c>
    </row>
    <row r="62" spans="1:10" x14ac:dyDescent="0.25">
      <c r="A62" s="63" t="s">
        <v>40</v>
      </c>
      <c r="B62" s="64"/>
      <c r="C62" s="64"/>
      <c r="D62" s="64"/>
      <c r="E62" s="39"/>
      <c r="F62" s="15">
        <f t="shared" si="28"/>
        <v>0</v>
      </c>
      <c r="G62" s="15">
        <f t="shared" si="28"/>
        <v>0</v>
      </c>
      <c r="H62" s="15">
        <f t="shared" si="28"/>
        <v>0</v>
      </c>
      <c r="I62" s="15">
        <f t="shared" si="28"/>
        <v>0</v>
      </c>
      <c r="J62" s="38">
        <f t="shared" si="29"/>
        <v>0</v>
      </c>
    </row>
    <row r="63" spans="1:10" x14ac:dyDescent="0.25">
      <c r="A63" s="62" t="s">
        <v>41</v>
      </c>
      <c r="B63" s="62"/>
      <c r="C63" s="62"/>
      <c r="D63" s="62"/>
      <c r="E63" s="39"/>
      <c r="F63" s="15">
        <f t="shared" si="28"/>
        <v>0</v>
      </c>
      <c r="G63" s="15">
        <f t="shared" si="28"/>
        <v>0</v>
      </c>
      <c r="H63" s="15">
        <f t="shared" si="28"/>
        <v>0</v>
      </c>
      <c r="I63" s="15">
        <f t="shared" si="28"/>
        <v>0</v>
      </c>
      <c r="J63" s="38">
        <f t="shared" si="29"/>
        <v>0</v>
      </c>
    </row>
    <row r="64" spans="1:10" x14ac:dyDescent="0.25">
      <c r="A64" s="62" t="s">
        <v>42</v>
      </c>
      <c r="B64" s="62"/>
      <c r="C64" s="62"/>
      <c r="D64" s="62"/>
      <c r="E64" s="39"/>
      <c r="F64" s="15">
        <f t="shared" si="28"/>
        <v>0</v>
      </c>
      <c r="G64" s="15">
        <f t="shared" si="28"/>
        <v>0</v>
      </c>
      <c r="H64" s="15">
        <f t="shared" si="28"/>
        <v>0</v>
      </c>
      <c r="I64" s="15">
        <f t="shared" si="28"/>
        <v>0</v>
      </c>
      <c r="J64" s="38">
        <f t="shared" si="29"/>
        <v>0</v>
      </c>
    </row>
    <row r="65" spans="1:10" x14ac:dyDescent="0.25">
      <c r="A65" s="62" t="s">
        <v>43</v>
      </c>
      <c r="B65" s="62"/>
      <c r="C65" s="62"/>
      <c r="D65" s="62"/>
      <c r="E65" s="39"/>
      <c r="F65" s="15">
        <f t="shared" si="28"/>
        <v>0</v>
      </c>
      <c r="G65" s="15">
        <f t="shared" si="28"/>
        <v>0</v>
      </c>
      <c r="H65" s="15">
        <f t="shared" si="28"/>
        <v>0</v>
      </c>
      <c r="I65" s="15">
        <f t="shared" si="28"/>
        <v>0</v>
      </c>
      <c r="J65" s="38">
        <f t="shared" si="29"/>
        <v>0</v>
      </c>
    </row>
    <row r="66" spans="1:10" x14ac:dyDescent="0.25">
      <c r="A66" s="62" t="s">
        <v>44</v>
      </c>
      <c r="B66" s="62"/>
      <c r="C66" s="62"/>
      <c r="D66" s="62"/>
      <c r="E66" s="39"/>
      <c r="F66" s="15">
        <f t="shared" si="28"/>
        <v>0</v>
      </c>
      <c r="G66" s="15">
        <f t="shared" si="28"/>
        <v>0</v>
      </c>
      <c r="H66" s="15">
        <f t="shared" si="28"/>
        <v>0</v>
      </c>
      <c r="I66" s="15">
        <f t="shared" si="28"/>
        <v>0</v>
      </c>
      <c r="J66" s="38">
        <f t="shared" si="29"/>
        <v>0</v>
      </c>
    </row>
    <row r="67" spans="1:10" x14ac:dyDescent="0.25">
      <c r="A67" s="62" t="s">
        <v>45</v>
      </c>
      <c r="B67" s="62"/>
      <c r="C67" s="62"/>
      <c r="D67" s="62"/>
      <c r="E67" s="39"/>
      <c r="F67" s="15">
        <f t="shared" si="28"/>
        <v>0</v>
      </c>
      <c r="G67" s="15">
        <f t="shared" si="28"/>
        <v>0</v>
      </c>
      <c r="H67" s="15">
        <f t="shared" si="28"/>
        <v>0</v>
      </c>
      <c r="I67" s="15">
        <f t="shared" si="28"/>
        <v>0</v>
      </c>
      <c r="J67" s="38">
        <f t="shared" si="29"/>
        <v>0</v>
      </c>
    </row>
    <row r="68" spans="1:10" x14ac:dyDescent="0.25">
      <c r="A68" s="62" t="s">
        <v>46</v>
      </c>
      <c r="B68" s="62"/>
      <c r="C68" s="62"/>
      <c r="D68" s="62"/>
      <c r="E68" s="39"/>
      <c r="F68" s="15">
        <f t="shared" si="28"/>
        <v>0</v>
      </c>
      <c r="G68" s="15">
        <f t="shared" si="28"/>
        <v>0</v>
      </c>
      <c r="H68" s="15">
        <f t="shared" si="28"/>
        <v>0</v>
      </c>
      <c r="I68" s="15">
        <f t="shared" si="28"/>
        <v>0</v>
      </c>
      <c r="J68" s="38">
        <f t="shared" si="29"/>
        <v>0</v>
      </c>
    </row>
    <row r="69" spans="1:10" x14ac:dyDescent="0.25">
      <c r="A69" s="62" t="s">
        <v>47</v>
      </c>
      <c r="B69" s="62"/>
      <c r="C69" s="62"/>
      <c r="D69" s="62"/>
      <c r="E69" s="39"/>
      <c r="F69" s="15">
        <f t="shared" si="28"/>
        <v>0</v>
      </c>
      <c r="G69" s="15">
        <f t="shared" si="28"/>
        <v>0</v>
      </c>
      <c r="H69" s="15">
        <f t="shared" si="28"/>
        <v>0</v>
      </c>
      <c r="I69" s="15">
        <f t="shared" si="28"/>
        <v>0</v>
      </c>
      <c r="J69" s="38">
        <f t="shared" si="29"/>
        <v>0</v>
      </c>
    </row>
    <row r="70" spans="1:10" x14ac:dyDescent="0.25">
      <c r="A70" s="62" t="s">
        <v>48</v>
      </c>
      <c r="B70" s="62"/>
      <c r="C70" s="62"/>
      <c r="D70" s="62"/>
      <c r="E70" s="39"/>
      <c r="F70" s="15">
        <f>E70*1.04</f>
        <v>0</v>
      </c>
      <c r="G70" s="15">
        <f t="shared" ref="G70:I70" si="30">F70*1.04</f>
        <v>0</v>
      </c>
      <c r="H70" s="15">
        <f>G70*1.04</f>
        <v>0</v>
      </c>
      <c r="I70" s="15">
        <f t="shared" si="30"/>
        <v>0</v>
      </c>
      <c r="J70" s="38">
        <f t="shared" si="29"/>
        <v>0</v>
      </c>
    </row>
    <row r="71" spans="1:10" x14ac:dyDescent="0.25">
      <c r="A71" s="26"/>
      <c r="B71" s="19"/>
      <c r="C71" s="19"/>
      <c r="D71" s="19"/>
      <c r="E71" s="19"/>
      <c r="F71" s="19"/>
      <c r="G71" s="19"/>
      <c r="H71" s="19"/>
      <c r="I71" s="19"/>
      <c r="J71" s="19"/>
    </row>
    <row r="72" spans="1:10" ht="15.75" thickBot="1" x14ac:dyDescent="0.3">
      <c r="A72" s="65" t="s">
        <v>49</v>
      </c>
      <c r="B72" s="64"/>
      <c r="C72" s="64"/>
      <c r="D72" s="64"/>
      <c r="E72" s="11">
        <f>SUM(E60:E70)</f>
        <v>0</v>
      </c>
      <c r="F72" s="11">
        <f t="shared" ref="F72:I72" si="31">SUM(F60:F70)</f>
        <v>0</v>
      </c>
      <c r="G72" s="11">
        <f t="shared" si="31"/>
        <v>0</v>
      </c>
      <c r="H72" s="11">
        <f t="shared" si="31"/>
        <v>0</v>
      </c>
      <c r="I72" s="11">
        <f t="shared" si="31"/>
        <v>0</v>
      </c>
      <c r="J72" s="40">
        <f>SUM(E72:I72)</f>
        <v>0</v>
      </c>
    </row>
    <row r="73" spans="1:10" ht="15.75" thickTop="1" x14ac:dyDescent="0.25">
      <c r="A73" s="24"/>
      <c r="B73" s="19"/>
      <c r="C73" s="19"/>
      <c r="D73" s="19"/>
      <c r="E73" s="19"/>
      <c r="F73" s="19"/>
      <c r="G73" s="19"/>
      <c r="H73" s="19"/>
      <c r="I73" s="19"/>
      <c r="J73" s="19"/>
    </row>
    <row r="74" spans="1:10" ht="15.75" thickBot="1" x14ac:dyDescent="0.3">
      <c r="A74" s="65" t="s">
        <v>50</v>
      </c>
      <c r="B74" s="64"/>
      <c r="C74" s="64"/>
      <c r="D74" s="64"/>
      <c r="E74" s="14">
        <f>SUM(E31+E41+E47+E57+E72)</f>
        <v>0</v>
      </c>
      <c r="F74" s="14">
        <f t="shared" ref="F74:I74" si="32">SUM(F31+F41+F47+F57+F72)</f>
        <v>0</v>
      </c>
      <c r="G74" s="14">
        <f t="shared" si="32"/>
        <v>0</v>
      </c>
      <c r="H74" s="14">
        <f t="shared" si="32"/>
        <v>0</v>
      </c>
      <c r="I74" s="14">
        <f t="shared" si="32"/>
        <v>0</v>
      </c>
      <c r="J74" s="44">
        <f>SUM(E74:I74)</f>
        <v>0</v>
      </c>
    </row>
    <row r="75" spans="1:10" ht="15.75" thickTop="1" x14ac:dyDescent="0.25">
      <c r="A75" s="4"/>
      <c r="B75" s="19"/>
      <c r="C75" s="19"/>
      <c r="D75" s="19"/>
      <c r="E75" s="19"/>
      <c r="F75" s="19"/>
      <c r="G75" s="19"/>
      <c r="H75" s="19"/>
      <c r="I75" s="19"/>
      <c r="J75" s="19"/>
    </row>
    <row r="76" spans="1:10" x14ac:dyDescent="0.25">
      <c r="A76" s="26" t="s">
        <v>51</v>
      </c>
      <c r="B76" s="19"/>
      <c r="C76" s="19"/>
      <c r="D76" s="19"/>
      <c r="E76" s="19"/>
      <c r="F76" s="19"/>
      <c r="G76" s="19"/>
      <c r="H76" s="19"/>
      <c r="I76" s="19"/>
      <c r="J76" s="19"/>
    </row>
    <row r="77" spans="1:10" x14ac:dyDescent="0.25">
      <c r="A77" s="63" t="s">
        <v>52</v>
      </c>
      <c r="B77" s="64"/>
      <c r="C77" s="64"/>
      <c r="D77" s="64"/>
      <c r="E77" s="39">
        <f>E34</f>
        <v>0</v>
      </c>
      <c r="F77" s="21">
        <f t="shared" ref="F77:I77" si="33">F34</f>
        <v>0</v>
      </c>
      <c r="G77" s="21">
        <f t="shared" si="33"/>
        <v>0</v>
      </c>
      <c r="H77" s="21">
        <f t="shared" si="33"/>
        <v>0</v>
      </c>
      <c r="I77" s="21">
        <f t="shared" si="33"/>
        <v>0</v>
      </c>
      <c r="J77" s="38">
        <f>SUM(E77:I77)</f>
        <v>0</v>
      </c>
    </row>
    <row r="78" spans="1:10" x14ac:dyDescent="0.25">
      <c r="A78" s="63" t="s">
        <v>53</v>
      </c>
      <c r="B78" s="64"/>
      <c r="C78" s="64"/>
      <c r="D78" s="64"/>
      <c r="E78" s="39">
        <f>E69</f>
        <v>0</v>
      </c>
      <c r="F78" s="21">
        <f t="shared" ref="F78:I78" si="34">F69</f>
        <v>0</v>
      </c>
      <c r="G78" s="21">
        <f t="shared" si="34"/>
        <v>0</v>
      </c>
      <c r="H78" s="21">
        <f t="shared" si="34"/>
        <v>0</v>
      </c>
      <c r="I78" s="21">
        <f t="shared" si="34"/>
        <v>0</v>
      </c>
      <c r="J78" s="38">
        <f t="shared" ref="J78:J82" si="35">SUM(E78:I78)</f>
        <v>0</v>
      </c>
    </row>
    <row r="79" spans="1:10" x14ac:dyDescent="0.25">
      <c r="A79" s="63" t="s">
        <v>54</v>
      </c>
      <c r="B79" s="64"/>
      <c r="C79" s="64"/>
      <c r="D79" s="64"/>
      <c r="E79" s="39">
        <f>IF(E64&gt;25000,E64-25000,0)</f>
        <v>0</v>
      </c>
      <c r="F79" s="21">
        <f>IF(E79&gt;0,F64,IF(E64+F64&gt;25000,E64+F64-25000,0))</f>
        <v>0</v>
      </c>
      <c r="G79" s="21">
        <f t="shared" ref="G79:I79" si="36">IF(F79&gt;0,G64,IF(F64+G64&gt;25000,F64+G64-25000,0))</f>
        <v>0</v>
      </c>
      <c r="H79" s="21">
        <f t="shared" si="36"/>
        <v>0</v>
      </c>
      <c r="I79" s="21">
        <f t="shared" si="36"/>
        <v>0</v>
      </c>
      <c r="J79" s="38">
        <f t="shared" si="35"/>
        <v>0</v>
      </c>
    </row>
    <row r="80" spans="1:10" x14ac:dyDescent="0.25">
      <c r="A80" s="63" t="s">
        <v>54</v>
      </c>
      <c r="B80" s="64"/>
      <c r="C80" s="64"/>
      <c r="D80" s="64"/>
      <c r="E80" s="39">
        <f t="shared" ref="E80:E81" si="37">IF(E65&gt;25000,E65-25000,0)</f>
        <v>0</v>
      </c>
      <c r="F80" s="21">
        <f>IF(E80&gt;0,F65,IF(E65+F65&gt;25000,E65+F65-25000,0))</f>
        <v>0</v>
      </c>
      <c r="G80" s="21">
        <f t="shared" ref="G80:I80" si="38">IF(F80&gt;0,G65,IF(F65+G65&gt;25000,F65+G65-25000,0))</f>
        <v>0</v>
      </c>
      <c r="H80" s="21">
        <f t="shared" si="38"/>
        <v>0</v>
      </c>
      <c r="I80" s="21">
        <f t="shared" si="38"/>
        <v>0</v>
      </c>
      <c r="J80" s="38">
        <f t="shared" si="35"/>
        <v>0</v>
      </c>
    </row>
    <row r="81" spans="1:10" x14ac:dyDescent="0.25">
      <c r="A81" s="63" t="s">
        <v>54</v>
      </c>
      <c r="B81" s="64"/>
      <c r="C81" s="64"/>
      <c r="D81" s="64"/>
      <c r="E81" s="39">
        <f t="shared" si="37"/>
        <v>0</v>
      </c>
      <c r="F81" s="21">
        <f>IF(E81&gt;0,F66,IF(E66+F66&gt;25000,E66+F66-25000,0))</f>
        <v>0</v>
      </c>
      <c r="G81" s="21">
        <f t="shared" ref="G81:I81" si="39">IF(F81&gt;0,G66,IF(F66+G66&gt;25000,F66+G66-25000,0))</f>
        <v>0</v>
      </c>
      <c r="H81" s="21">
        <f t="shared" si="39"/>
        <v>0</v>
      </c>
      <c r="I81" s="21">
        <f t="shared" si="39"/>
        <v>0</v>
      </c>
      <c r="J81" s="38">
        <f t="shared" si="35"/>
        <v>0</v>
      </c>
    </row>
    <row r="82" spans="1:10" x14ac:dyDescent="0.25">
      <c r="A82" s="63" t="s">
        <v>55</v>
      </c>
      <c r="B82" s="64"/>
      <c r="C82" s="64"/>
      <c r="D82" s="64"/>
      <c r="E82" s="39">
        <f>E70</f>
        <v>0</v>
      </c>
      <c r="F82" s="21">
        <f t="shared" ref="F82:I82" si="40">F70</f>
        <v>0</v>
      </c>
      <c r="G82" s="21">
        <f t="shared" si="40"/>
        <v>0</v>
      </c>
      <c r="H82" s="21">
        <f t="shared" si="40"/>
        <v>0</v>
      </c>
      <c r="I82" s="21">
        <f t="shared" si="40"/>
        <v>0</v>
      </c>
      <c r="J82" s="38">
        <f t="shared" si="35"/>
        <v>0</v>
      </c>
    </row>
    <row r="83" spans="1:10" x14ac:dyDescent="0.25">
      <c r="A83" s="34"/>
      <c r="B83" s="19"/>
      <c r="C83" s="19"/>
      <c r="D83" s="19"/>
      <c r="E83" s="19"/>
      <c r="F83" s="19"/>
      <c r="G83" s="19"/>
      <c r="H83" s="19"/>
      <c r="I83" s="19"/>
      <c r="J83" s="19"/>
    </row>
    <row r="84" spans="1:10" ht="15.75" thickBot="1" x14ac:dyDescent="0.3">
      <c r="A84" s="65" t="s">
        <v>56</v>
      </c>
      <c r="B84" s="64"/>
      <c r="C84" s="64"/>
      <c r="D84" s="64"/>
      <c r="E84" s="11">
        <f>SUM(E77:E82)</f>
        <v>0</v>
      </c>
      <c r="F84" s="11">
        <f t="shared" ref="F84:I84" si="41">SUM(F77:F82)</f>
        <v>0</v>
      </c>
      <c r="G84" s="11">
        <f t="shared" si="41"/>
        <v>0</v>
      </c>
      <c r="H84" s="11">
        <f t="shared" si="41"/>
        <v>0</v>
      </c>
      <c r="I84" s="11">
        <f t="shared" si="41"/>
        <v>0</v>
      </c>
      <c r="J84" s="40">
        <f>SUM(J77:J82)</f>
        <v>0</v>
      </c>
    </row>
    <row r="85" spans="1:10" ht="15.75" thickTop="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</row>
    <row r="86" spans="1:10" ht="15.75" thickBot="1" x14ac:dyDescent="0.3">
      <c r="A86" s="65" t="s">
        <v>57</v>
      </c>
      <c r="B86" s="69"/>
      <c r="C86" s="69"/>
      <c r="D86" s="69"/>
      <c r="E86" s="14">
        <f>E74-E84</f>
        <v>0</v>
      </c>
      <c r="F86" s="14">
        <f t="shared" ref="F86:I86" si="42">F74-F84</f>
        <v>0</v>
      </c>
      <c r="G86" s="14">
        <f t="shared" si="42"/>
        <v>0</v>
      </c>
      <c r="H86" s="14">
        <f t="shared" si="42"/>
        <v>0</v>
      </c>
      <c r="I86" s="14">
        <f t="shared" si="42"/>
        <v>0</v>
      </c>
      <c r="J86" s="44">
        <f>SUM(E86:I86)</f>
        <v>0</v>
      </c>
    </row>
    <row r="87" spans="1:10" ht="15.75" thickTop="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</row>
    <row r="88" spans="1:10" x14ac:dyDescent="0.25">
      <c r="A88" s="65" t="s">
        <v>58</v>
      </c>
      <c r="B88" s="65"/>
      <c r="C88" s="65"/>
      <c r="D88" s="65"/>
      <c r="E88" s="22">
        <v>0.53</v>
      </c>
      <c r="F88" s="22">
        <v>0.53</v>
      </c>
      <c r="G88" s="22">
        <v>0.53</v>
      </c>
      <c r="H88" s="22">
        <v>0.53</v>
      </c>
      <c r="I88" s="22">
        <v>0.53</v>
      </c>
      <c r="J88" s="22"/>
    </row>
    <row r="89" spans="1:10" ht="15.75" thickBot="1" x14ac:dyDescent="0.3">
      <c r="A89" s="65" t="s">
        <v>59</v>
      </c>
      <c r="B89" s="64"/>
      <c r="C89" s="64"/>
      <c r="D89" s="64"/>
      <c r="E89" s="14">
        <f>E86*E88</f>
        <v>0</v>
      </c>
      <c r="F89" s="14">
        <f t="shared" ref="F89:I89" si="43">F86*F88</f>
        <v>0</v>
      </c>
      <c r="G89" s="14">
        <f t="shared" si="43"/>
        <v>0</v>
      </c>
      <c r="H89" s="14">
        <f t="shared" si="43"/>
        <v>0</v>
      </c>
      <c r="I89" s="14">
        <f t="shared" si="43"/>
        <v>0</v>
      </c>
      <c r="J89" s="44">
        <f>SUM(E89:I89)</f>
        <v>0</v>
      </c>
    </row>
    <row r="90" spans="1:10" ht="15.75" thickTop="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</row>
    <row r="91" spans="1:10" ht="15.75" thickBot="1" x14ac:dyDescent="0.3">
      <c r="A91" s="65" t="s">
        <v>60</v>
      </c>
      <c r="B91" s="64"/>
      <c r="C91" s="64"/>
      <c r="D91" s="64"/>
      <c r="E91" s="45">
        <f>SUM(E74,E89)</f>
        <v>0</v>
      </c>
      <c r="F91" s="45">
        <f>SUM(F74,F89)</f>
        <v>0</v>
      </c>
      <c r="G91" s="45">
        <f t="shared" ref="G91:I91" si="44">SUM(G74,G89)</f>
        <v>0</v>
      </c>
      <c r="H91" s="45">
        <f t="shared" si="44"/>
        <v>0</v>
      </c>
      <c r="I91" s="45">
        <f t="shared" si="44"/>
        <v>0</v>
      </c>
      <c r="J91" s="45">
        <f>SUM(J74,J89)</f>
        <v>0</v>
      </c>
    </row>
    <row r="92" spans="1:10" ht="15.75" thickTop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</sheetData>
  <mergeCells count="47">
    <mergeCell ref="B1:H1"/>
    <mergeCell ref="A17:D17"/>
    <mergeCell ref="A29:D29"/>
    <mergeCell ref="A88:D88"/>
    <mergeCell ref="A69:D69"/>
    <mergeCell ref="A81:D81"/>
    <mergeCell ref="A35:D35"/>
    <mergeCell ref="A38:D38"/>
    <mergeCell ref="A39:D39"/>
    <mergeCell ref="A41:D41"/>
    <mergeCell ref="A47:D47"/>
    <mergeCell ref="A62:D62"/>
    <mergeCell ref="A49:J49"/>
    <mergeCell ref="A50:D50"/>
    <mergeCell ref="A51:D51"/>
    <mergeCell ref="A52:D52"/>
    <mergeCell ref="A91:D91"/>
    <mergeCell ref="A89:D89"/>
    <mergeCell ref="A86:D86"/>
    <mergeCell ref="A84:D84"/>
    <mergeCell ref="B2:J2"/>
    <mergeCell ref="A4:D4"/>
    <mergeCell ref="A77:D77"/>
    <mergeCell ref="A60:D60"/>
    <mergeCell ref="A61:D61"/>
    <mergeCell ref="A31:D31"/>
    <mergeCell ref="A54:D54"/>
    <mergeCell ref="A34:D34"/>
    <mergeCell ref="A45:D45"/>
    <mergeCell ref="A44:D44"/>
    <mergeCell ref="A36:D36"/>
    <mergeCell ref="A37:D37"/>
    <mergeCell ref="A53:D53"/>
    <mergeCell ref="A57:D57"/>
    <mergeCell ref="A63:D63"/>
    <mergeCell ref="A64:D64"/>
    <mergeCell ref="A67:D67"/>
    <mergeCell ref="A68:D68"/>
    <mergeCell ref="A66:D66"/>
    <mergeCell ref="A65:D65"/>
    <mergeCell ref="A70:D70"/>
    <mergeCell ref="A82:D82"/>
    <mergeCell ref="A79:D79"/>
    <mergeCell ref="A78:D78"/>
    <mergeCell ref="A72:D72"/>
    <mergeCell ref="A74:D74"/>
    <mergeCell ref="A80:D80"/>
  </mergeCells>
  <dataValidations count="1">
    <dataValidation type="list" allowBlank="1" showInputMessage="1" showErrorMessage="1" sqref="C21:C28">
      <formula1>Rates</formula1>
    </dataValidation>
  </dataValidations>
  <pageMargins left="0.7" right="0.7" top="0.75" bottom="0.75" header="0.3" footer="0.3"/>
  <pageSetup scale="50" orientation="portrait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7" sqref="C7"/>
    </sheetView>
  </sheetViews>
  <sheetFormatPr defaultRowHeight="15" x14ac:dyDescent="0.25"/>
  <cols>
    <col min="1" max="1" width="29.42578125" customWidth="1"/>
    <col min="2" max="2" width="12.42578125" customWidth="1"/>
  </cols>
  <sheetData>
    <row r="1" spans="1:2" ht="18" x14ac:dyDescent="0.25">
      <c r="A1" s="52" t="s">
        <v>62</v>
      </c>
      <c r="B1" s="50"/>
    </row>
    <row r="2" spans="1:2" x14ac:dyDescent="0.25">
      <c r="A2" s="48" t="s">
        <v>3</v>
      </c>
      <c r="B2" s="49" t="s">
        <v>63</v>
      </c>
    </row>
    <row r="3" spans="1:2" x14ac:dyDescent="0.25">
      <c r="A3" s="47"/>
      <c r="B3" s="51"/>
    </row>
    <row r="4" spans="1:2" x14ac:dyDescent="0.25">
      <c r="A4" s="47" t="s">
        <v>64</v>
      </c>
      <c r="B4" s="53">
        <v>0.36499999999999999</v>
      </c>
    </row>
    <row r="5" spans="1:2" x14ac:dyDescent="0.25">
      <c r="A5" s="47" t="s">
        <v>65</v>
      </c>
      <c r="B5" s="53">
        <v>0.13200000000000001</v>
      </c>
    </row>
    <row r="6" spans="1:2" x14ac:dyDescent="0.25">
      <c r="A6" s="47" t="s">
        <v>66</v>
      </c>
      <c r="B6" s="53">
        <v>7.9000000000000001E-2</v>
      </c>
    </row>
    <row r="7" spans="1:2" x14ac:dyDescent="0.25">
      <c r="A7" s="47" t="s">
        <v>67</v>
      </c>
      <c r="B7" s="53">
        <v>2E-3</v>
      </c>
    </row>
    <row r="8" spans="1:2" x14ac:dyDescent="0.25">
      <c r="A8" s="61" t="s">
        <v>72</v>
      </c>
      <c r="B8" s="5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Budget Worksheet</vt:lpstr>
      <vt:lpstr>Fringe Rates</vt:lpstr>
      <vt:lpstr>Fringe</vt:lpstr>
      <vt:lpstr>Rates</vt:lpstr>
    </vt:vector>
  </TitlesOfParts>
  <Company>Hershey Medical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HMC</dc:creator>
  <cp:lastModifiedBy>cbrubaker</cp:lastModifiedBy>
  <dcterms:created xsi:type="dcterms:W3CDTF">2011-09-23T14:23:05Z</dcterms:created>
  <dcterms:modified xsi:type="dcterms:W3CDTF">2013-07-16T19:27:58Z</dcterms:modified>
</cp:coreProperties>
</file>