
<file path=[Content_Types].xml><?xml version="1.0" encoding="utf-8"?>
<Types xmlns="http://schemas.openxmlformats.org/package/2006/content-types">
  <Override PartName="/xl/activeX/activeX2.bin" ContentType="application/vnd.ms-office.activeX"/>
  <Override PartName="/xl/activeX/activeX4.bin" ContentType="application/vnd.ms-office.activeX"/>
  <Override PartName="/xl/activeX/activeX9.xml" ContentType="application/vnd.ms-office.activeX+xml"/>
  <Override PartName="/xl/theme/theme1.xml" ContentType="application/vnd.openxmlformats-officedocument.theme+xml"/>
  <Override PartName="/xl/styles.xml" ContentType="application/vnd.openxmlformats-officedocument.spreadsheetml.styles+xml"/>
  <Override PartName="/xl/activeX/activeX1.bin" ContentType="application/vnd.ms-office.activeX"/>
  <Override PartName="/xl/activeX/activeX7.xml" ContentType="application/vnd.ms-office.activeX+xml"/>
  <Override PartName="/xl/activeX/activeX8.xml" ContentType="application/vnd.ms-office.activeX+xml"/>
  <Override PartName="/xl/charts/chart4.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emf" ContentType="image/x-emf"/>
  <Override PartName="/xl/charts/chart2.xml" ContentType="application/vnd.openxmlformats-officedocument.drawingml.chart+xml"/>
  <Override PartName="/xl/activeX/activeX5.xml" ContentType="application/vnd.ms-office.activeX+xml"/>
  <Override PartName="/xl/activeX/activeX6.xml" ContentType="application/vnd.ms-office.activeX+xml"/>
  <Override PartName="/xl/charts/chart3.xml" ContentType="application/vnd.openxmlformats-officedocument.drawingml.char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activeX/activeX2.xml" ContentType="application/vnd.ms-office.activeX+xml"/>
  <Override PartName="/xl/drawings/drawing2.xml" ContentType="application/vnd.openxmlformats-officedocument.drawing+xml"/>
  <Override PartName="/xl/activeX/activeX3.xml" ContentType="application/vnd.ms-office.activeX+xml"/>
  <Override PartName="/xl/charts/chart1.xml" ContentType="application/vnd.openxmlformats-officedocument.drawingml.chart+xml"/>
  <Override PartName="/xl/activeX/activeX4.xml" ContentType="application/vnd.ms-office.activeX+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activeX/activeX1.xml" ContentType="application/vnd.ms-office.activeX+xml"/>
  <Override PartName="/xl/worksheets/sheet1.xml" ContentType="application/vnd.openxmlformats-officedocument.spreadsheetml.worksheet+xml"/>
  <Override PartName="/xl/externalLinks/externalLink1.xml" ContentType="application/vnd.openxmlformats-officedocument.spreadsheetml.externalLink+xml"/>
  <Default Extension="gif" ContentType="image/gif"/>
  <Default Extension="vml" ContentType="application/vnd.openxmlformats-officedocument.vmlDrawing"/>
  <Override PartName="/xl/activeX/activeX9.bin" ContentType="application/vnd.ms-office.activeX"/>
  <Override PartName="/xl/calcChain.xml" ContentType="application/vnd.openxmlformats-officedocument.spreadsheetml.calcChain+xml"/>
  <Override PartName="/xl/sharedStrings.xml" ContentType="application/vnd.openxmlformats-officedocument.spreadsheetml.sharedStrings+xml"/>
  <Override PartName="/xl/activeX/activeX7.bin" ContentType="application/vnd.ms-office.activeX"/>
  <Override PartName="/xl/activeX/activeX8.bin" ContentType="application/vnd.ms-office.activeX"/>
  <Override PartName="/xl/activeX/activeX5.bin" ContentType="application/vnd.ms-office.activeX"/>
  <Override PartName="/xl/activeX/activeX6.bin" ContentType="application/vnd.ms-office.activeX"/>
  <Override PartName="/docProps/core.xml" ContentType="application/vnd.openxmlformats-package.core-properties+xml"/>
  <Default Extension="bin" ContentType="application/vnd.openxmlformats-officedocument.spreadsheetml.printerSettings"/>
  <Default Extension="png" ContentType="image/png"/>
  <Override PartName="/xl/activeX/activeX3.bin" ContentType="application/vnd.ms-office.activeX"/>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saveExternalLinkValues="0" codeName="ThisWorkbook" defaultThemeVersion="124226"/>
  <bookViews>
    <workbookView xWindow="0" yWindow="120" windowWidth="15390" windowHeight="7920"/>
  </bookViews>
  <sheets>
    <sheet name="INTRODUCTION" sheetId="4" r:id="rId1"/>
    <sheet name="CPPM" sheetId="6" r:id="rId2"/>
    <sheet name="GRAPHS" sheetId="10" r:id="rId3"/>
    <sheet name="CALCULATIONS" sheetId="7" r:id="rId4"/>
    <sheet name="SCENARIOS" sheetId="14" r:id="rId5"/>
    <sheet name="SCENARIO GRAPHS" sheetId="19" r:id="rId6"/>
    <sheet name="DATA" sheetId="8" state="veryHidden" r:id="rId7"/>
    <sheet name="DEFINITIONS" sheetId="15" r:id="rId8"/>
  </sheets>
  <externalReferences>
    <externalReference r:id="rId9"/>
    <externalReference r:id="rId10"/>
  </externalReferences>
  <definedNames>
    <definedName name="AnnualCostHomeTelework" localSheetId="0">'[1]DROPDOWN MENU SOURCE'!$H$7:$H$14</definedName>
    <definedName name="AnnualCostHomeTelework">'[2]DROPDOWN MENU SOURCE'!$H$7:$H$14</definedName>
    <definedName name="AnnualTelecomCost" localSheetId="0">'[1]DROPDOWN MENU SOURCE'!$G$7:$G$23</definedName>
    <definedName name="AnnualTelecomCost">'[2]DROPDOWN MENU SOURCE'!$G$7:$G$23</definedName>
    <definedName name="ITCostperWorkstation" localSheetId="0">'[1]DROPDOWN MENU SOURCE'!$F$7:$F$14</definedName>
    <definedName name="ITCostperWorkstation">'[2]DROPDOWN MENU SOURCE'!$F$7:$F$14</definedName>
    <definedName name="_xlnm.Print_Area" localSheetId="1">CPPM!$B$2:$R$72</definedName>
    <definedName name="Value_Menu1" localSheetId="0">'[1]DROPDOWN MENU SOURCE'!$F$24</definedName>
    <definedName name="Value_Menu1">'[2]DROPDOWN MENU SOURCE'!$F$24</definedName>
    <definedName name="Value_Menu2" localSheetId="0">'[1]DROPDOWN MENU SOURCE'!$G$24</definedName>
    <definedName name="Value_Menu2">'[2]DROPDOWN MENU SOURCE'!$G$24</definedName>
    <definedName name="Value_Menu3" localSheetId="0">'[1]DROPDOWN MENU SOURCE'!$H$24</definedName>
    <definedName name="Value_Menu3">'[2]DROPDOWN MENU SOURCE'!$H$24</definedName>
  </definedNames>
  <calcPr calcId="125725"/>
</workbook>
</file>

<file path=xl/calcChain.xml><?xml version="1.0" encoding="utf-8"?>
<calcChain xmlns="http://schemas.openxmlformats.org/spreadsheetml/2006/main">
  <c r="I38" i="6"/>
  <c r="I20"/>
  <c r="P18" l="1"/>
  <c r="G9" i="7"/>
  <c r="G14"/>
  <c r="I14"/>
  <c r="P20" i="6" l="1"/>
  <c r="D25" i="14"/>
  <c r="D6"/>
  <c r="L11" s="1"/>
  <c r="D46"/>
  <c r="H46" s="1"/>
  <c r="D45"/>
  <c r="H45" s="1"/>
  <c r="D44"/>
  <c r="H44" s="1"/>
  <c r="H39"/>
  <c r="D30"/>
  <c r="H30" s="1"/>
  <c r="D12"/>
  <c r="D10"/>
  <c r="D4"/>
  <c r="H4" s="1"/>
  <c r="H24" s="1"/>
  <c r="H23" s="1"/>
  <c r="D15"/>
  <c r="C79" i="8"/>
  <c r="K79" s="1"/>
  <c r="C76"/>
  <c r="K76" s="1"/>
  <c r="C75"/>
  <c r="K75" s="1"/>
  <c r="C74"/>
  <c r="K74" s="1"/>
  <c r="F70"/>
  <c r="K69"/>
  <c r="F67"/>
  <c r="F64"/>
  <c r="C62"/>
  <c r="C71" s="1"/>
  <c r="K71" s="1"/>
  <c r="F61"/>
  <c r="C60"/>
  <c r="G101" i="6"/>
  <c r="H14" i="14" l="1"/>
  <c r="H25" s="1"/>
  <c r="D14"/>
  <c r="D17" s="1"/>
  <c r="D24"/>
  <c r="D48"/>
  <c r="H48" s="1"/>
  <c r="L14"/>
  <c r="D19"/>
  <c r="H15"/>
  <c r="H17" s="1"/>
  <c r="K62" i="8"/>
  <c r="C64"/>
  <c r="K64" s="1"/>
  <c r="C78"/>
  <c r="K78" s="1"/>
  <c r="K60"/>
  <c r="I48" i="6"/>
  <c r="B14" i="8" s="1"/>
  <c r="D23" i="14" l="1"/>
  <c r="H26"/>
  <c r="H19"/>
  <c r="B24" i="8"/>
  <c r="C24"/>
  <c r="B25"/>
  <c r="C25"/>
  <c r="B28"/>
  <c r="C28"/>
  <c r="B26"/>
  <c r="B18"/>
  <c r="I25" i="6"/>
  <c r="D32" i="14"/>
  <c r="G5" i="7"/>
  <c r="E29" i="8"/>
  <c r="F29"/>
  <c r="E28"/>
  <c r="F28"/>
  <c r="E27"/>
  <c r="G27"/>
  <c r="E25"/>
  <c r="F25"/>
  <c r="E24"/>
  <c r="F12"/>
  <c r="E11"/>
  <c r="E10"/>
  <c r="E9"/>
  <c r="C4"/>
  <c r="C3"/>
  <c r="H32" i="14" l="1"/>
  <c r="D41"/>
  <c r="H41" s="1"/>
  <c r="D34"/>
  <c r="H34" s="1"/>
  <c r="B27" i="8"/>
  <c r="D25"/>
  <c r="D28"/>
  <c r="C26"/>
  <c r="C27" s="1"/>
  <c r="C18"/>
  <c r="D18" s="1"/>
  <c r="B50"/>
  <c r="C50"/>
  <c r="F24"/>
  <c r="G25"/>
  <c r="F27"/>
  <c r="G24"/>
  <c r="G29"/>
  <c r="C19" l="1"/>
  <c r="B19"/>
  <c r="I31" i="7"/>
  <c r="G23"/>
  <c r="I21"/>
  <c r="G21"/>
  <c r="I19"/>
  <c r="G19"/>
  <c r="I17"/>
  <c r="G17"/>
  <c r="I9"/>
  <c r="I5"/>
  <c r="E5" s="1"/>
  <c r="I60" i="6"/>
  <c r="C14" i="8"/>
  <c r="I40" i="6"/>
  <c r="I27"/>
  <c r="B12" i="8" s="1"/>
  <c r="C12" s="1"/>
  <c r="D26" i="14"/>
  <c r="D19" i="8" l="1"/>
  <c r="B15"/>
  <c r="C15" s="1"/>
  <c r="I63" i="6"/>
  <c r="D49" i="14" s="1"/>
  <c r="H49" s="1"/>
  <c r="H53" s="1"/>
  <c r="H55" s="1"/>
  <c r="B13" i="8"/>
  <c r="C13" s="1"/>
  <c r="E21" i="7"/>
  <c r="E19"/>
  <c r="G28"/>
  <c r="E17"/>
  <c r="E9"/>
  <c r="I28" s="1"/>
  <c r="E14"/>
  <c r="G24" s="1"/>
  <c r="B20" i="8" l="1"/>
  <c r="I69" i="6"/>
  <c r="I24" i="7"/>
  <c r="E24" s="1"/>
  <c r="K28" s="1"/>
  <c r="E28" l="1"/>
  <c r="G31" s="1"/>
  <c r="E31" s="1"/>
  <c r="C20" i="8"/>
  <c r="D20" s="1"/>
  <c r="D53" i="14"/>
  <c r="L5" s="1"/>
  <c r="I71" i="6"/>
  <c r="H3" s="1"/>
  <c r="D55" i="14" l="1"/>
  <c r="L8" s="1"/>
</calcChain>
</file>

<file path=xl/sharedStrings.xml><?xml version="1.0" encoding="utf-8"?>
<sst xmlns="http://schemas.openxmlformats.org/spreadsheetml/2006/main" count="335" uniqueCount="213">
  <si>
    <t>COST PER PERSON MODEL 2.0</t>
  </si>
  <si>
    <t>INTRODUCTION</t>
  </si>
  <si>
    <t>I. Introduction</t>
  </si>
  <si>
    <t>II. Overview of CPPM Worksheet</t>
  </si>
  <si>
    <t>The CPPM has tabs on the bottom of each screen which take the user to any of the model's sections:</t>
  </si>
  <si>
    <t>CPPM</t>
  </si>
  <si>
    <t>Allows users to input data and generate results.</t>
  </si>
  <si>
    <t>CPPM CALCULATIONS</t>
  </si>
  <si>
    <t>Provides explanation of total office workplace cost for organization, as well as cost per person.</t>
  </si>
  <si>
    <t>Illustrates cost per person results graphically.</t>
  </si>
  <si>
    <t>Calculates potential net savings resulting from the use of alternate work environments.</t>
  </si>
  <si>
    <t>DEFINITIONS</t>
  </si>
  <si>
    <t>Defines data inputs for CPPM.</t>
  </si>
  <si>
    <t>III. Getting Started: Enabling Macros</t>
  </si>
  <si>
    <t>Depending on your current computer setting, you may see a message regarding macros (Figure1) or a similar message. You will need to enable the spreadsheet macros by changing the macro security setting in the Trust Center (Figure 2).</t>
  </si>
  <si>
    <t xml:space="preserve">                             Figure 1 - Enabling Macros</t>
  </si>
  <si>
    <t xml:space="preserve">                                                                                                                                     Click the Microsoft Office Button       , then click Excel Options. In the Trust Center category, click Trust Center Settings, and then click the Macro Settings category. Under Macro Setting, Enable All Macros. Close Excel file and reopen Cost Per Person Model.
</t>
  </si>
  <si>
    <r>
      <t xml:space="preserve">
                         </t>
    </r>
    <r>
      <rPr>
        <b/>
        <sz val="13"/>
        <rFont val="Times New Roman"/>
        <family val="1"/>
      </rPr>
      <t>Figure 2 - Trust Center</t>
    </r>
  </si>
  <si>
    <t>IV. Completing the CPPM Worksheets</t>
  </si>
  <si>
    <r>
      <t xml:space="preserve">Input data in only the un-shaded spreadsheet cells. Work through each component and use suggested values where applicable, or refer to the </t>
    </r>
    <r>
      <rPr>
        <b/>
        <sz val="13"/>
        <rFont val="Times New Roman"/>
        <family val="1"/>
      </rPr>
      <t>DEFINITIONS</t>
    </r>
    <r>
      <rPr>
        <sz val="13"/>
        <rFont val="Times New Roman"/>
        <family val="1"/>
      </rPr>
      <t xml:space="preserve"> tab for more information.</t>
    </r>
  </si>
  <si>
    <r>
      <t xml:space="preserve">Complete the CPPM worksheet from top to bottom, since some calculations depend on prior inputs.  The CPPM displays a </t>
    </r>
    <r>
      <rPr>
        <b/>
        <sz val="13"/>
        <rFont val="Times New Roman"/>
        <family val="1"/>
      </rPr>
      <t>Cumulative Cost Per Person</t>
    </r>
    <r>
      <rPr>
        <sz val="13"/>
        <rFont val="Times New Roman"/>
        <family val="1"/>
      </rPr>
      <t xml:space="preserve"> at the top of each spreadsheet. This number shows the impact of a single model component on the total cost per person.  Click on the</t>
    </r>
    <r>
      <rPr>
        <b/>
        <sz val="13"/>
        <rFont val="Times New Roman"/>
        <family val="1"/>
      </rPr>
      <t xml:space="preserve">  CPPM CALCULATIONS</t>
    </r>
    <r>
      <rPr>
        <sz val="13"/>
        <rFont val="Times New Roman"/>
        <family val="1"/>
      </rPr>
      <t xml:space="preserve">  tab at any time for details of each calculation in the model.  </t>
    </r>
  </si>
  <si>
    <t>To save the results under a new file name, click "Save As" on the Excel toolbar. A dialog box will ask you for a new file name. Once you enter the new file name, click "Close" to overwrite the existing file.</t>
  </si>
  <si>
    <t>V. Contact Us</t>
  </si>
  <si>
    <t>Current Cost per Person</t>
  </si>
  <si>
    <t>CURRENT COST PER PERSON</t>
  </si>
  <si>
    <t>People</t>
  </si>
  <si>
    <t>Number of employees</t>
  </si>
  <si>
    <t>A.</t>
  </si>
  <si>
    <t>Real Estate</t>
  </si>
  <si>
    <t>Total square footage of office space (rentable)</t>
  </si>
  <si>
    <t>Including shared spaces such as restrooms and hallways, should be available on leasing agreement.</t>
  </si>
  <si>
    <t>REAL ESTATE SUBTOTAL  (A)</t>
  </si>
  <si>
    <t>B.</t>
  </si>
  <si>
    <t>Telecommunications</t>
  </si>
  <si>
    <t>Digital</t>
  </si>
  <si>
    <t>IP Phone</t>
  </si>
  <si>
    <t>TELECOMMUNICATIONS SUBTOTAL  (B)</t>
  </si>
  <si>
    <t>C.</t>
  </si>
  <si>
    <t xml:space="preserve"> </t>
  </si>
  <si>
    <t>ADDITIONAL DEVICES</t>
  </si>
  <si>
    <t>QUANTITY</t>
  </si>
  <si>
    <t>ANNUAL COST PER UNIT</t>
  </si>
  <si>
    <t xml:space="preserve">Laptop </t>
  </si>
  <si>
    <t>Smartphone</t>
  </si>
  <si>
    <t>Suggested range: $600-$800 per year</t>
  </si>
  <si>
    <t>Other (optional description)</t>
  </si>
  <si>
    <t>Alternative Work Environments</t>
  </si>
  <si>
    <t>Total number of teleworkers</t>
  </si>
  <si>
    <t>(All costs are annualized)</t>
  </si>
  <si>
    <t>TOTAL COST FOR ORGANIZATION</t>
  </si>
  <si>
    <t>TOTAL COST PER PERSON</t>
  </si>
  <si>
    <t>http://www.gsa.gov/portal/content/103583</t>
  </si>
  <si>
    <t>A. Real Estate</t>
  </si>
  <si>
    <t>REAL ESTATE 
SUBTOTAL (A)</t>
  </si>
  <si>
    <t>=</t>
  </si>
  <si>
    <t>fully serviced rentable sq. ft.</t>
  </si>
  <si>
    <t>*</t>
  </si>
  <si>
    <t>B. Telecommunications</t>
  </si>
  <si>
    <t>TELECOMMUNICATIONS
SUBTOTAL (B)</t>
  </si>
  <si>
    <t>annual telecom cost per workstation</t>
  </si>
  <si>
    <t>WORKSTATION IT</t>
  </si>
  <si>
    <t>WORKSTATION IT SUBTOTAL</t>
  </si>
  <si>
    <t>LAPTOP COST</t>
  </si>
  <si>
    <t>number of laptops</t>
  </si>
  <si>
    <t>annual cost per laptop</t>
  </si>
  <si>
    <t>CELL PHONE COST</t>
  </si>
  <si>
    <t>number of cell phones</t>
  </si>
  <si>
    <t>annual cost per cell phone</t>
  </si>
  <si>
    <t>OTHER ADD. DEVICE COST</t>
  </si>
  <si>
    <t>number of items</t>
  </si>
  <si>
    <t>annual cost of item</t>
  </si>
  <si>
    <t>+</t>
  </si>
  <si>
    <t>ADDITIONAL DEVICES SUBTOTAL</t>
  </si>
  <si>
    <t>REAL ESTATE SUBTOTAL</t>
  </si>
  <si>
    <t>TELECOM SUBTOTAL</t>
  </si>
  <si>
    <t>¸</t>
  </si>
  <si>
    <t>NUMBER OF EMPLOYEES</t>
  </si>
  <si>
    <t>DIGITAL/ANALOG</t>
  </si>
  <si>
    <t>TELECOM</t>
  </si>
  <si>
    <t>IT</t>
  </si>
  <si>
    <t>ENHANCEMENTS</t>
  </si>
  <si>
    <t>Checked?</t>
  </si>
  <si>
    <t>SUGGESTED RANGES</t>
  </si>
  <si>
    <t>ALTERNATIVE WORK</t>
  </si>
  <si>
    <t>Suggested range: $600-$850 per year*</t>
  </si>
  <si>
    <t>Examples: Blackberry, home internet access*</t>
  </si>
  <si>
    <t>User Estimated Fully serviced rental rate</t>
  </si>
  <si>
    <t>User Estimated Daily telework center cost</t>
  </si>
  <si>
    <t>CPP GRAPHS</t>
  </si>
  <si>
    <t>TOTALS</t>
  </si>
  <si>
    <t>PER PERSON</t>
  </si>
  <si>
    <t>Telecom</t>
  </si>
  <si>
    <t>Workstation IT</t>
  </si>
  <si>
    <t>Intoduction</t>
  </si>
  <si>
    <t>Intorduction</t>
  </si>
  <si>
    <t>SCENARIO TOOL GRAPHS</t>
  </si>
  <si>
    <t>Introductions</t>
  </si>
  <si>
    <t>SUBTRACTION OF SCENARIO TOOL GRAPHS FROM CPP GRAPHS</t>
  </si>
  <si>
    <t>costs</t>
  </si>
  <si>
    <t>savings</t>
  </si>
  <si>
    <t>NET SAVINGS</t>
  </si>
  <si>
    <t>Baseline IT</t>
  </si>
  <si>
    <t>Cloud IT</t>
  </si>
  <si>
    <t>Digital Phone</t>
  </si>
  <si>
    <t>e.g., Tablet Computer (assumes a 1-year lifecycle and a range of $500 - $600 per year)</t>
  </si>
  <si>
    <t>Suggested range: $400-$500 per year  
(assumes a 3-year lifecycle)</t>
  </si>
  <si>
    <t>Total number of employees, including full-time, part-time, interns, and contractors, in terms of full-time equivalents (FTE).</t>
  </si>
  <si>
    <t xml:space="preserve">  REAL ESTATE</t>
  </si>
  <si>
    <t>Fully serviced rental rate</t>
  </si>
  <si>
    <t xml:space="preserve">  TELECOMMUNICATIONS</t>
  </si>
  <si>
    <t>Annual cost per workstation</t>
  </si>
  <si>
    <t xml:space="preserve"> number of square feet</t>
  </si>
  <si>
    <t>Total number of workspaces</t>
  </si>
  <si>
    <t>Including utilities, trash removal, janitorial services, furniture and fixtures, etc.</t>
  </si>
  <si>
    <t>Personal IT Subtotal</t>
  </si>
  <si>
    <t>Laptop (second computer)</t>
  </si>
  <si>
    <t>Number of profiles</t>
  </si>
  <si>
    <t xml:space="preserve">Personal Information Technology (IT) </t>
  </si>
  <si>
    <t>Shared Workspaces</t>
  </si>
  <si>
    <t>Shared Square Feet</t>
  </si>
  <si>
    <t>Shared Space Costs</t>
  </si>
  <si>
    <t>Additional Devices Subtotal</t>
  </si>
  <si>
    <t>Personal  IT SUBTOTAL  (C)</t>
  </si>
  <si>
    <t>Estimated annual cost per profile</t>
  </si>
  <si>
    <t>Estimated annual IT cost per profile</t>
  </si>
  <si>
    <t>Square Feet (%)</t>
  </si>
  <si>
    <t>Square Feet (#)</t>
  </si>
  <si>
    <t>Teleworkers (%)</t>
  </si>
  <si>
    <t>Teleworkers (#)</t>
  </si>
  <si>
    <t>Adjusted Outcomes</t>
  </si>
  <si>
    <t>Field Name</t>
  </si>
  <si>
    <t>Description</t>
  </si>
  <si>
    <t>Tenant total square footage of rentable office space, except for the elevator shaft and fire-escape stairwell. Rentable space includes restrooms, electrical and mechanical rooms, janitorial rooms, elevator lobbies and public corridors. Cost data should be available in leasing agreement.</t>
  </si>
  <si>
    <t>Total number of on-site workstations</t>
  </si>
  <si>
    <t>Square feet per person</t>
  </si>
  <si>
    <t>Rental rate for the area, building class, and type.  Including utilities, trash removal, janitorial services, furniture, fixtures, and equipment, etc.</t>
  </si>
  <si>
    <t>Annual cost of digital system or IP Phone (Voice Over Internet Protocal) for each workstation.  This includes the instrument cost plus the cost of local service.</t>
  </si>
  <si>
    <t>Annual IT cost per individual profile</t>
  </si>
  <si>
    <t>Cost of workstation IT system and local area network (LAN) interface for each employee. Cost of a personal computer and a phone for each workstation based on economies of scales for a large organization. Cost includes a more powerful (megahertz) PC with a large disk space. It also includes more options in the software IT configuration and in-house staff support (i.e. Help Desk).</t>
  </si>
  <si>
    <t>Includes cost of Voice and Domestic Data Bundle Plan. For devices, zero or nominal cost. Suggested cost range is $600-$700 per year.</t>
  </si>
  <si>
    <t>Tablet Computer</t>
  </si>
  <si>
    <t>CALCULATIONS</t>
  </si>
  <si>
    <t>SCENARIOS</t>
  </si>
  <si>
    <t>Picklist Results: Do not Edit</t>
  </si>
  <si>
    <t>Second Computer (laptop)</t>
  </si>
  <si>
    <t>BASELINE</t>
  </si>
  <si>
    <t>ADJUSTED</t>
  </si>
  <si>
    <t>SAVINGS</t>
  </si>
  <si>
    <t>Teleworkers</t>
  </si>
  <si>
    <t>Assigned Workspaces</t>
  </si>
  <si>
    <t>Total Workspaces</t>
  </si>
  <si>
    <t>Real Estate Comparison</t>
  </si>
  <si>
    <t>Rentable Square Feet (*1,000)</t>
  </si>
  <si>
    <t>Estimated fully serviced workspace cost</t>
  </si>
  <si>
    <t>Unassigned workers</t>
  </si>
  <si>
    <t>Illustrates scenario results graphically.</t>
  </si>
  <si>
    <t>SCENARIO GRAPHS</t>
  </si>
  <si>
    <t>Results</t>
  </si>
  <si>
    <t>Total square footage of office space</t>
  </si>
  <si>
    <t>Change in Cost</t>
  </si>
  <si>
    <t>Change in Sq. Ft.</t>
  </si>
  <si>
    <t>Change in Teleworkers</t>
  </si>
  <si>
    <t>Change in Cost Per Person</t>
  </si>
  <si>
    <t>TELECOM SUBTOTAL  (B)</t>
  </si>
  <si>
    <t>Square feet/person</t>
  </si>
  <si>
    <t>Full service lease rate/square foot</t>
  </si>
  <si>
    <t>Estimated annual Telcom cost per user profile</t>
  </si>
  <si>
    <t>Estimated annual IT cost per user profile</t>
  </si>
  <si>
    <t>Suggested range: $600-$700 per year</t>
  </si>
  <si>
    <t>TOTALS (A+B+C)</t>
  </si>
  <si>
    <t>Current Baseline</t>
  </si>
  <si>
    <t>Cost per workspace</t>
  </si>
  <si>
    <t>Cost per square foot</t>
  </si>
  <si>
    <t>Potential Savings</t>
  </si>
  <si>
    <t>Scenario Tool</t>
  </si>
  <si>
    <t>Scenario Graphs</t>
  </si>
  <si>
    <t>CPPM Graphs</t>
  </si>
  <si>
    <t>annual IT cost per IT profile</t>
  </si>
  <si>
    <t>number of employees</t>
  </si>
  <si>
    <t>Ratio of teleworkers to shared workspace</t>
  </si>
  <si>
    <t>Laptop</t>
  </si>
  <si>
    <t>Other</t>
  </si>
  <si>
    <t>Hoteling or desk sharing (unassigned workspaces)</t>
  </si>
  <si>
    <t>Number of teleworkers</t>
  </si>
  <si>
    <t>Number of workspaces</t>
  </si>
  <si>
    <t>Select Telecommunications Service</t>
  </si>
  <si>
    <t>Real Estate Subtotal</t>
  </si>
  <si>
    <t>Telecom Subtotal</t>
  </si>
  <si>
    <t>Total Costs</t>
  </si>
  <si>
    <t>Total Cost</t>
  </si>
  <si>
    <t>Total Cost Per Person</t>
  </si>
  <si>
    <t>Number of shared workspaces available</t>
  </si>
  <si>
    <t>Individual IT Subtotal</t>
  </si>
  <si>
    <t>MOBILITY DEVICES</t>
  </si>
  <si>
    <t>Mobility Devices Subtotal</t>
  </si>
  <si>
    <t>Individual IT and Mobility Devices Subtotal (C)</t>
  </si>
  <si>
    <t xml:space="preserve">Individual Information Technology (IT) </t>
  </si>
  <si>
    <t>Mobility Devices</t>
  </si>
  <si>
    <t>Individual  IT/Devices Subtotal</t>
  </si>
  <si>
    <t>Individual IT</t>
  </si>
  <si>
    <t>Moblity Devices</t>
  </si>
  <si>
    <t xml:space="preserve">Number of employees who perform work at least one entire work day a week at a location other than their official duty station. </t>
  </si>
  <si>
    <t xml:space="preserve"> INDIVIDUAL INFORMATION TECHNOLOGY (IT) AND MOBILITY  DEVICES </t>
  </si>
  <si>
    <t xml:space="preserve">For devices, zero or nominal cost. Suggested cost range is $500-$600 per year. </t>
  </si>
  <si>
    <t>Individual Information Technology (IT) and Mobility Devices</t>
  </si>
  <si>
    <t>Cost for laptop computers used by employees for travel,  teleworking, etc. Suggested cost range is $400-$500 per year, assuming 3-year life cycle.</t>
  </si>
  <si>
    <t>Total square feet of rentable office space divided by the total number of employees (FTE).</t>
  </si>
  <si>
    <t>C. Individual Information Technology (IT) and Mobility Devices</t>
  </si>
  <si>
    <t xml:space="preserve">INDIVIDUAL IT AND MOBILITY DEVICES SUBTOTAL (C)  </t>
  </si>
  <si>
    <t>INDIVIDUAL IT AND MOBILITY DEVICES SUBTOTAL</t>
  </si>
  <si>
    <t xml:space="preserve">The Cost Per Person Model 2.0 (CPPM) is an Excel-based tool designed to compute and benchmark the cost per person for workspace, information technology (IT), and telecommunications scenarios. The CPPM also calculates potential cost savings resulting from the use of alternative work environments, such as hoteling, or desk sharing.  </t>
  </si>
  <si>
    <r>
      <t xml:space="preserve">    </t>
    </r>
    <r>
      <rPr>
        <u/>
        <sz val="14"/>
        <color indexed="12"/>
        <rFont val="Tahoma"/>
        <family val="2"/>
      </rPr>
      <t>GRAPHS</t>
    </r>
  </si>
  <si>
    <t xml:space="preserve">If you have questions or comments regarding the Cost Per Person Model 2.0, please contact Ray Wynter, GSA's Office of Governmentwide Policy, at 202-501-3802 or ray.wynter@gsa.gov. </t>
  </si>
</sst>
</file>

<file path=xl/styles.xml><?xml version="1.0" encoding="utf-8"?>
<styleSheet xmlns="http://schemas.openxmlformats.org/spreadsheetml/2006/main">
  <numFmts count="12">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0.0"/>
    <numFmt numFmtId="166" formatCode="0.0"/>
    <numFmt numFmtId="167" formatCode="&quot;$&quot;#,##0.00"/>
    <numFmt numFmtId="168" formatCode="&quot;$&quot;#,##0.0000"/>
    <numFmt numFmtId="169" formatCode="0.000"/>
    <numFmt numFmtId="170" formatCode="0.0%"/>
    <numFmt numFmtId="171" formatCode="_(* #,##0_);_(* \(#,##0\);_(* &quot;-&quot;??_);_(@_)"/>
  </numFmts>
  <fonts count="96">
    <font>
      <sz val="11"/>
      <color theme="1"/>
      <name val="Arial"/>
      <family val="2"/>
    </font>
    <font>
      <sz val="10"/>
      <name val="Arial"/>
      <family val="2"/>
    </font>
    <font>
      <b/>
      <sz val="20"/>
      <color indexed="18"/>
      <name val="Tahoma"/>
      <family val="2"/>
    </font>
    <font>
      <sz val="14"/>
      <color indexed="43"/>
      <name val="Tahoma"/>
      <family val="2"/>
    </font>
    <font>
      <sz val="13"/>
      <name val="Times New Roman"/>
      <family val="1"/>
    </font>
    <font>
      <sz val="11"/>
      <name val="Times New Roman"/>
      <family val="1"/>
    </font>
    <font>
      <sz val="13"/>
      <name val="Wingdings"/>
      <charset val="2"/>
    </font>
    <font>
      <b/>
      <sz val="13"/>
      <name val="Times New Roman"/>
      <family val="1"/>
    </font>
    <font>
      <b/>
      <sz val="11"/>
      <name val="Arial"/>
      <family val="2"/>
    </font>
    <font>
      <sz val="11"/>
      <name val="Wingdings"/>
      <charset val="2"/>
    </font>
    <font>
      <b/>
      <sz val="11"/>
      <name val="Times New Roman"/>
      <family val="1"/>
    </font>
    <font>
      <sz val="10"/>
      <name val="Tahoma"/>
      <family val="2"/>
    </font>
    <font>
      <b/>
      <sz val="10"/>
      <color rgb="FF000080"/>
      <name val="Arial"/>
      <family val="2"/>
    </font>
    <font>
      <b/>
      <sz val="12"/>
      <color rgb="FF000080"/>
      <name val="Arial"/>
      <family val="2"/>
    </font>
    <font>
      <sz val="10"/>
      <color indexed="8"/>
      <name val="Tahoma"/>
      <family val="2"/>
    </font>
    <font>
      <b/>
      <sz val="28"/>
      <color indexed="18"/>
      <name val="Tahoma"/>
      <family val="2"/>
    </font>
    <font>
      <sz val="18"/>
      <color indexed="18"/>
      <name val="Tahoma"/>
      <family val="2"/>
    </font>
    <font>
      <b/>
      <sz val="12"/>
      <color indexed="18"/>
      <name val="Tahoma"/>
      <family val="2"/>
    </font>
    <font>
      <b/>
      <sz val="18"/>
      <color indexed="18"/>
      <name val="Tahoma"/>
      <family val="2"/>
    </font>
    <font>
      <sz val="22"/>
      <color indexed="43"/>
      <name val="Tahoma"/>
      <family val="2"/>
    </font>
    <font>
      <b/>
      <sz val="20"/>
      <color indexed="43"/>
      <name val="Tahoma"/>
      <family val="2"/>
    </font>
    <font>
      <sz val="10"/>
      <color indexed="43"/>
      <name val="Tahoma"/>
      <family val="2"/>
    </font>
    <font>
      <b/>
      <sz val="16"/>
      <color indexed="54"/>
      <name val="Tahoma"/>
      <family val="2"/>
    </font>
    <font>
      <b/>
      <sz val="10"/>
      <color indexed="8"/>
      <name val="Tahoma"/>
      <family val="2"/>
    </font>
    <font>
      <b/>
      <sz val="10"/>
      <color indexed="18"/>
      <name val="Tahoma"/>
      <family val="2"/>
    </font>
    <font>
      <sz val="26"/>
      <color indexed="8"/>
      <name val="Franklin Gothic Medium"/>
      <family val="2"/>
    </font>
    <font>
      <sz val="20"/>
      <color indexed="43"/>
      <name val="Tahoma"/>
      <family val="2"/>
    </font>
    <font>
      <sz val="16"/>
      <color indexed="43"/>
      <name val="Tahoma"/>
      <family val="2"/>
    </font>
    <font>
      <u/>
      <sz val="10"/>
      <color indexed="12"/>
      <name val="Arial"/>
      <family val="2"/>
    </font>
    <font>
      <u/>
      <sz val="14"/>
      <color indexed="12"/>
      <name val="Arial"/>
      <family val="2"/>
    </font>
    <font>
      <u/>
      <sz val="11"/>
      <color indexed="43"/>
      <name val="Arial"/>
      <family val="2"/>
    </font>
    <font>
      <b/>
      <sz val="8"/>
      <color indexed="8"/>
      <name val="Tahoma"/>
      <family val="2"/>
    </font>
    <font>
      <b/>
      <sz val="14"/>
      <color indexed="54"/>
      <name val="Tahoma"/>
      <family val="2"/>
    </font>
    <font>
      <sz val="14"/>
      <color indexed="18"/>
      <name val="Tahoma"/>
      <family val="2"/>
    </font>
    <font>
      <b/>
      <sz val="14"/>
      <color indexed="8"/>
      <name val="Tahoma"/>
      <family val="2"/>
    </font>
    <font>
      <b/>
      <sz val="14"/>
      <color indexed="18"/>
      <name val="Tahoma"/>
      <family val="2"/>
    </font>
    <font>
      <sz val="14"/>
      <color indexed="8"/>
      <name val="Tahoma"/>
      <family val="2"/>
    </font>
    <font>
      <b/>
      <sz val="14"/>
      <color indexed="54"/>
      <name val="Arial"/>
      <family val="2"/>
    </font>
    <font>
      <b/>
      <sz val="14"/>
      <color indexed="20"/>
      <name val="Tahoma"/>
      <family val="2"/>
    </font>
    <font>
      <sz val="14"/>
      <color indexed="20"/>
      <name val="Arial"/>
      <family val="2"/>
    </font>
    <font>
      <sz val="12"/>
      <color indexed="54"/>
      <name val="Arial"/>
      <family val="2"/>
    </font>
    <font>
      <sz val="12"/>
      <color indexed="54"/>
      <name val="Tahoma"/>
      <family val="2"/>
    </font>
    <font>
      <b/>
      <sz val="13"/>
      <color indexed="18"/>
      <name val="Tahoma"/>
      <family val="2"/>
    </font>
    <font>
      <b/>
      <sz val="16"/>
      <color indexed="18"/>
      <name val="Tahoma"/>
      <family val="2"/>
    </font>
    <font>
      <b/>
      <sz val="12"/>
      <color indexed="54"/>
      <name val="Tahoma"/>
      <family val="2"/>
    </font>
    <font>
      <b/>
      <sz val="12"/>
      <color indexed="8"/>
      <name val="Tahoma"/>
      <family val="2"/>
    </font>
    <font>
      <b/>
      <sz val="14"/>
      <color indexed="57"/>
      <name val="Tahoma"/>
      <family val="2"/>
    </font>
    <font>
      <sz val="13"/>
      <color indexed="54"/>
      <name val="Tahoma"/>
      <family val="2"/>
    </font>
    <font>
      <sz val="26"/>
      <color indexed="8"/>
      <name val="Tahoma"/>
      <family val="2"/>
    </font>
    <font>
      <b/>
      <sz val="16"/>
      <color indexed="17"/>
      <name val="Tahoma"/>
      <family val="2"/>
    </font>
    <font>
      <b/>
      <sz val="11"/>
      <color indexed="18"/>
      <name val="Tahoma"/>
      <family val="2"/>
    </font>
    <font>
      <b/>
      <sz val="22"/>
      <color indexed="18"/>
      <name val="Tahoma"/>
      <family val="2"/>
    </font>
    <font>
      <b/>
      <sz val="20"/>
      <color indexed="57"/>
      <name val="Tahoma"/>
      <family val="2"/>
    </font>
    <font>
      <b/>
      <sz val="16"/>
      <color indexed="57"/>
      <name val="Tahoma"/>
      <family val="2"/>
    </font>
    <font>
      <sz val="10"/>
      <color indexed="57"/>
      <name val="Tahoma"/>
      <family val="2"/>
    </font>
    <font>
      <sz val="10"/>
      <color indexed="54"/>
      <name val="Tahoma"/>
      <family val="2"/>
    </font>
    <font>
      <b/>
      <sz val="12"/>
      <color indexed="54"/>
      <name val="Arial"/>
      <family val="2"/>
    </font>
    <font>
      <b/>
      <sz val="11"/>
      <color indexed="18"/>
      <name val="Arial"/>
      <family val="2"/>
    </font>
    <font>
      <b/>
      <sz val="10"/>
      <color indexed="10"/>
      <name val="Tahoma"/>
      <family val="2"/>
    </font>
    <font>
      <sz val="12"/>
      <name val="Arial"/>
      <family val="2"/>
    </font>
    <font>
      <sz val="12"/>
      <color indexed="18"/>
      <name val="Tahoma"/>
      <family val="2"/>
    </font>
    <font>
      <b/>
      <sz val="10"/>
      <name val="Arial"/>
      <family val="2"/>
    </font>
    <font>
      <sz val="12"/>
      <color indexed="43"/>
      <name val="Tahoma"/>
      <family val="2"/>
    </font>
    <font>
      <sz val="10"/>
      <color indexed="43"/>
      <name val="Arial"/>
      <family val="2"/>
    </font>
    <font>
      <sz val="9"/>
      <color indexed="8"/>
      <name val="Tahoma"/>
      <family val="2"/>
    </font>
    <font>
      <sz val="9"/>
      <color indexed="18"/>
      <name val="Tahoma"/>
      <family val="2"/>
    </font>
    <font>
      <u/>
      <sz val="10"/>
      <color theme="0"/>
      <name val="Arial"/>
      <family val="2"/>
    </font>
    <font>
      <sz val="16"/>
      <color indexed="18"/>
      <name val="Tahoma"/>
      <family val="2"/>
    </font>
    <font>
      <sz val="25"/>
      <color indexed="18"/>
      <name val="Symbol"/>
      <family val="1"/>
      <charset val="2"/>
    </font>
    <font>
      <sz val="8"/>
      <name val="Arial"/>
      <family val="2"/>
    </font>
    <font>
      <sz val="10"/>
      <color indexed="8"/>
      <name val="Arial"/>
      <family val="2"/>
    </font>
    <font>
      <b/>
      <sz val="11"/>
      <color indexed="17"/>
      <name val="Tahoma"/>
      <family val="2"/>
    </font>
    <font>
      <sz val="11"/>
      <color theme="1"/>
      <name val="Arial"/>
      <family val="2"/>
    </font>
    <font>
      <b/>
      <sz val="11"/>
      <name val="Tahoma"/>
      <family val="2"/>
    </font>
    <font>
      <b/>
      <sz val="11"/>
      <color indexed="54"/>
      <name val="Tahoma"/>
      <family val="2"/>
    </font>
    <font>
      <sz val="11"/>
      <color theme="0"/>
      <name val="Tahoma"/>
      <family val="2"/>
    </font>
    <font>
      <sz val="10"/>
      <color theme="0"/>
      <name val="Tahoma"/>
      <family val="2"/>
    </font>
    <font>
      <u/>
      <sz val="14"/>
      <color indexed="12"/>
      <name val="Tahoma"/>
      <family val="2"/>
    </font>
    <font>
      <b/>
      <sz val="12"/>
      <color indexed="32"/>
      <name val="Tahoma"/>
      <family val="2"/>
    </font>
    <font>
      <b/>
      <sz val="14"/>
      <color theme="5" tint="-0.249977111117893"/>
      <name val="Tahoma"/>
      <family val="2"/>
    </font>
    <font>
      <sz val="11"/>
      <color indexed="8"/>
      <name val="Tahoma"/>
      <family val="2"/>
    </font>
    <font>
      <sz val="11"/>
      <color indexed="43"/>
      <name val="Tahoma"/>
      <family val="2"/>
    </font>
    <font>
      <b/>
      <sz val="11"/>
      <color indexed="8"/>
      <name val="Tahoma"/>
      <family val="2"/>
    </font>
    <font>
      <sz val="11"/>
      <color indexed="54"/>
      <name val="Arial"/>
      <family val="2"/>
    </font>
    <font>
      <sz val="11"/>
      <name val="Arial"/>
      <family val="2"/>
    </font>
    <font>
      <sz val="11"/>
      <color indexed="54"/>
      <name val="Tahoma"/>
      <family val="2"/>
    </font>
    <font>
      <b/>
      <sz val="11"/>
      <color indexed="10"/>
      <name val="Tahoma"/>
      <family val="2"/>
    </font>
    <font>
      <sz val="18"/>
      <color theme="0"/>
      <name val="Tahoma"/>
      <family val="2"/>
    </font>
    <font>
      <b/>
      <sz val="24"/>
      <color rgb="FF002060"/>
      <name val="Tahoma"/>
      <family val="2"/>
    </font>
    <font>
      <sz val="11"/>
      <color rgb="FF9C6500"/>
      <name val="Arial"/>
      <family val="2"/>
    </font>
    <font>
      <b/>
      <sz val="11"/>
      <color theme="3"/>
      <name val="Tahoma"/>
      <family val="2"/>
    </font>
    <font>
      <b/>
      <sz val="12"/>
      <color theme="3"/>
      <name val="Tahoma"/>
      <family val="2"/>
    </font>
    <font>
      <b/>
      <sz val="11"/>
      <color theme="3" tint="-0.499984740745262"/>
      <name val="Tahoma"/>
      <family val="2"/>
    </font>
    <font>
      <b/>
      <sz val="11"/>
      <color rgb="FF002060"/>
      <name val="Tahoma"/>
      <family val="2"/>
    </font>
    <font>
      <sz val="11"/>
      <color theme="1"/>
      <name val="Calibri"/>
      <family val="2"/>
    </font>
    <font>
      <sz val="14"/>
      <color indexed="12"/>
      <name val="Tahoma"/>
      <family val="2"/>
    </font>
  </fonts>
  <fills count="12">
    <fill>
      <patternFill patternType="none"/>
    </fill>
    <fill>
      <patternFill patternType="gray125"/>
    </fill>
    <fill>
      <patternFill patternType="solid">
        <fgColor indexed="54"/>
        <bgColor indexed="64"/>
      </patternFill>
    </fill>
    <fill>
      <patternFill patternType="solid">
        <fgColor indexed="31"/>
        <bgColor indexed="64"/>
      </patternFill>
    </fill>
    <fill>
      <patternFill patternType="solid">
        <fgColor indexed="26"/>
        <bgColor indexed="64"/>
      </patternFill>
    </fill>
    <fill>
      <patternFill patternType="solid">
        <fgColor indexed="9"/>
        <bgColor indexed="64"/>
      </patternFill>
    </fill>
    <fill>
      <patternFill patternType="solid">
        <fgColor rgb="FFFFFFCC"/>
        <bgColor indexed="64"/>
      </patternFill>
    </fill>
    <fill>
      <patternFill patternType="solid">
        <fgColor indexed="43"/>
        <bgColor indexed="64"/>
      </patternFill>
    </fill>
    <fill>
      <patternFill patternType="solid">
        <fgColor theme="2" tint="-0.749992370372631"/>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rgb="FFFFEB9C"/>
      </patternFill>
    </fill>
  </fills>
  <borders count="24">
    <border>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style="hair">
        <color indexed="64"/>
      </bottom>
      <diagonal/>
    </border>
    <border>
      <left/>
      <right/>
      <top style="double">
        <color indexed="64"/>
      </top>
      <bottom style="hair">
        <color indexed="64"/>
      </bottom>
      <diagonal/>
    </border>
    <border>
      <left/>
      <right style="double">
        <color indexed="64"/>
      </right>
      <top style="double">
        <color indexed="64"/>
      </top>
      <bottom style="hair">
        <color indexed="64"/>
      </bottom>
      <diagonal/>
    </border>
    <border>
      <left style="double">
        <color indexed="64"/>
      </left>
      <right/>
      <top style="hair">
        <color indexed="64"/>
      </top>
      <bottom style="double">
        <color indexed="64"/>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18"/>
      </left>
      <right style="thin">
        <color indexed="18"/>
      </right>
      <top style="thin">
        <color indexed="18"/>
      </top>
      <bottom style="thin">
        <color indexed="18"/>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bottom/>
      <diagonal/>
    </border>
    <border>
      <left/>
      <right/>
      <top/>
      <bottom style="double">
        <color rgb="FF3F3F3F"/>
      </bottom>
      <diagonal/>
    </border>
    <border>
      <left/>
      <right/>
      <top style="double">
        <color rgb="FF3F3F3F"/>
      </top>
      <bottom style="thin">
        <color indexed="64"/>
      </bottom>
      <diagonal/>
    </border>
  </borders>
  <cellStyleXfs count="7">
    <xf numFmtId="0" fontId="0" fillId="0" borderId="0"/>
    <xf numFmtId="0" fontId="1" fillId="0" borderId="0"/>
    <xf numFmtId="0" fontId="28" fillId="0" borderId="0" applyNumberFormat="0" applyFill="0" applyBorder="0" applyAlignment="0" applyProtection="0">
      <alignment vertical="top"/>
      <protection locked="0"/>
    </xf>
    <xf numFmtId="9" fontId="1" fillId="0" borderId="0" applyFont="0" applyFill="0" applyBorder="0" applyAlignment="0" applyProtection="0"/>
    <xf numFmtId="44" fontId="72" fillId="0" borderId="0" applyFont="0" applyFill="0" applyBorder="0" applyAlignment="0" applyProtection="0"/>
    <xf numFmtId="43" fontId="72" fillId="0" borderId="0" applyFont="0" applyFill="0" applyBorder="0" applyAlignment="0" applyProtection="0"/>
    <xf numFmtId="0" fontId="89" fillId="11" borderId="0" applyNumberFormat="0" applyBorder="0" applyAlignment="0" applyProtection="0"/>
  </cellStyleXfs>
  <cellXfs count="395">
    <xf numFmtId="0" fontId="0" fillId="0" borderId="0" xfId="0"/>
    <xf numFmtId="0" fontId="1" fillId="0" borderId="0" xfId="1"/>
    <xf numFmtId="0" fontId="5" fillId="0" borderId="4" xfId="1" applyFont="1" applyBorder="1" applyAlignment="1" applyProtection="1">
      <alignment horizontal="left" vertical="top" wrapText="1" indent="2"/>
      <protection hidden="1"/>
    </xf>
    <xf numFmtId="0" fontId="7" fillId="0" borderId="0" xfId="1" applyFont="1" applyFill="1" applyBorder="1" applyAlignment="1">
      <alignment horizontal="left" indent="2"/>
    </xf>
    <xf numFmtId="0" fontId="4" fillId="0" borderId="0" xfId="1" applyFont="1" applyFill="1" applyBorder="1" applyAlignment="1">
      <alignment horizontal="left"/>
    </xf>
    <xf numFmtId="0" fontId="8" fillId="0" borderId="0" xfId="1" applyFont="1" applyFill="1" applyBorder="1" applyAlignment="1">
      <alignment horizontal="left" indent="2"/>
    </xf>
    <xf numFmtId="0" fontId="5" fillId="0" borderId="0" xfId="1" applyFont="1" applyFill="1" applyBorder="1" applyAlignment="1">
      <alignment horizontal="left"/>
    </xf>
    <xf numFmtId="0" fontId="4" fillId="0" borderId="3" xfId="1" applyFont="1" applyBorder="1" applyAlignment="1" applyProtection="1">
      <alignment horizontal="left" vertical="top" wrapText="1"/>
      <protection hidden="1"/>
    </xf>
    <xf numFmtId="0" fontId="7" fillId="0" borderId="3" xfId="1" applyFont="1" applyBorder="1" applyAlignment="1">
      <alignment vertical="top"/>
    </xf>
    <xf numFmtId="0" fontId="4" fillId="0" borderId="0" xfId="1" applyFont="1" applyBorder="1" applyAlignment="1" applyProtection="1">
      <alignment horizontal="left" vertical="top" wrapText="1"/>
      <protection hidden="1"/>
    </xf>
    <xf numFmtId="0" fontId="4" fillId="0" borderId="0" xfId="1" applyFont="1" applyAlignment="1" applyProtection="1">
      <alignment horizontal="left" wrapText="1" indent="2"/>
      <protection hidden="1"/>
    </xf>
    <xf numFmtId="0" fontId="1" fillId="0" borderId="0" xfId="1" applyFont="1"/>
    <xf numFmtId="0" fontId="9" fillId="0" borderId="0" xfId="1" applyFont="1" applyAlignment="1" applyProtection="1">
      <alignment horizontal="left" wrapText="1" indent="2"/>
      <protection hidden="1"/>
    </xf>
    <xf numFmtId="0" fontId="10" fillId="0" borderId="0" xfId="1" applyFont="1" applyFill="1" applyBorder="1" applyAlignment="1">
      <alignment horizontal="left" indent="2"/>
    </xf>
    <xf numFmtId="0" fontId="11" fillId="0" borderId="0" xfId="1" applyFont="1"/>
    <xf numFmtId="0" fontId="14" fillId="0" borderId="0" xfId="1" applyFont="1" applyFill="1" applyProtection="1">
      <protection hidden="1"/>
    </xf>
    <xf numFmtId="0" fontId="15" fillId="0" borderId="0" xfId="1" applyFont="1" applyFill="1" applyAlignment="1" applyProtection="1">
      <alignment horizontal="center"/>
      <protection hidden="1"/>
    </xf>
    <xf numFmtId="0" fontId="1" fillId="0" borderId="0" xfId="1" applyFill="1" applyBorder="1" applyAlignment="1" applyProtection="1">
      <alignment horizontal="center"/>
      <protection hidden="1"/>
    </xf>
    <xf numFmtId="0" fontId="17" fillId="0" borderId="0" xfId="1" applyFont="1" applyFill="1" applyBorder="1" applyAlignment="1" applyProtection="1">
      <alignment horizontal="center"/>
      <protection hidden="1"/>
    </xf>
    <xf numFmtId="164" fontId="18" fillId="0" borderId="0" xfId="1" applyNumberFormat="1" applyFont="1" applyFill="1" applyBorder="1" applyAlignment="1" applyProtection="1">
      <alignment horizontal="center"/>
      <protection hidden="1"/>
    </xf>
    <xf numFmtId="0" fontId="14" fillId="0" borderId="0" xfId="1" applyFont="1" applyFill="1" applyBorder="1" applyAlignment="1" applyProtection="1">
      <alignment horizontal="center"/>
      <protection hidden="1"/>
    </xf>
    <xf numFmtId="0" fontId="19" fillId="2" borderId="5" xfId="1" applyFont="1" applyFill="1" applyBorder="1" applyAlignment="1" applyProtection="1">
      <alignment horizontal="left" vertical="center"/>
      <protection hidden="1"/>
    </xf>
    <xf numFmtId="0" fontId="20" fillId="2" borderId="13" xfId="1" applyFont="1" applyFill="1" applyBorder="1" applyAlignment="1" applyProtection="1">
      <alignment horizontal="left" vertical="center"/>
      <protection hidden="1"/>
    </xf>
    <xf numFmtId="0" fontId="20" fillId="2" borderId="13" xfId="1" applyFont="1" applyFill="1" applyBorder="1" applyAlignment="1" applyProtection="1">
      <alignment horizontal="center" vertical="center"/>
      <protection hidden="1"/>
    </xf>
    <xf numFmtId="0" fontId="21" fillId="2" borderId="13" xfId="1" applyFont="1" applyFill="1" applyBorder="1" applyProtection="1">
      <protection hidden="1"/>
    </xf>
    <xf numFmtId="0" fontId="21" fillId="2" borderId="6" xfId="1" applyFont="1" applyFill="1" applyBorder="1" applyProtection="1">
      <protection hidden="1"/>
    </xf>
    <xf numFmtId="0" fontId="14" fillId="4" borderId="14" xfId="1" applyFont="1" applyFill="1" applyBorder="1" applyProtection="1">
      <protection hidden="1"/>
    </xf>
    <xf numFmtId="0" fontId="14" fillId="4" borderId="3" xfId="1" applyFont="1" applyFill="1" applyBorder="1" applyProtection="1">
      <protection hidden="1"/>
    </xf>
    <xf numFmtId="0" fontId="14" fillId="4" borderId="15" xfId="1" applyFont="1" applyFill="1" applyBorder="1" applyProtection="1">
      <protection hidden="1"/>
    </xf>
    <xf numFmtId="0" fontId="14" fillId="4" borderId="16" xfId="1" applyFont="1" applyFill="1" applyBorder="1" applyProtection="1">
      <protection hidden="1"/>
    </xf>
    <xf numFmtId="0" fontId="22" fillId="4" borderId="0" xfId="1" applyFont="1" applyFill="1" applyBorder="1" applyAlignment="1" applyProtection="1">
      <alignment horizontal="left" vertical="center"/>
      <protection hidden="1"/>
    </xf>
    <xf numFmtId="0" fontId="17" fillId="4" borderId="0" xfId="1" applyFont="1" applyFill="1" applyBorder="1" applyAlignment="1" applyProtection="1">
      <alignment horizontal="left" vertical="center"/>
      <protection hidden="1"/>
    </xf>
    <xf numFmtId="0" fontId="14" fillId="4" borderId="0" xfId="1" applyFont="1" applyFill="1" applyProtection="1">
      <protection hidden="1"/>
    </xf>
    <xf numFmtId="0" fontId="23" fillId="4" borderId="0" xfId="1" applyFont="1" applyFill="1" applyBorder="1" applyAlignment="1" applyProtection="1">
      <alignment horizontal="left"/>
      <protection hidden="1"/>
    </xf>
    <xf numFmtId="3" fontId="17" fillId="5" borderId="17" xfId="1" applyNumberFormat="1" applyFont="1" applyFill="1" applyBorder="1" applyAlignment="1" applyProtection="1">
      <alignment horizontal="center" vertical="center"/>
      <protection locked="0" hidden="1"/>
    </xf>
    <xf numFmtId="0" fontId="14" fillId="4" borderId="0" xfId="1" applyFont="1" applyFill="1" applyBorder="1" applyAlignment="1" applyProtection="1">
      <alignment horizontal="center"/>
      <protection hidden="1"/>
    </xf>
    <xf numFmtId="165" fontId="24" fillId="4" borderId="0" xfId="1" applyNumberFormat="1" applyFont="1" applyFill="1" applyBorder="1" applyAlignment="1" applyProtection="1">
      <alignment horizontal="center" vertical="center"/>
      <protection hidden="1"/>
    </xf>
    <xf numFmtId="0" fontId="14" fillId="4" borderId="0" xfId="1" applyFont="1" applyFill="1" applyBorder="1" applyProtection="1">
      <protection hidden="1"/>
    </xf>
    <xf numFmtId="166" fontId="23" fillId="4" borderId="0" xfId="1" applyNumberFormat="1" applyFont="1" applyFill="1" applyBorder="1" applyAlignment="1" applyProtection="1">
      <alignment horizontal="center"/>
      <protection hidden="1"/>
    </xf>
    <xf numFmtId="0" fontId="14" fillId="4" borderId="18" xfId="1" applyFont="1" applyFill="1" applyBorder="1" applyProtection="1">
      <protection hidden="1"/>
    </xf>
    <xf numFmtId="0" fontId="14" fillId="4" borderId="1" xfId="1" applyFont="1" applyFill="1" applyBorder="1" applyProtection="1">
      <protection hidden="1"/>
    </xf>
    <xf numFmtId="0" fontId="14" fillId="4" borderId="4" xfId="1" applyFont="1" applyFill="1" applyBorder="1" applyProtection="1">
      <protection hidden="1"/>
    </xf>
    <xf numFmtId="9" fontId="14" fillId="4" borderId="4" xfId="1" applyNumberFormat="1" applyFont="1" applyFill="1" applyBorder="1" applyProtection="1">
      <protection hidden="1"/>
    </xf>
    <xf numFmtId="0" fontId="14" fillId="4" borderId="2" xfId="1" applyFont="1" applyFill="1" applyBorder="1" applyProtection="1">
      <protection hidden="1"/>
    </xf>
    <xf numFmtId="0" fontId="19" fillId="2" borderId="5" xfId="1" applyFont="1" applyFill="1" applyBorder="1" applyAlignment="1" applyProtection="1">
      <alignment horizontal="center" vertical="center"/>
      <protection hidden="1"/>
    </xf>
    <xf numFmtId="0" fontId="19" fillId="2" borderId="13" xfId="1" applyFont="1" applyFill="1" applyBorder="1" applyAlignment="1" applyProtection="1">
      <alignment horizontal="left" vertical="center"/>
      <protection hidden="1"/>
    </xf>
    <xf numFmtId="0" fontId="26" fillId="2" borderId="13" xfId="1" applyFont="1" applyFill="1" applyBorder="1" applyAlignment="1" applyProtection="1">
      <alignment horizontal="center" vertical="center"/>
      <protection hidden="1"/>
    </xf>
    <xf numFmtId="0" fontId="27" fillId="2" borderId="13" xfId="1" applyFont="1" applyFill="1" applyBorder="1" applyAlignment="1" applyProtection="1">
      <alignment horizontal="center" vertical="center"/>
      <protection hidden="1"/>
    </xf>
    <xf numFmtId="0" fontId="30" fillId="2" borderId="13" xfId="2" applyFont="1" applyFill="1" applyBorder="1" applyAlignment="1" applyProtection="1">
      <alignment horizontal="center" vertical="center" wrapText="1"/>
      <protection hidden="1"/>
    </xf>
    <xf numFmtId="0" fontId="31" fillId="4" borderId="3" xfId="1" applyFont="1" applyFill="1" applyBorder="1" applyAlignment="1" applyProtection="1">
      <alignment horizontal="center"/>
      <protection hidden="1"/>
    </xf>
    <xf numFmtId="0" fontId="23" fillId="4" borderId="3" xfId="1" applyFont="1" applyFill="1" applyBorder="1" applyAlignment="1" applyProtection="1">
      <alignment horizontal="center"/>
      <protection hidden="1"/>
    </xf>
    <xf numFmtId="0" fontId="31" fillId="4" borderId="3" xfId="1" applyFont="1" applyFill="1" applyBorder="1" applyAlignment="1" applyProtection="1">
      <alignment horizontal="left"/>
      <protection hidden="1"/>
    </xf>
    <xf numFmtId="0" fontId="32" fillId="4" borderId="0" xfId="1" applyFont="1" applyFill="1" applyBorder="1" applyAlignment="1" applyProtection="1">
      <alignment horizontal="left" vertical="center"/>
      <protection hidden="1"/>
    </xf>
    <xf numFmtId="0" fontId="33" fillId="4" borderId="0" xfId="1" applyFont="1" applyFill="1" applyBorder="1" applyAlignment="1" applyProtection="1">
      <alignment horizontal="left" vertical="center"/>
      <protection hidden="1"/>
    </xf>
    <xf numFmtId="0" fontId="34" fillId="4" borderId="0" xfId="1" applyFont="1" applyFill="1" applyBorder="1" applyAlignment="1" applyProtection="1">
      <alignment horizontal="center"/>
      <protection hidden="1"/>
    </xf>
    <xf numFmtId="3" fontId="35" fillId="5" borderId="17" xfId="1" applyNumberFormat="1" applyFont="1" applyFill="1" applyBorder="1" applyAlignment="1" applyProtection="1">
      <alignment horizontal="center" vertical="center"/>
      <protection locked="0" hidden="1"/>
    </xf>
    <xf numFmtId="0" fontId="36" fillId="4" borderId="0" xfId="1" applyFont="1" applyFill="1" applyBorder="1" applyAlignment="1" applyProtection="1">
      <alignment horizontal="center"/>
      <protection hidden="1"/>
    </xf>
    <xf numFmtId="0" fontId="14" fillId="4" borderId="0" xfId="1" applyFont="1" applyFill="1" applyBorder="1" applyAlignment="1" applyProtection="1">
      <alignment horizontal="left" vertical="center"/>
      <protection hidden="1"/>
    </xf>
    <xf numFmtId="0" fontId="23" fillId="4" borderId="0" xfId="1" applyFont="1" applyFill="1" applyBorder="1" applyAlignment="1" applyProtection="1">
      <alignment horizontal="center"/>
      <protection hidden="1"/>
    </xf>
    <xf numFmtId="0" fontId="35" fillId="4" borderId="0" xfId="1" applyFont="1" applyFill="1" applyBorder="1" applyAlignment="1" applyProtection="1">
      <alignment horizontal="left" vertical="center"/>
      <protection hidden="1"/>
    </xf>
    <xf numFmtId="0" fontId="37" fillId="4" borderId="0" xfId="1" applyFont="1" applyFill="1" applyAlignment="1" applyProtection="1">
      <alignment wrapText="1"/>
      <protection hidden="1"/>
    </xf>
    <xf numFmtId="3" fontId="17" fillId="3" borderId="17" xfId="1" applyNumberFormat="1" applyFont="1" applyFill="1" applyBorder="1" applyAlignment="1" applyProtection="1">
      <alignment horizontal="center" vertical="center"/>
      <protection hidden="1"/>
    </xf>
    <xf numFmtId="0" fontId="37" fillId="4" borderId="0" xfId="1" applyFont="1" applyFill="1" applyAlignment="1" applyProtection="1">
      <protection hidden="1"/>
    </xf>
    <xf numFmtId="2" fontId="17" fillId="3" borderId="17" xfId="1" applyNumberFormat="1" applyFont="1" applyFill="1" applyBorder="1" applyAlignment="1" applyProtection="1">
      <alignment horizontal="center" vertical="center" wrapText="1"/>
      <protection hidden="1"/>
    </xf>
    <xf numFmtId="0" fontId="35" fillId="4" borderId="0" xfId="1" applyFont="1" applyFill="1" applyBorder="1" applyAlignment="1" applyProtection="1">
      <alignment horizontal="center" vertical="top" wrapText="1"/>
      <protection hidden="1"/>
    </xf>
    <xf numFmtId="0" fontId="38" fillId="4" borderId="0" xfId="1" applyFont="1" applyFill="1" applyBorder="1" applyAlignment="1" applyProtection="1">
      <alignment horizontal="center" vertical="top"/>
      <protection hidden="1"/>
    </xf>
    <xf numFmtId="0" fontId="39" fillId="4" borderId="0" xfId="1" applyFont="1" applyFill="1" applyAlignment="1" applyProtection="1">
      <alignment horizontal="center"/>
      <protection hidden="1"/>
    </xf>
    <xf numFmtId="0" fontId="24" fillId="4" borderId="0" xfId="1" applyFont="1" applyFill="1" applyBorder="1" applyAlignment="1" applyProtection="1">
      <alignment horizontal="center" vertical="top" wrapText="1"/>
      <protection hidden="1"/>
    </xf>
    <xf numFmtId="0" fontId="23" fillId="4" borderId="0" xfId="1" applyFont="1" applyFill="1" applyBorder="1" applyProtection="1">
      <protection hidden="1"/>
    </xf>
    <xf numFmtId="0" fontId="32" fillId="4" borderId="0" xfId="1" applyFont="1" applyFill="1" applyBorder="1" applyAlignment="1" applyProtection="1">
      <alignment horizontal="left" vertical="top"/>
      <protection hidden="1"/>
    </xf>
    <xf numFmtId="167" fontId="35" fillId="5" borderId="17" xfId="1" applyNumberFormat="1" applyFont="1" applyFill="1" applyBorder="1" applyAlignment="1" applyProtection="1">
      <alignment horizontal="center" vertical="center"/>
      <protection locked="0" hidden="1"/>
    </xf>
    <xf numFmtId="0" fontId="40" fillId="4" borderId="0" xfId="1" applyFont="1" applyFill="1" applyBorder="1" applyAlignment="1" applyProtection="1">
      <alignment horizontal="left" vertical="top" wrapText="1"/>
      <protection hidden="1"/>
    </xf>
    <xf numFmtId="164" fontId="17" fillId="3" borderId="17" xfId="1" applyNumberFormat="1" applyFont="1" applyFill="1" applyBorder="1" applyAlignment="1" applyProtection="1">
      <alignment horizontal="center" vertical="center" wrapText="1"/>
      <protection hidden="1"/>
    </xf>
    <xf numFmtId="0" fontId="41" fillId="4" borderId="0" xfId="1" applyFont="1" applyFill="1" applyBorder="1" applyAlignment="1" applyProtection="1">
      <alignment horizontal="left" vertical="top" wrapText="1"/>
      <protection hidden="1"/>
    </xf>
    <xf numFmtId="164" fontId="17" fillId="4" borderId="0" xfId="1" applyNumberFormat="1" applyFont="1" applyFill="1" applyBorder="1" applyAlignment="1" applyProtection="1">
      <alignment horizontal="center" vertical="center"/>
      <protection hidden="1"/>
    </xf>
    <xf numFmtId="0" fontId="36" fillId="4" borderId="0" xfId="1" applyFont="1" applyFill="1" applyBorder="1" applyProtection="1">
      <protection hidden="1"/>
    </xf>
    <xf numFmtId="0" fontId="42" fillId="4" borderId="0" xfId="1" applyFont="1" applyFill="1" applyBorder="1" applyAlignment="1" applyProtection="1">
      <alignment horizontal="left" vertical="center"/>
      <protection hidden="1"/>
    </xf>
    <xf numFmtId="164" fontId="17" fillId="4" borderId="0" xfId="1" applyNumberFormat="1" applyFont="1" applyFill="1" applyBorder="1" applyAlignment="1" applyProtection="1">
      <alignment horizontal="center" vertical="center" wrapText="1"/>
      <protection hidden="1"/>
    </xf>
    <xf numFmtId="164" fontId="23" fillId="4" borderId="0" xfId="1" applyNumberFormat="1" applyFont="1" applyFill="1" applyBorder="1" applyProtection="1">
      <protection hidden="1"/>
    </xf>
    <xf numFmtId="0" fontId="43" fillId="0" borderId="0" xfId="1" applyFont="1" applyFill="1" applyBorder="1" applyAlignment="1" applyProtection="1">
      <alignment horizontal="center" vertical="center"/>
      <protection hidden="1"/>
    </xf>
    <xf numFmtId="0" fontId="22" fillId="4" borderId="0" xfId="1" applyFont="1" applyFill="1" applyBorder="1" applyAlignment="1" applyProtection="1">
      <alignment horizontal="left" vertical="top"/>
      <protection hidden="1"/>
    </xf>
    <xf numFmtId="0" fontId="17" fillId="4" borderId="0" xfId="1" applyFont="1" applyFill="1" applyBorder="1" applyAlignment="1" applyProtection="1">
      <alignment horizontal="left" vertical="top"/>
      <protection hidden="1"/>
    </xf>
    <xf numFmtId="0" fontId="31" fillId="4" borderId="0" xfId="1" applyFont="1" applyFill="1" applyBorder="1" applyAlignment="1" applyProtection="1">
      <alignment horizontal="center"/>
      <protection hidden="1"/>
    </xf>
    <xf numFmtId="0" fontId="44" fillId="4" borderId="0" xfId="1" applyFont="1" applyFill="1" applyBorder="1" applyAlignment="1" applyProtection="1">
      <alignment horizontal="center" vertical="center"/>
      <protection hidden="1"/>
    </xf>
    <xf numFmtId="0" fontId="45" fillId="4" borderId="0" xfId="1" applyFont="1" applyFill="1" applyBorder="1" applyProtection="1">
      <protection hidden="1"/>
    </xf>
    <xf numFmtId="0" fontId="14" fillId="4" borderId="0" xfId="1" applyFont="1" applyFill="1" applyBorder="1" applyAlignment="1" applyProtection="1">
      <alignment horizontal="left" vertical="center" wrapText="1"/>
      <protection hidden="1"/>
    </xf>
    <xf numFmtId="0" fontId="17" fillId="4" borderId="0" xfId="1" applyFont="1" applyFill="1" applyBorder="1" applyAlignment="1" applyProtection="1">
      <alignment vertical="center"/>
      <protection hidden="1"/>
    </xf>
    <xf numFmtId="0" fontId="45" fillId="4" borderId="0" xfId="1" applyFont="1" applyFill="1" applyBorder="1" applyAlignment="1" applyProtection="1">
      <alignment horizontal="left" vertical="center" wrapText="1"/>
      <protection hidden="1"/>
    </xf>
    <xf numFmtId="0" fontId="46" fillId="4" borderId="0" xfId="1" applyFont="1" applyFill="1" applyBorder="1" applyAlignment="1" applyProtection="1">
      <alignment horizontal="left" vertical="center"/>
      <protection hidden="1"/>
    </xf>
    <xf numFmtId="0" fontId="35" fillId="4" borderId="0" xfId="1" applyFont="1" applyFill="1" applyBorder="1" applyAlignment="1" applyProtection="1">
      <alignment horizontal="center" vertical="center"/>
      <protection hidden="1"/>
    </xf>
    <xf numFmtId="0" fontId="34" fillId="4" borderId="0" xfId="1" applyFont="1" applyFill="1" applyBorder="1" applyProtection="1">
      <protection hidden="1"/>
    </xf>
    <xf numFmtId="164" fontId="17" fillId="3" borderId="17" xfId="1" applyNumberFormat="1" applyFont="1" applyFill="1" applyBorder="1" applyAlignment="1" applyProtection="1">
      <alignment horizontal="center" vertical="center"/>
      <protection hidden="1"/>
    </xf>
    <xf numFmtId="1" fontId="14" fillId="4" borderId="0" xfId="1" applyNumberFormat="1" applyFont="1" applyFill="1" applyBorder="1" applyAlignment="1" applyProtection="1">
      <alignment horizontal="left" vertical="center" wrapText="1"/>
      <protection hidden="1"/>
    </xf>
    <xf numFmtId="0" fontId="35" fillId="4" borderId="0" xfId="1" applyFont="1" applyFill="1" applyBorder="1" applyAlignment="1" applyProtection="1">
      <alignment horizontal="left" vertical="top"/>
      <protection hidden="1"/>
    </xf>
    <xf numFmtId="165" fontId="17" fillId="4" borderId="0" xfId="1" applyNumberFormat="1" applyFont="1" applyFill="1" applyBorder="1" applyAlignment="1" applyProtection="1">
      <alignment horizontal="center" vertical="center"/>
      <protection hidden="1"/>
    </xf>
    <xf numFmtId="0" fontId="1" fillId="4" borderId="0" xfId="1" applyFill="1" applyBorder="1" applyAlignment="1" applyProtection="1">
      <alignment horizontal="center" vertical="center"/>
      <protection hidden="1"/>
    </xf>
    <xf numFmtId="0" fontId="47" fillId="4" borderId="0" xfId="1" applyFont="1" applyFill="1" applyBorder="1" applyAlignment="1" applyProtection="1">
      <alignment horizontal="left" vertical="center"/>
      <protection hidden="1"/>
    </xf>
    <xf numFmtId="0" fontId="25" fillId="0" borderId="0" xfId="1" applyFont="1" applyFill="1" applyBorder="1" applyAlignment="1" applyProtection="1">
      <alignment horizontal="center" vertical="center" textRotation="90"/>
      <protection hidden="1"/>
    </xf>
    <xf numFmtId="0" fontId="48" fillId="0" borderId="0" xfId="1" applyFont="1" applyFill="1" applyAlignment="1" applyProtection="1">
      <alignment horizontal="center" vertical="center" textRotation="90"/>
      <protection hidden="1"/>
    </xf>
    <xf numFmtId="0" fontId="14" fillId="2" borderId="13" xfId="1" applyFont="1" applyFill="1" applyBorder="1" applyProtection="1">
      <protection hidden="1"/>
    </xf>
    <xf numFmtId="0" fontId="14" fillId="2" borderId="6" xfId="1" applyFont="1" applyFill="1" applyBorder="1" applyProtection="1">
      <protection hidden="1"/>
    </xf>
    <xf numFmtId="0" fontId="49" fillId="4" borderId="0" xfId="1" applyFont="1" applyFill="1" applyBorder="1" applyAlignment="1" applyProtection="1">
      <alignment horizontal="left"/>
      <protection hidden="1"/>
    </xf>
    <xf numFmtId="0" fontId="43" fillId="4" borderId="15" xfId="1" applyFont="1" applyFill="1" applyBorder="1" applyAlignment="1" applyProtection="1">
      <alignment horizontal="left" vertical="top"/>
      <protection hidden="1"/>
    </xf>
    <xf numFmtId="0" fontId="17" fillId="4" borderId="0" xfId="1" applyFont="1" applyFill="1" applyBorder="1" applyAlignment="1" applyProtection="1">
      <alignment horizontal="center" vertical="center"/>
      <protection hidden="1"/>
    </xf>
    <xf numFmtId="0" fontId="44" fillId="4" borderId="0" xfId="1" applyFont="1" applyFill="1" applyBorder="1" applyAlignment="1" applyProtection="1">
      <alignment horizontal="left" vertical="top"/>
      <protection hidden="1"/>
    </xf>
    <xf numFmtId="0" fontId="50" fillId="4" borderId="0" xfId="1" applyFont="1" applyFill="1" applyBorder="1" applyAlignment="1" applyProtection="1">
      <alignment horizontal="center" vertical="center"/>
      <protection hidden="1"/>
    </xf>
    <xf numFmtId="164" fontId="14" fillId="4" borderId="0" xfId="1" applyNumberFormat="1" applyFont="1" applyFill="1" applyBorder="1" applyProtection="1">
      <protection hidden="1"/>
    </xf>
    <xf numFmtId="168" fontId="14" fillId="0" borderId="0" xfId="1" applyNumberFormat="1" applyFont="1" applyFill="1" applyProtection="1">
      <protection hidden="1"/>
    </xf>
    <xf numFmtId="169" fontId="14" fillId="4" borderId="0" xfId="1" applyNumberFormat="1" applyFont="1" applyFill="1" applyBorder="1" applyProtection="1">
      <protection hidden="1"/>
    </xf>
    <xf numFmtId="0" fontId="51" fillId="4" borderId="14" xfId="1" applyFont="1" applyFill="1" applyBorder="1" applyAlignment="1" applyProtection="1">
      <alignment horizontal="center" vertical="center"/>
      <protection hidden="1"/>
    </xf>
    <xf numFmtId="0" fontId="22" fillId="4" borderId="3" xfId="1" applyFont="1" applyFill="1" applyBorder="1" applyAlignment="1" applyProtection="1">
      <alignment horizontal="left" vertical="top"/>
      <protection hidden="1"/>
    </xf>
    <xf numFmtId="0" fontId="49" fillId="4" borderId="3" xfId="1" applyFont="1" applyFill="1" applyBorder="1" applyAlignment="1" applyProtection="1">
      <alignment horizontal="left" vertical="center"/>
      <protection hidden="1"/>
    </xf>
    <xf numFmtId="0" fontId="52" fillId="4" borderId="3" xfId="1" applyFont="1" applyFill="1" applyBorder="1" applyAlignment="1" applyProtection="1">
      <alignment horizontal="center" vertical="center"/>
      <protection hidden="1"/>
    </xf>
    <xf numFmtId="0" fontId="53" fillId="4" borderId="3" xfId="1" applyFont="1" applyFill="1" applyBorder="1" applyAlignment="1" applyProtection="1">
      <alignment horizontal="center" vertical="center"/>
      <protection hidden="1"/>
    </xf>
    <xf numFmtId="0" fontId="54" fillId="4" borderId="3" xfId="1" applyFont="1" applyFill="1" applyBorder="1" applyProtection="1">
      <protection hidden="1"/>
    </xf>
    <xf numFmtId="0" fontId="41" fillId="4" borderId="3" xfId="1" applyFont="1" applyFill="1" applyBorder="1" applyAlignment="1" applyProtection="1">
      <alignment horizontal="center" vertical="center"/>
      <protection hidden="1"/>
    </xf>
    <xf numFmtId="0" fontId="50" fillId="4" borderId="3" xfId="1" applyFont="1" applyFill="1" applyBorder="1" applyAlignment="1" applyProtection="1">
      <alignment horizontal="center" vertical="center"/>
      <protection hidden="1"/>
    </xf>
    <xf numFmtId="0" fontId="54" fillId="4" borderId="15" xfId="1" applyFont="1" applyFill="1" applyBorder="1" applyProtection="1">
      <protection hidden="1"/>
    </xf>
    <xf numFmtId="0" fontId="55" fillId="4" borderId="16" xfId="1" applyFont="1" applyFill="1" applyBorder="1" applyProtection="1">
      <protection hidden="1"/>
    </xf>
    <xf numFmtId="0" fontId="17" fillId="5" borderId="17" xfId="1" applyFont="1" applyFill="1" applyBorder="1" applyAlignment="1" applyProtection="1">
      <alignment horizontal="center" vertical="center"/>
      <protection locked="0" hidden="1"/>
    </xf>
    <xf numFmtId="164" fontId="17" fillId="5" borderId="17" xfId="1" applyNumberFormat="1" applyFont="1" applyFill="1" applyBorder="1" applyAlignment="1" applyProtection="1">
      <alignment horizontal="center" vertical="center"/>
      <protection locked="0" hidden="1"/>
    </xf>
    <xf numFmtId="0" fontId="14" fillId="4" borderId="0" xfId="1" applyFont="1" applyFill="1" applyBorder="1" applyAlignment="1" applyProtection="1">
      <alignment horizontal="left"/>
      <protection hidden="1"/>
    </xf>
    <xf numFmtId="0" fontId="14" fillId="4" borderId="0" xfId="1" applyFont="1" applyFill="1" applyBorder="1" applyAlignment="1" applyProtection="1">
      <alignment horizontal="left" vertical="top" wrapText="1"/>
      <protection hidden="1"/>
    </xf>
    <xf numFmtId="0" fontId="58" fillId="4" borderId="0" xfId="1" applyFont="1" applyFill="1" applyBorder="1" applyProtection="1">
      <protection hidden="1"/>
    </xf>
    <xf numFmtId="0" fontId="42" fillId="4" borderId="0" xfId="1" applyFont="1" applyFill="1" applyBorder="1" applyAlignment="1" applyProtection="1">
      <alignment horizontal="left" vertical="center" wrapText="1"/>
      <protection hidden="1"/>
    </xf>
    <xf numFmtId="164" fontId="17" fillId="4" borderId="3" xfId="1" applyNumberFormat="1" applyFont="1" applyFill="1" applyBorder="1" applyAlignment="1" applyProtection="1">
      <alignment horizontal="center" vertical="center"/>
      <protection hidden="1"/>
    </xf>
    <xf numFmtId="0" fontId="22" fillId="4" borderId="3" xfId="1" applyFont="1" applyFill="1" applyBorder="1" applyAlignment="1" applyProtection="1">
      <alignment horizontal="left" vertical="center"/>
      <protection hidden="1"/>
    </xf>
    <xf numFmtId="0" fontId="42" fillId="4" borderId="3" xfId="1" applyFont="1" applyFill="1" applyBorder="1" applyAlignment="1" applyProtection="1">
      <alignment horizontal="left" vertical="center"/>
      <protection hidden="1"/>
    </xf>
    <xf numFmtId="0" fontId="42" fillId="4" borderId="3" xfId="1" applyFont="1" applyFill="1" applyBorder="1" applyAlignment="1" applyProtection="1">
      <alignment horizontal="left" vertical="center" wrapText="1"/>
      <protection hidden="1"/>
    </xf>
    <xf numFmtId="0" fontId="24" fillId="4" borderId="4" xfId="1" applyFont="1" applyFill="1" applyBorder="1" applyProtection="1">
      <protection hidden="1"/>
    </xf>
    <xf numFmtId="164" fontId="14" fillId="4" borderId="4" xfId="1" applyNumberFormat="1" applyFont="1" applyFill="1" applyBorder="1" applyProtection="1">
      <protection hidden="1"/>
    </xf>
    <xf numFmtId="0" fontId="14" fillId="0" borderId="13" xfId="1" applyFont="1" applyFill="1" applyBorder="1" applyProtection="1">
      <protection hidden="1"/>
    </xf>
    <xf numFmtId="0" fontId="14" fillId="4" borderId="16" xfId="1" applyFont="1" applyFill="1" applyBorder="1" applyAlignment="1" applyProtection="1">
      <protection hidden="1"/>
    </xf>
    <xf numFmtId="0" fontId="59" fillId="4" borderId="0" xfId="1" applyFont="1" applyFill="1" applyBorder="1" applyAlignment="1" applyProtection="1">
      <alignment horizontal="left"/>
      <protection hidden="1"/>
    </xf>
    <xf numFmtId="0" fontId="14" fillId="4" borderId="0" xfId="1" applyFont="1" applyFill="1" applyBorder="1" applyAlignment="1" applyProtection="1">
      <protection hidden="1"/>
    </xf>
    <xf numFmtId="0" fontId="14" fillId="4" borderId="18" xfId="1" applyFont="1" applyFill="1" applyBorder="1" applyAlignment="1" applyProtection="1">
      <protection hidden="1"/>
    </xf>
    <xf numFmtId="165" fontId="23" fillId="4" borderId="0" xfId="1" applyNumberFormat="1" applyFont="1" applyFill="1" applyBorder="1" applyAlignment="1" applyProtection="1">
      <protection hidden="1"/>
    </xf>
    <xf numFmtId="0" fontId="19" fillId="2" borderId="14" xfId="1" applyFont="1" applyFill="1" applyBorder="1" applyAlignment="1" applyProtection="1">
      <alignment horizontal="left" vertical="center"/>
      <protection hidden="1"/>
    </xf>
    <xf numFmtId="0" fontId="19" fillId="2" borderId="3" xfId="1" applyFont="1" applyFill="1" applyBorder="1" applyAlignment="1" applyProtection="1">
      <alignment horizontal="left" vertical="center"/>
      <protection hidden="1"/>
    </xf>
    <xf numFmtId="0" fontId="21" fillId="2" borderId="3" xfId="1" applyFont="1" applyFill="1" applyBorder="1" applyProtection="1">
      <protection hidden="1"/>
    </xf>
    <xf numFmtId="0" fontId="21" fillId="2" borderId="15" xfId="1" applyFont="1" applyFill="1" applyBorder="1" applyProtection="1">
      <protection hidden="1"/>
    </xf>
    <xf numFmtId="0" fontId="62" fillId="2" borderId="1" xfId="1" applyFont="1" applyFill="1" applyBorder="1" applyAlignment="1" applyProtection="1">
      <alignment horizontal="left" vertical="center" indent="1"/>
      <protection hidden="1"/>
    </xf>
    <xf numFmtId="0" fontId="19" fillId="2" borderId="4" xfId="1" applyFont="1" applyFill="1" applyBorder="1" applyAlignment="1" applyProtection="1">
      <alignment horizontal="left" vertical="center"/>
      <protection hidden="1"/>
    </xf>
    <xf numFmtId="0" fontId="21" fillId="2" borderId="4" xfId="1" applyFont="1" applyFill="1" applyBorder="1" applyProtection="1">
      <protection hidden="1"/>
    </xf>
    <xf numFmtId="0" fontId="21" fillId="2" borderId="2" xfId="1" applyFont="1" applyFill="1" applyBorder="1" applyProtection="1">
      <protection hidden="1"/>
    </xf>
    <xf numFmtId="0" fontId="17" fillId="4" borderId="3" xfId="1" applyFont="1" applyFill="1" applyBorder="1" applyAlignment="1" applyProtection="1">
      <alignment horizontal="left" vertical="center"/>
      <protection hidden="1"/>
    </xf>
    <xf numFmtId="0" fontId="14" fillId="4" borderId="3" xfId="1" applyFont="1" applyFill="1" applyBorder="1" applyAlignment="1" applyProtection="1">
      <alignment horizontal="center"/>
      <protection hidden="1"/>
    </xf>
    <xf numFmtId="164" fontId="42" fillId="3" borderId="17" xfId="1" applyNumberFormat="1" applyFont="1" applyFill="1" applyBorder="1" applyAlignment="1" applyProtection="1">
      <alignment horizontal="center" vertical="center"/>
      <protection hidden="1"/>
    </xf>
    <xf numFmtId="164" fontId="42" fillId="4" borderId="0" xfId="1" applyNumberFormat="1" applyFont="1" applyFill="1" applyBorder="1" applyAlignment="1" applyProtection="1">
      <alignment horizontal="center" vertical="center"/>
      <protection hidden="1"/>
    </xf>
    <xf numFmtId="170" fontId="17" fillId="4" borderId="0" xfId="1" applyNumberFormat="1" applyFont="1" applyFill="1" applyBorder="1" applyAlignment="1" applyProtection="1">
      <alignment horizontal="center" vertical="center"/>
      <protection hidden="1"/>
    </xf>
    <xf numFmtId="170" fontId="43" fillId="4" borderId="0" xfId="1" applyNumberFormat="1" applyFont="1" applyFill="1" applyBorder="1" applyAlignment="1" applyProtection="1">
      <alignment horizontal="right" vertical="center"/>
      <protection hidden="1"/>
    </xf>
    <xf numFmtId="10" fontId="43" fillId="4" borderId="0" xfId="1" applyNumberFormat="1" applyFont="1" applyFill="1" applyBorder="1" applyAlignment="1" applyProtection="1">
      <alignment horizontal="left" vertical="center"/>
      <protection hidden="1"/>
    </xf>
    <xf numFmtId="10" fontId="42" fillId="4" borderId="0" xfId="1" applyNumberFormat="1" applyFont="1" applyFill="1" applyBorder="1" applyAlignment="1" applyProtection="1">
      <alignment horizontal="center" vertical="center"/>
      <protection hidden="1"/>
    </xf>
    <xf numFmtId="0" fontId="64" fillId="4" borderId="1" xfId="1" applyFont="1" applyFill="1" applyBorder="1" applyProtection="1">
      <protection hidden="1"/>
    </xf>
    <xf numFmtId="0" fontId="65" fillId="4" borderId="4" xfId="1" applyFont="1" applyFill="1" applyBorder="1" applyProtection="1">
      <protection hidden="1"/>
    </xf>
    <xf numFmtId="0" fontId="17" fillId="4" borderId="4" xfId="1" applyFont="1" applyFill="1" applyBorder="1" applyAlignment="1" applyProtection="1">
      <alignment horizontal="left" vertical="center"/>
      <protection hidden="1"/>
    </xf>
    <xf numFmtId="0" fontId="65" fillId="0" borderId="0" xfId="1" applyFont="1" applyFill="1" applyAlignment="1" applyProtection="1">
      <alignment vertical="top"/>
      <protection hidden="1"/>
    </xf>
    <xf numFmtId="0" fontId="14" fillId="5" borderId="0" xfId="1" applyFont="1" applyFill="1" applyProtection="1">
      <protection hidden="1"/>
    </xf>
    <xf numFmtId="0" fontId="66" fillId="0" borderId="0" xfId="2" applyFont="1" applyFill="1" applyAlignment="1" applyProtection="1">
      <protection hidden="1"/>
    </xf>
    <xf numFmtId="0" fontId="24" fillId="0" borderId="0" xfId="1" applyFont="1" applyAlignment="1">
      <alignment horizontal="center" vertical="center"/>
    </xf>
    <xf numFmtId="0" fontId="17" fillId="0" borderId="16" xfId="1" applyFont="1" applyBorder="1" applyAlignment="1">
      <alignment horizontal="center" vertical="center"/>
    </xf>
    <xf numFmtId="0" fontId="17" fillId="0" borderId="0" xfId="1" applyFont="1" applyBorder="1" applyAlignment="1">
      <alignment horizontal="center" vertical="center"/>
    </xf>
    <xf numFmtId="0" fontId="35" fillId="0" borderId="0" xfId="1" applyFont="1" applyBorder="1" applyAlignment="1">
      <alignment horizontal="center" vertical="center"/>
    </xf>
    <xf numFmtId="0" fontId="60" fillId="0" borderId="0" xfId="1" applyFont="1" applyBorder="1" applyAlignment="1">
      <alignment horizontal="center" vertical="center" wrapText="1"/>
    </xf>
    <xf numFmtId="0" fontId="24" fillId="0" borderId="15" xfId="1" applyFont="1" applyBorder="1" applyAlignment="1">
      <alignment horizontal="center" vertical="center"/>
    </xf>
    <xf numFmtId="164" fontId="17" fillId="0" borderId="17" xfId="1" applyNumberFormat="1" applyFont="1" applyBorder="1" applyAlignment="1">
      <alignment horizontal="center" vertical="center"/>
    </xf>
    <xf numFmtId="3" fontId="60" fillId="0" borderId="17" xfId="1" applyNumberFormat="1" applyFont="1" applyBorder="1" applyAlignment="1">
      <alignment horizontal="center" vertical="center"/>
    </xf>
    <xf numFmtId="0" fontId="33" fillId="0" borderId="0" xfId="1" applyFont="1" applyBorder="1" applyAlignment="1">
      <alignment horizontal="center" vertical="center"/>
    </xf>
    <xf numFmtId="164" fontId="60" fillId="0" borderId="17" xfId="1" applyNumberFormat="1" applyFont="1" applyBorder="1" applyAlignment="1">
      <alignment horizontal="center" vertical="center"/>
    </xf>
    <xf numFmtId="0" fontId="24" fillId="0" borderId="18" xfId="1" applyFont="1" applyBorder="1" applyAlignment="1">
      <alignment horizontal="center" vertical="center"/>
    </xf>
    <xf numFmtId="0" fontId="24" fillId="0" borderId="2" xfId="1" applyFont="1" applyBorder="1" applyAlignment="1">
      <alignment horizontal="center" vertical="center"/>
    </xf>
    <xf numFmtId="0" fontId="17" fillId="0" borderId="0" xfId="1" applyFont="1" applyBorder="1" applyAlignment="1">
      <alignment horizontal="center" vertical="center" wrapText="1"/>
    </xf>
    <xf numFmtId="0" fontId="17" fillId="0" borderId="15" xfId="1" applyFont="1" applyBorder="1" applyAlignment="1">
      <alignment horizontal="center" vertical="center"/>
    </xf>
    <xf numFmtId="0" fontId="17" fillId="0" borderId="18" xfId="1" applyFont="1" applyBorder="1" applyAlignment="1">
      <alignment horizontal="center" vertical="center"/>
    </xf>
    <xf numFmtId="0" fontId="17" fillId="0" borderId="2" xfId="1" applyFont="1" applyBorder="1" applyAlignment="1">
      <alignment horizontal="center" vertical="center"/>
    </xf>
    <xf numFmtId="0" fontId="19" fillId="0" borderId="16" xfId="1" applyFont="1" applyFill="1" applyBorder="1" applyAlignment="1" applyProtection="1">
      <alignment horizontal="left" vertical="center"/>
      <protection hidden="1"/>
    </xf>
    <xf numFmtId="0" fontId="24" fillId="0" borderId="0" xfId="1" applyFont="1" applyBorder="1" applyAlignment="1">
      <alignment horizontal="center" vertical="center"/>
    </xf>
    <xf numFmtId="164" fontId="24" fillId="0" borderId="0" xfId="1" applyNumberFormat="1" applyFont="1" applyBorder="1" applyAlignment="1">
      <alignment horizontal="center" vertical="center"/>
    </xf>
    <xf numFmtId="3" fontId="24" fillId="0" borderId="0" xfId="1" applyNumberFormat="1" applyFont="1" applyBorder="1" applyAlignment="1">
      <alignment horizontal="center" vertical="center"/>
    </xf>
    <xf numFmtId="167" fontId="24" fillId="0" borderId="0" xfId="1" applyNumberFormat="1" applyFont="1" applyAlignment="1">
      <alignment horizontal="center" vertical="center"/>
    </xf>
    <xf numFmtId="164" fontId="60" fillId="0" borderId="0" xfId="1" applyNumberFormat="1" applyFont="1" applyBorder="1" applyAlignment="1">
      <alignment horizontal="center" vertical="center"/>
    </xf>
    <xf numFmtId="0" fontId="17" fillId="0" borderId="16" xfId="1" applyFont="1" applyBorder="1" applyAlignment="1">
      <alignment horizontal="right" vertical="center"/>
    </xf>
    <xf numFmtId="0" fontId="17" fillId="0" borderId="0" xfId="1" applyFont="1" applyBorder="1" applyAlignment="1">
      <alignment horizontal="right" vertical="center"/>
    </xf>
    <xf numFmtId="164" fontId="60" fillId="0" borderId="17" xfId="1" applyNumberFormat="1" applyFont="1" applyBorder="1" applyAlignment="1">
      <alignment horizontal="center" vertical="center" wrapText="1"/>
    </xf>
    <xf numFmtId="0" fontId="24" fillId="0" borderId="16" xfId="1" applyFont="1" applyBorder="1" applyAlignment="1">
      <alignment horizontal="center" vertical="center"/>
    </xf>
    <xf numFmtId="0" fontId="17" fillId="0" borderId="3" xfId="1" applyFont="1" applyBorder="1" applyAlignment="1">
      <alignment horizontal="center" vertical="center"/>
    </xf>
    <xf numFmtId="0" fontId="60" fillId="0" borderId="3" xfId="1" applyFont="1" applyBorder="1" applyAlignment="1">
      <alignment horizontal="center" vertical="center" wrapText="1"/>
    </xf>
    <xf numFmtId="0" fontId="17" fillId="0" borderId="3" xfId="1" applyFont="1" applyBorder="1" applyAlignment="1">
      <alignment horizontal="center" vertical="center" wrapText="1"/>
    </xf>
    <xf numFmtId="0" fontId="60" fillId="0" borderId="0" xfId="1" applyFont="1" applyBorder="1" applyAlignment="1">
      <alignment horizontal="center" vertical="center"/>
    </xf>
    <xf numFmtId="164" fontId="17" fillId="0" borderId="0" xfId="1" applyNumberFormat="1" applyFont="1" applyBorder="1" applyAlignment="1">
      <alignment horizontal="center" vertical="center"/>
    </xf>
    <xf numFmtId="0" fontId="68" fillId="0" borderId="0" xfId="1" applyFont="1" applyBorder="1" applyAlignment="1">
      <alignment horizontal="center" vertical="center"/>
    </xf>
    <xf numFmtId="0" fontId="24" fillId="0" borderId="1" xfId="1" applyFont="1" applyBorder="1" applyAlignment="1">
      <alignment horizontal="center" vertical="center"/>
    </xf>
    <xf numFmtId="0" fontId="24" fillId="0" borderId="4" xfId="1" applyFont="1" applyBorder="1" applyAlignment="1">
      <alignment horizontal="center" vertical="center"/>
    </xf>
    <xf numFmtId="0" fontId="40" fillId="4" borderId="0" xfId="1" applyFont="1" applyFill="1" applyBorder="1" applyAlignment="1" applyProtection="1">
      <alignment horizontal="left" vertical="top" wrapText="1"/>
      <protection hidden="1"/>
    </xf>
    <xf numFmtId="0" fontId="1" fillId="0" borderId="0" xfId="1" applyAlignment="1">
      <alignment horizontal="center"/>
    </xf>
    <xf numFmtId="0" fontId="61" fillId="0" borderId="0" xfId="1" applyFont="1"/>
    <xf numFmtId="0" fontId="61" fillId="0" borderId="0" xfId="1" applyFont="1" applyAlignment="1">
      <alignment horizontal="center"/>
    </xf>
    <xf numFmtId="0" fontId="1" fillId="7" borderId="0" xfId="1" applyFill="1"/>
    <xf numFmtId="0" fontId="1" fillId="0" borderId="0" xfId="1" applyFill="1"/>
    <xf numFmtId="166" fontId="1" fillId="0" borderId="0" xfId="1" applyNumberFormat="1"/>
    <xf numFmtId="0" fontId="1" fillId="0" borderId="17" xfId="1" applyBorder="1" applyAlignment="1">
      <alignment horizontal="center"/>
    </xf>
    <xf numFmtId="164" fontId="1" fillId="0" borderId="17" xfId="1" applyNumberFormat="1" applyBorder="1" applyAlignment="1">
      <alignment horizontal="center"/>
    </xf>
    <xf numFmtId="164" fontId="1" fillId="0" borderId="0" xfId="1" applyNumberFormat="1"/>
    <xf numFmtId="6" fontId="1" fillId="0" borderId="0" xfId="1" applyNumberFormat="1"/>
    <xf numFmtId="8" fontId="1" fillId="0" borderId="0" xfId="1" applyNumberFormat="1"/>
    <xf numFmtId="0" fontId="69" fillId="5" borderId="0" xfId="1" applyFont="1" applyFill="1"/>
    <xf numFmtId="0" fontId="70" fillId="0" borderId="0" xfId="1" applyFont="1" applyBorder="1"/>
    <xf numFmtId="0" fontId="70" fillId="0" borderId="0" xfId="1" applyFont="1"/>
    <xf numFmtId="0" fontId="50" fillId="0" borderId="19" xfId="1" applyFont="1" applyFill="1" applyBorder="1" applyAlignment="1" applyProtection="1">
      <alignment horizontal="left" vertical="center" wrapText="1" indent="1"/>
      <protection hidden="1"/>
    </xf>
    <xf numFmtId="0" fontId="50" fillId="5" borderId="19" xfId="1" applyFont="1" applyFill="1" applyBorder="1" applyAlignment="1" applyProtection="1">
      <alignment horizontal="left" vertical="center" wrapText="1" indent="1"/>
      <protection hidden="1"/>
    </xf>
    <xf numFmtId="0" fontId="50" fillId="5" borderId="17" xfId="1" applyFont="1" applyFill="1" applyBorder="1" applyAlignment="1" applyProtection="1">
      <alignment horizontal="left" vertical="center" wrapText="1" indent="1"/>
      <protection hidden="1"/>
    </xf>
    <xf numFmtId="0" fontId="14" fillId="0" borderId="0" xfId="1" applyFont="1" applyFill="1" applyBorder="1" applyProtection="1">
      <protection hidden="1"/>
    </xf>
    <xf numFmtId="0" fontId="44" fillId="0" borderId="0" xfId="1" applyFont="1" applyFill="1" applyBorder="1" applyAlignment="1" applyProtection="1">
      <alignment horizontal="center" vertical="center"/>
      <protection hidden="1"/>
    </xf>
    <xf numFmtId="0" fontId="45" fillId="0" borderId="0" xfId="1" applyFont="1" applyFill="1" applyBorder="1" applyProtection="1">
      <protection locked="0" hidden="1"/>
    </xf>
    <xf numFmtId="0" fontId="21" fillId="8" borderId="13" xfId="1" applyFont="1" applyFill="1" applyBorder="1" applyProtection="1">
      <protection hidden="1"/>
    </xf>
    <xf numFmtId="0" fontId="0" fillId="0" borderId="0" xfId="0" applyFill="1"/>
    <xf numFmtId="0" fontId="32" fillId="8" borderId="13" xfId="1" applyFont="1" applyFill="1" applyBorder="1" applyAlignment="1" applyProtection="1">
      <alignment horizontal="left" vertical="top"/>
      <protection hidden="1"/>
    </xf>
    <xf numFmtId="0" fontId="73" fillId="9" borderId="19" xfId="1" applyFont="1" applyFill="1" applyBorder="1" applyAlignment="1" applyProtection="1">
      <alignment horizontal="left" vertical="center" wrapText="1" indent="1"/>
      <protection hidden="1"/>
    </xf>
    <xf numFmtId="0" fontId="50" fillId="9" borderId="19" xfId="1" applyFont="1" applyFill="1" applyBorder="1" applyAlignment="1" applyProtection="1">
      <alignment horizontal="left" vertical="center" wrapText="1" indent="1"/>
      <protection hidden="1"/>
    </xf>
    <xf numFmtId="164" fontId="0" fillId="0" borderId="0" xfId="0" applyNumberFormat="1" applyFill="1"/>
    <xf numFmtId="171" fontId="1" fillId="0" borderId="0" xfId="5" applyNumberFormat="1" applyFont="1"/>
    <xf numFmtId="0" fontId="75" fillId="0" borderId="0" xfId="1" applyFont="1" applyFill="1" applyBorder="1" applyAlignment="1" applyProtection="1">
      <alignment horizontal="center" vertical="top"/>
      <protection hidden="1"/>
    </xf>
    <xf numFmtId="0" fontId="76" fillId="0" borderId="0" xfId="1" applyFont="1" applyFill="1" applyProtection="1">
      <protection hidden="1"/>
    </xf>
    <xf numFmtId="0" fontId="1" fillId="0" borderId="0" xfId="1" applyProtection="1">
      <protection locked="0" hidden="1"/>
    </xf>
    <xf numFmtId="0" fontId="77" fillId="0" borderId="0" xfId="2" applyFont="1" applyFill="1" applyBorder="1" applyAlignment="1" applyProtection="1">
      <alignment horizontal="left" indent="2"/>
      <protection locked="0"/>
    </xf>
    <xf numFmtId="0" fontId="14" fillId="6" borderId="0" xfId="1" applyFont="1" applyFill="1" applyBorder="1" applyProtection="1">
      <protection hidden="1"/>
    </xf>
    <xf numFmtId="0" fontId="32" fillId="6" borderId="0" xfId="1" applyFont="1" applyFill="1" applyBorder="1" applyAlignment="1" applyProtection="1">
      <alignment horizontal="left" vertical="center"/>
      <protection hidden="1"/>
    </xf>
    <xf numFmtId="0" fontId="32" fillId="6" borderId="0" xfId="1" applyFont="1" applyFill="1" applyBorder="1" applyAlignment="1" applyProtection="1">
      <alignment horizontal="left" vertical="top"/>
      <protection hidden="1"/>
    </xf>
    <xf numFmtId="0" fontId="21" fillId="8" borderId="6" xfId="1" applyFont="1" applyFill="1" applyBorder="1" applyAlignment="1" applyProtection="1">
      <alignment horizontal="center"/>
      <protection hidden="1"/>
    </xf>
    <xf numFmtId="0" fontId="79" fillId="6" borderId="0" xfId="1" applyFont="1" applyFill="1" applyBorder="1" applyAlignment="1" applyProtection="1">
      <alignment horizontal="center" vertical="top"/>
      <protection hidden="1"/>
    </xf>
    <xf numFmtId="0" fontId="79" fillId="6" borderId="0" xfId="1" applyFont="1" applyFill="1" applyBorder="1" applyAlignment="1" applyProtection="1">
      <alignment horizontal="center"/>
      <protection hidden="1"/>
    </xf>
    <xf numFmtId="3" fontId="50" fillId="9" borderId="17" xfId="1" applyNumberFormat="1" applyFont="1" applyFill="1" applyBorder="1" applyAlignment="1" applyProtection="1">
      <alignment horizontal="center" vertical="center"/>
      <protection hidden="1"/>
    </xf>
    <xf numFmtId="0" fontId="81" fillId="8" borderId="6" xfId="1" applyFont="1" applyFill="1" applyBorder="1" applyProtection="1">
      <protection hidden="1"/>
    </xf>
    <xf numFmtId="167" fontId="50" fillId="9" borderId="17" xfId="1" applyNumberFormat="1" applyFont="1" applyFill="1" applyBorder="1" applyAlignment="1" applyProtection="1">
      <alignment horizontal="center" vertical="center" wrapText="1"/>
      <protection hidden="1"/>
    </xf>
    <xf numFmtId="164" fontId="50" fillId="9" borderId="17" xfId="1" applyNumberFormat="1" applyFont="1" applyFill="1" applyBorder="1" applyAlignment="1" applyProtection="1">
      <alignment horizontal="center" vertical="center" wrapText="1"/>
      <protection hidden="1"/>
    </xf>
    <xf numFmtId="164" fontId="50" fillId="9" borderId="17" xfId="1" applyNumberFormat="1" applyFont="1" applyFill="1" applyBorder="1" applyAlignment="1" applyProtection="1">
      <alignment horizontal="center" vertical="center"/>
      <protection hidden="1"/>
    </xf>
    <xf numFmtId="0" fontId="0" fillId="0" borderId="0" xfId="0" applyFont="1" applyFill="1"/>
    <xf numFmtId="167" fontId="50" fillId="10" borderId="17" xfId="1" applyNumberFormat="1" applyFont="1" applyFill="1" applyBorder="1" applyAlignment="1" applyProtection="1">
      <alignment horizontal="center" vertical="center" wrapText="1"/>
      <protection hidden="1"/>
    </xf>
    <xf numFmtId="3" fontId="50" fillId="10" borderId="17" xfId="1" applyNumberFormat="1" applyFont="1" applyFill="1" applyBorder="1" applyAlignment="1" applyProtection="1">
      <alignment horizontal="center" vertical="center"/>
      <protection hidden="1"/>
    </xf>
    <xf numFmtId="0" fontId="87" fillId="8" borderId="5" xfId="1" applyFont="1" applyFill="1" applyBorder="1" applyAlignment="1" applyProtection="1">
      <alignment horizontal="left" vertical="center"/>
      <protection hidden="1"/>
    </xf>
    <xf numFmtId="0" fontId="87" fillId="8" borderId="13" xfId="1" applyFont="1" applyFill="1" applyBorder="1" applyAlignment="1" applyProtection="1">
      <alignment horizontal="center" vertical="center"/>
      <protection hidden="1"/>
    </xf>
    <xf numFmtId="0" fontId="87" fillId="8" borderId="4" xfId="1" applyFont="1" applyFill="1" applyBorder="1" applyAlignment="1" applyProtection="1">
      <alignment horizontal="center" vertical="center"/>
      <protection hidden="1"/>
    </xf>
    <xf numFmtId="0" fontId="0" fillId="6" borderId="0" xfId="0" applyFill="1" applyBorder="1"/>
    <xf numFmtId="0" fontId="14" fillId="6" borderId="16" xfId="1" applyFont="1" applyFill="1" applyBorder="1" applyProtection="1">
      <protection hidden="1"/>
    </xf>
    <xf numFmtId="0" fontId="0" fillId="6" borderId="16" xfId="0" applyFill="1" applyBorder="1"/>
    <xf numFmtId="0" fontId="0" fillId="6" borderId="18" xfId="0" applyFill="1" applyBorder="1"/>
    <xf numFmtId="0" fontId="21" fillId="8" borderId="5" xfId="1" applyFont="1" applyFill="1" applyBorder="1" applyProtection="1">
      <protection hidden="1"/>
    </xf>
    <xf numFmtId="44" fontId="0" fillId="6" borderId="0" xfId="4" applyFont="1" applyFill="1" applyBorder="1" applyAlignment="1">
      <alignment horizontal="center"/>
    </xf>
    <xf numFmtId="0" fontId="0" fillId="6" borderId="1" xfId="0" applyFill="1" applyBorder="1"/>
    <xf numFmtId="0" fontId="0" fillId="6" borderId="4" xfId="0" applyFill="1" applyBorder="1"/>
    <xf numFmtId="0" fontId="0" fillId="6" borderId="2" xfId="0" applyFill="1" applyBorder="1"/>
    <xf numFmtId="0" fontId="80" fillId="6" borderId="18" xfId="1" applyFont="1" applyFill="1" applyBorder="1" applyProtection="1">
      <protection hidden="1"/>
    </xf>
    <xf numFmtId="0" fontId="44" fillId="6" borderId="16" xfId="1" applyFont="1" applyFill="1" applyBorder="1" applyAlignment="1" applyProtection="1">
      <alignment horizontal="left" vertical="center"/>
      <protection hidden="1"/>
    </xf>
    <xf numFmtId="0" fontId="74" fillId="6" borderId="16" xfId="1" applyFont="1" applyFill="1" applyBorder="1" applyAlignment="1" applyProtection="1">
      <alignment horizontal="left" vertical="center"/>
      <protection hidden="1"/>
    </xf>
    <xf numFmtId="0" fontId="74" fillId="6" borderId="18" xfId="1" applyFont="1" applyFill="1" applyBorder="1" applyAlignment="1" applyProtection="1">
      <alignment horizontal="left" vertical="center"/>
      <protection hidden="1"/>
    </xf>
    <xf numFmtId="0" fontId="23" fillId="6" borderId="16" xfId="1" applyFont="1" applyFill="1" applyBorder="1" applyAlignment="1" applyProtection="1">
      <alignment horizontal="left"/>
      <protection hidden="1"/>
    </xf>
    <xf numFmtId="0" fontId="32" fillId="6" borderId="16" xfId="1" applyFont="1" applyFill="1" applyBorder="1" applyAlignment="1" applyProtection="1">
      <alignment horizontal="left" vertical="center"/>
      <protection hidden="1"/>
    </xf>
    <xf numFmtId="0" fontId="32" fillId="6" borderId="16" xfId="1" applyFont="1" applyFill="1" applyBorder="1" applyAlignment="1" applyProtection="1">
      <alignment horizontal="left" vertical="top"/>
      <protection hidden="1"/>
    </xf>
    <xf numFmtId="0" fontId="35" fillId="6" borderId="16" xfId="1" applyFont="1" applyFill="1" applyBorder="1" applyAlignment="1" applyProtection="1">
      <alignment horizontal="left" vertical="center"/>
      <protection hidden="1"/>
    </xf>
    <xf numFmtId="0" fontId="82" fillId="6" borderId="18" xfId="1" applyFont="1" applyFill="1" applyBorder="1" applyAlignment="1" applyProtection="1">
      <alignment horizontal="center"/>
      <protection hidden="1"/>
    </xf>
    <xf numFmtId="0" fontId="83" fillId="6" borderId="18" xfId="1" applyFont="1" applyFill="1" applyBorder="1" applyAlignment="1" applyProtection="1">
      <alignment horizontal="left" vertical="top" wrapText="1"/>
      <protection hidden="1"/>
    </xf>
    <xf numFmtId="0" fontId="44" fillId="6" borderId="16" xfId="1" applyFont="1" applyFill="1" applyBorder="1" applyAlignment="1" applyProtection="1">
      <alignment horizontal="left" vertical="top"/>
      <protection hidden="1"/>
    </xf>
    <xf numFmtId="0" fontId="37" fillId="6" borderId="16" xfId="1" applyFont="1" applyFill="1" applyBorder="1" applyAlignment="1" applyProtection="1">
      <protection hidden="1"/>
    </xf>
    <xf numFmtId="0" fontId="14" fillId="6" borderId="1" xfId="1" applyFont="1" applyFill="1" applyBorder="1" applyProtection="1">
      <protection hidden="1"/>
    </xf>
    <xf numFmtId="0" fontId="80" fillId="6" borderId="2" xfId="1" applyFont="1" applyFill="1" applyBorder="1" applyProtection="1">
      <protection hidden="1"/>
    </xf>
    <xf numFmtId="0" fontId="46" fillId="6" borderId="16" xfId="1" applyFont="1" applyFill="1" applyBorder="1" applyAlignment="1" applyProtection="1">
      <alignment horizontal="left" vertical="center"/>
      <protection hidden="1"/>
    </xf>
    <xf numFmtId="164" fontId="50" fillId="6" borderId="18" xfId="1" applyNumberFormat="1" applyFont="1" applyFill="1" applyBorder="1" applyAlignment="1" applyProtection="1">
      <alignment horizontal="center" vertical="center"/>
      <protection hidden="1"/>
    </xf>
    <xf numFmtId="0" fontId="34" fillId="6" borderId="16" xfId="1" applyFont="1" applyFill="1" applyBorder="1" applyProtection="1">
      <protection hidden="1"/>
    </xf>
    <xf numFmtId="0" fontId="17" fillId="6" borderId="16" xfId="1" applyFont="1" applyFill="1" applyBorder="1" applyAlignment="1" applyProtection="1">
      <alignment horizontal="left" vertical="center"/>
      <protection hidden="1"/>
    </xf>
    <xf numFmtId="0" fontId="84" fillId="6" borderId="18" xfId="1" applyFont="1" applyFill="1" applyBorder="1" applyAlignment="1" applyProtection="1">
      <alignment horizontal="center" vertical="center"/>
      <protection hidden="1"/>
    </xf>
    <xf numFmtId="0" fontId="49" fillId="6" borderId="16" xfId="1" applyFont="1" applyFill="1" applyBorder="1" applyAlignment="1" applyProtection="1">
      <alignment horizontal="left"/>
      <protection hidden="1"/>
    </xf>
    <xf numFmtId="0" fontId="80" fillId="6" borderId="15" xfId="1" applyFont="1" applyFill="1" applyBorder="1" applyProtection="1">
      <protection hidden="1"/>
    </xf>
    <xf numFmtId="0" fontId="22" fillId="6" borderId="16" xfId="1" applyFont="1" applyFill="1" applyBorder="1" applyAlignment="1" applyProtection="1">
      <alignment horizontal="left" vertical="top"/>
      <protection hidden="1"/>
    </xf>
    <xf numFmtId="0" fontId="50" fillId="6" borderId="18" xfId="1" applyFont="1" applyFill="1" applyBorder="1" applyAlignment="1" applyProtection="1">
      <alignment horizontal="center" vertical="center"/>
      <protection hidden="1"/>
    </xf>
    <xf numFmtId="0" fontId="44" fillId="6" borderId="14" xfId="1" applyFont="1" applyFill="1" applyBorder="1" applyAlignment="1" applyProtection="1">
      <alignment horizontal="left" vertical="top"/>
      <protection hidden="1"/>
    </xf>
    <xf numFmtId="0" fontId="85" fillId="6" borderId="15" xfId="1" applyFont="1" applyFill="1" applyBorder="1" applyAlignment="1" applyProtection="1">
      <alignment horizontal="center" vertical="center"/>
      <protection hidden="1"/>
    </xf>
    <xf numFmtId="0" fontId="14" fillId="6" borderId="16" xfId="1" applyFont="1" applyFill="1" applyBorder="1" applyAlignment="1" applyProtection="1">
      <alignment horizontal="left" vertical="top" wrapText="1"/>
      <protection hidden="1"/>
    </xf>
    <xf numFmtId="0" fontId="86" fillId="6" borderId="18" xfId="1" applyFont="1" applyFill="1" applyBorder="1" applyProtection="1">
      <protection hidden="1"/>
    </xf>
    <xf numFmtId="0" fontId="23" fillId="6" borderId="14" xfId="1" applyFont="1" applyFill="1" applyBorder="1" applyAlignment="1" applyProtection="1">
      <alignment horizontal="center"/>
      <protection hidden="1"/>
    </xf>
    <xf numFmtId="0" fontId="41" fillId="6" borderId="16" xfId="1" applyFont="1" applyFill="1" applyBorder="1" applyAlignment="1" applyProtection="1">
      <alignment horizontal="left" vertical="top"/>
      <protection hidden="1"/>
    </xf>
    <xf numFmtId="165" fontId="50" fillId="6" borderId="18" xfId="1" applyNumberFormat="1" applyFont="1" applyFill="1" applyBorder="1" applyAlignment="1" applyProtection="1">
      <alignment horizontal="center" vertical="center"/>
      <protection hidden="1"/>
    </xf>
    <xf numFmtId="0" fontId="14" fillId="6" borderId="14" xfId="1" applyFont="1" applyFill="1" applyBorder="1" applyProtection="1">
      <protection hidden="1"/>
    </xf>
    <xf numFmtId="0" fontId="65" fillId="6" borderId="1" xfId="1" applyFont="1" applyFill="1" applyBorder="1" applyProtection="1">
      <protection hidden="1"/>
    </xf>
    <xf numFmtId="0" fontId="32" fillId="6" borderId="4" xfId="1" applyFont="1" applyFill="1" applyBorder="1" applyAlignment="1" applyProtection="1">
      <alignment horizontal="left" vertical="top"/>
      <protection hidden="1"/>
    </xf>
    <xf numFmtId="0" fontId="29" fillId="2" borderId="13" xfId="2" applyFont="1" applyFill="1" applyBorder="1" applyAlignment="1" applyProtection="1">
      <alignment vertical="center" wrapText="1"/>
      <protection hidden="1"/>
    </xf>
    <xf numFmtId="0" fontId="0" fillId="6" borderId="3" xfId="0" applyFill="1" applyBorder="1"/>
    <xf numFmtId="0" fontId="88" fillId="0" borderId="0" xfId="0" applyFont="1" applyFill="1" applyAlignment="1">
      <alignment horizontal="center" vertical="center"/>
    </xf>
    <xf numFmtId="0" fontId="44" fillId="4" borderId="0" xfId="1" applyFont="1" applyFill="1" applyBorder="1" applyAlignment="1" applyProtection="1">
      <alignment horizontal="left" vertical="top" wrapText="1"/>
      <protection hidden="1"/>
    </xf>
    <xf numFmtId="0" fontId="23" fillId="4" borderId="3" xfId="1" applyFont="1" applyFill="1" applyBorder="1" applyAlignment="1" applyProtection="1">
      <alignment horizontal="center"/>
      <protection hidden="1"/>
    </xf>
    <xf numFmtId="0" fontId="23" fillId="4" borderId="18" xfId="1" applyFont="1" applyFill="1" applyBorder="1" applyAlignment="1" applyProtection="1">
      <alignment horizontal="left"/>
      <protection hidden="1"/>
    </xf>
    <xf numFmtId="0" fontId="14" fillId="4" borderId="16" xfId="1" applyFont="1" applyFill="1" applyBorder="1" applyAlignment="1" applyProtection="1">
      <alignment horizontal="center"/>
      <protection hidden="1"/>
    </xf>
    <xf numFmtId="0" fontId="32" fillId="4" borderId="0" xfId="1" applyFont="1" applyFill="1" applyBorder="1" applyAlignment="1" applyProtection="1">
      <alignment horizontal="center" vertical="center"/>
      <protection hidden="1"/>
    </xf>
    <xf numFmtId="164" fontId="90" fillId="11" borderId="17" xfId="6" applyNumberFormat="1" applyFont="1" applyBorder="1" applyAlignment="1" applyProtection="1">
      <alignment horizontal="center" vertical="center"/>
      <protection hidden="1"/>
    </xf>
    <xf numFmtId="164" fontId="90" fillId="11" borderId="20" xfId="6" applyNumberFormat="1" applyFont="1" applyBorder="1" applyAlignment="1" applyProtection="1">
      <alignment horizontal="center" vertical="center" wrapText="1"/>
      <protection hidden="1"/>
    </xf>
    <xf numFmtId="164" fontId="91" fillId="11" borderId="20" xfId="6" applyNumberFormat="1" applyFont="1" applyBorder="1" applyAlignment="1" applyProtection="1">
      <alignment horizontal="center" vertical="center" wrapText="1"/>
      <protection hidden="1"/>
    </xf>
    <xf numFmtId="0" fontId="17" fillId="0" borderId="15" xfId="1" applyFont="1" applyBorder="1" applyAlignment="1">
      <alignment horizontal="center" vertical="center" wrapText="1"/>
    </xf>
    <xf numFmtId="0" fontId="60" fillId="0" borderId="18" xfId="1" applyFont="1" applyBorder="1" applyAlignment="1">
      <alignment horizontal="center" vertical="center"/>
    </xf>
    <xf numFmtId="0" fontId="17" fillId="0" borderId="18" xfId="1" applyFont="1" applyBorder="1" applyAlignment="1">
      <alignment horizontal="center" vertical="center" wrapText="1"/>
    </xf>
    <xf numFmtId="0" fontId="1" fillId="0" borderId="0" xfId="1" applyProtection="1"/>
    <xf numFmtId="4" fontId="17" fillId="3" borderId="17" xfId="1" applyNumberFormat="1" applyFont="1" applyFill="1" applyBorder="1" applyAlignment="1" applyProtection="1">
      <alignment horizontal="center" vertical="center"/>
      <protection hidden="1"/>
    </xf>
    <xf numFmtId="4" fontId="50" fillId="9" borderId="17" xfId="1" applyNumberFormat="1" applyFont="1" applyFill="1" applyBorder="1" applyAlignment="1" applyProtection="1">
      <alignment horizontal="center" vertical="center"/>
      <protection hidden="1"/>
    </xf>
    <xf numFmtId="0" fontId="40" fillId="4" borderId="0" xfId="1" applyFont="1" applyFill="1" applyBorder="1" applyAlignment="1" applyProtection="1">
      <alignment horizontal="left" vertical="top" wrapText="1"/>
      <protection hidden="1"/>
    </xf>
    <xf numFmtId="4" fontId="0" fillId="0" borderId="0" xfId="0" applyNumberFormat="1" applyFill="1"/>
    <xf numFmtId="3" fontId="0" fillId="0" borderId="0" xfId="0" applyNumberFormat="1" applyFill="1"/>
    <xf numFmtId="0" fontId="32" fillId="6" borderId="18" xfId="1" applyFont="1" applyFill="1" applyBorder="1" applyAlignment="1" applyProtection="1">
      <alignment horizontal="left" vertical="center"/>
      <protection hidden="1"/>
    </xf>
    <xf numFmtId="0" fontId="50" fillId="6" borderId="2" xfId="1" applyFont="1" applyFill="1" applyBorder="1" applyAlignment="1" applyProtection="1">
      <alignment horizontal="center" vertical="center"/>
      <protection hidden="1"/>
    </xf>
    <xf numFmtId="3" fontId="50" fillId="9" borderId="17" xfId="1" applyNumberFormat="1" applyFont="1" applyFill="1" applyBorder="1" applyAlignment="1" applyProtection="1">
      <alignment horizontal="center" vertical="center"/>
    </xf>
    <xf numFmtId="164" fontId="50" fillId="9" borderId="17" xfId="1" applyNumberFormat="1" applyFont="1" applyFill="1" applyBorder="1" applyAlignment="1" applyProtection="1">
      <alignment horizontal="center" vertical="center" wrapText="1"/>
    </xf>
    <xf numFmtId="167" fontId="50" fillId="9" borderId="17" xfId="1" applyNumberFormat="1" applyFont="1" applyFill="1" applyBorder="1" applyAlignment="1" applyProtection="1">
      <alignment horizontal="center" vertical="center" wrapText="1"/>
    </xf>
    <xf numFmtId="3" fontId="50" fillId="0" borderId="17" xfId="1" applyNumberFormat="1" applyFont="1" applyFill="1" applyBorder="1" applyAlignment="1" applyProtection="1">
      <alignment horizontal="center" vertical="center"/>
      <protection locked="0"/>
    </xf>
    <xf numFmtId="0" fontId="80" fillId="6" borderId="13" xfId="1" applyFont="1" applyFill="1" applyBorder="1" applyProtection="1">
      <protection hidden="1"/>
    </xf>
    <xf numFmtId="0" fontId="80" fillId="6" borderId="21" xfId="1" applyFont="1" applyFill="1" applyBorder="1" applyProtection="1">
      <protection hidden="1"/>
    </xf>
    <xf numFmtId="0" fontId="86" fillId="6" borderId="13" xfId="1" applyFont="1" applyFill="1" applyBorder="1" applyProtection="1">
      <protection hidden="1"/>
    </xf>
    <xf numFmtId="0" fontId="85" fillId="6" borderId="13" xfId="1" applyFont="1" applyFill="1" applyBorder="1" applyAlignment="1" applyProtection="1">
      <alignment horizontal="center" vertical="center"/>
      <protection hidden="1"/>
    </xf>
    <xf numFmtId="164" fontId="50" fillId="6" borderId="13" xfId="1" applyNumberFormat="1" applyFont="1" applyFill="1" applyBorder="1" applyAlignment="1" applyProtection="1">
      <alignment horizontal="center" vertical="center"/>
      <protection hidden="1"/>
    </xf>
    <xf numFmtId="0" fontId="50" fillId="6" borderId="4" xfId="1" applyFont="1" applyFill="1" applyBorder="1" applyAlignment="1" applyProtection="1">
      <alignment horizontal="center" vertical="center"/>
      <protection hidden="1"/>
    </xf>
    <xf numFmtId="0" fontId="80" fillId="6" borderId="3" xfId="1" applyFont="1" applyFill="1" applyBorder="1" applyProtection="1">
      <protection hidden="1"/>
    </xf>
    <xf numFmtId="0" fontId="84" fillId="6" borderId="13" xfId="1" applyFont="1" applyFill="1" applyBorder="1" applyAlignment="1" applyProtection="1">
      <alignment horizontal="center" vertical="center"/>
      <protection hidden="1"/>
    </xf>
    <xf numFmtId="165" fontId="50" fillId="6" borderId="13" xfId="1" applyNumberFormat="1" applyFont="1" applyFill="1" applyBorder="1" applyAlignment="1" applyProtection="1">
      <alignment horizontal="center" vertical="center"/>
      <protection hidden="1"/>
    </xf>
    <xf numFmtId="0" fontId="81" fillId="8" borderId="13" xfId="1" applyFont="1" applyFill="1" applyBorder="1" applyProtection="1">
      <protection hidden="1"/>
    </xf>
    <xf numFmtId="0" fontId="82" fillId="6" borderId="13" xfId="1" applyFont="1" applyFill="1" applyBorder="1" applyAlignment="1" applyProtection="1">
      <alignment horizontal="center"/>
      <protection hidden="1"/>
    </xf>
    <xf numFmtId="0" fontId="83" fillId="6" borderId="13" xfId="1" applyFont="1" applyFill="1" applyBorder="1" applyAlignment="1" applyProtection="1">
      <alignment horizontal="left" vertical="top" wrapText="1"/>
      <protection hidden="1"/>
    </xf>
    <xf numFmtId="0" fontId="74" fillId="6" borderId="13" xfId="1" applyFont="1" applyFill="1" applyBorder="1" applyAlignment="1" applyProtection="1">
      <alignment horizontal="left" vertical="center"/>
      <protection hidden="1"/>
    </xf>
    <xf numFmtId="0" fontId="81" fillId="8" borderId="2" xfId="1" applyFont="1" applyFill="1" applyBorder="1" applyProtection="1">
      <protection hidden="1"/>
    </xf>
    <xf numFmtId="0" fontId="74" fillId="8" borderId="4" xfId="1" applyFont="1" applyFill="1" applyBorder="1" applyAlignment="1" applyProtection="1">
      <alignment horizontal="left" vertical="top"/>
      <protection hidden="1"/>
    </xf>
    <xf numFmtId="0" fontId="74" fillId="8" borderId="13" xfId="1" applyFont="1" applyFill="1" applyBorder="1" applyAlignment="1" applyProtection="1">
      <alignment horizontal="left" vertical="top"/>
      <protection hidden="1"/>
    </xf>
    <xf numFmtId="0" fontId="14" fillId="6" borderId="13" xfId="1" applyFont="1" applyFill="1" applyBorder="1" applyProtection="1">
      <protection hidden="1"/>
    </xf>
    <xf numFmtId="165" fontId="50" fillId="6" borderId="3" xfId="1" applyNumberFormat="1" applyFont="1" applyFill="1" applyBorder="1" applyAlignment="1" applyProtection="1">
      <alignment horizontal="center" vertical="center"/>
      <protection hidden="1"/>
    </xf>
    <xf numFmtId="164" fontId="50" fillId="6" borderId="22" xfId="1" applyNumberFormat="1" applyFont="1" applyFill="1" applyBorder="1" applyAlignment="1" applyProtection="1">
      <alignment horizontal="center" vertical="center"/>
      <protection hidden="1"/>
    </xf>
    <xf numFmtId="164" fontId="50" fillId="6" borderId="23" xfId="1" applyNumberFormat="1" applyFont="1" applyFill="1" applyBorder="1" applyAlignment="1" applyProtection="1">
      <alignment horizontal="center" vertical="center"/>
      <protection hidden="1"/>
    </xf>
    <xf numFmtId="0" fontId="50" fillId="6" borderId="22" xfId="1" applyFont="1" applyFill="1" applyBorder="1" applyAlignment="1" applyProtection="1">
      <alignment horizontal="center" vertical="center"/>
      <protection hidden="1"/>
    </xf>
    <xf numFmtId="0" fontId="0" fillId="0" borderId="0" xfId="0" applyFill="1" applyBorder="1"/>
    <xf numFmtId="164" fontId="92" fillId="9" borderId="17" xfId="1" applyNumberFormat="1" applyFont="1" applyFill="1" applyBorder="1" applyAlignment="1" applyProtection="1">
      <alignment horizontal="center" vertical="center"/>
      <protection hidden="1"/>
    </xf>
    <xf numFmtId="0" fontId="93" fillId="5" borderId="19" xfId="1" applyFont="1" applyFill="1" applyBorder="1" applyAlignment="1" applyProtection="1">
      <alignment horizontal="left" vertical="center" wrapText="1" indent="1"/>
      <protection hidden="1"/>
    </xf>
    <xf numFmtId="0" fontId="19" fillId="2" borderId="13" xfId="1" applyFont="1" applyFill="1" applyBorder="1" applyAlignment="1" applyProtection="1">
      <alignment horizontal="left" vertical="center"/>
      <protection hidden="1"/>
    </xf>
    <xf numFmtId="0" fontId="94" fillId="0" borderId="0" xfId="0" applyFont="1"/>
    <xf numFmtId="0" fontId="95" fillId="0" borderId="0" xfId="2" applyFont="1" applyAlignment="1" applyProtection="1">
      <alignment horizontal="left"/>
    </xf>
    <xf numFmtId="0" fontId="3" fillId="2" borderId="5" xfId="1" applyFont="1" applyFill="1" applyBorder="1" applyAlignment="1">
      <alignment horizontal="left"/>
    </xf>
    <xf numFmtId="0" fontId="3" fillId="2" borderId="6" xfId="1" applyFont="1" applyFill="1" applyBorder="1" applyAlignment="1">
      <alignment horizontal="left"/>
    </xf>
    <xf numFmtId="0" fontId="4" fillId="0" borderId="3" xfId="1" applyFont="1" applyBorder="1" applyAlignment="1">
      <alignment horizontal="left" wrapText="1" indent="2"/>
    </xf>
    <xf numFmtId="0" fontId="5" fillId="0" borderId="0" xfId="1" applyFont="1" applyBorder="1" applyAlignment="1">
      <alignment horizontal="left" wrapText="1" indent="2"/>
    </xf>
    <xf numFmtId="0" fontId="4" fillId="0" borderId="0" xfId="1" applyFont="1" applyAlignment="1" applyProtection="1">
      <alignment horizontal="left" wrapText="1" indent="2"/>
      <protection hidden="1"/>
    </xf>
    <xf numFmtId="0" fontId="4" fillId="0" borderId="0" xfId="1" applyFont="1" applyAlignment="1">
      <alignment horizontal="left" wrapText="1" indent="2"/>
    </xf>
    <xf numFmtId="0" fontId="4" fillId="0" borderId="0" xfId="1" applyFont="1" applyAlignment="1" applyProtection="1">
      <alignment horizontal="left" vertical="top" wrapText="1" indent="2"/>
      <protection hidden="1"/>
    </xf>
    <xf numFmtId="0" fontId="6" fillId="0" borderId="0" xfId="1" applyFont="1" applyAlignment="1" applyProtection="1">
      <alignment horizontal="left" vertical="top" wrapText="1" indent="2"/>
      <protection hidden="1"/>
    </xf>
    <xf numFmtId="0" fontId="2" fillId="0" borderId="0" xfId="1" applyFont="1" applyFill="1" applyBorder="1" applyAlignment="1">
      <alignment horizontal="center" vertical="center"/>
    </xf>
    <xf numFmtId="0" fontId="3" fillId="2" borderId="1" xfId="1" applyFont="1" applyFill="1" applyBorder="1" applyAlignment="1">
      <alignment horizontal="left"/>
    </xf>
    <xf numFmtId="0" fontId="3" fillId="2" borderId="2" xfId="1" applyFont="1" applyFill="1" applyBorder="1" applyAlignment="1">
      <alignment horizontal="left"/>
    </xf>
    <xf numFmtId="0" fontId="4" fillId="0" borderId="3" xfId="1" applyFont="1" applyBorder="1" applyAlignment="1" applyProtection="1">
      <alignment horizontal="left" vertical="top" wrapText="1" indent="2"/>
      <protection hidden="1"/>
    </xf>
    <xf numFmtId="0" fontId="1" fillId="0" borderId="3" xfId="1" applyBorder="1"/>
    <xf numFmtId="0" fontId="62" fillId="2" borderId="4" xfId="1" applyFont="1" applyFill="1" applyBorder="1" applyAlignment="1" applyProtection="1">
      <alignment horizontal="left" vertical="center"/>
      <protection hidden="1"/>
    </xf>
    <xf numFmtId="0" fontId="63" fillId="2" borderId="4" xfId="1" applyFont="1" applyFill="1" applyBorder="1" applyAlignment="1" applyProtection="1">
      <alignment horizontal="left" vertical="center"/>
      <protection hidden="1"/>
    </xf>
    <xf numFmtId="0" fontId="25" fillId="0" borderId="0" xfId="1" applyFont="1" applyFill="1" applyBorder="1" applyAlignment="1" applyProtection="1">
      <alignment horizontal="center" vertical="center" textRotation="90"/>
      <protection hidden="1"/>
    </xf>
    <xf numFmtId="0" fontId="19" fillId="2" borderId="3" xfId="1" applyFont="1" applyFill="1" applyBorder="1" applyAlignment="1" applyProtection="1">
      <alignment horizontal="center" vertical="center"/>
      <protection hidden="1"/>
    </xf>
    <xf numFmtId="49" fontId="22" fillId="4" borderId="0" xfId="1" applyNumberFormat="1" applyFont="1" applyFill="1" applyBorder="1" applyAlignment="1" applyProtection="1">
      <alignment horizontal="left" vertical="center" wrapText="1"/>
      <protection hidden="1"/>
    </xf>
    <xf numFmtId="49" fontId="1" fillId="0" borderId="0" xfId="1" applyNumberFormat="1" applyFont="1" applyAlignment="1" applyProtection="1">
      <alignment horizontal="left" vertical="center" wrapText="1"/>
      <protection hidden="1"/>
    </xf>
    <xf numFmtId="49" fontId="1" fillId="0" borderId="18" xfId="1" applyNumberFormat="1" applyFont="1" applyBorder="1" applyAlignment="1" applyProtection="1">
      <alignment horizontal="left" vertical="center" wrapText="1"/>
      <protection hidden="1"/>
    </xf>
    <xf numFmtId="0" fontId="27" fillId="2" borderId="7" xfId="1" applyFont="1" applyFill="1" applyBorder="1" applyAlignment="1" applyProtection="1">
      <alignment horizontal="center" vertical="center" wrapText="1"/>
      <protection hidden="1"/>
    </xf>
    <xf numFmtId="0" fontId="27" fillId="2" borderId="8" xfId="1" applyFont="1" applyFill="1" applyBorder="1" applyAlignment="1" applyProtection="1">
      <alignment horizontal="center" vertical="center" wrapText="1"/>
      <protection hidden="1"/>
    </xf>
    <xf numFmtId="0" fontId="27" fillId="2" borderId="9" xfId="1" applyFont="1" applyFill="1" applyBorder="1" applyAlignment="1" applyProtection="1">
      <alignment horizontal="center" vertical="center" wrapText="1"/>
      <protection hidden="1"/>
    </xf>
    <xf numFmtId="164" fontId="16" fillId="3" borderId="10" xfId="1" applyNumberFormat="1" applyFont="1" applyFill="1" applyBorder="1" applyAlignment="1" applyProtection="1">
      <alignment horizontal="center" vertical="center"/>
      <protection hidden="1"/>
    </xf>
    <xf numFmtId="164" fontId="16" fillId="3" borderId="11" xfId="1" applyNumberFormat="1" applyFont="1" applyFill="1" applyBorder="1" applyAlignment="1" applyProtection="1">
      <alignment horizontal="center" vertical="center"/>
      <protection hidden="1"/>
    </xf>
    <xf numFmtId="164" fontId="16" fillId="3" borderId="12" xfId="1" applyNumberFormat="1" applyFont="1" applyFill="1" applyBorder="1" applyAlignment="1" applyProtection="1">
      <alignment horizontal="center" vertical="center"/>
      <protection hidden="1"/>
    </xf>
    <xf numFmtId="0" fontId="2" fillId="0" borderId="0" xfId="1" applyFont="1" applyFill="1" applyAlignment="1" applyProtection="1">
      <alignment horizontal="center"/>
      <protection hidden="1"/>
    </xf>
    <xf numFmtId="0" fontId="23" fillId="4" borderId="3" xfId="1" applyFont="1" applyFill="1" applyBorder="1" applyAlignment="1" applyProtection="1">
      <alignment horizontal="center"/>
      <protection hidden="1"/>
    </xf>
    <xf numFmtId="0" fontId="41" fillId="4" borderId="0" xfId="1" applyFont="1" applyFill="1" applyBorder="1" applyAlignment="1" applyProtection="1">
      <alignment horizontal="left" vertical="top" wrapText="1"/>
      <protection hidden="1"/>
    </xf>
    <xf numFmtId="0" fontId="40" fillId="4" borderId="0" xfId="1" applyFont="1" applyFill="1" applyBorder="1" applyAlignment="1" applyProtection="1">
      <alignment horizontal="left" vertical="top" wrapText="1"/>
      <protection hidden="1"/>
    </xf>
    <xf numFmtId="0" fontId="40" fillId="4" borderId="4" xfId="1" applyFont="1" applyFill="1" applyBorder="1" applyAlignment="1" applyProtection="1">
      <alignment horizontal="left" vertical="top" wrapText="1"/>
      <protection hidden="1"/>
    </xf>
    <xf numFmtId="0" fontId="44" fillId="4" borderId="0" xfId="1" applyFont="1" applyFill="1" applyBorder="1" applyAlignment="1" applyProtection="1">
      <alignment horizontal="center" vertical="center" wrapText="1"/>
      <protection hidden="1"/>
    </xf>
    <xf numFmtId="0" fontId="56" fillId="4" borderId="0" xfId="1" applyFont="1" applyFill="1" applyBorder="1" applyAlignment="1" applyProtection="1">
      <alignment horizontal="center" wrapText="1"/>
      <protection hidden="1"/>
    </xf>
    <xf numFmtId="0" fontId="57" fillId="5" borderId="5" xfId="1" applyFont="1" applyFill="1" applyBorder="1" applyAlignment="1" applyProtection="1">
      <alignment horizontal="left"/>
      <protection locked="0" hidden="1"/>
    </xf>
    <xf numFmtId="0" fontId="57" fillId="5" borderId="13" xfId="1" applyFont="1" applyFill="1" applyBorder="1" applyAlignment="1" applyProtection="1">
      <alignment horizontal="left"/>
      <protection locked="0" hidden="1"/>
    </xf>
    <xf numFmtId="0" fontId="57" fillId="5" borderId="6" xfId="1" applyFont="1" applyFill="1" applyBorder="1" applyAlignment="1" applyProtection="1">
      <alignment horizontal="left"/>
      <protection locked="0" hidden="1"/>
    </xf>
    <xf numFmtId="0" fontId="17" fillId="0" borderId="14" xfId="1" applyFont="1" applyBorder="1" applyAlignment="1">
      <alignment horizontal="right" vertical="center"/>
    </xf>
    <xf numFmtId="0" fontId="17" fillId="0" borderId="3" xfId="1" applyFont="1" applyBorder="1" applyAlignment="1">
      <alignment horizontal="right" vertical="center"/>
    </xf>
    <xf numFmtId="0" fontId="17" fillId="0" borderId="16" xfId="1" applyFont="1" applyBorder="1" applyAlignment="1">
      <alignment horizontal="right" vertical="center"/>
    </xf>
    <xf numFmtId="0" fontId="17" fillId="0" borderId="0" xfId="1" applyFont="1" applyBorder="1" applyAlignment="1">
      <alignment horizontal="right" vertical="center"/>
    </xf>
    <xf numFmtId="0" fontId="67" fillId="0" borderId="16" xfId="1" applyFont="1" applyFill="1" applyBorder="1" applyAlignment="1" applyProtection="1">
      <alignment horizontal="left"/>
      <protection hidden="1"/>
    </xf>
    <xf numFmtId="0" fontId="67" fillId="0" borderId="0" xfId="1" applyFont="1" applyFill="1" applyBorder="1" applyAlignment="1" applyProtection="1">
      <alignment horizontal="left"/>
      <protection hidden="1"/>
    </xf>
    <xf numFmtId="0" fontId="1" fillId="0" borderId="0" xfId="1" applyAlignment="1"/>
    <xf numFmtId="0" fontId="17" fillId="0" borderId="16" xfId="1" applyFont="1" applyBorder="1" applyAlignment="1">
      <alignment horizontal="right" vertical="center" wrapText="1"/>
    </xf>
    <xf numFmtId="0" fontId="19" fillId="2" borderId="5" xfId="1" applyFont="1" applyFill="1" applyBorder="1" applyAlignment="1" applyProtection="1">
      <alignment horizontal="left" vertical="center"/>
      <protection hidden="1"/>
    </xf>
    <xf numFmtId="0" fontId="19" fillId="2" borderId="13" xfId="1" applyFont="1" applyFill="1" applyBorder="1" applyAlignment="1" applyProtection="1">
      <alignment horizontal="left" vertical="center"/>
      <protection hidden="1"/>
    </xf>
    <xf numFmtId="0" fontId="19" fillId="2" borderId="6" xfId="1" applyFont="1" applyFill="1" applyBorder="1" applyAlignment="1" applyProtection="1">
      <alignment horizontal="left" vertical="center"/>
      <protection hidden="1"/>
    </xf>
    <xf numFmtId="164" fontId="17" fillId="0" borderId="16" xfId="1" applyNumberFormat="1" applyFont="1" applyBorder="1" applyAlignment="1">
      <alignment horizontal="right" vertical="center"/>
    </xf>
    <xf numFmtId="164" fontId="17" fillId="0" borderId="0" xfId="1" applyNumberFormat="1" applyFont="1" applyBorder="1" applyAlignment="1">
      <alignment horizontal="right" vertical="center"/>
    </xf>
    <xf numFmtId="0" fontId="2" fillId="0" borderId="4" xfId="1" applyFont="1" applyBorder="1" applyAlignment="1">
      <alignment horizontal="center" vertical="top"/>
    </xf>
    <xf numFmtId="0" fontId="17" fillId="0" borderId="3" xfId="1" applyFont="1" applyBorder="1" applyAlignment="1">
      <alignment horizontal="center" vertical="center" wrapText="1"/>
    </xf>
    <xf numFmtId="0" fontId="33" fillId="0" borderId="16" xfId="1" applyFont="1" applyFill="1" applyBorder="1" applyAlignment="1" applyProtection="1">
      <alignment horizontal="left"/>
      <protection hidden="1"/>
    </xf>
    <xf numFmtId="0" fontId="33" fillId="0" borderId="0" xfId="1" applyFont="1" applyFill="1" applyBorder="1" applyAlignment="1" applyProtection="1">
      <alignment horizontal="left"/>
      <protection hidden="1"/>
    </xf>
    <xf numFmtId="0" fontId="71" fillId="0" borderId="3" xfId="1" applyFont="1" applyFill="1" applyBorder="1" applyAlignment="1" applyProtection="1">
      <alignment horizontal="left" vertical="center" wrapText="1"/>
      <protection hidden="1"/>
    </xf>
    <xf numFmtId="0" fontId="50" fillId="0" borderId="4" xfId="1" applyFont="1" applyFill="1" applyBorder="1" applyAlignment="1" applyProtection="1">
      <alignment horizontal="left" vertical="center" wrapText="1"/>
      <protection hidden="1"/>
    </xf>
    <xf numFmtId="0" fontId="2" fillId="0" borderId="0" xfId="1" applyFont="1" applyFill="1" applyBorder="1" applyAlignment="1">
      <alignment horizontal="center"/>
    </xf>
    <xf numFmtId="0" fontId="50" fillId="0" borderId="0" xfId="1" applyFont="1" applyFill="1" applyBorder="1" applyAlignment="1" applyProtection="1">
      <alignment horizontal="left" vertical="center" wrapText="1"/>
      <protection hidden="1"/>
    </xf>
    <xf numFmtId="0" fontId="71" fillId="0" borderId="0" xfId="1" applyFont="1" applyFill="1" applyBorder="1" applyAlignment="1" applyProtection="1">
      <alignment horizontal="left" vertical="center" wrapText="1"/>
      <protection hidden="1"/>
    </xf>
  </cellXfs>
  <cellStyles count="7">
    <cellStyle name="Comma" xfId="5" builtinId="3"/>
    <cellStyle name="Currency" xfId="4" builtinId="4"/>
    <cellStyle name="Hyperlink" xfId="2" builtinId="8"/>
    <cellStyle name="Neutral" xfId="6" builtinId="28"/>
    <cellStyle name="Normal" xfId="0" builtinId="0"/>
    <cellStyle name="Normal 2" xfId="1"/>
    <cellStyle name="Percent 2" xfId="3"/>
  </cellStyles>
  <dxfs count="12">
    <dxf>
      <font>
        <condense val="0"/>
        <extend val="0"/>
        <color indexed="9"/>
      </font>
    </dxf>
    <dxf>
      <font>
        <condense val="0"/>
        <extend val="0"/>
        <color rgb="FF9C0006"/>
      </font>
      <fill>
        <patternFill>
          <bgColor rgb="FFFFC7CE"/>
        </patternFill>
      </fill>
    </dxf>
    <dxf>
      <font>
        <condense val="0"/>
        <extend val="0"/>
        <color indexed="10"/>
      </font>
    </dxf>
    <dxf>
      <font>
        <condense val="0"/>
        <extend val="0"/>
        <color indexed="18"/>
      </font>
    </dxf>
    <dxf>
      <font>
        <condense val="0"/>
        <extend val="0"/>
        <color indexed="18"/>
      </font>
    </dxf>
    <dxf>
      <font>
        <condense val="0"/>
        <extend val="0"/>
        <color indexed="9"/>
      </font>
    </dxf>
    <dxf>
      <font>
        <condense val="0"/>
        <extend val="0"/>
        <color indexed="42"/>
      </font>
    </dxf>
    <dxf>
      <font>
        <condense val="0"/>
        <extend val="0"/>
        <color indexed="42"/>
      </font>
    </dxf>
    <dxf>
      <font>
        <condense val="0"/>
        <extend val="0"/>
        <color indexed="10"/>
      </font>
    </dxf>
    <dxf>
      <font>
        <condense val="0"/>
        <extend val="0"/>
        <color indexed="42"/>
      </font>
    </dxf>
    <dxf>
      <font>
        <condense val="0"/>
        <extend val="0"/>
        <color indexed="42"/>
      </font>
    </dxf>
    <dxf>
      <font>
        <condense val="0"/>
        <extend val="0"/>
        <color indexed="42"/>
      </font>
    </dxf>
  </dxfs>
  <tableStyles count="0" defaultTableStyle="TableStyleMedium9" defaultPivotStyle="PivotStyleLight16"/>
  <colors>
    <mruColors>
      <color rgb="FFFFCC99"/>
      <color rgb="FFFFFFCC"/>
      <color rgb="FFFFFF99"/>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50-EC42-11CE-9E0D-00AA006002F3}" ax:persistence="persistStreamInit" r:id="rId1"/>
</file>

<file path=xl/activeX/activeX2.xml><?xml version="1.0" encoding="utf-8"?>
<ax:ocx xmlns:ax="http://schemas.microsoft.com/office/2006/activeX" xmlns:r="http://schemas.openxmlformats.org/officeDocument/2006/relationships" ax:classid="{8BD21D50-EC42-11CE-9E0D-00AA006002F3}"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79176FB0-B7F2-11CE-97EF-00AA006D2776}" ax:persistence="persistStreamInit" r:id="rId1"/>
</file>

<file path=xl/activeX/activeX6.xml><?xml version="1.0" encoding="utf-8"?>
<ax:ocx xmlns:ax="http://schemas.microsoft.com/office/2006/activeX" xmlns:r="http://schemas.openxmlformats.org/officeDocument/2006/relationships" ax:classid="{79176FB0-B7F2-11CE-97EF-00AA006D2776}" ax:persistence="persistStreamInit" r:id="rId1"/>
</file>

<file path=xl/activeX/activeX7.xml><?xml version="1.0" encoding="utf-8"?>
<ax:ocx xmlns:ax="http://schemas.microsoft.com/office/2006/activeX" xmlns:r="http://schemas.openxmlformats.org/officeDocument/2006/relationships" ax:classid="{79176FB0-B7F2-11CE-97EF-00AA006D2776}"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Cost by Category</a:t>
            </a:r>
          </a:p>
        </c:rich>
      </c:tx>
    </c:title>
    <c:plotArea>
      <c:layout/>
      <c:barChart>
        <c:barDir val="col"/>
        <c:grouping val="clustered"/>
        <c:ser>
          <c:idx val="0"/>
          <c:order val="0"/>
          <c:tx>
            <c:strRef>
              <c:f>DATA!$B$11</c:f>
              <c:strCache>
                <c:ptCount val="1"/>
                <c:pt idx="0">
                  <c:v>TOTALS</c:v>
                </c:pt>
              </c:strCache>
            </c:strRef>
          </c:tx>
          <c:cat>
            <c:strRef>
              <c:f>DATA!$A$12:$A$16</c:f>
              <c:strCache>
                <c:ptCount val="4"/>
                <c:pt idx="0">
                  <c:v>Real Estate</c:v>
                </c:pt>
                <c:pt idx="1">
                  <c:v>Telecom</c:v>
                </c:pt>
                <c:pt idx="2">
                  <c:v>Individual IT</c:v>
                </c:pt>
                <c:pt idx="3">
                  <c:v>Moblity Devices</c:v>
                </c:pt>
              </c:strCache>
            </c:strRef>
          </c:cat>
          <c:val>
            <c:numRef>
              <c:f>DATA!$B$12:$B$16</c:f>
              <c:numCache>
                <c:formatCode>"$"#,##0</c:formatCode>
                <c:ptCount val="5"/>
                <c:pt idx="0">
                  <c:v>0</c:v>
                </c:pt>
                <c:pt idx="1">
                  <c:v>0</c:v>
                </c:pt>
                <c:pt idx="2">
                  <c:v>0</c:v>
                </c:pt>
                <c:pt idx="3">
                  <c:v>0</c:v>
                </c:pt>
              </c:numCache>
            </c:numRef>
          </c:val>
        </c:ser>
        <c:axId val="95103232"/>
        <c:axId val="95129600"/>
      </c:barChart>
      <c:catAx>
        <c:axId val="95103232"/>
        <c:scaling>
          <c:orientation val="minMax"/>
        </c:scaling>
        <c:axPos val="b"/>
        <c:majorTickMark val="none"/>
        <c:tickLblPos val="nextTo"/>
        <c:crossAx val="95129600"/>
        <c:crosses val="autoZero"/>
        <c:auto val="1"/>
        <c:lblAlgn val="ctr"/>
        <c:lblOffset val="100"/>
      </c:catAx>
      <c:valAx>
        <c:axId val="95129600"/>
        <c:scaling>
          <c:orientation val="minMax"/>
        </c:scaling>
        <c:axPos val="l"/>
        <c:majorGridlines/>
        <c:numFmt formatCode="&quot;$&quot;#,##0" sourceLinked="1"/>
        <c:majorTickMark val="none"/>
        <c:tickLblPos val="nextTo"/>
        <c:crossAx val="95103232"/>
        <c:crosses val="autoZero"/>
        <c:crossBetween val="between"/>
      </c:valAx>
    </c:plotArea>
    <c:legend>
      <c:legendPos val="r"/>
    </c:legend>
    <c:plotVisOnly val="1"/>
  </c:chart>
  <c:printSettings>
    <c:headerFooter/>
    <c:pageMargins b="0.75000000000000966" l="0.70000000000000062" r="0.70000000000000062" t="0.75000000000000966"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plotArea>
      <c:layout/>
      <c:barChart>
        <c:barDir val="col"/>
        <c:grouping val="clustered"/>
        <c:ser>
          <c:idx val="1"/>
          <c:order val="0"/>
          <c:tx>
            <c:strRef>
              <c:f>DATA!$C$11</c:f>
              <c:strCache>
                <c:ptCount val="1"/>
                <c:pt idx="0">
                  <c:v>PER PERSON</c:v>
                </c:pt>
              </c:strCache>
            </c:strRef>
          </c:tx>
          <c:cat>
            <c:strRef>
              <c:f>DATA!$A$12:$A$16</c:f>
              <c:strCache>
                <c:ptCount val="4"/>
                <c:pt idx="0">
                  <c:v>Real Estate</c:v>
                </c:pt>
                <c:pt idx="1">
                  <c:v>Telecom</c:v>
                </c:pt>
                <c:pt idx="2">
                  <c:v>Individual IT</c:v>
                </c:pt>
                <c:pt idx="3">
                  <c:v>Moblity Devices</c:v>
                </c:pt>
              </c:strCache>
            </c:strRef>
          </c:cat>
          <c:val>
            <c:numRef>
              <c:f>DATA!$C$12:$C$16</c:f>
              <c:numCache>
                <c:formatCode>"$"#,##0</c:formatCode>
                <c:ptCount val="5"/>
                <c:pt idx="0">
                  <c:v>0</c:v>
                </c:pt>
                <c:pt idx="1">
                  <c:v>0</c:v>
                </c:pt>
                <c:pt idx="2">
                  <c:v>0</c:v>
                </c:pt>
                <c:pt idx="3">
                  <c:v>0</c:v>
                </c:pt>
              </c:numCache>
            </c:numRef>
          </c:val>
        </c:ser>
        <c:axId val="95428608"/>
        <c:axId val="95430144"/>
      </c:barChart>
      <c:catAx>
        <c:axId val="95428608"/>
        <c:scaling>
          <c:orientation val="minMax"/>
        </c:scaling>
        <c:axPos val="b"/>
        <c:tickLblPos val="nextTo"/>
        <c:crossAx val="95430144"/>
        <c:crosses val="autoZero"/>
        <c:auto val="1"/>
        <c:lblAlgn val="ctr"/>
        <c:lblOffset val="100"/>
      </c:catAx>
      <c:valAx>
        <c:axId val="95430144"/>
        <c:scaling>
          <c:orientation val="minMax"/>
        </c:scaling>
        <c:axPos val="l"/>
        <c:majorGridlines/>
        <c:numFmt formatCode="&quot;$&quot;#,##0" sourceLinked="1"/>
        <c:tickLblPos val="nextTo"/>
        <c:crossAx val="95428608"/>
        <c:crosses val="autoZero"/>
        <c:crossBetween val="between"/>
      </c:valAx>
    </c:plotArea>
    <c:legend>
      <c:legendPos val="r"/>
    </c:legend>
    <c:plotVisOnly val="1"/>
  </c:chart>
  <c:printSettings>
    <c:headerFooter/>
    <c:pageMargins b="0.75000000000000966" l="0.70000000000000062" r="0.70000000000000062" t="0.75000000000000966"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plotArea>
      <c:layout/>
      <c:barChart>
        <c:barDir val="col"/>
        <c:grouping val="clustered"/>
        <c:ser>
          <c:idx val="0"/>
          <c:order val="0"/>
          <c:tx>
            <c:strRef>
              <c:f>DATA!$B$17</c:f>
              <c:strCache>
                <c:ptCount val="1"/>
                <c:pt idx="0">
                  <c:v>BASELINE</c:v>
                </c:pt>
              </c:strCache>
            </c:strRef>
          </c:tx>
          <c:dLbls>
            <c:txPr>
              <a:bodyPr rot="-5400000" vert="horz"/>
              <a:lstStyle/>
              <a:p>
                <a:pPr>
                  <a:defRPr/>
                </a:pPr>
                <a:endParaRPr lang="en-US"/>
              </a:p>
            </c:txPr>
            <c:dLblPos val="inBase"/>
            <c:showVal val="1"/>
            <c:showSerName val="1"/>
          </c:dLbls>
          <c:cat>
            <c:strRef>
              <c:f>DATA!$A$18:$A$20</c:f>
              <c:strCache>
                <c:ptCount val="3"/>
                <c:pt idx="0">
                  <c:v>Real Estate</c:v>
                </c:pt>
                <c:pt idx="1">
                  <c:v>Telecom</c:v>
                </c:pt>
                <c:pt idx="2">
                  <c:v>Individual IT</c:v>
                </c:pt>
              </c:strCache>
            </c:strRef>
          </c:cat>
          <c:val>
            <c:numRef>
              <c:f>DATA!$B$18:$B$20</c:f>
              <c:numCache>
                <c:formatCode>"$"#,##0</c:formatCode>
                <c:ptCount val="3"/>
                <c:pt idx="0">
                  <c:v>0</c:v>
                </c:pt>
                <c:pt idx="1">
                  <c:v>0</c:v>
                </c:pt>
                <c:pt idx="2">
                  <c:v>0</c:v>
                </c:pt>
              </c:numCache>
            </c:numRef>
          </c:val>
        </c:ser>
        <c:ser>
          <c:idx val="1"/>
          <c:order val="1"/>
          <c:tx>
            <c:strRef>
              <c:f>DATA!$C$17</c:f>
              <c:strCache>
                <c:ptCount val="1"/>
                <c:pt idx="0">
                  <c:v>ADJUSTED</c:v>
                </c:pt>
              </c:strCache>
            </c:strRef>
          </c:tx>
          <c:dLbls>
            <c:txPr>
              <a:bodyPr rot="-5400000" vert="horz"/>
              <a:lstStyle/>
              <a:p>
                <a:pPr>
                  <a:defRPr/>
                </a:pPr>
                <a:endParaRPr lang="en-US"/>
              </a:p>
            </c:txPr>
            <c:dLblPos val="inBase"/>
            <c:showVal val="1"/>
            <c:showSerName val="1"/>
          </c:dLbls>
          <c:cat>
            <c:strRef>
              <c:f>DATA!$A$18:$A$20</c:f>
              <c:strCache>
                <c:ptCount val="3"/>
                <c:pt idx="0">
                  <c:v>Real Estate</c:v>
                </c:pt>
                <c:pt idx="1">
                  <c:v>Telecom</c:v>
                </c:pt>
                <c:pt idx="2">
                  <c:v>Individual IT</c:v>
                </c:pt>
              </c:strCache>
            </c:strRef>
          </c:cat>
          <c:val>
            <c:numRef>
              <c:f>DATA!$C$18:$C$20</c:f>
              <c:numCache>
                <c:formatCode>"$"#,##0</c:formatCode>
                <c:ptCount val="3"/>
                <c:pt idx="0">
                  <c:v>0</c:v>
                </c:pt>
                <c:pt idx="1">
                  <c:v>0</c:v>
                </c:pt>
                <c:pt idx="2">
                  <c:v>0</c:v>
                </c:pt>
              </c:numCache>
            </c:numRef>
          </c:val>
        </c:ser>
        <c:ser>
          <c:idx val="2"/>
          <c:order val="2"/>
          <c:tx>
            <c:strRef>
              <c:f>DATA!$D$17</c:f>
              <c:strCache>
                <c:ptCount val="1"/>
                <c:pt idx="0">
                  <c:v>SAVINGS</c:v>
                </c:pt>
              </c:strCache>
            </c:strRef>
          </c:tx>
          <c:dLbls>
            <c:txPr>
              <a:bodyPr rot="-5400000" vert="horz"/>
              <a:lstStyle/>
              <a:p>
                <a:pPr>
                  <a:defRPr/>
                </a:pPr>
                <a:endParaRPr lang="en-US"/>
              </a:p>
            </c:txPr>
            <c:dLblPos val="inBase"/>
            <c:showVal val="1"/>
            <c:showSerName val="1"/>
          </c:dLbls>
          <c:cat>
            <c:strRef>
              <c:f>DATA!$A$18:$A$20</c:f>
              <c:strCache>
                <c:ptCount val="3"/>
                <c:pt idx="0">
                  <c:v>Real Estate</c:v>
                </c:pt>
                <c:pt idx="1">
                  <c:v>Telecom</c:v>
                </c:pt>
                <c:pt idx="2">
                  <c:v>Individual IT</c:v>
                </c:pt>
              </c:strCache>
            </c:strRef>
          </c:cat>
          <c:val>
            <c:numRef>
              <c:f>DATA!$D$18:$D$20</c:f>
              <c:numCache>
                <c:formatCode>"$"#,##0</c:formatCode>
                <c:ptCount val="3"/>
                <c:pt idx="0">
                  <c:v>0</c:v>
                </c:pt>
                <c:pt idx="1">
                  <c:v>0</c:v>
                </c:pt>
                <c:pt idx="2">
                  <c:v>0</c:v>
                </c:pt>
              </c:numCache>
            </c:numRef>
          </c:val>
        </c:ser>
        <c:dLbls>
          <c:showVal val="1"/>
        </c:dLbls>
        <c:axId val="101115392"/>
        <c:axId val="101116928"/>
      </c:barChart>
      <c:catAx>
        <c:axId val="101115392"/>
        <c:scaling>
          <c:orientation val="minMax"/>
        </c:scaling>
        <c:axPos val="b"/>
        <c:tickLblPos val="nextTo"/>
        <c:crossAx val="101116928"/>
        <c:crosses val="autoZero"/>
        <c:auto val="1"/>
        <c:lblAlgn val="ctr"/>
        <c:lblOffset val="100"/>
      </c:catAx>
      <c:valAx>
        <c:axId val="101116928"/>
        <c:scaling>
          <c:orientation val="minMax"/>
        </c:scaling>
        <c:axPos val="l"/>
        <c:majorGridlines/>
        <c:numFmt formatCode="&quot;$&quot;#,##0" sourceLinked="1"/>
        <c:tickLblPos val="nextTo"/>
        <c:crossAx val="101115392"/>
        <c:crosses val="autoZero"/>
        <c:crossBetween val="between"/>
      </c:valAx>
    </c:plotArea>
    <c:legend>
      <c:legendPos val="r"/>
    </c:legend>
    <c:plotVisOnly val="1"/>
  </c:chart>
  <c:printSettings>
    <c:headerFooter/>
    <c:pageMargins b="0.75000000000000899" l="0.70000000000000062" r="0.70000000000000062" t="0.75000000000000899"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plotArea>
      <c:layout/>
      <c:barChart>
        <c:barDir val="col"/>
        <c:grouping val="clustered"/>
        <c:ser>
          <c:idx val="0"/>
          <c:order val="0"/>
          <c:tx>
            <c:strRef>
              <c:f>DATA!$B$23</c:f>
              <c:strCache>
                <c:ptCount val="1"/>
                <c:pt idx="0">
                  <c:v>BASELINE</c:v>
                </c:pt>
              </c:strCache>
            </c:strRef>
          </c:tx>
          <c:dLbls>
            <c:txPr>
              <a:bodyPr rot="-5400000" vert="horz"/>
              <a:lstStyle/>
              <a:p>
                <a:pPr>
                  <a:defRPr/>
                </a:pPr>
                <a:endParaRPr lang="en-US"/>
              </a:p>
            </c:txPr>
            <c:dLblPos val="inBase"/>
            <c:showVal val="1"/>
            <c:showSerName val="1"/>
          </c:dLbls>
          <c:cat>
            <c:strRef>
              <c:f>DATA!$A$24:$A$28</c:f>
              <c:strCache>
                <c:ptCount val="5"/>
                <c:pt idx="0">
                  <c:v>Teleworkers</c:v>
                </c:pt>
                <c:pt idx="1">
                  <c:v>Total Workspaces</c:v>
                </c:pt>
                <c:pt idx="2">
                  <c:v>Shared Workspaces</c:v>
                </c:pt>
                <c:pt idx="3">
                  <c:v>Assigned Workspaces</c:v>
                </c:pt>
                <c:pt idx="4">
                  <c:v>Rentable Square Feet (*1,000)</c:v>
                </c:pt>
              </c:strCache>
            </c:strRef>
          </c:cat>
          <c:val>
            <c:numRef>
              <c:f>DATA!$B$24:$B$28</c:f>
              <c:numCache>
                <c:formatCode>_(* #,##0_);_(* \(#,##0\);_(* "-"??_);_(@_)</c:formatCode>
                <c:ptCount val="5"/>
                <c:pt idx="0">
                  <c:v>0</c:v>
                </c:pt>
                <c:pt idx="1">
                  <c:v>0</c:v>
                </c:pt>
                <c:pt idx="2">
                  <c:v>0</c:v>
                </c:pt>
                <c:pt idx="3">
                  <c:v>0</c:v>
                </c:pt>
                <c:pt idx="4">
                  <c:v>0</c:v>
                </c:pt>
              </c:numCache>
            </c:numRef>
          </c:val>
        </c:ser>
        <c:ser>
          <c:idx val="1"/>
          <c:order val="1"/>
          <c:tx>
            <c:strRef>
              <c:f>DATA!$C$23</c:f>
              <c:strCache>
                <c:ptCount val="1"/>
                <c:pt idx="0">
                  <c:v>ADJUSTED</c:v>
                </c:pt>
              </c:strCache>
            </c:strRef>
          </c:tx>
          <c:dLbls>
            <c:txPr>
              <a:bodyPr rot="-5400000" vert="horz"/>
              <a:lstStyle/>
              <a:p>
                <a:pPr>
                  <a:defRPr/>
                </a:pPr>
                <a:endParaRPr lang="en-US"/>
              </a:p>
            </c:txPr>
            <c:dLblPos val="inBase"/>
            <c:showVal val="1"/>
            <c:showSerName val="1"/>
          </c:dLbls>
          <c:cat>
            <c:strRef>
              <c:f>DATA!$A$24:$A$28</c:f>
              <c:strCache>
                <c:ptCount val="5"/>
                <c:pt idx="0">
                  <c:v>Teleworkers</c:v>
                </c:pt>
                <c:pt idx="1">
                  <c:v>Total Workspaces</c:v>
                </c:pt>
                <c:pt idx="2">
                  <c:v>Shared Workspaces</c:v>
                </c:pt>
                <c:pt idx="3">
                  <c:v>Assigned Workspaces</c:v>
                </c:pt>
                <c:pt idx="4">
                  <c:v>Rentable Square Feet (*1,000)</c:v>
                </c:pt>
              </c:strCache>
            </c:strRef>
          </c:cat>
          <c:val>
            <c:numRef>
              <c:f>DATA!$C$24:$C$28</c:f>
              <c:numCache>
                <c:formatCode>_(* #,##0_);_(* \(#,##0\);_(* "-"??_);_(@_)</c:formatCode>
                <c:ptCount val="5"/>
                <c:pt idx="0">
                  <c:v>0</c:v>
                </c:pt>
                <c:pt idx="1">
                  <c:v>0</c:v>
                </c:pt>
                <c:pt idx="2">
                  <c:v>0</c:v>
                </c:pt>
                <c:pt idx="3">
                  <c:v>0</c:v>
                </c:pt>
                <c:pt idx="4">
                  <c:v>0</c:v>
                </c:pt>
              </c:numCache>
            </c:numRef>
          </c:val>
        </c:ser>
        <c:ser>
          <c:idx val="2"/>
          <c:order val="2"/>
          <c:tx>
            <c:strRef>
              <c:f>DATA!$D$23</c:f>
              <c:strCache>
                <c:ptCount val="1"/>
                <c:pt idx="0">
                  <c:v>SAVINGS</c:v>
                </c:pt>
              </c:strCache>
            </c:strRef>
          </c:tx>
          <c:dLbls>
            <c:txPr>
              <a:bodyPr rot="-5400000" vert="horz"/>
              <a:lstStyle/>
              <a:p>
                <a:pPr>
                  <a:defRPr/>
                </a:pPr>
                <a:endParaRPr lang="en-US"/>
              </a:p>
            </c:txPr>
            <c:dLblPos val="inBase"/>
            <c:showVal val="1"/>
            <c:showSerName val="1"/>
          </c:dLbls>
          <c:cat>
            <c:strRef>
              <c:f>DATA!$A$24:$A$28</c:f>
              <c:strCache>
                <c:ptCount val="5"/>
                <c:pt idx="0">
                  <c:v>Teleworkers</c:v>
                </c:pt>
                <c:pt idx="1">
                  <c:v>Total Workspaces</c:v>
                </c:pt>
                <c:pt idx="2">
                  <c:v>Shared Workspaces</c:v>
                </c:pt>
                <c:pt idx="3">
                  <c:v>Assigned Workspaces</c:v>
                </c:pt>
                <c:pt idx="4">
                  <c:v>Rentable Square Feet (*1,000)</c:v>
                </c:pt>
              </c:strCache>
            </c:strRef>
          </c:cat>
          <c:val>
            <c:numRef>
              <c:f>DATA!$D$24:$D$28</c:f>
              <c:numCache>
                <c:formatCode>_(* #,##0_);_(* \(#,##0\);_(* "-"??_);_(@_)</c:formatCode>
                <c:ptCount val="5"/>
                <c:pt idx="1">
                  <c:v>0</c:v>
                </c:pt>
                <c:pt idx="4">
                  <c:v>0</c:v>
                </c:pt>
              </c:numCache>
            </c:numRef>
          </c:val>
        </c:ser>
        <c:dLbls>
          <c:showVal val="1"/>
        </c:dLbls>
        <c:axId val="100836480"/>
        <c:axId val="100838016"/>
      </c:barChart>
      <c:catAx>
        <c:axId val="100836480"/>
        <c:scaling>
          <c:orientation val="minMax"/>
        </c:scaling>
        <c:axPos val="b"/>
        <c:tickLblPos val="nextTo"/>
        <c:crossAx val="100838016"/>
        <c:crosses val="autoZero"/>
        <c:auto val="1"/>
        <c:lblAlgn val="ctr"/>
        <c:lblOffset val="100"/>
      </c:catAx>
      <c:valAx>
        <c:axId val="100838016"/>
        <c:scaling>
          <c:orientation val="minMax"/>
        </c:scaling>
        <c:axPos val="l"/>
        <c:majorGridlines/>
        <c:numFmt formatCode="_(* #,##0_);_(* \(#,##0\);_(* &quot;-&quot;??_);_(@_)" sourceLinked="1"/>
        <c:tickLblPos val="nextTo"/>
        <c:crossAx val="100836480"/>
        <c:crosses val="autoZero"/>
        <c:crossBetween val="between"/>
      </c:valAx>
    </c:plotArea>
    <c:legend>
      <c:legendPos val="r"/>
    </c:legend>
    <c:plotVisOnly val="1"/>
  </c:chart>
  <c:printSettings>
    <c:headerFooter/>
    <c:pageMargins b="0.75000000000000899" l="0.70000000000000062" r="0.70000000000000062" t="0.75000000000000899"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0.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2</xdr:col>
      <xdr:colOff>476250</xdr:colOff>
      <xdr:row>17</xdr:row>
      <xdr:rowOff>219075</xdr:rowOff>
    </xdr:from>
    <xdr:to>
      <xdr:col>2</xdr:col>
      <xdr:colOff>4067175</xdr:colOff>
      <xdr:row>18</xdr:row>
      <xdr:rowOff>457200</xdr:rowOff>
    </xdr:to>
    <xdr:pic>
      <xdr:nvPicPr>
        <xdr:cNvPr id="2" name="Picture 4" descr="SecurityWarning"/>
        <xdr:cNvPicPr>
          <a:picLocks noChangeAspect="1" noChangeArrowheads="1"/>
        </xdr:cNvPicPr>
      </xdr:nvPicPr>
      <xdr:blipFill>
        <a:blip xmlns:r="http://schemas.openxmlformats.org/officeDocument/2006/relationships" r:embed="rId1" cstate="print"/>
        <a:srcRect/>
        <a:stretch>
          <a:fillRect/>
        </a:stretch>
      </xdr:blipFill>
      <xdr:spPr bwMode="auto">
        <a:xfrm>
          <a:off x="3676650" y="5057775"/>
          <a:ext cx="3590925" cy="1733550"/>
        </a:xfrm>
        <a:prstGeom prst="rect">
          <a:avLst/>
        </a:prstGeom>
        <a:noFill/>
        <a:ln w="9525">
          <a:noFill/>
          <a:miter lim="800000"/>
          <a:headEnd/>
          <a:tailEnd/>
        </a:ln>
      </xdr:spPr>
    </xdr:pic>
    <xdr:clientData/>
  </xdr:twoCellAnchor>
  <xdr:twoCellAnchor editAs="oneCell">
    <xdr:from>
      <xdr:col>1</xdr:col>
      <xdr:colOff>2286000</xdr:colOff>
      <xdr:row>18</xdr:row>
      <xdr:rowOff>190500</xdr:rowOff>
    </xdr:from>
    <xdr:to>
      <xdr:col>1</xdr:col>
      <xdr:colOff>2527300</xdr:colOff>
      <xdr:row>18</xdr:row>
      <xdr:rowOff>431800</xdr:rowOff>
    </xdr:to>
    <xdr:pic>
      <xdr:nvPicPr>
        <xdr:cNvPr id="3" name="Picture 2" descr="Office button image"/>
        <xdr:cNvPicPr/>
      </xdr:nvPicPr>
      <xdr:blipFill>
        <a:blip xmlns:r="http://schemas.openxmlformats.org/officeDocument/2006/relationships" r:embed="rId2" cstate="print"/>
        <a:srcRect/>
        <a:stretch>
          <a:fillRect/>
        </a:stretch>
      </xdr:blipFill>
      <xdr:spPr bwMode="auto">
        <a:xfrm>
          <a:off x="2562225" y="6524625"/>
          <a:ext cx="241300" cy="241300"/>
        </a:xfrm>
        <a:prstGeom prst="rect">
          <a:avLst/>
        </a:prstGeom>
        <a:noFill/>
        <a:ln w="9525">
          <a:noFill/>
          <a:miter lim="800000"/>
          <a:headEnd/>
          <a:tailEnd/>
        </a:ln>
      </xdr:spPr>
    </xdr:pic>
    <xdr:clientData/>
  </xdr:twoCellAnchor>
  <xdr:twoCellAnchor editAs="oneCell">
    <xdr:from>
      <xdr:col>2</xdr:col>
      <xdr:colOff>447675</xdr:colOff>
      <xdr:row>18</xdr:row>
      <xdr:rowOff>619125</xdr:rowOff>
    </xdr:from>
    <xdr:to>
      <xdr:col>2</xdr:col>
      <xdr:colOff>4572000</xdr:colOff>
      <xdr:row>18</xdr:row>
      <xdr:rowOff>3543300</xdr:rowOff>
    </xdr:to>
    <xdr:pic>
      <xdr:nvPicPr>
        <xdr:cNvPr id="4" name="il_fi" descr="http://www.technipages.com/wp-content/uploads/2011/10/Excel-2010-Macro-Settings-screen.png"/>
        <xdr:cNvPicPr/>
      </xdr:nvPicPr>
      <xdr:blipFill>
        <a:blip xmlns:r="http://schemas.openxmlformats.org/officeDocument/2006/relationships" r:embed="rId3" cstate="print"/>
        <a:srcRect/>
        <a:stretch>
          <a:fillRect/>
        </a:stretch>
      </xdr:blipFill>
      <xdr:spPr bwMode="auto">
        <a:xfrm>
          <a:off x="3648075" y="6953250"/>
          <a:ext cx="4124325" cy="29241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2</xdr:row>
      <xdr:rowOff>47625</xdr:rowOff>
    </xdr:from>
    <xdr:to>
      <xdr:col>7</xdr:col>
      <xdr:colOff>495300</xdr:colOff>
      <xdr:row>17</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38100</xdr:colOff>
      <xdr:row>19</xdr:row>
      <xdr:rowOff>9525</xdr:rowOff>
    </xdr:from>
    <xdr:to>
      <xdr:col>7</xdr:col>
      <xdr:colOff>495300</xdr:colOff>
      <xdr:row>32</xdr:row>
      <xdr:rowOff>161925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657224</xdr:colOff>
      <xdr:row>1</xdr:row>
      <xdr:rowOff>95251</xdr:rowOff>
    </xdr:from>
    <xdr:to>
      <xdr:col>8</xdr:col>
      <xdr:colOff>247650</xdr:colOff>
      <xdr:row>20</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666749</xdr:colOff>
      <xdr:row>21</xdr:row>
      <xdr:rowOff>171449</xdr:rowOff>
    </xdr:from>
    <xdr:to>
      <xdr:col>8</xdr:col>
      <xdr:colOff>219074</xdr:colOff>
      <xdr:row>40</xdr:row>
      <xdr:rowOff>57149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7</xdr:row>
      <xdr:rowOff>123825</xdr:rowOff>
    </xdr:from>
    <xdr:to>
      <xdr:col>1</xdr:col>
      <xdr:colOff>76200</xdr:colOff>
      <xdr:row>9</xdr:row>
      <xdr:rowOff>0</xdr:rowOff>
    </xdr:to>
    <xdr:sp macro="" textlink="">
      <xdr:nvSpPr>
        <xdr:cNvPr id="2" name="Text Box 2"/>
        <xdr:cNvSpPr txBox="1">
          <a:spLocks noChangeArrowheads="1"/>
        </xdr:cNvSpPr>
      </xdr:nvSpPr>
      <xdr:spPr bwMode="auto">
        <a:xfrm>
          <a:off x="2419350" y="1257300"/>
          <a:ext cx="76200" cy="200025"/>
        </a:xfrm>
        <a:prstGeom prst="rect">
          <a:avLst/>
        </a:prstGeom>
        <a:noFill/>
        <a:ln w="9525">
          <a:no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kulenguski/Desktop/Working/RoomNights/CPPM_New_IntroPAG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kulenguski/Desktop/Working/RoomNights/CPPM2006_finaluserversion.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New Intro"/>
      <sheetName val="INTRODUCTION"/>
      <sheetName val="CPPM"/>
      <sheetName val="CPPM CALCULATIONS"/>
      <sheetName val="CPPM GRAPHS"/>
      <sheetName val="Chart2"/>
      <sheetName val="Chart1"/>
      <sheetName val="SCENARIO TOOL"/>
      <sheetName val="DATA"/>
      <sheetName val="SCENARIO CALCULATIONS"/>
      <sheetName val="SCENARIO GRAPHS"/>
      <sheetName val="DEFINITIONS"/>
      <sheetName val="U.S. REGIONAL MAP"/>
      <sheetName val="CUSTOMER SURVEY"/>
      <sheetName val="DISCLAIMER AGREEMENT"/>
      <sheetName val="REGIONAL COST ESTIMATE CALC"/>
      <sheetName val="DROPDOWN MENU COST CALCS"/>
      <sheetName val="DROPDOWN MENU SOURCE"/>
    </sheetNames>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TRODUCTION"/>
      <sheetName val="CPPM"/>
      <sheetName val="CPPM CALCULATIONS"/>
      <sheetName val="CPPM GRAPHS"/>
      <sheetName val="SCENARIO TOOL"/>
      <sheetName val="DATA"/>
      <sheetName val="SCENARIO CALCULATIONS"/>
      <sheetName val="SCENARIO GRAPHS"/>
      <sheetName val="DEFINITIONS"/>
      <sheetName val="U.S. REGIONAL MAP"/>
      <sheetName val="CUSTOMER SURVEY"/>
      <sheetName val="DISCLAIMER AGREEMENT"/>
      <sheetName val="REGIONAL COST ESTIMATE CALC"/>
      <sheetName val="DROPDOWN MENU COST CALCS"/>
      <sheetName val="DROPDOWN MENU SOURCE"/>
    </sheetNames>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www.gsa.gov/portal/content/103583" TargetMode="External"/><Relationship Id="rId5" Type="http://schemas.openxmlformats.org/officeDocument/2006/relationships/control" Target="../activeX/activeX2.xml"/><Relationship Id="rId4" Type="http://schemas.openxmlformats.org/officeDocument/2006/relationships/control" Target="../activeX/activeX1.xml"/></Relationships>
</file>

<file path=xl/worksheets/_rels/sheet3.xml.rels><?xml version="1.0" encoding="UTF-8" standalone="yes"?>
<Relationships xmlns="http://schemas.openxmlformats.org/package/2006/relationships"><Relationship Id="rId3" Type="http://schemas.openxmlformats.org/officeDocument/2006/relationships/control" Target="../activeX/activeX3.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ntrol" Target="../activeX/activeX4.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6" Type="http://schemas.openxmlformats.org/officeDocument/2006/relationships/control" Target="../activeX/activeX7.xml"/><Relationship Id="rId5" Type="http://schemas.openxmlformats.org/officeDocument/2006/relationships/control" Target="../activeX/activeX6.xml"/><Relationship Id="rId4" Type="http://schemas.openxmlformats.org/officeDocument/2006/relationships/control" Target="../activeX/activeX5.xml"/></Relationships>
</file>

<file path=xl/worksheets/_rels/sheet6.xml.rels><?xml version="1.0" encoding="UTF-8" standalone="yes"?>
<Relationships xmlns="http://schemas.openxmlformats.org/package/2006/relationships"><Relationship Id="rId3" Type="http://schemas.openxmlformats.org/officeDocument/2006/relationships/control" Target="../activeX/activeX8.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ntrol" Target="../activeX/activeX9.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4"/>
  <dimension ref="A1:C36"/>
  <sheetViews>
    <sheetView tabSelected="1" topLeftCell="A4" workbookViewId="0">
      <selection activeCell="B32" sqref="B32"/>
    </sheetView>
  </sheetViews>
  <sheetFormatPr defaultRowHeight="12.75"/>
  <cols>
    <col min="1" max="1" width="3.625" style="1" customWidth="1"/>
    <col min="2" max="2" width="38.375" style="1" customWidth="1"/>
    <col min="3" max="3" width="80.375" style="1" customWidth="1"/>
    <col min="4" max="16384" width="9" style="1"/>
  </cols>
  <sheetData>
    <row r="1" spans="1:3" ht="25.5">
      <c r="A1" s="298"/>
      <c r="B1" s="345" t="s">
        <v>0</v>
      </c>
      <c r="C1" s="345"/>
    </row>
    <row r="2" spans="1:3" ht="36" customHeight="1">
      <c r="B2" s="345" t="s">
        <v>1</v>
      </c>
      <c r="C2" s="345"/>
    </row>
    <row r="3" spans="1:3" ht="18">
      <c r="B3" s="346" t="s">
        <v>2</v>
      </c>
      <c r="C3" s="347"/>
    </row>
    <row r="4" spans="1:3" ht="51.75" customHeight="1">
      <c r="B4" s="348" t="s">
        <v>210</v>
      </c>
      <c r="C4" s="349"/>
    </row>
    <row r="5" spans="1:3" ht="7.5" customHeight="1">
      <c r="B5" s="2"/>
      <c r="C5" s="2"/>
    </row>
    <row r="6" spans="1:3" ht="18">
      <c r="B6" s="337" t="s">
        <v>3</v>
      </c>
      <c r="C6" s="338"/>
    </row>
    <row r="7" spans="1:3" ht="16.5">
      <c r="B7" s="343" t="s">
        <v>4</v>
      </c>
      <c r="C7" s="344"/>
    </row>
    <row r="8" spans="1:3" ht="18">
      <c r="B8" s="224" t="s">
        <v>5</v>
      </c>
      <c r="C8" s="4" t="s">
        <v>6</v>
      </c>
    </row>
    <row r="9" spans="1:3" ht="18">
      <c r="B9" s="336" t="s">
        <v>211</v>
      </c>
      <c r="C9" s="335" t="s">
        <v>9</v>
      </c>
    </row>
    <row r="10" spans="1:3" ht="18">
      <c r="B10" s="224" t="s">
        <v>141</v>
      </c>
      <c r="C10" s="4" t="s">
        <v>8</v>
      </c>
    </row>
    <row r="11" spans="1:3" ht="18">
      <c r="B11" s="224" t="s">
        <v>142</v>
      </c>
      <c r="C11" s="4" t="s">
        <v>10</v>
      </c>
    </row>
    <row r="12" spans="1:3" ht="18">
      <c r="B12" s="224" t="s">
        <v>156</v>
      </c>
      <c r="C12" s="4" t="s">
        <v>155</v>
      </c>
    </row>
    <row r="13" spans="1:3" ht="18">
      <c r="B13" s="224" t="s">
        <v>11</v>
      </c>
      <c r="C13" s="4" t="s">
        <v>12</v>
      </c>
    </row>
    <row r="14" spans="1:3" ht="16.5">
      <c r="B14" s="3"/>
      <c r="C14" s="4"/>
    </row>
    <row r="15" spans="1:3" ht="16.5">
      <c r="B15" s="3"/>
      <c r="C15" s="4"/>
    </row>
    <row r="16" spans="1:3" ht="7.5" customHeight="1">
      <c r="B16" s="5"/>
      <c r="C16" s="6"/>
    </row>
    <row r="17" spans="2:3" ht="18">
      <c r="B17" s="337" t="s">
        <v>13</v>
      </c>
      <c r="C17" s="338"/>
    </row>
    <row r="18" spans="2:3" ht="117.75" customHeight="1">
      <c r="B18" s="7" t="s">
        <v>14</v>
      </c>
      <c r="C18" s="8" t="s">
        <v>15</v>
      </c>
    </row>
    <row r="19" spans="2:3" ht="281.25" customHeight="1">
      <c r="B19" s="9" t="s">
        <v>16</v>
      </c>
      <c r="C19" s="9" t="s">
        <v>17</v>
      </c>
    </row>
    <row r="20" spans="2:3" ht="21" customHeight="1">
      <c r="B20" s="341"/>
      <c r="C20" s="341"/>
    </row>
    <row r="21" spans="2:3" ht="9" customHeight="1">
      <c r="B21" s="10"/>
      <c r="C21" s="10"/>
    </row>
    <row r="22" spans="2:3" ht="18" customHeight="1">
      <c r="B22" s="337" t="s">
        <v>18</v>
      </c>
      <c r="C22" s="338"/>
    </row>
    <row r="23" spans="2:3" ht="34.5" customHeight="1">
      <c r="B23" s="341" t="s">
        <v>19</v>
      </c>
      <c r="C23" s="341"/>
    </row>
    <row r="24" spans="2:3" ht="9" customHeight="1">
      <c r="B24" s="10"/>
      <c r="C24" s="10"/>
    </row>
    <row r="25" spans="2:3" s="11" customFormat="1" ht="56.25" customHeight="1">
      <c r="B25" s="341" t="s">
        <v>20</v>
      </c>
      <c r="C25" s="342"/>
    </row>
    <row r="26" spans="2:3" ht="11.25" customHeight="1">
      <c r="B26" s="12"/>
      <c r="C26" s="12"/>
    </row>
    <row r="27" spans="2:3" ht="33.75" customHeight="1">
      <c r="B27" s="341" t="s">
        <v>21</v>
      </c>
      <c r="C27" s="342"/>
    </row>
    <row r="28" spans="2:3" ht="6.75" customHeight="1">
      <c r="B28" s="12"/>
      <c r="C28" s="12"/>
    </row>
    <row r="29" spans="2:3" ht="6.75" customHeight="1">
      <c r="C29" s="13"/>
    </row>
    <row r="30" spans="2:3" ht="18" customHeight="1">
      <c r="B30" s="337" t="s">
        <v>22</v>
      </c>
      <c r="C30" s="338"/>
    </row>
    <row r="31" spans="2:3" ht="49.5" customHeight="1">
      <c r="B31" s="339" t="s">
        <v>212</v>
      </c>
      <c r="C31" s="339"/>
    </row>
    <row r="32" spans="2:3" ht="9" customHeight="1">
      <c r="C32" s="14"/>
    </row>
    <row r="33" spans="2:3" ht="12" customHeight="1">
      <c r="B33" s="340"/>
      <c r="C33" s="340"/>
    </row>
    <row r="34" spans="2:3" s="14" customFormat="1">
      <c r="C34" s="1"/>
    </row>
    <row r="35" spans="2:3" s="14" customFormat="1">
      <c r="C35" s="1"/>
    </row>
    <row r="36" spans="2:3" s="14" customFormat="1">
      <c r="C36" s="1"/>
    </row>
  </sheetData>
  <mergeCells count="15">
    <mergeCell ref="B7:C7"/>
    <mergeCell ref="B1:C1"/>
    <mergeCell ref="B2:C2"/>
    <mergeCell ref="B3:C3"/>
    <mergeCell ref="B4:C4"/>
    <mergeCell ref="B6:C6"/>
    <mergeCell ref="B30:C30"/>
    <mergeCell ref="B31:C31"/>
    <mergeCell ref="B33:C33"/>
    <mergeCell ref="B17:C17"/>
    <mergeCell ref="B20:C20"/>
    <mergeCell ref="B22:C22"/>
    <mergeCell ref="B23:C23"/>
    <mergeCell ref="B25:C25"/>
    <mergeCell ref="B27:C27"/>
  </mergeCells>
  <hyperlinks>
    <hyperlink ref="B8" location="CPPM!A1" display="CPPM"/>
    <hyperlink ref="B11" location="SCENARIOS!A1" display="SCENARIOS"/>
    <hyperlink ref="B12" location="'SCENARIO GRAPHS'!A1" display="SCENARIO GRAPHS"/>
    <hyperlink ref="B13" location="DEFINITIONS!A1" display="DEFINITIONS"/>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sheetPr codeName="Sheet1">
    <pageSetUpPr autoPageBreaks="0" fitToPage="1"/>
  </sheetPr>
  <dimension ref="A1:Z101"/>
  <sheetViews>
    <sheetView showGridLines="0" zoomScale="80" zoomScaleNormal="80" workbookViewId="0">
      <pane ySplit="5" topLeftCell="A57" activePane="bottomLeft" state="frozen"/>
      <selection activeCell="C9" sqref="C9"/>
      <selection pane="bottomLeft" activeCell="I9" sqref="I9"/>
    </sheetView>
  </sheetViews>
  <sheetFormatPr defaultRowHeight="12.75"/>
  <cols>
    <col min="1" max="1" width="1.25" style="15" customWidth="1"/>
    <col min="2" max="2" width="5.375" style="15" customWidth="1"/>
    <col min="3" max="3" width="2.875" style="15" customWidth="1"/>
    <col min="4" max="4" width="9.75" style="15" customWidth="1"/>
    <col min="5" max="5" width="3.375" style="15" customWidth="1"/>
    <col min="6" max="6" width="11.5" style="15" customWidth="1"/>
    <col min="7" max="7" width="13.625" style="15" customWidth="1"/>
    <col min="8" max="8" width="31.625" style="15" customWidth="1"/>
    <col min="9" max="9" width="19.375" style="15" customWidth="1"/>
    <col min="10" max="10" width="2.25" style="15" customWidth="1"/>
    <col min="11" max="11" width="1.125" style="15" customWidth="1"/>
    <col min="12" max="12" width="17.125" style="15" customWidth="1"/>
    <col min="13" max="13" width="9.875" style="15" customWidth="1"/>
    <col min="14" max="14" width="15.875" style="15" customWidth="1"/>
    <col min="15" max="15" width="17.5" style="15" customWidth="1"/>
    <col min="16" max="16" width="16.25" style="15" customWidth="1"/>
    <col min="17" max="17" width="1.625" style="15" hidden="1" customWidth="1"/>
    <col min="18" max="18" width="14.75" style="15" customWidth="1"/>
    <col min="19" max="19" width="9" style="15"/>
    <col min="20" max="20" width="7.875" style="15" hidden="1" customWidth="1"/>
    <col min="21" max="25" width="9" style="15"/>
    <col min="26" max="26" width="10.125" style="15" bestFit="1" customWidth="1"/>
    <col min="27" max="16384" width="9" style="15"/>
  </cols>
  <sheetData>
    <row r="1" spans="1:18" ht="15" customHeight="1" thickBot="1">
      <c r="C1" s="16"/>
      <c r="D1" s="16"/>
      <c r="E1" s="16"/>
      <c r="F1" s="16"/>
      <c r="G1" s="16"/>
      <c r="H1" s="16"/>
      <c r="I1" s="16"/>
      <c r="J1" s="16"/>
      <c r="K1" s="16"/>
      <c r="L1" s="16"/>
      <c r="M1" s="16"/>
      <c r="N1" s="16"/>
      <c r="O1" s="16"/>
      <c r="P1" s="16"/>
      <c r="Q1" s="16"/>
      <c r="R1" s="16"/>
    </row>
    <row r="2" spans="1:18" ht="27.75" customHeight="1" thickTop="1">
      <c r="H2" s="357" t="s">
        <v>23</v>
      </c>
      <c r="I2" s="358"/>
      <c r="J2" s="358"/>
      <c r="K2" s="358"/>
      <c r="L2" s="359"/>
    </row>
    <row r="3" spans="1:18" ht="34.5" customHeight="1" thickBot="1">
      <c r="H3" s="360" t="str">
        <f>I71</f>
        <v/>
      </c>
      <c r="I3" s="361"/>
      <c r="J3" s="361"/>
      <c r="K3" s="361"/>
      <c r="L3" s="362"/>
      <c r="M3" s="17"/>
      <c r="N3" s="18"/>
    </row>
    <row r="4" spans="1:18" ht="12.75" customHeight="1" thickTop="1">
      <c r="M4" s="19"/>
      <c r="N4" s="20"/>
    </row>
    <row r="5" spans="1:18" ht="27" customHeight="1">
      <c r="C5" s="16"/>
      <c r="D5" s="16"/>
      <c r="E5" s="16"/>
      <c r="F5" s="16"/>
      <c r="G5" s="363" t="s">
        <v>24</v>
      </c>
      <c r="H5" s="363"/>
      <c r="I5" s="363"/>
      <c r="J5" s="363"/>
      <c r="K5" s="363"/>
      <c r="L5" s="363"/>
      <c r="M5" s="363"/>
      <c r="N5" s="363"/>
      <c r="O5" s="16"/>
      <c r="P5" s="16"/>
      <c r="Q5" s="16"/>
      <c r="R5" s="16"/>
    </row>
    <row r="6" spans="1:18" ht="15" customHeight="1"/>
    <row r="7" spans="1:18" ht="27">
      <c r="B7" s="21" t="s">
        <v>25</v>
      </c>
      <c r="C7" s="22"/>
      <c r="D7" s="22"/>
      <c r="E7" s="23"/>
      <c r="F7" s="24"/>
      <c r="G7" s="24"/>
      <c r="H7" s="24"/>
      <c r="I7" s="24"/>
      <c r="J7" s="24"/>
      <c r="K7" s="24"/>
      <c r="L7" s="24"/>
      <c r="M7" s="24"/>
      <c r="N7" s="24"/>
      <c r="O7" s="24"/>
      <c r="P7" s="24"/>
      <c r="Q7" s="24"/>
      <c r="R7" s="25"/>
    </row>
    <row r="8" spans="1:18" ht="15" customHeight="1">
      <c r="B8" s="26"/>
      <c r="C8" s="27"/>
      <c r="D8" s="27"/>
      <c r="E8" s="27"/>
      <c r="F8" s="27"/>
      <c r="G8" s="27"/>
      <c r="H8" s="27"/>
      <c r="I8" s="27"/>
      <c r="J8" s="27"/>
      <c r="K8" s="27"/>
      <c r="L8" s="27"/>
      <c r="M8" s="27"/>
      <c r="N8" s="27"/>
      <c r="O8" s="27"/>
      <c r="P8" s="27"/>
      <c r="Q8" s="27"/>
      <c r="R8" s="28"/>
    </row>
    <row r="9" spans="1:18" ht="21" customHeight="1">
      <c r="B9" s="29"/>
      <c r="C9" s="30" t="s">
        <v>26</v>
      </c>
      <c r="D9" s="31"/>
      <c r="E9" s="32"/>
      <c r="F9" s="33"/>
      <c r="G9" s="33"/>
      <c r="H9" s="289"/>
      <c r="I9" s="34"/>
      <c r="J9" s="290"/>
      <c r="K9" s="36"/>
      <c r="L9" s="36"/>
      <c r="M9" s="37"/>
      <c r="N9" s="37"/>
      <c r="O9" s="38"/>
      <c r="P9" s="38"/>
      <c r="Q9" s="38"/>
      <c r="R9" s="39"/>
    </row>
    <row r="10" spans="1:18" ht="15" customHeight="1">
      <c r="A10" s="98"/>
      <c r="B10" s="132"/>
      <c r="C10" s="58"/>
      <c r="D10" s="58"/>
      <c r="E10" s="58"/>
      <c r="F10" s="58"/>
      <c r="G10" s="82"/>
      <c r="H10" s="82"/>
      <c r="I10" s="288"/>
      <c r="J10" s="58"/>
      <c r="K10" s="82"/>
      <c r="L10" s="82"/>
      <c r="M10" s="58"/>
      <c r="N10" s="58"/>
      <c r="O10" s="58"/>
      <c r="P10" s="58"/>
      <c r="Q10" s="58"/>
      <c r="R10" s="135"/>
    </row>
    <row r="11" spans="1:18" ht="20.25" customHeight="1">
      <c r="A11" s="98"/>
      <c r="B11" s="132"/>
      <c r="C11" s="30" t="s">
        <v>183</v>
      </c>
      <c r="D11" s="31"/>
      <c r="E11" s="133"/>
      <c r="F11" s="133"/>
      <c r="G11" s="134"/>
      <c r="H11" s="134"/>
      <c r="I11" s="34"/>
      <c r="J11" s="35"/>
      <c r="K11" s="35"/>
      <c r="L11" s="57"/>
      <c r="M11" s="287"/>
      <c r="N11" s="287"/>
      <c r="O11" s="287"/>
      <c r="P11" s="136"/>
      <c r="Q11" s="37"/>
      <c r="R11" s="135"/>
    </row>
    <row r="12" spans="1:18" ht="15.75" customHeight="1">
      <c r="B12" s="40"/>
      <c r="C12" s="41"/>
      <c r="D12" s="41"/>
      <c r="E12" s="41"/>
      <c r="F12" s="41"/>
      <c r="G12" s="41"/>
      <c r="H12" s="41"/>
      <c r="I12" s="41"/>
      <c r="J12" s="41"/>
      <c r="K12" s="41"/>
      <c r="L12" s="41"/>
      <c r="M12" s="42"/>
      <c r="N12" s="41"/>
      <c r="O12" s="41"/>
      <c r="P12" s="41"/>
      <c r="Q12" s="41"/>
      <c r="R12" s="43"/>
    </row>
    <row r="13" spans="1:18" ht="12.75" customHeight="1"/>
    <row r="14" spans="1:18" ht="46.5" customHeight="1">
      <c r="A14" s="352"/>
      <c r="B14" s="44" t="s">
        <v>27</v>
      </c>
      <c r="C14" s="45" t="s">
        <v>28</v>
      </c>
      <c r="D14" s="45"/>
      <c r="E14" s="46"/>
      <c r="F14" s="47"/>
      <c r="G14" s="24"/>
      <c r="H14" s="24"/>
      <c r="I14" s="24"/>
      <c r="J14" s="24"/>
      <c r="K14" s="24"/>
      <c r="L14" s="284"/>
      <c r="M14" s="284"/>
      <c r="N14" s="284"/>
      <c r="O14" s="284"/>
      <c r="P14" s="284"/>
      <c r="Q14" s="48"/>
      <c r="R14" s="25"/>
    </row>
    <row r="15" spans="1:18" ht="15" customHeight="1">
      <c r="A15" s="352"/>
      <c r="B15" s="26"/>
      <c r="C15" s="364"/>
      <c r="D15" s="364"/>
      <c r="E15" s="364"/>
      <c r="F15" s="364"/>
      <c r="G15" s="49"/>
      <c r="H15" s="49"/>
      <c r="I15" s="50"/>
      <c r="J15" s="50"/>
      <c r="K15" s="49"/>
      <c r="L15" s="51"/>
      <c r="M15" s="50"/>
      <c r="N15" s="50"/>
      <c r="O15" s="50"/>
      <c r="P15" s="50"/>
      <c r="Q15" s="50"/>
      <c r="R15" s="28"/>
    </row>
    <row r="16" spans="1:18" ht="21" customHeight="1">
      <c r="A16" s="352"/>
      <c r="B16" s="29"/>
      <c r="C16" s="52" t="s">
        <v>29</v>
      </c>
      <c r="D16" s="53"/>
      <c r="E16" s="54"/>
      <c r="F16" s="54"/>
      <c r="G16" s="54"/>
      <c r="H16" s="54"/>
      <c r="I16" s="55"/>
      <c r="J16" s="56"/>
      <c r="K16" s="54"/>
      <c r="L16" s="57" t="s">
        <v>30</v>
      </c>
      <c r="M16" s="58"/>
      <c r="N16" s="58"/>
      <c r="O16" s="58"/>
      <c r="P16" s="58"/>
      <c r="Q16" s="58"/>
      <c r="R16" s="39"/>
    </row>
    <row r="17" spans="1:18" ht="21" customHeight="1">
      <c r="A17" s="352"/>
      <c r="B17" s="29"/>
      <c r="C17" s="59"/>
      <c r="D17" s="59"/>
      <c r="E17" s="54"/>
      <c r="F17" s="54"/>
      <c r="G17" s="54"/>
      <c r="H17" s="54"/>
      <c r="I17" s="54"/>
      <c r="J17" s="54"/>
      <c r="K17" s="54"/>
      <c r="L17" s="57"/>
      <c r="M17" s="58"/>
      <c r="N17" s="58"/>
      <c r="O17" s="291"/>
      <c r="P17" s="58"/>
      <c r="Q17" s="58"/>
      <c r="R17" s="39"/>
    </row>
    <row r="18" spans="1:18" ht="20.25" customHeight="1">
      <c r="A18" s="352"/>
      <c r="B18" s="29"/>
      <c r="C18" s="52" t="s">
        <v>184</v>
      </c>
      <c r="D18" s="60"/>
      <c r="E18" s="60"/>
      <c r="F18" s="60"/>
      <c r="G18" s="60"/>
      <c r="H18" s="60"/>
      <c r="I18" s="55"/>
      <c r="J18" s="56"/>
      <c r="K18" s="56"/>
      <c r="L18" s="52" t="s">
        <v>191</v>
      </c>
      <c r="M18" s="67"/>
      <c r="N18" s="67"/>
      <c r="O18" s="67"/>
      <c r="P18" s="61" t="str">
        <f>IF(I18&lt;&gt;"",IFERROR(I18+I11-I9,0),"")</f>
        <v/>
      </c>
      <c r="Q18" s="37"/>
      <c r="R18" s="39"/>
    </row>
    <row r="19" spans="1:18" ht="20.25" customHeight="1">
      <c r="A19" s="352"/>
      <c r="B19" s="29"/>
      <c r="C19" s="62"/>
      <c r="D19" s="301"/>
      <c r="E19" s="60"/>
      <c r="F19" s="60"/>
      <c r="G19" s="60"/>
      <c r="H19" s="60"/>
      <c r="I19" s="301"/>
      <c r="J19" s="54"/>
      <c r="K19" s="56"/>
      <c r="L19" s="57" t="s">
        <v>182</v>
      </c>
      <c r="M19" s="301"/>
      <c r="N19" s="67"/>
      <c r="O19" s="67"/>
      <c r="P19" s="301"/>
      <c r="Q19" s="37"/>
      <c r="R19" s="39"/>
    </row>
    <row r="20" spans="1:18" ht="19.5" customHeight="1">
      <c r="A20" s="352"/>
      <c r="B20" s="29"/>
      <c r="C20" s="64"/>
      <c r="D20" s="62" t="s">
        <v>164</v>
      </c>
      <c r="E20" s="64"/>
      <c r="F20" s="64"/>
      <c r="G20" s="64"/>
      <c r="H20" s="65"/>
      <c r="I20" s="63" t="str">
        <f>IFERROR(ROUND(I16/(I9),2),"")</f>
        <v/>
      </c>
      <c r="J20" s="66"/>
      <c r="K20" s="66"/>
      <c r="L20" s="52" t="s">
        <v>179</v>
      </c>
      <c r="M20" s="301"/>
      <c r="N20" s="35"/>
      <c r="O20" s="67"/>
      <c r="P20" s="299" t="str">
        <f>IF($I$11=0,"",IFERROR($I$11/$P$18,""))</f>
        <v/>
      </c>
      <c r="Q20" s="68"/>
      <c r="R20" s="39"/>
    </row>
    <row r="21" spans="1:18" ht="19.5" customHeight="1">
      <c r="A21" s="352"/>
      <c r="B21" s="29"/>
      <c r="C21" s="64"/>
      <c r="D21" s="62"/>
      <c r="E21" s="64"/>
      <c r="F21" s="64"/>
      <c r="G21" s="64"/>
      <c r="H21" s="65"/>
      <c r="I21" s="69"/>
      <c r="J21" s="66"/>
      <c r="K21" s="66"/>
      <c r="L21" s="52"/>
      <c r="M21" s="301"/>
      <c r="N21" s="35"/>
      <c r="O21" s="67"/>
      <c r="P21" s="67"/>
      <c r="Q21" s="68"/>
      <c r="R21" s="39"/>
    </row>
    <row r="22" spans="1:18" ht="19.5" customHeight="1">
      <c r="A22" s="352"/>
      <c r="B22" s="29"/>
      <c r="C22" s="64"/>
      <c r="D22" s="62"/>
      <c r="E22" s="64"/>
      <c r="F22" s="64"/>
      <c r="G22" s="64"/>
      <c r="H22" s="65"/>
      <c r="I22" s="69"/>
      <c r="J22" s="66"/>
      <c r="K22" s="66"/>
      <c r="L22" s="69"/>
      <c r="M22" s="67"/>
      <c r="N22" s="67"/>
      <c r="O22" s="67"/>
      <c r="P22" s="301"/>
      <c r="Q22" s="68"/>
      <c r="R22" s="39"/>
    </row>
    <row r="23" spans="1:18" ht="20.25" customHeight="1">
      <c r="A23" s="352"/>
      <c r="B23" s="29"/>
      <c r="C23" s="69" t="s">
        <v>165</v>
      </c>
      <c r="D23" s="62"/>
      <c r="E23" s="62"/>
      <c r="F23" s="62"/>
      <c r="G23" s="62"/>
      <c r="H23" s="62"/>
      <c r="I23" s="70"/>
      <c r="J23" s="56"/>
      <c r="K23" s="56"/>
      <c r="L23" s="57" t="s">
        <v>113</v>
      </c>
      <c r="M23" s="193"/>
      <c r="N23" s="193"/>
      <c r="O23" s="193"/>
      <c r="P23" s="71"/>
      <c r="Q23" s="57"/>
      <c r="R23" s="39"/>
    </row>
    <row r="24" spans="1:18" ht="20.25" customHeight="1">
      <c r="A24" s="352"/>
      <c r="B24" s="29"/>
      <c r="C24" s="69"/>
      <c r="D24" s="62"/>
      <c r="E24" s="62"/>
      <c r="F24" s="62"/>
      <c r="G24" s="62"/>
      <c r="H24" s="62"/>
      <c r="I24" s="71"/>
      <c r="J24" s="56"/>
      <c r="K24" s="56"/>
      <c r="L24" s="71"/>
      <c r="M24" s="71"/>
      <c r="N24" s="71"/>
      <c r="O24" s="71"/>
      <c r="P24" s="71"/>
      <c r="Q24" s="57"/>
      <c r="R24" s="39"/>
    </row>
    <row r="25" spans="1:18" ht="20.25" customHeight="1">
      <c r="A25" s="352"/>
      <c r="B25" s="29"/>
      <c r="C25" s="69"/>
      <c r="D25" s="62" t="s">
        <v>153</v>
      </c>
      <c r="E25" s="62"/>
      <c r="F25" s="62"/>
      <c r="G25" s="62"/>
      <c r="H25" s="62"/>
      <c r="I25" s="72" t="str">
        <f>IFERROR(I23*I20,"")</f>
        <v/>
      </c>
      <c r="J25" s="56"/>
      <c r="K25" s="56"/>
      <c r="L25" s="73"/>
      <c r="M25" s="71"/>
      <c r="N25" s="71"/>
      <c r="O25" s="71"/>
      <c r="P25" s="74"/>
      <c r="Q25" s="57"/>
      <c r="R25" s="39"/>
    </row>
    <row r="26" spans="1:18" ht="25.5" customHeight="1">
      <c r="A26" s="352"/>
      <c r="B26" s="29"/>
      <c r="C26" s="62"/>
      <c r="D26" s="62"/>
      <c r="E26" s="62"/>
      <c r="F26" s="62"/>
      <c r="G26" s="62"/>
      <c r="H26" s="62"/>
      <c r="I26" s="75"/>
      <c r="J26" s="75"/>
      <c r="K26" s="56"/>
      <c r="L26" s="71"/>
      <c r="M26" s="71"/>
      <c r="N26" s="71"/>
      <c r="O26" s="71"/>
      <c r="P26" s="37"/>
      <c r="Q26" s="57"/>
      <c r="R26" s="39"/>
    </row>
    <row r="27" spans="1:18" ht="20.25" customHeight="1">
      <c r="A27" s="352"/>
      <c r="B27" s="29"/>
      <c r="C27" s="30" t="s">
        <v>31</v>
      </c>
      <c r="D27" s="76"/>
      <c r="E27" s="68"/>
      <c r="F27" s="37"/>
      <c r="G27" s="37"/>
      <c r="H27" s="37"/>
      <c r="I27" s="72">
        <f>IFERROR(I16*I23,"")</f>
        <v>0</v>
      </c>
      <c r="J27" s="77"/>
      <c r="K27" s="35"/>
      <c r="L27" s="365"/>
      <c r="M27" s="366"/>
      <c r="N27" s="366"/>
      <c r="O27" s="366"/>
      <c r="P27" s="74"/>
      <c r="Q27" s="78"/>
      <c r="R27" s="39"/>
    </row>
    <row r="28" spans="1:18" ht="15" customHeight="1">
      <c r="A28" s="352"/>
      <c r="B28" s="40"/>
      <c r="C28" s="41"/>
      <c r="D28" s="41"/>
      <c r="E28" s="41"/>
      <c r="F28" s="41"/>
      <c r="G28" s="41"/>
      <c r="H28" s="41"/>
      <c r="I28" s="41"/>
      <c r="J28" s="41"/>
      <c r="K28" s="41"/>
      <c r="L28" s="367"/>
      <c r="M28" s="367"/>
      <c r="N28" s="367"/>
      <c r="O28" s="367"/>
      <c r="P28" s="41"/>
      <c r="Q28" s="41"/>
      <c r="R28" s="43"/>
    </row>
    <row r="29" spans="1:18" ht="14.25" customHeight="1">
      <c r="B29" s="79"/>
      <c r="C29" s="79"/>
      <c r="D29" s="79"/>
      <c r="E29" s="79"/>
      <c r="F29" s="79"/>
    </row>
    <row r="30" spans="1:18" ht="27.75" customHeight="1">
      <c r="B30" s="21" t="s">
        <v>32</v>
      </c>
      <c r="C30" s="45" t="s">
        <v>33</v>
      </c>
      <c r="D30" s="45"/>
      <c r="E30" s="45"/>
      <c r="F30" s="47"/>
      <c r="G30" s="24"/>
      <c r="H30" s="24"/>
      <c r="I30" s="24"/>
      <c r="J30" s="24"/>
      <c r="K30" s="24"/>
      <c r="L30" s="24"/>
      <c r="M30" s="24"/>
      <c r="N30" s="24"/>
      <c r="O30" s="24"/>
      <c r="P30" s="24"/>
      <c r="Q30" s="24"/>
      <c r="R30" s="25"/>
    </row>
    <row r="31" spans="1:18" ht="11.25" customHeight="1">
      <c r="A31" s="352"/>
      <c r="B31" s="26"/>
      <c r="C31" s="27"/>
      <c r="D31" s="27"/>
      <c r="E31" s="27"/>
      <c r="F31" s="27"/>
      <c r="G31" s="27"/>
      <c r="H31" s="27"/>
      <c r="I31" s="27"/>
      <c r="J31" s="27"/>
      <c r="K31" s="27"/>
      <c r="L31" s="27"/>
      <c r="M31" s="27"/>
      <c r="N31" s="27"/>
      <c r="O31" s="49"/>
      <c r="P31" s="49"/>
      <c r="Q31" s="27"/>
      <c r="R31" s="28"/>
    </row>
    <row r="32" spans="1:18" ht="23.25" customHeight="1">
      <c r="A32" s="352"/>
      <c r="B32" s="29"/>
      <c r="C32" s="80" t="s">
        <v>185</v>
      </c>
      <c r="D32" s="81"/>
      <c r="E32" s="37"/>
      <c r="F32" s="37"/>
      <c r="G32" s="37"/>
      <c r="H32" s="37"/>
      <c r="I32" s="37"/>
      <c r="J32" s="37"/>
      <c r="K32" s="37"/>
      <c r="L32" s="37"/>
      <c r="M32" s="37"/>
      <c r="N32" s="37"/>
      <c r="O32" s="82"/>
      <c r="P32" s="82"/>
      <c r="Q32" s="37"/>
      <c r="R32" s="39"/>
    </row>
    <row r="33" spans="1:26" ht="22.5" customHeight="1">
      <c r="A33" s="352"/>
      <c r="B33" s="29"/>
      <c r="C33" s="211"/>
      <c r="D33" s="212" t="s">
        <v>34</v>
      </c>
      <c r="E33" s="213"/>
      <c r="F33" s="212" t="s">
        <v>35</v>
      </c>
      <c r="G33" s="37"/>
      <c r="H33" s="37"/>
      <c r="I33" s="85"/>
      <c r="J33" s="85"/>
      <c r="K33" s="86"/>
      <c r="L33" s="85"/>
      <c r="M33" s="87"/>
      <c r="N33" s="85"/>
      <c r="O33" s="85"/>
      <c r="P33" s="85"/>
      <c r="Q33" s="85"/>
      <c r="R33" s="39"/>
    </row>
    <row r="34" spans="1:26" ht="12" customHeight="1">
      <c r="A34" s="352"/>
      <c r="B34" s="29"/>
      <c r="C34" s="37"/>
      <c r="D34" s="83"/>
      <c r="E34" s="84"/>
      <c r="F34" s="83"/>
      <c r="G34" s="37"/>
      <c r="H34" s="37"/>
      <c r="I34" s="85"/>
      <c r="J34" s="85"/>
      <c r="K34" s="86"/>
      <c r="L34" s="85"/>
      <c r="M34" s="87"/>
      <c r="N34" s="85"/>
      <c r="O34" s="85"/>
      <c r="P34" s="85"/>
      <c r="Q34" s="85"/>
      <c r="R34" s="39"/>
    </row>
    <row r="35" spans="1:26" ht="9.75" customHeight="1" thickBot="1">
      <c r="A35" s="352"/>
      <c r="B35" s="29"/>
      <c r="C35" s="88"/>
      <c r="D35" s="89"/>
      <c r="E35" s="90"/>
      <c r="F35" s="89"/>
      <c r="G35" s="90"/>
      <c r="H35" s="90"/>
      <c r="I35" s="74"/>
      <c r="J35" s="74"/>
      <c r="K35" s="74"/>
      <c r="L35" s="74"/>
      <c r="M35" s="74"/>
      <c r="N35" s="85"/>
      <c r="O35" s="85"/>
      <c r="P35" s="85"/>
      <c r="Q35" s="85"/>
      <c r="R35" s="39"/>
    </row>
    <row r="36" spans="1:26" ht="20.25" customHeight="1" thickTop="1" thickBot="1">
      <c r="A36" s="352"/>
      <c r="B36" s="29"/>
      <c r="C36" s="69" t="s">
        <v>166</v>
      </c>
      <c r="D36" s="89"/>
      <c r="E36" s="90"/>
      <c r="F36" s="89"/>
      <c r="G36" s="90"/>
      <c r="H36" s="90"/>
      <c r="I36" s="294">
        <v>497</v>
      </c>
      <c r="J36" s="74"/>
      <c r="K36" s="86"/>
      <c r="L36" s="92"/>
      <c r="M36" s="87"/>
      <c r="N36" s="85"/>
      <c r="O36" s="85"/>
      <c r="P36" s="85"/>
      <c r="Q36" s="85"/>
      <c r="R36" s="39"/>
    </row>
    <row r="37" spans="1:26" ht="20.25" customHeight="1" thickTop="1">
      <c r="A37" s="352"/>
      <c r="B37" s="29"/>
      <c r="C37" s="90"/>
      <c r="D37" s="89"/>
      <c r="E37" s="90"/>
      <c r="F37" s="89"/>
      <c r="G37" s="90"/>
      <c r="H37" s="90"/>
      <c r="I37" s="74"/>
      <c r="J37" s="74"/>
      <c r="K37" s="86"/>
      <c r="L37" s="85"/>
      <c r="M37" s="87"/>
      <c r="N37" s="85"/>
      <c r="O37" s="85"/>
      <c r="P37" s="85"/>
      <c r="Q37" s="85"/>
      <c r="R37" s="39"/>
    </row>
    <row r="38" spans="1:26" ht="21" customHeight="1">
      <c r="A38" s="352"/>
      <c r="B38" s="29"/>
      <c r="C38" s="69" t="s">
        <v>116</v>
      </c>
      <c r="D38" s="93"/>
      <c r="E38" s="90"/>
      <c r="F38" s="59"/>
      <c r="G38" s="59"/>
      <c r="H38" s="59"/>
      <c r="I38" s="61">
        <f>I9</f>
        <v>0</v>
      </c>
      <c r="J38" s="94"/>
      <c r="K38" s="86"/>
      <c r="L38" s="86"/>
      <c r="M38" s="87"/>
      <c r="N38" s="85"/>
      <c r="O38" s="85"/>
      <c r="P38" s="85"/>
      <c r="Q38" s="85"/>
      <c r="R38" s="39"/>
    </row>
    <row r="39" spans="1:26" ht="15.75" customHeight="1">
      <c r="A39" s="352"/>
      <c r="B39" s="29"/>
      <c r="C39" s="31"/>
      <c r="D39" s="31"/>
      <c r="E39" s="37"/>
      <c r="F39" s="31"/>
      <c r="G39" s="31"/>
      <c r="H39" s="31"/>
      <c r="I39" s="95"/>
      <c r="J39" s="95"/>
      <c r="K39" s="86"/>
      <c r="L39" s="86"/>
      <c r="M39" s="87"/>
      <c r="N39" s="85"/>
      <c r="O39" s="85"/>
      <c r="P39" s="85"/>
      <c r="Q39" s="85"/>
      <c r="R39" s="39"/>
    </row>
    <row r="40" spans="1:26" ht="21" customHeight="1">
      <c r="A40" s="352"/>
      <c r="B40" s="29"/>
      <c r="C40" s="80" t="s">
        <v>36</v>
      </c>
      <c r="D40" s="96"/>
      <c r="E40" s="37"/>
      <c r="F40" s="37"/>
      <c r="G40" s="37"/>
      <c r="H40" s="37"/>
      <c r="I40" s="91">
        <f>I36*I38</f>
        <v>0</v>
      </c>
      <c r="J40" s="74"/>
      <c r="K40" s="37"/>
      <c r="L40" s="37"/>
      <c r="M40" s="37"/>
      <c r="N40" s="37"/>
      <c r="O40" s="37"/>
      <c r="P40" s="37"/>
      <c r="Q40" s="37"/>
      <c r="R40" s="39"/>
    </row>
    <row r="41" spans="1:26" ht="15" customHeight="1">
      <c r="A41" s="97"/>
      <c r="B41" s="40"/>
      <c r="C41" s="41"/>
      <c r="D41" s="41"/>
      <c r="E41" s="41"/>
      <c r="F41" s="41"/>
      <c r="G41" s="41"/>
      <c r="H41" s="41"/>
      <c r="I41" s="41"/>
      <c r="J41" s="41"/>
      <c r="K41" s="41"/>
      <c r="L41" s="41"/>
      <c r="M41" s="41"/>
      <c r="N41" s="41"/>
      <c r="O41" s="41"/>
      <c r="P41" s="41"/>
      <c r="Q41" s="41"/>
      <c r="R41" s="43"/>
    </row>
    <row r="42" spans="1:26" ht="17.25" customHeight="1">
      <c r="A42" s="98"/>
    </row>
    <row r="43" spans="1:26" ht="27">
      <c r="A43" s="98"/>
      <c r="B43" s="44" t="s">
        <v>37</v>
      </c>
      <c r="C43" s="334" t="s">
        <v>204</v>
      </c>
      <c r="D43" s="45"/>
      <c r="E43" s="24"/>
      <c r="F43" s="47"/>
      <c r="G43" s="24"/>
      <c r="H43" s="24"/>
      <c r="I43" s="24"/>
      <c r="J43" s="24"/>
      <c r="K43" s="24"/>
      <c r="L43" s="24"/>
      <c r="M43" s="24"/>
      <c r="N43" s="24"/>
      <c r="O43" s="99"/>
      <c r="P43" s="99"/>
      <c r="Q43" s="99"/>
      <c r="R43" s="100"/>
    </row>
    <row r="44" spans="1:26" ht="17.25" customHeight="1">
      <c r="A44" s="98"/>
      <c r="B44" s="26"/>
      <c r="C44" s="101"/>
      <c r="D44" s="101"/>
      <c r="E44" s="27"/>
      <c r="F44" s="27"/>
      <c r="G44" s="27"/>
      <c r="H44" s="27"/>
      <c r="I44" s="27"/>
      <c r="J44" s="27"/>
      <c r="K44" s="27"/>
      <c r="L44" s="27"/>
      <c r="M44" s="27"/>
      <c r="N44" s="27"/>
      <c r="O44" s="49"/>
      <c r="P44" s="49"/>
      <c r="Q44" s="27"/>
      <c r="R44" s="102"/>
    </row>
    <row r="45" spans="1:26" ht="24" customHeight="1" thickBot="1">
      <c r="A45" s="98"/>
      <c r="B45" s="29"/>
      <c r="C45" s="80"/>
      <c r="D45" s="31"/>
      <c r="E45" s="103"/>
      <c r="F45" s="103"/>
      <c r="G45" s="103"/>
      <c r="H45" s="103"/>
      <c r="I45" s="103"/>
      <c r="J45" s="103"/>
      <c r="K45" s="103"/>
      <c r="L45" s="103"/>
      <c r="M45" s="103"/>
      <c r="N45" s="103"/>
      <c r="O45" s="57"/>
      <c r="P45" s="57"/>
      <c r="Q45" s="57"/>
      <c r="R45" s="39"/>
    </row>
    <row r="46" spans="1:26" ht="21" customHeight="1" thickTop="1" thickBot="1">
      <c r="A46" s="98"/>
      <c r="B46" s="29"/>
      <c r="C46" s="69" t="s">
        <v>167</v>
      </c>
      <c r="D46" s="104"/>
      <c r="E46" s="32"/>
      <c r="F46" s="104"/>
      <c r="G46" s="103"/>
      <c r="H46" s="103"/>
      <c r="I46" s="294">
        <v>5000</v>
      </c>
      <c r="J46" s="31"/>
      <c r="K46" s="37"/>
      <c r="L46" s="37"/>
      <c r="M46" s="57"/>
      <c r="N46" s="57"/>
      <c r="O46" s="57"/>
      <c r="P46" s="57"/>
      <c r="Q46" s="57"/>
      <c r="R46" s="39"/>
    </row>
    <row r="47" spans="1:26" ht="21" customHeight="1" thickTop="1">
      <c r="A47" s="98"/>
      <c r="B47" s="29"/>
      <c r="C47" s="32"/>
      <c r="D47" s="105"/>
      <c r="E47" s="32"/>
      <c r="F47" s="105"/>
      <c r="G47" s="103"/>
      <c r="H47" s="103" t="s">
        <v>38</v>
      </c>
      <c r="I47" s="74"/>
      <c r="J47" s="74"/>
      <c r="K47" s="37"/>
      <c r="L47" s="57"/>
      <c r="M47" s="57"/>
      <c r="N47" s="57"/>
      <c r="O47" s="57"/>
      <c r="P47" s="57"/>
      <c r="Q47" s="57"/>
      <c r="R47" s="39"/>
    </row>
    <row r="48" spans="1:26" ht="21" customHeight="1">
      <c r="A48" s="98"/>
      <c r="B48" s="29"/>
      <c r="C48" s="80" t="s">
        <v>192</v>
      </c>
      <c r="D48" s="105"/>
      <c r="E48" s="32"/>
      <c r="F48" s="105"/>
      <c r="G48" s="103"/>
      <c r="H48" s="103"/>
      <c r="I48" s="91">
        <f>I9*I46</f>
        <v>0</v>
      </c>
      <c r="J48" s="74"/>
      <c r="K48" s="37"/>
      <c r="L48" s="106"/>
      <c r="M48" s="57"/>
      <c r="N48" s="57"/>
      <c r="O48" s="57"/>
      <c r="P48" s="57"/>
      <c r="Q48" s="57"/>
      <c r="R48" s="39"/>
      <c r="Z48" s="107"/>
    </row>
    <row r="49" spans="1:20" ht="21" customHeight="1">
      <c r="A49" s="98"/>
      <c r="B49" s="29"/>
      <c r="C49" s="32"/>
      <c r="D49" s="105"/>
      <c r="E49" s="32"/>
      <c r="F49" s="105"/>
      <c r="G49" s="103"/>
      <c r="H49" s="103"/>
      <c r="I49" s="74"/>
      <c r="J49" s="74"/>
      <c r="K49" s="37"/>
      <c r="L49" s="37"/>
      <c r="M49" s="57"/>
      <c r="N49" s="57"/>
      <c r="O49" s="57"/>
      <c r="P49" s="57"/>
      <c r="Q49" s="57"/>
      <c r="R49" s="39"/>
    </row>
    <row r="50" spans="1:20" ht="20.25" customHeight="1">
      <c r="A50" s="98"/>
      <c r="B50" s="29"/>
      <c r="C50" s="76"/>
      <c r="D50" s="76"/>
      <c r="E50" s="103"/>
      <c r="F50" s="103"/>
      <c r="G50" s="103"/>
      <c r="H50" s="103"/>
      <c r="I50" s="103"/>
      <c r="J50" s="74"/>
      <c r="K50" s="37"/>
      <c r="L50" s="108"/>
      <c r="M50" s="57"/>
      <c r="N50" s="57"/>
      <c r="O50" s="57"/>
      <c r="P50" s="57"/>
      <c r="Q50" s="57"/>
      <c r="R50" s="39"/>
    </row>
    <row r="51" spans="1:20" ht="14.25" customHeight="1">
      <c r="A51" s="98"/>
      <c r="B51" s="29"/>
      <c r="C51" s="37"/>
      <c r="D51" s="37"/>
      <c r="E51" s="37"/>
      <c r="F51" s="37"/>
      <c r="G51" s="37"/>
      <c r="H51" s="37"/>
      <c r="I51" s="37"/>
      <c r="J51" s="37"/>
      <c r="K51" s="37"/>
      <c r="L51" s="37"/>
      <c r="M51" s="37"/>
      <c r="N51" s="37"/>
      <c r="O51" s="37"/>
      <c r="P51" s="37"/>
      <c r="Q51" s="37"/>
      <c r="R51" s="39"/>
    </row>
    <row r="52" spans="1:20" ht="27" customHeight="1">
      <c r="A52" s="98"/>
      <c r="B52" s="109"/>
      <c r="C52" s="110" t="s">
        <v>193</v>
      </c>
      <c r="D52" s="111"/>
      <c r="E52" s="112"/>
      <c r="F52" s="113"/>
      <c r="G52" s="114"/>
      <c r="H52" s="114"/>
      <c r="I52" s="115" t="s">
        <v>40</v>
      </c>
      <c r="J52" s="116"/>
      <c r="K52" s="114"/>
      <c r="L52" s="115" t="s">
        <v>41</v>
      </c>
      <c r="M52" s="114"/>
      <c r="N52" s="114"/>
      <c r="O52" s="114"/>
      <c r="P52" s="114"/>
      <c r="Q52" s="114"/>
      <c r="R52" s="117"/>
    </row>
    <row r="53" spans="1:20" ht="21" customHeight="1">
      <c r="A53" s="98"/>
      <c r="B53" s="118"/>
      <c r="C53" s="52" t="s">
        <v>144</v>
      </c>
      <c r="D53" s="68"/>
      <c r="E53" s="103"/>
      <c r="F53" s="68"/>
      <c r="G53" s="37"/>
      <c r="H53" s="37"/>
      <c r="I53" s="119"/>
      <c r="J53" s="35"/>
      <c r="K53" s="37">
        <v>700</v>
      </c>
      <c r="L53" s="120"/>
      <c r="M53" s="57"/>
      <c r="N53" s="368" t="s">
        <v>105</v>
      </c>
      <c r="O53" s="369"/>
      <c r="P53" s="369"/>
      <c r="Q53" s="369"/>
      <c r="R53" s="39"/>
      <c r="T53" s="15">
        <v>0</v>
      </c>
    </row>
    <row r="54" spans="1:20" ht="15" customHeight="1">
      <c r="A54" s="98"/>
      <c r="B54" s="29"/>
      <c r="C54" s="68"/>
      <c r="D54" s="68"/>
      <c r="E54" s="68"/>
      <c r="F54" s="68"/>
      <c r="G54" s="37"/>
      <c r="H54" s="37"/>
      <c r="I54" s="121"/>
      <c r="J54" s="121"/>
      <c r="K54" s="37"/>
      <c r="L54" s="37"/>
      <c r="M54" s="37"/>
      <c r="N54" s="369"/>
      <c r="O54" s="369"/>
      <c r="P54" s="369"/>
      <c r="Q54" s="369"/>
      <c r="R54" s="39"/>
    </row>
    <row r="55" spans="1:20" ht="21" customHeight="1">
      <c r="A55" s="98"/>
      <c r="B55" s="29"/>
      <c r="C55" s="52" t="s">
        <v>43</v>
      </c>
      <c r="D55" s="68"/>
      <c r="E55" s="103"/>
      <c r="F55" s="68"/>
      <c r="G55" s="37"/>
      <c r="H55" s="37"/>
      <c r="I55" s="119"/>
      <c r="J55" s="35"/>
      <c r="K55" s="37"/>
      <c r="L55" s="120"/>
      <c r="M55" s="57"/>
      <c r="N55" s="368" t="s">
        <v>168</v>
      </c>
      <c r="O55" s="369"/>
      <c r="P55" s="369"/>
      <c r="Q55" s="369"/>
      <c r="R55" s="39"/>
      <c r="T55" s="15">
        <v>0</v>
      </c>
    </row>
    <row r="56" spans="1:20" ht="15" customHeight="1">
      <c r="A56" s="98"/>
      <c r="B56" s="29"/>
      <c r="C56" s="68"/>
      <c r="D56" s="68"/>
      <c r="E56" s="68"/>
      <c r="F56" s="68"/>
      <c r="G56" s="37"/>
      <c r="H56" s="37"/>
      <c r="I56" s="121"/>
      <c r="J56" s="121"/>
      <c r="K56" s="37"/>
      <c r="L56" s="37"/>
      <c r="M56" s="37"/>
      <c r="N56" s="369"/>
      <c r="O56" s="369"/>
      <c r="P56" s="369"/>
      <c r="Q56" s="369"/>
      <c r="R56" s="39"/>
    </row>
    <row r="57" spans="1:20" ht="21" customHeight="1">
      <c r="A57" s="98"/>
      <c r="B57" s="29"/>
      <c r="C57" s="52" t="s">
        <v>45</v>
      </c>
      <c r="D57" s="31"/>
      <c r="E57" s="31"/>
      <c r="F57" s="68"/>
      <c r="G57" s="37"/>
      <c r="H57" s="37"/>
      <c r="I57" s="119"/>
      <c r="J57" s="35"/>
      <c r="K57" s="37"/>
      <c r="L57" s="120"/>
      <c r="M57" s="35"/>
      <c r="N57" s="368" t="s">
        <v>104</v>
      </c>
      <c r="O57" s="369"/>
      <c r="P57" s="369"/>
      <c r="Q57" s="369"/>
      <c r="R57" s="39"/>
      <c r="T57" s="15">
        <v>0</v>
      </c>
    </row>
    <row r="58" spans="1:20" ht="20.25" customHeight="1">
      <c r="A58" s="98"/>
      <c r="B58" s="29"/>
      <c r="C58" s="370"/>
      <c r="D58" s="371"/>
      <c r="E58" s="371"/>
      <c r="F58" s="372"/>
      <c r="G58" s="122"/>
      <c r="H58" s="122"/>
      <c r="I58" s="37"/>
      <c r="J58" s="37"/>
      <c r="K58" s="37"/>
      <c r="L58" s="37"/>
      <c r="M58" s="37"/>
      <c r="N58" s="369"/>
      <c r="O58" s="369"/>
      <c r="P58" s="369"/>
      <c r="Q58" s="369"/>
      <c r="R58" s="39"/>
    </row>
    <row r="59" spans="1:20" ht="15" customHeight="1">
      <c r="A59" s="98"/>
      <c r="B59" s="29"/>
      <c r="C59" s="122"/>
      <c r="D59" s="122"/>
      <c r="E59" s="122"/>
      <c r="F59" s="122"/>
      <c r="G59" s="122"/>
      <c r="H59" s="122"/>
      <c r="I59" s="123"/>
      <c r="J59" s="123"/>
      <c r="K59" s="37"/>
      <c r="L59" s="37"/>
      <c r="M59" s="37"/>
      <c r="N59" s="37"/>
      <c r="O59" s="58"/>
      <c r="P59" s="58"/>
      <c r="Q59" s="78"/>
      <c r="R59" s="39"/>
    </row>
    <row r="60" spans="1:20" ht="20.25" customHeight="1">
      <c r="A60" s="98"/>
      <c r="B60" s="29"/>
      <c r="C60" s="30" t="s">
        <v>194</v>
      </c>
      <c r="D60" s="76"/>
      <c r="E60" s="76"/>
      <c r="F60" s="124"/>
      <c r="G60" s="124"/>
      <c r="H60" s="124"/>
      <c r="I60" s="91">
        <f>(L53*I53)+(I55*L55)+(I57*L57)</f>
        <v>0</v>
      </c>
      <c r="J60" s="74"/>
      <c r="K60" s="37"/>
      <c r="L60" s="37"/>
      <c r="M60" s="37"/>
      <c r="N60" s="37"/>
      <c r="O60" s="58"/>
      <c r="P60" s="58"/>
      <c r="Q60" s="78"/>
      <c r="R60" s="39"/>
    </row>
    <row r="61" spans="1:20" ht="20.25" customHeight="1">
      <c r="A61" s="98"/>
      <c r="B61" s="29"/>
      <c r="C61" s="30"/>
      <c r="D61" s="76"/>
      <c r="E61" s="76"/>
      <c r="F61" s="124"/>
      <c r="G61" s="124"/>
      <c r="H61" s="124"/>
      <c r="I61" s="125"/>
      <c r="J61" s="74"/>
      <c r="K61" s="37"/>
      <c r="L61" s="37"/>
      <c r="M61" s="37"/>
      <c r="N61" s="37"/>
      <c r="O61" s="58"/>
      <c r="P61" s="58"/>
      <c r="Q61" s="78"/>
      <c r="R61" s="39"/>
    </row>
    <row r="62" spans="1:20" ht="14.25" customHeight="1">
      <c r="A62" s="98"/>
      <c r="B62" s="26"/>
      <c r="C62" s="126"/>
      <c r="D62" s="127"/>
      <c r="E62" s="127"/>
      <c r="F62" s="128"/>
      <c r="G62" s="128"/>
      <c r="H62" s="128"/>
      <c r="I62" s="125"/>
      <c r="J62" s="125"/>
      <c r="K62" s="27"/>
      <c r="L62" s="27"/>
      <c r="M62" s="27"/>
      <c r="N62" s="27"/>
      <c r="O62" s="50"/>
      <c r="P62" s="50"/>
      <c r="Q62" s="78"/>
      <c r="R62" s="28"/>
    </row>
    <row r="63" spans="1:20" ht="30.75" customHeight="1">
      <c r="A63" s="98"/>
      <c r="B63" s="29"/>
      <c r="C63" s="354" t="s">
        <v>195</v>
      </c>
      <c r="D63" s="355"/>
      <c r="E63" s="355"/>
      <c r="F63" s="355"/>
      <c r="G63" s="355"/>
      <c r="H63" s="356"/>
      <c r="I63" s="91">
        <f>I48+I60</f>
        <v>0</v>
      </c>
      <c r="J63" s="74"/>
      <c r="K63" s="37"/>
      <c r="L63" s="37"/>
      <c r="M63" s="37"/>
      <c r="N63" s="37"/>
      <c r="O63" s="58"/>
      <c r="P63" s="58"/>
      <c r="Q63" s="78"/>
      <c r="R63" s="39"/>
    </row>
    <row r="64" spans="1:20" ht="17.25" customHeight="1">
      <c r="A64" s="98"/>
      <c r="B64" s="40"/>
      <c r="C64" s="41"/>
      <c r="D64" s="41"/>
      <c r="E64" s="41"/>
      <c r="F64" s="41"/>
      <c r="G64" s="41"/>
      <c r="H64" s="41"/>
      <c r="I64" s="41"/>
      <c r="J64" s="41"/>
      <c r="K64" s="41"/>
      <c r="L64" s="41"/>
      <c r="M64" s="41"/>
      <c r="N64" s="129"/>
      <c r="O64" s="130"/>
      <c r="P64" s="130"/>
      <c r="Q64" s="41"/>
      <c r="R64" s="43"/>
    </row>
    <row r="65" spans="1:18" ht="17.25" customHeight="1">
      <c r="A65" s="98"/>
      <c r="B65" s="131"/>
      <c r="C65" s="131"/>
      <c r="D65" s="131"/>
      <c r="E65" s="131"/>
      <c r="F65" s="131"/>
      <c r="G65" s="131"/>
      <c r="H65" s="131"/>
      <c r="I65" s="131"/>
      <c r="J65" s="131"/>
      <c r="K65" s="131"/>
      <c r="Q65" s="131"/>
      <c r="R65" s="131"/>
    </row>
    <row r="66" spans="1:18" ht="27.75" customHeight="1">
      <c r="A66" s="98"/>
      <c r="B66" s="137" t="s">
        <v>169</v>
      </c>
      <c r="C66" s="138"/>
      <c r="D66" s="138"/>
      <c r="E66" s="138"/>
      <c r="F66" s="138"/>
      <c r="G66" s="138"/>
      <c r="H66" s="139"/>
      <c r="I66" s="139"/>
      <c r="J66" s="139"/>
      <c r="K66" s="139"/>
      <c r="L66" s="353"/>
      <c r="M66" s="353"/>
      <c r="N66" s="353"/>
      <c r="O66" s="139"/>
      <c r="P66" s="139"/>
      <c r="Q66" s="139"/>
      <c r="R66" s="140"/>
    </row>
    <row r="67" spans="1:18" ht="18" customHeight="1">
      <c r="A67" s="98"/>
      <c r="B67" s="141" t="s">
        <v>48</v>
      </c>
      <c r="C67" s="142"/>
      <c r="D67" s="142"/>
      <c r="E67" s="142"/>
      <c r="F67" s="142"/>
      <c r="G67" s="142"/>
      <c r="H67" s="143"/>
      <c r="I67" s="143"/>
      <c r="J67" s="143"/>
      <c r="K67" s="143"/>
      <c r="L67" s="350"/>
      <c r="M67" s="350"/>
      <c r="N67" s="350"/>
      <c r="O67" s="351"/>
      <c r="P67" s="351"/>
      <c r="Q67" s="351"/>
      <c r="R67" s="144"/>
    </row>
    <row r="68" spans="1:18" ht="15" customHeight="1">
      <c r="A68" s="98"/>
      <c r="B68" s="26"/>
      <c r="C68" s="27"/>
      <c r="D68" s="27"/>
      <c r="E68" s="145"/>
      <c r="F68" s="145"/>
      <c r="G68" s="145"/>
      <c r="H68" s="145"/>
      <c r="I68" s="27"/>
      <c r="J68" s="27"/>
      <c r="K68" s="27"/>
      <c r="L68" s="146"/>
      <c r="M68" s="146"/>
      <c r="N68" s="146"/>
      <c r="O68" s="27"/>
      <c r="P68" s="27"/>
      <c r="Q68" s="27"/>
      <c r="R68" s="28"/>
    </row>
    <row r="69" spans="1:18" ht="21" customHeight="1">
      <c r="A69" s="98"/>
      <c r="B69" s="29"/>
      <c r="C69" s="30" t="s">
        <v>49</v>
      </c>
      <c r="D69" s="59"/>
      <c r="E69" s="31"/>
      <c r="F69" s="31"/>
      <c r="G69" s="31"/>
      <c r="H69" s="31"/>
      <c r="I69" s="147">
        <f>IFERROR(I63+I40+I27,"")</f>
        <v>0</v>
      </c>
      <c r="J69" s="148"/>
      <c r="K69" s="37"/>
      <c r="L69" s="149"/>
      <c r="M69" s="149"/>
      <c r="N69" s="149"/>
      <c r="O69" s="37"/>
      <c r="P69" s="37"/>
      <c r="Q69" s="37"/>
      <c r="R69" s="39"/>
    </row>
    <row r="70" spans="1:18" ht="10.5" customHeight="1">
      <c r="A70" s="98"/>
      <c r="B70" s="29"/>
      <c r="C70" s="59"/>
      <c r="D70" s="59"/>
      <c r="E70" s="31"/>
      <c r="F70" s="31"/>
      <c r="G70" s="31"/>
      <c r="H70" s="31"/>
      <c r="I70" s="37"/>
      <c r="J70" s="37"/>
      <c r="K70" s="37"/>
      <c r="L70" s="37"/>
      <c r="M70" s="37"/>
      <c r="N70" s="37"/>
      <c r="O70" s="37"/>
      <c r="P70" s="37"/>
      <c r="Q70" s="37"/>
      <c r="R70" s="39"/>
    </row>
    <row r="71" spans="1:18" ht="20.25" customHeight="1">
      <c r="A71" s="98"/>
      <c r="B71" s="29"/>
      <c r="C71" s="30" t="s">
        <v>50</v>
      </c>
      <c r="D71" s="59"/>
      <c r="E71" s="31"/>
      <c r="F71" s="31"/>
      <c r="G71" s="31"/>
      <c r="H71" s="31"/>
      <c r="I71" s="147" t="str">
        <f>IFERROR(I69/I9,"")</f>
        <v/>
      </c>
      <c r="J71" s="148"/>
      <c r="K71" s="37"/>
      <c r="L71" s="150"/>
      <c r="M71" s="151"/>
      <c r="N71" s="152"/>
      <c r="O71" s="37"/>
      <c r="P71" s="37"/>
      <c r="Q71" s="37"/>
      <c r="R71" s="39"/>
    </row>
    <row r="72" spans="1:18" ht="9" customHeight="1">
      <c r="A72" s="98"/>
      <c r="B72" s="153"/>
      <c r="C72" s="154"/>
      <c r="D72" s="154"/>
      <c r="E72" s="155"/>
      <c r="F72" s="155"/>
      <c r="G72" s="155"/>
      <c r="H72" s="155"/>
      <c r="I72" s="41"/>
      <c r="J72" s="41"/>
      <c r="K72" s="41"/>
      <c r="L72" s="41"/>
      <c r="M72" s="41"/>
      <c r="N72" s="41"/>
      <c r="O72" s="41"/>
      <c r="P72" s="41"/>
      <c r="Q72" s="41"/>
      <c r="R72" s="43"/>
    </row>
    <row r="73" spans="1:18" ht="15" customHeight="1">
      <c r="A73" s="352"/>
      <c r="C73" s="156"/>
      <c r="D73" s="156"/>
    </row>
    <row r="74" spans="1:18" ht="6.75" customHeight="1">
      <c r="A74" s="352"/>
      <c r="B74" s="157"/>
      <c r="C74" s="157"/>
      <c r="D74" s="157"/>
      <c r="E74" s="157"/>
      <c r="F74" s="157"/>
      <c r="G74" s="157"/>
      <c r="H74" s="157"/>
    </row>
    <row r="88" spans="8:8">
      <c r="H88" s="158" t="s">
        <v>51</v>
      </c>
    </row>
    <row r="101" spans="7:8" ht="14.25">
      <c r="G101" s="222">
        <f>CPPM!I9-CPPM!I18</f>
        <v>0</v>
      </c>
      <c r="H101" s="221" t="s">
        <v>154</v>
      </c>
    </row>
  </sheetData>
  <sheetProtection password="DFB7" sheet="1" objects="1" scenarios="1"/>
  <dataConsolidate/>
  <mergeCells count="15">
    <mergeCell ref="L67:Q67"/>
    <mergeCell ref="A73:A74"/>
    <mergeCell ref="L66:N66"/>
    <mergeCell ref="C63:H63"/>
    <mergeCell ref="H2:L2"/>
    <mergeCell ref="H3:L3"/>
    <mergeCell ref="G5:N5"/>
    <mergeCell ref="A14:A28"/>
    <mergeCell ref="C15:F15"/>
    <mergeCell ref="L27:O28"/>
    <mergeCell ref="A31:A40"/>
    <mergeCell ref="N53:Q54"/>
    <mergeCell ref="N55:Q56"/>
    <mergeCell ref="N57:Q58"/>
    <mergeCell ref="C58:F58"/>
  </mergeCells>
  <conditionalFormatting sqref="L69:N69">
    <cfRule type="cellIs" dxfId="11" priority="24" stopIfTrue="1" operator="equal">
      <formula>1</formula>
    </cfRule>
  </conditionalFormatting>
  <conditionalFormatting sqref="M71:N71">
    <cfRule type="cellIs" dxfId="10" priority="21" stopIfTrue="1" operator="equal">
      <formula>1</formula>
    </cfRule>
    <cfRule type="expression" dxfId="9" priority="22" stopIfTrue="1">
      <formula>ISERROR($L$71)</formula>
    </cfRule>
    <cfRule type="cellIs" dxfId="8" priority="23" stopIfTrue="1" operator="lessThan">
      <formula>0</formula>
    </cfRule>
  </conditionalFormatting>
  <conditionalFormatting sqref="I69:J69">
    <cfRule type="expression" dxfId="7" priority="20" stopIfTrue="1">
      <formula>ISERROR($I$69)</formula>
    </cfRule>
  </conditionalFormatting>
  <conditionalFormatting sqref="I71:J71">
    <cfRule type="expression" dxfId="6" priority="19" stopIfTrue="1">
      <formula>ISERROR($I$71)</formula>
    </cfRule>
  </conditionalFormatting>
  <conditionalFormatting sqref="H3">
    <cfRule type="expression" dxfId="5" priority="18" stopIfTrue="1">
      <formula>ISERROR($H$3)</formula>
    </cfRule>
  </conditionalFormatting>
  <conditionalFormatting sqref="L71">
    <cfRule type="cellIs" dxfId="4" priority="15" stopIfTrue="1" operator="equal">
      <formula>1</formula>
    </cfRule>
    <cfRule type="expression" dxfId="3" priority="16" stopIfTrue="1">
      <formula>ISERROR($L$71)</formula>
    </cfRule>
    <cfRule type="cellIs" dxfId="2" priority="17" stopIfTrue="1" operator="lessThan">
      <formula>0</formula>
    </cfRule>
  </conditionalFormatting>
  <conditionalFormatting sqref="P18 P20">
    <cfRule type="cellIs" dxfId="1" priority="14" operator="lessThan">
      <formula>0</formula>
    </cfRule>
  </conditionalFormatting>
  <dataValidations count="17">
    <dataValidation type="custom" operator="greaterThanOrEqual" allowBlank="1" showInputMessage="1" showErrorMessage="1" errorTitle="Invalid Entry" error="Total number of teleworkers can not exceed total number of employees." sqref="J11">
      <formula1>J11&lt;J1048517</formula1>
    </dataValidation>
    <dataValidation type="whole" operator="lessThan" allowBlank="1" showInputMessage="1" showErrorMessage="1" errorTitle="Invalid Entry" error="Total number of teleworkers cannot be greater than the total number of employees." sqref="I11">
      <formula1>I9</formula1>
    </dataValidation>
    <dataValidation type="decimal" operator="greaterThanOrEqual" allowBlank="1" showErrorMessage="1" errorTitle="Invalid Entry" error="The number of workspaces you entered is less than the number of non-teleworking employees." prompt="Government-wide average for total space per person is 230 square feet." sqref="I18">
      <formula1>I9-I11</formula1>
    </dataValidation>
    <dataValidation operator="greaterThan" allowBlank="1" showErrorMessage="1" errorTitle="Invalid Entry" error="Enter a number greater than zero." prompt="Government-wide average for total space per person is 230 square feet." sqref="G101 J18:J19 I20"/>
    <dataValidation type="decimal" operator="greaterThanOrEqual" allowBlank="1" showInputMessage="1" showErrorMessage="1" errorTitle="INPUT ERROR" error="Numeric value required" sqref="O27 Q27 P11">
      <formula1>0</formula1>
    </dataValidation>
    <dataValidation type="decimal" operator="greaterThan" allowBlank="1" showInputMessage="1" showErrorMessage="1" errorTitle="Invalid Entry" error="Enter a quantity greater than 0." sqref="I55 I57 I53">
      <formula1>0</formula1>
    </dataValidation>
    <dataValidation operator="greaterThan" allowBlank="1" showErrorMessage="1" errorTitle="Invalid Entry" error="Enter a dollar amount greater than $0." prompt="Select the appropriate rental rate for the area, building class, and type. Use current market rental rates or enter the actual agency rental rate." sqref="J23:J26 I25:I26 I23"/>
    <dataValidation type="decimal" operator="greaterThanOrEqual" allowBlank="1" error="Enter dollar amount greater than $0." sqref="I49 J47:J49">
      <formula1>0</formula1>
    </dataValidation>
    <dataValidation type="whole" operator="greaterThan" allowBlank="1" showInputMessage="1" showErrorMessage="1" errorTitle="Suggested range" error="Enter the annual cost per unit (depreciation). Suggested range is $400-$500 " sqref="L53">
      <formula1>0</formula1>
    </dataValidation>
    <dataValidation type="decimal" operator="greaterThan" allowBlank="1" showInputMessage="1" showErrorMessage="1" errorTitle="Invalid Entry" error="Enter a dollar amount greater than $0." sqref="J57 J53 J55">
      <formula1>0</formula1>
    </dataValidation>
    <dataValidation type="whole" operator="greaterThan" allowBlank="1" showInputMessage="1" showErrorMessage="1" errorTitle="Suggested range" error="Enter total annual cost including depreciation and plan. Suggested range is $500-$600" sqref="L57">
      <formula1>0</formula1>
    </dataValidation>
    <dataValidation type="whole" operator="greaterThan" allowBlank="1" showInputMessage="1" showErrorMessage="1" errorTitle="Suggested range" error="Enter the annual cost per unit including plan. Suggested range is $600-$700" sqref="L55">
      <formula1>0</formula1>
    </dataValidation>
    <dataValidation type="whole" operator="greaterThan" allowBlank="1" showInputMessage="1" showErrorMessage="1" errorTitle="Invalid Entry" error="Enter a whole number greater than zero." sqref="I16:J17">
      <formula1>0</formula1>
    </dataValidation>
    <dataValidation allowBlank="1" showErrorMessage="1" promptTitle="Option 2 only" prompt="Enter value in % terms." sqref="M12"/>
    <dataValidation allowBlank="1" showInputMessage="1" showErrorMessage="1" sqref="L9"/>
    <dataValidation type="decimal" operator="greaterThan" allowBlank="1" showErrorMessage="1" errorTitle="Invalid Entry" error="Enter a number greater than zero." prompt="Input total number of FTEs." sqref="I9:J9">
      <formula1>0</formula1>
    </dataValidation>
    <dataValidation type="decimal" operator="greaterThan" allowBlank="1" showInputMessage="1" showErrorMessage="1" errorTitle="INPUT ERROR" error="Numeric value required (greater than zero)" sqref="O9:Q9">
      <formula1>0</formula1>
    </dataValidation>
  </dataValidations>
  <hyperlinks>
    <hyperlink ref="H88" r:id="rId1"/>
  </hyperlinks>
  <printOptions horizontalCentered="1" verticalCentered="1"/>
  <pageMargins left="0.24" right="0.44" top="0.25" bottom="0.5" header="0.5" footer="0.5"/>
  <pageSetup scale="47" orientation="portrait" r:id="rId2"/>
  <headerFooter alignWithMargins="0"/>
  <legacyDrawing r:id="rId3"/>
  <controls>
    <control shapeId="2064" r:id="rId4" name="IP_Phone_Button"/>
    <control shapeId="2065" r:id="rId5" name="Digital_Phone_Button"/>
  </controls>
</worksheet>
</file>

<file path=xl/worksheets/sheet3.xml><?xml version="1.0" encoding="utf-8"?>
<worksheet xmlns="http://schemas.openxmlformats.org/spreadsheetml/2006/main" xmlns:r="http://schemas.openxmlformats.org/officeDocument/2006/relationships">
  <sheetPr codeName="Sheet2"/>
  <dimension ref="E1"/>
  <sheetViews>
    <sheetView showGridLines="0" showRowColHeaders="0" workbookViewId="0">
      <selection activeCell="I5" sqref="I5"/>
    </sheetView>
  </sheetViews>
  <sheetFormatPr defaultRowHeight="14.25"/>
  <sheetData>
    <row r="1" spans="5:5" ht="30">
      <c r="E1" s="286" t="s">
        <v>176</v>
      </c>
    </row>
  </sheetData>
  <sheetProtection password="DFB7" sheet="1" objects="1" scenarios="1" selectLockedCells="1"/>
  <pageMargins left="0.7" right="0.7" top="0.75" bottom="0.75" header="0.3" footer="0.3"/>
  <drawing r:id="rId1"/>
  <legacyDrawing r:id="rId2"/>
  <controls>
    <control shapeId="6145" r:id="rId3" name="CommandButton1"/>
  </controls>
</worksheet>
</file>

<file path=xl/worksheets/sheet4.xml><?xml version="1.0" encoding="utf-8"?>
<worksheet xmlns="http://schemas.openxmlformats.org/spreadsheetml/2006/main" xmlns:r="http://schemas.openxmlformats.org/officeDocument/2006/relationships">
  <sheetPr codeName="Sheet11">
    <pageSetUpPr fitToPage="1"/>
  </sheetPr>
  <dimension ref="B2:O32"/>
  <sheetViews>
    <sheetView workbookViewId="0"/>
  </sheetViews>
  <sheetFormatPr defaultRowHeight="12.75"/>
  <cols>
    <col min="1" max="1" width="6.875" style="159" customWidth="1"/>
    <col min="2" max="2" width="11" style="159" customWidth="1"/>
    <col min="3" max="3" width="1.875" style="159" customWidth="1"/>
    <col min="4" max="4" width="5.125" style="159" customWidth="1"/>
    <col min="5" max="5" width="22.375" style="159" customWidth="1"/>
    <col min="6" max="6" width="3.625" style="159" customWidth="1"/>
    <col min="7" max="7" width="17.875" style="159" customWidth="1"/>
    <col min="8" max="8" width="3.25" style="159" customWidth="1"/>
    <col min="9" max="9" width="17.75" style="159" customWidth="1"/>
    <col min="10" max="10" width="3.25" style="159" customWidth="1"/>
    <col min="11" max="11" width="17.875" style="159" customWidth="1"/>
    <col min="12" max="12" width="5.125" style="159" customWidth="1"/>
    <col min="13" max="13" width="8.75" style="159" bestFit="1" customWidth="1"/>
    <col min="14" max="14" width="9" style="159"/>
    <col min="15" max="15" width="13.375" style="159" bestFit="1" customWidth="1"/>
    <col min="16" max="16384" width="9" style="159"/>
  </cols>
  <sheetData>
    <row r="2" spans="2:15" ht="51" customHeight="1">
      <c r="B2" s="386" t="s">
        <v>7</v>
      </c>
      <c r="C2" s="386"/>
      <c r="D2" s="386"/>
      <c r="E2" s="386"/>
      <c r="F2" s="386"/>
      <c r="G2" s="386"/>
      <c r="H2" s="386"/>
      <c r="I2" s="386"/>
      <c r="J2" s="386"/>
      <c r="K2" s="386"/>
      <c r="L2" s="386"/>
    </row>
    <row r="3" spans="2:15" ht="27">
      <c r="B3" s="381" t="s">
        <v>52</v>
      </c>
      <c r="C3" s="382"/>
      <c r="D3" s="382"/>
      <c r="E3" s="382"/>
      <c r="F3" s="382"/>
      <c r="G3" s="382"/>
      <c r="H3" s="382"/>
      <c r="I3" s="382"/>
      <c r="J3" s="382"/>
      <c r="K3" s="382"/>
      <c r="L3" s="383"/>
      <c r="M3" s="184"/>
    </row>
    <row r="4" spans="2:15" ht="33.75" customHeight="1">
      <c r="B4" s="160"/>
      <c r="C4" s="161"/>
      <c r="D4" s="387" t="s">
        <v>53</v>
      </c>
      <c r="E4" s="387"/>
      <c r="F4" s="162" t="s">
        <v>54</v>
      </c>
      <c r="G4" s="163" t="s">
        <v>111</v>
      </c>
      <c r="H4" s="161"/>
      <c r="I4" s="163" t="s">
        <v>55</v>
      </c>
      <c r="J4" s="161"/>
      <c r="L4" s="172"/>
    </row>
    <row r="5" spans="2:15" ht="18">
      <c r="B5" s="160"/>
      <c r="C5" s="161"/>
      <c r="D5" s="161"/>
      <c r="E5" s="165">
        <f>G5*I5</f>
        <v>0</v>
      </c>
      <c r="F5" s="162" t="s">
        <v>54</v>
      </c>
      <c r="G5" s="166">
        <f>CPPM!I16</f>
        <v>0</v>
      </c>
      <c r="H5" s="167" t="s">
        <v>56</v>
      </c>
      <c r="I5" s="168">
        <f>CPPM!I23</f>
        <v>0</v>
      </c>
      <c r="J5" s="167"/>
      <c r="L5" s="173"/>
    </row>
    <row r="6" spans="2:15" ht="21" customHeight="1">
      <c r="B6" s="160"/>
      <c r="C6" s="161"/>
      <c r="D6" s="161"/>
      <c r="E6" s="161"/>
      <c r="F6" s="161"/>
      <c r="G6" s="161"/>
      <c r="H6" s="161"/>
      <c r="I6" s="161"/>
      <c r="J6" s="161"/>
      <c r="K6" s="161"/>
      <c r="L6" s="174"/>
    </row>
    <row r="7" spans="2:15" ht="27">
      <c r="B7" s="381" t="s">
        <v>57</v>
      </c>
      <c r="C7" s="382"/>
      <c r="D7" s="382"/>
      <c r="E7" s="382"/>
      <c r="F7" s="382"/>
      <c r="G7" s="382"/>
      <c r="H7" s="382"/>
      <c r="I7" s="382"/>
      <c r="J7" s="382"/>
      <c r="K7" s="382"/>
      <c r="L7" s="383"/>
    </row>
    <row r="8" spans="2:15" ht="45">
      <c r="B8" s="380" t="s">
        <v>58</v>
      </c>
      <c r="C8" s="376"/>
      <c r="D8" s="376"/>
      <c r="E8" s="376"/>
      <c r="F8" s="162" t="s">
        <v>54</v>
      </c>
      <c r="G8" s="163" t="s">
        <v>178</v>
      </c>
      <c r="H8" s="162" t="s">
        <v>56</v>
      </c>
      <c r="I8" s="163" t="s">
        <v>59</v>
      </c>
      <c r="J8" s="171"/>
      <c r="K8" s="171"/>
      <c r="L8" s="172"/>
    </row>
    <row r="9" spans="2:15" ht="18">
      <c r="B9" s="160"/>
      <c r="C9" s="161"/>
      <c r="D9" s="161"/>
      <c r="E9" s="165">
        <f>G9*I9</f>
        <v>0</v>
      </c>
      <c r="F9" s="162" t="s">
        <v>54</v>
      </c>
      <c r="G9" s="166">
        <f>CPPM!$I$9</f>
        <v>0</v>
      </c>
      <c r="H9" s="167" t="s">
        <v>56</v>
      </c>
      <c r="I9" s="168">
        <f>CPPM!I36</f>
        <v>497</v>
      </c>
      <c r="J9" s="161"/>
      <c r="K9" s="161"/>
      <c r="L9" s="173"/>
    </row>
    <row r="10" spans="2:15" ht="21" customHeight="1">
      <c r="B10" s="160"/>
      <c r="C10" s="161"/>
      <c r="D10" s="161"/>
      <c r="E10" s="161"/>
      <c r="F10" s="161"/>
      <c r="G10" s="161"/>
      <c r="H10" s="161"/>
      <c r="I10" s="161"/>
      <c r="J10" s="161"/>
      <c r="K10" s="161"/>
      <c r="L10" s="174"/>
    </row>
    <row r="11" spans="2:15" ht="27">
      <c r="B11" s="381" t="s">
        <v>207</v>
      </c>
      <c r="C11" s="382"/>
      <c r="D11" s="382"/>
      <c r="E11" s="382"/>
      <c r="F11" s="382"/>
      <c r="G11" s="382"/>
      <c r="H11" s="382"/>
      <c r="I11" s="382"/>
      <c r="J11" s="382"/>
      <c r="K11" s="382"/>
      <c r="L11" s="383"/>
      <c r="M11" s="175"/>
    </row>
    <row r="12" spans="2:15" ht="27" customHeight="1">
      <c r="B12" s="388" t="s">
        <v>60</v>
      </c>
      <c r="C12" s="389"/>
      <c r="D12" s="389"/>
      <c r="E12" s="389"/>
      <c r="F12" s="176"/>
      <c r="G12" s="177"/>
      <c r="H12" s="176"/>
      <c r="I12" s="178"/>
      <c r="J12" s="176"/>
      <c r="K12" s="176"/>
      <c r="L12" s="164"/>
      <c r="O12" s="179"/>
    </row>
    <row r="13" spans="2:15" ht="44.25" customHeight="1">
      <c r="B13" s="375" t="s">
        <v>61</v>
      </c>
      <c r="C13" s="376"/>
      <c r="D13" s="376"/>
      <c r="E13" s="376"/>
      <c r="F13" s="162" t="s">
        <v>54</v>
      </c>
      <c r="G13" s="163" t="s">
        <v>178</v>
      </c>
      <c r="H13" s="162" t="s">
        <v>56</v>
      </c>
      <c r="I13" s="163" t="s">
        <v>177</v>
      </c>
      <c r="J13" s="161"/>
      <c r="K13" s="161"/>
      <c r="L13" s="173"/>
    </row>
    <row r="14" spans="2:15" ht="18">
      <c r="B14" s="160"/>
      <c r="C14" s="161"/>
      <c r="D14" s="161"/>
      <c r="E14" s="165">
        <f>G14*I14</f>
        <v>0</v>
      </c>
      <c r="F14" s="162" t="s">
        <v>54</v>
      </c>
      <c r="G14" s="166">
        <f>CPPM!$I$9</f>
        <v>0</v>
      </c>
      <c r="H14" s="167" t="s">
        <v>56</v>
      </c>
      <c r="I14" s="168">
        <f>CPPM!$I$46</f>
        <v>5000</v>
      </c>
      <c r="J14" s="161"/>
      <c r="K14" s="161"/>
      <c r="L14" s="173"/>
    </row>
    <row r="15" spans="2:15" ht="27" customHeight="1">
      <c r="B15" s="388" t="s">
        <v>193</v>
      </c>
      <c r="C15" s="389"/>
      <c r="D15" s="389"/>
      <c r="E15" s="389"/>
      <c r="F15" s="176"/>
      <c r="G15" s="177"/>
      <c r="H15" s="176"/>
      <c r="I15" s="178"/>
      <c r="J15" s="176"/>
      <c r="K15" s="176"/>
      <c r="L15" s="169"/>
      <c r="O15" s="179"/>
    </row>
    <row r="16" spans="2:15" ht="39.75" customHeight="1">
      <c r="B16" s="375" t="s">
        <v>62</v>
      </c>
      <c r="C16" s="376"/>
      <c r="D16" s="376"/>
      <c r="E16" s="376"/>
      <c r="F16" s="162" t="s">
        <v>54</v>
      </c>
      <c r="G16" s="163" t="s">
        <v>63</v>
      </c>
      <c r="H16" s="162" t="s">
        <v>56</v>
      </c>
      <c r="I16" s="163" t="s">
        <v>64</v>
      </c>
      <c r="J16" s="161"/>
      <c r="K16" s="161"/>
      <c r="L16" s="173"/>
    </row>
    <row r="17" spans="2:12" ht="18">
      <c r="B17" s="160"/>
      <c r="C17" s="161"/>
      <c r="D17" s="161"/>
      <c r="E17" s="165">
        <f>G17*I17</f>
        <v>0</v>
      </c>
      <c r="F17" s="162" t="s">
        <v>54</v>
      </c>
      <c r="G17" s="166">
        <f>CPPM!I53</f>
        <v>0</v>
      </c>
      <c r="H17" s="167" t="s">
        <v>56</v>
      </c>
      <c r="I17" s="168">
        <f>CPPM!L53</f>
        <v>0</v>
      </c>
      <c r="J17" s="161"/>
      <c r="K17" s="161"/>
      <c r="L17" s="173"/>
    </row>
    <row r="18" spans="2:12" ht="39" customHeight="1">
      <c r="B18" s="375" t="s">
        <v>65</v>
      </c>
      <c r="C18" s="376"/>
      <c r="D18" s="376"/>
      <c r="E18" s="376"/>
      <c r="F18" s="162" t="s">
        <v>54</v>
      </c>
      <c r="G18" s="163" t="s">
        <v>66</v>
      </c>
      <c r="H18" s="162" t="s">
        <v>56</v>
      </c>
      <c r="I18" s="163" t="s">
        <v>67</v>
      </c>
      <c r="J18" s="161"/>
      <c r="K18" s="161"/>
      <c r="L18" s="173"/>
    </row>
    <row r="19" spans="2:12" ht="18">
      <c r="B19" s="160"/>
      <c r="C19" s="161"/>
      <c r="D19" s="161"/>
      <c r="E19" s="165">
        <f>G19*I19</f>
        <v>0</v>
      </c>
      <c r="F19" s="162" t="s">
        <v>54</v>
      </c>
      <c r="G19" s="166">
        <f>CPPM!I55</f>
        <v>0</v>
      </c>
      <c r="H19" s="167" t="s">
        <v>56</v>
      </c>
      <c r="I19" s="168">
        <f>CPPM!L55</f>
        <v>0</v>
      </c>
      <c r="J19" s="161"/>
      <c r="K19" s="161"/>
      <c r="L19" s="173"/>
    </row>
    <row r="20" spans="2:12" ht="37.5" customHeight="1">
      <c r="B20" s="384" t="s">
        <v>68</v>
      </c>
      <c r="C20" s="385"/>
      <c r="D20" s="385"/>
      <c r="E20" s="385"/>
      <c r="F20" s="162" t="s">
        <v>54</v>
      </c>
      <c r="G20" s="180" t="s">
        <v>69</v>
      </c>
      <c r="H20" s="162" t="s">
        <v>56</v>
      </c>
      <c r="I20" s="163" t="s">
        <v>70</v>
      </c>
      <c r="J20" s="161"/>
      <c r="K20" s="161"/>
      <c r="L20" s="173"/>
    </row>
    <row r="21" spans="2:12" ht="18">
      <c r="B21" s="160"/>
      <c r="C21" s="161"/>
      <c r="D21" s="161"/>
      <c r="E21" s="165">
        <f>G21*I21</f>
        <v>0</v>
      </c>
      <c r="F21" s="162" t="s">
        <v>54</v>
      </c>
      <c r="G21" s="166">
        <f>CPPM!I57</f>
        <v>0</v>
      </c>
      <c r="H21" s="167" t="s">
        <v>56</v>
      </c>
      <c r="I21" s="168">
        <f>CPPM!L57</f>
        <v>0</v>
      </c>
      <c r="J21" s="161"/>
      <c r="K21" s="161"/>
      <c r="L21" s="173"/>
    </row>
    <row r="22" spans="2:12" ht="26.25" customHeight="1">
      <c r="B22" s="377" t="s">
        <v>208</v>
      </c>
      <c r="C22" s="378"/>
      <c r="D22" s="378"/>
      <c r="E22" s="378"/>
      <c r="F22" s="379"/>
      <c r="G22" s="379"/>
      <c r="H22" s="379"/>
      <c r="I22" s="379"/>
      <c r="J22" s="161"/>
      <c r="K22" s="161"/>
      <c r="L22" s="173"/>
    </row>
    <row r="23" spans="2:12" ht="45">
      <c r="B23" s="380" t="s">
        <v>209</v>
      </c>
      <c r="C23" s="376"/>
      <c r="D23" s="376"/>
      <c r="E23" s="376"/>
      <c r="F23" s="162" t="s">
        <v>54</v>
      </c>
      <c r="G23" s="163" t="str">
        <f>B13</f>
        <v>WORKSTATION IT SUBTOTAL</v>
      </c>
      <c r="H23" s="162" t="s">
        <v>71</v>
      </c>
      <c r="I23" s="163" t="s">
        <v>72</v>
      </c>
      <c r="J23" s="161"/>
      <c r="K23" s="161"/>
      <c r="L23" s="173"/>
    </row>
    <row r="24" spans="2:12" ht="18">
      <c r="B24" s="181"/>
      <c r="C24" s="182"/>
      <c r="D24" s="182"/>
      <c r="E24" s="165">
        <f>G24+I24</f>
        <v>0</v>
      </c>
      <c r="F24" s="162" t="s">
        <v>54</v>
      </c>
      <c r="G24" s="183">
        <f>E14</f>
        <v>0</v>
      </c>
      <c r="H24" s="167" t="s">
        <v>71</v>
      </c>
      <c r="I24" s="183">
        <f>E17+E19+E21</f>
        <v>0</v>
      </c>
      <c r="J24" s="161"/>
      <c r="K24" s="161"/>
      <c r="L24" s="173"/>
    </row>
    <row r="25" spans="2:12" ht="15">
      <c r="B25" s="375"/>
      <c r="C25" s="376"/>
      <c r="D25" s="376"/>
      <c r="E25" s="376"/>
      <c r="F25" s="161"/>
      <c r="G25" s="161"/>
      <c r="H25" s="161"/>
      <c r="I25" s="161"/>
      <c r="J25" s="161"/>
      <c r="K25" s="161"/>
      <c r="L25" s="174"/>
    </row>
    <row r="26" spans="2:12" ht="27">
      <c r="B26" s="381" t="s">
        <v>169</v>
      </c>
      <c r="C26" s="382"/>
      <c r="D26" s="382"/>
      <c r="E26" s="382"/>
      <c r="F26" s="382"/>
      <c r="G26" s="382"/>
      <c r="H26" s="382"/>
      <c r="I26" s="382"/>
      <c r="J26" s="382"/>
      <c r="K26" s="382"/>
      <c r="L26" s="383"/>
    </row>
    <row r="27" spans="2:12" ht="30">
      <c r="B27" s="373" t="s">
        <v>49</v>
      </c>
      <c r="C27" s="374"/>
      <c r="D27" s="374"/>
      <c r="E27" s="374"/>
      <c r="F27" s="185" t="s">
        <v>54</v>
      </c>
      <c r="G27" s="186" t="s">
        <v>73</v>
      </c>
      <c r="H27" s="187" t="s">
        <v>71</v>
      </c>
      <c r="I27" s="186" t="s">
        <v>74</v>
      </c>
      <c r="J27" s="187" t="s">
        <v>71</v>
      </c>
      <c r="K27" s="186" t="s">
        <v>61</v>
      </c>
      <c r="L27" s="295"/>
    </row>
    <row r="28" spans="2:12" ht="15">
      <c r="B28" s="160"/>
      <c r="C28" s="161"/>
      <c r="D28" s="161"/>
      <c r="E28" s="165">
        <f>G28+I28+K28</f>
        <v>0</v>
      </c>
      <c r="F28" s="161" t="s">
        <v>54</v>
      </c>
      <c r="G28" s="168">
        <f>E5</f>
        <v>0</v>
      </c>
      <c r="H28" s="188" t="s">
        <v>71</v>
      </c>
      <c r="I28" s="168">
        <f>E9</f>
        <v>0</v>
      </c>
      <c r="J28" s="188" t="s">
        <v>71</v>
      </c>
      <c r="K28" s="168">
        <f>E24</f>
        <v>0</v>
      </c>
      <c r="L28" s="296"/>
    </row>
    <row r="29" spans="2:12" ht="15">
      <c r="B29" s="160"/>
      <c r="C29" s="161"/>
      <c r="D29" s="161"/>
      <c r="E29" s="189"/>
      <c r="F29" s="161"/>
      <c r="G29" s="189"/>
      <c r="H29" s="161"/>
      <c r="I29" s="189"/>
      <c r="J29" s="161"/>
      <c r="K29" s="189"/>
      <c r="L29" s="173"/>
    </row>
    <row r="30" spans="2:12" ht="30.75">
      <c r="B30" s="375" t="s">
        <v>50</v>
      </c>
      <c r="C30" s="376"/>
      <c r="D30" s="376"/>
      <c r="E30" s="376"/>
      <c r="F30" s="161" t="s">
        <v>54</v>
      </c>
      <c r="G30" s="163" t="s">
        <v>49</v>
      </c>
      <c r="H30" s="190" t="s">
        <v>75</v>
      </c>
      <c r="I30" s="163" t="s">
        <v>76</v>
      </c>
      <c r="J30" s="171"/>
      <c r="K30" s="171"/>
      <c r="L30" s="297"/>
    </row>
    <row r="31" spans="2:12" ht="30.75">
      <c r="B31" s="160"/>
      <c r="C31" s="161"/>
      <c r="D31" s="161"/>
      <c r="E31" s="165" t="e">
        <f>G31/I31</f>
        <v>#DIV/0!</v>
      </c>
      <c r="F31" s="161" t="s">
        <v>54</v>
      </c>
      <c r="G31" s="168">
        <f>E28</f>
        <v>0</v>
      </c>
      <c r="H31" s="190" t="s">
        <v>75</v>
      </c>
      <c r="I31" s="166">
        <f>CPPM!I9</f>
        <v>0</v>
      </c>
      <c r="J31" s="161"/>
      <c r="K31" s="161"/>
      <c r="L31" s="173"/>
    </row>
    <row r="32" spans="2:12">
      <c r="B32" s="191"/>
      <c r="C32" s="192"/>
      <c r="D32" s="192"/>
      <c r="E32" s="192"/>
      <c r="F32" s="192"/>
      <c r="G32" s="192"/>
      <c r="H32" s="192"/>
      <c r="I32" s="192"/>
      <c r="J32" s="192"/>
      <c r="K32" s="192"/>
      <c r="L32" s="170"/>
    </row>
  </sheetData>
  <sheetProtection selectLockedCells="1"/>
  <mergeCells count="18">
    <mergeCell ref="B20:E20"/>
    <mergeCell ref="B2:L2"/>
    <mergeCell ref="B3:L3"/>
    <mergeCell ref="D4:E4"/>
    <mergeCell ref="B7:L7"/>
    <mergeCell ref="B8:E8"/>
    <mergeCell ref="B11:L11"/>
    <mergeCell ref="B12:E12"/>
    <mergeCell ref="B13:E13"/>
    <mergeCell ref="B15:E15"/>
    <mergeCell ref="B16:E16"/>
    <mergeCell ref="B18:E18"/>
    <mergeCell ref="B27:E27"/>
    <mergeCell ref="B30:E30"/>
    <mergeCell ref="B22:I22"/>
    <mergeCell ref="B23:E23"/>
    <mergeCell ref="B25:E25"/>
    <mergeCell ref="B26:L26"/>
  </mergeCells>
  <conditionalFormatting sqref="E31">
    <cfRule type="expression" dxfId="0" priority="1" stopIfTrue="1">
      <formula>ISERROR($E$31)</formula>
    </cfRule>
  </conditionalFormatting>
  <pageMargins left="0.7" right="0.7" top="0.75" bottom="0.75" header="0.3" footer="0.3"/>
  <pageSetup scale="66" orientation="portrait" r:id="rId1"/>
</worksheet>
</file>

<file path=xl/worksheets/sheet5.xml><?xml version="1.0" encoding="utf-8"?>
<worksheet xmlns="http://schemas.openxmlformats.org/spreadsheetml/2006/main" xmlns:r="http://schemas.openxmlformats.org/officeDocument/2006/relationships">
  <sheetPr codeName="Sheet6">
    <pageSetUpPr fitToPage="1"/>
  </sheetPr>
  <dimension ref="B1:N56"/>
  <sheetViews>
    <sheetView showGridLines="0" zoomScale="85" zoomScaleNormal="85" workbookViewId="0">
      <selection activeCell="H10" sqref="H10"/>
    </sheetView>
  </sheetViews>
  <sheetFormatPr defaultRowHeight="14.25"/>
  <cols>
    <col min="1" max="1" width="6.25" style="215" customWidth="1"/>
    <col min="2" max="2" width="38.125" style="215" customWidth="1"/>
    <col min="3" max="3" width="1.25" style="215" customWidth="1"/>
    <col min="4" max="4" width="14.625" style="236" customWidth="1"/>
    <col min="5" max="5" width="4.125" style="236" customWidth="1"/>
    <col min="6" max="6" width="1.25" style="215" customWidth="1"/>
    <col min="7" max="7" width="38.125" style="215" customWidth="1"/>
    <col min="8" max="8" width="15.875" style="215" bestFit="1" customWidth="1"/>
    <col min="9" max="9" width="4.125" style="236" customWidth="1"/>
    <col min="10" max="10" width="5.125" style="215" customWidth="1"/>
    <col min="11" max="11" width="9.125" style="215" customWidth="1"/>
    <col min="12" max="12" width="26.625" style="215" customWidth="1"/>
    <col min="13" max="13" width="9.125" style="215" customWidth="1"/>
    <col min="14" max="16384" width="9" style="215"/>
  </cols>
  <sheetData>
    <row r="1" spans="2:13" ht="49.5" customHeight="1">
      <c r="F1" s="286" t="s">
        <v>174</v>
      </c>
    </row>
    <row r="2" spans="2:13" ht="22.5">
      <c r="B2" s="239" t="s">
        <v>170</v>
      </c>
      <c r="C2" s="216"/>
      <c r="D2" s="325"/>
      <c r="E2" s="324"/>
      <c r="G2" s="239" t="s">
        <v>129</v>
      </c>
      <c r="H2" s="216"/>
      <c r="I2" s="324"/>
      <c r="K2" s="246"/>
      <c r="L2" s="240" t="s">
        <v>173</v>
      </c>
      <c r="M2" s="214"/>
    </row>
    <row r="3" spans="2:13" ht="18">
      <c r="B3" s="243"/>
      <c r="C3" s="225"/>
      <c r="D3" s="310"/>
      <c r="E3" s="251"/>
      <c r="G3" s="243"/>
      <c r="H3" s="326"/>
      <c r="I3" s="251"/>
      <c r="K3" s="244"/>
      <c r="L3" s="242"/>
      <c r="M3" s="304"/>
    </row>
    <row r="4" spans="2:13" ht="18">
      <c r="B4" s="252" t="s">
        <v>26</v>
      </c>
      <c r="C4" s="227"/>
      <c r="D4" s="231">
        <f>CPPM!$I$9</f>
        <v>0</v>
      </c>
      <c r="E4" s="251"/>
      <c r="G4" s="252" t="s">
        <v>26</v>
      </c>
      <c r="H4" s="306">
        <f>D4</f>
        <v>0</v>
      </c>
      <c r="I4" s="251"/>
      <c r="K4" s="244"/>
      <c r="L4" s="229" t="s">
        <v>159</v>
      </c>
      <c r="M4" s="304"/>
    </row>
    <row r="5" spans="2:13" ht="19.5" customHeight="1">
      <c r="B5" s="253"/>
      <c r="C5" s="227"/>
      <c r="D5" s="322"/>
      <c r="E5" s="254"/>
      <c r="G5" s="256"/>
      <c r="H5" s="322"/>
      <c r="I5" s="254"/>
      <c r="K5" s="244"/>
      <c r="L5" s="237">
        <f>IFERROR($H$53-$D$53,0)</f>
        <v>0</v>
      </c>
      <c r="M5" s="304"/>
    </row>
    <row r="6" spans="2:13" ht="18">
      <c r="B6" s="252" t="s">
        <v>47</v>
      </c>
      <c r="C6" s="227"/>
      <c r="D6" s="231">
        <f>CPPM!$I$11</f>
        <v>0</v>
      </c>
      <c r="E6" s="251"/>
      <c r="G6" s="252" t="s">
        <v>47</v>
      </c>
      <c r="H6" s="309">
        <v>0</v>
      </c>
      <c r="I6" s="251"/>
      <c r="K6" s="244"/>
      <c r="L6" s="247"/>
      <c r="M6" s="304"/>
    </row>
    <row r="7" spans="2:13" ht="18">
      <c r="B7" s="256"/>
      <c r="C7" s="226"/>
      <c r="D7" s="322"/>
      <c r="E7" s="254"/>
      <c r="G7" s="256"/>
      <c r="H7" s="322"/>
      <c r="I7" s="254"/>
      <c r="K7" s="244"/>
      <c r="L7" s="230" t="s">
        <v>162</v>
      </c>
      <c r="M7" s="304"/>
    </row>
    <row r="8" spans="2:13" ht="22.5">
      <c r="B8" s="239" t="s">
        <v>28</v>
      </c>
      <c r="C8" s="214"/>
      <c r="D8" s="319"/>
      <c r="E8" s="323"/>
      <c r="G8" s="239" t="s">
        <v>28</v>
      </c>
      <c r="H8" s="319"/>
      <c r="I8" s="323"/>
      <c r="K8" s="244"/>
      <c r="L8" s="237">
        <f>IFERROR($H$55-$D$55,0)</f>
        <v>0</v>
      </c>
      <c r="M8" s="304"/>
    </row>
    <row r="9" spans="2:13" ht="18">
      <c r="B9" s="257"/>
      <c r="C9" s="227"/>
      <c r="D9" s="320"/>
      <c r="E9" s="259"/>
      <c r="G9" s="257"/>
      <c r="H9" s="320"/>
      <c r="I9" s="259"/>
      <c r="K9" s="244"/>
      <c r="L9" s="242"/>
      <c r="M9" s="304"/>
    </row>
    <row r="10" spans="2:13" ht="18">
      <c r="B10" s="252" t="s">
        <v>158</v>
      </c>
      <c r="C10" s="227"/>
      <c r="D10" s="231">
        <f>CPPM!$I$16</f>
        <v>0</v>
      </c>
      <c r="E10" s="251"/>
      <c r="G10" s="252" t="s">
        <v>158</v>
      </c>
      <c r="H10" s="309">
        <v>0</v>
      </c>
      <c r="I10" s="251"/>
      <c r="J10" s="303"/>
      <c r="K10" s="244"/>
      <c r="L10" s="230" t="s">
        <v>161</v>
      </c>
      <c r="M10" s="304"/>
    </row>
    <row r="11" spans="2:13" ht="21" customHeight="1">
      <c r="B11" s="258"/>
      <c r="C11" s="227"/>
      <c r="D11" s="320"/>
      <c r="E11" s="259"/>
      <c r="G11" s="258"/>
      <c r="H11" s="320"/>
      <c r="I11" s="259"/>
      <c r="K11" s="244"/>
      <c r="L11" s="238">
        <f>IFERROR($H$6-$D$6,0)</f>
        <v>0</v>
      </c>
      <c r="M11" s="304"/>
    </row>
    <row r="12" spans="2:13" ht="18">
      <c r="B12" s="255" t="s">
        <v>112</v>
      </c>
      <c r="C12" s="227"/>
      <c r="D12" s="231">
        <f>CPPM!$I$18</f>
        <v>0</v>
      </c>
      <c r="E12" s="251"/>
      <c r="G12" s="255" t="s">
        <v>112</v>
      </c>
      <c r="H12" s="309">
        <v>0</v>
      </c>
      <c r="I12" s="251"/>
      <c r="J12" s="303"/>
      <c r="K12" s="244"/>
      <c r="L12" s="242"/>
      <c r="M12" s="304"/>
    </row>
    <row r="13" spans="2:13" ht="18">
      <c r="B13" s="257"/>
      <c r="C13" s="227"/>
      <c r="D13" s="321"/>
      <c r="E13" s="260"/>
      <c r="G13" s="262"/>
      <c r="H13" s="321"/>
      <c r="I13" s="260"/>
      <c r="K13" s="244"/>
      <c r="L13" s="230" t="s">
        <v>160</v>
      </c>
      <c r="M13" s="304"/>
    </row>
    <row r="14" spans="2:13" ht="18">
      <c r="B14" s="255" t="s">
        <v>164</v>
      </c>
      <c r="C14" s="227"/>
      <c r="D14" s="231" t="str">
        <f>IFERROR(ROUND($D$10/($D$4),2),"")</f>
        <v/>
      </c>
      <c r="E14" s="251"/>
      <c r="G14" s="255" t="s">
        <v>164</v>
      </c>
      <c r="H14" s="231">
        <f>IFERROR(ROUND(H10/H4,2),0)</f>
        <v>0</v>
      </c>
      <c r="I14" s="251"/>
      <c r="K14" s="244"/>
      <c r="L14" s="238">
        <f>IFERROR($H$10-$D$10,0)</f>
        <v>0</v>
      </c>
      <c r="M14" s="304"/>
    </row>
    <row r="15" spans="2:13" ht="18">
      <c r="B15" s="255" t="s">
        <v>172</v>
      </c>
      <c r="C15" s="227"/>
      <c r="D15" s="233">
        <f>CPPM!$I$23</f>
        <v>0</v>
      </c>
      <c r="E15" s="251"/>
      <c r="G15" s="255" t="s">
        <v>172</v>
      </c>
      <c r="H15" s="308">
        <f>$D$15</f>
        <v>0</v>
      </c>
      <c r="I15" s="251"/>
      <c r="K15" s="244"/>
      <c r="L15" s="285"/>
      <c r="M15" s="304"/>
    </row>
    <row r="16" spans="2:13" ht="18">
      <c r="B16" s="257"/>
      <c r="C16" s="227"/>
      <c r="D16" s="321"/>
      <c r="E16" s="260"/>
      <c r="G16" s="262"/>
      <c r="H16" s="321"/>
      <c r="I16" s="260"/>
      <c r="K16" s="248"/>
      <c r="L16" s="249"/>
      <c r="M16" s="305"/>
    </row>
    <row r="17" spans="2:12" ht="18">
      <c r="B17" s="261" t="s">
        <v>171</v>
      </c>
      <c r="C17" s="227"/>
      <c r="D17" s="234" t="str">
        <f>IFERROR($D$15*$D$14,"")</f>
        <v/>
      </c>
      <c r="E17" s="251"/>
      <c r="G17" s="261" t="s">
        <v>171</v>
      </c>
      <c r="H17" s="307" t="str">
        <f>IFERROR(ROUND(($H$10/$H$12)*$H$15,2),"")</f>
        <v/>
      </c>
      <c r="I17" s="251"/>
    </row>
    <row r="18" spans="2:12" ht="18">
      <c r="B18" s="262"/>
      <c r="C18" s="227"/>
      <c r="D18" s="310"/>
      <c r="E18" s="251"/>
      <c r="G18" s="262"/>
      <c r="H18" s="310"/>
      <c r="I18" s="251"/>
    </row>
    <row r="19" spans="2:12" ht="18">
      <c r="B19" s="256" t="s">
        <v>186</v>
      </c>
      <c r="C19" s="227"/>
      <c r="D19" s="234">
        <f>IFERROR($D$10*$D$15,"")</f>
        <v>0</v>
      </c>
      <c r="E19" s="251"/>
      <c r="G19" s="256" t="s">
        <v>186</v>
      </c>
      <c r="H19" s="307">
        <f>$H$10*$H$15</f>
        <v>0</v>
      </c>
      <c r="I19" s="251"/>
    </row>
    <row r="20" spans="2:12" ht="18">
      <c r="B20" s="263"/>
      <c r="C20" s="227"/>
      <c r="D20" s="310"/>
      <c r="E20" s="251"/>
      <c r="G20" s="263"/>
      <c r="H20" s="310"/>
      <c r="I20" s="251"/>
    </row>
    <row r="21" spans="2:12" ht="22.5">
      <c r="B21" s="239" t="s">
        <v>148</v>
      </c>
      <c r="C21" s="214"/>
      <c r="D21" s="319"/>
      <c r="E21" s="323"/>
      <c r="G21" s="239" t="s">
        <v>148</v>
      </c>
      <c r="H21" s="319"/>
      <c r="I21" s="323"/>
    </row>
    <row r="22" spans="2:12" ht="18">
      <c r="B22" s="278"/>
      <c r="C22" s="227"/>
      <c r="D22" s="320"/>
      <c r="E22" s="259"/>
      <c r="G22" s="278"/>
      <c r="H22" s="320"/>
      <c r="I22" s="259"/>
    </row>
    <row r="23" spans="2:12" ht="18">
      <c r="B23" s="255" t="s">
        <v>179</v>
      </c>
      <c r="C23" s="227"/>
      <c r="D23" s="300" t="str">
        <f>IFERROR($D$6/$D$24,"")</f>
        <v/>
      </c>
      <c r="E23" s="251"/>
      <c r="G23" s="255" t="s">
        <v>179</v>
      </c>
      <c r="H23" s="300">
        <f>IFERROR(ROUND(H6/H24,3),0)</f>
        <v>0</v>
      </c>
      <c r="I23" s="251"/>
      <c r="J23" s="302"/>
    </row>
    <row r="24" spans="2:12" ht="18">
      <c r="B24" s="255" t="s">
        <v>118</v>
      </c>
      <c r="C24" s="227"/>
      <c r="D24" s="231" t="str">
        <f>CPPM!$P$18</f>
        <v/>
      </c>
      <c r="E24" s="251"/>
      <c r="G24" s="255" t="s">
        <v>118</v>
      </c>
      <c r="H24" s="306">
        <f>IFERROR(H12+H6-H4,0)</f>
        <v>0</v>
      </c>
      <c r="I24" s="251"/>
      <c r="J24" s="303"/>
    </row>
    <row r="25" spans="2:12" ht="18">
      <c r="B25" s="255" t="s">
        <v>119</v>
      </c>
      <c r="C25" s="227"/>
      <c r="D25" s="231" t="str">
        <f>IFERROR(CPPM!$P$18*CPPM!$I$20,"")</f>
        <v/>
      </c>
      <c r="E25" s="251"/>
      <c r="G25" s="255" t="s">
        <v>119</v>
      </c>
      <c r="H25" s="306">
        <f>H14*H24</f>
        <v>0</v>
      </c>
      <c r="I25" s="251"/>
      <c r="L25" s="331"/>
    </row>
    <row r="26" spans="2:12" ht="18">
      <c r="B26" s="255" t="s">
        <v>120</v>
      </c>
      <c r="C26" s="227"/>
      <c r="D26" s="235">
        <f>CPPM!$P$21</f>
        <v>0</v>
      </c>
      <c r="E26" s="311"/>
      <c r="G26" s="255" t="s">
        <v>120</v>
      </c>
      <c r="H26" s="307">
        <f>IFERROR($H$25*$H$15,0)</f>
        <v>0</v>
      </c>
      <c r="I26" s="311"/>
    </row>
    <row r="27" spans="2:12" ht="18">
      <c r="B27" s="279"/>
      <c r="C27" s="227"/>
      <c r="D27" s="318"/>
      <c r="E27" s="280"/>
      <c r="G27" s="279"/>
      <c r="H27" s="327"/>
      <c r="I27" s="280"/>
    </row>
    <row r="28" spans="2:12" ht="22.5">
      <c r="B28" s="239" t="s">
        <v>33</v>
      </c>
      <c r="C28" s="214"/>
      <c r="D28" s="319"/>
      <c r="E28" s="323"/>
      <c r="G28" s="239" t="s">
        <v>33</v>
      </c>
      <c r="H28" s="319"/>
      <c r="I28" s="323"/>
    </row>
    <row r="29" spans="2:12" ht="18.75" thickBot="1">
      <c r="B29" s="265"/>
      <c r="C29" s="227"/>
      <c r="D29" s="314"/>
      <c r="E29" s="266"/>
      <c r="G29" s="265"/>
      <c r="H29" s="328"/>
      <c r="I29" s="266"/>
    </row>
    <row r="30" spans="2:12" ht="19.5" thickTop="1" thickBot="1">
      <c r="B30" s="261" t="s">
        <v>123</v>
      </c>
      <c r="C30" s="227"/>
      <c r="D30" s="292">
        <f>CPPM!$I$36</f>
        <v>497</v>
      </c>
      <c r="E30" s="251"/>
      <c r="G30" s="261" t="s">
        <v>123</v>
      </c>
      <c r="H30" s="293">
        <f>$D$30</f>
        <v>497</v>
      </c>
      <c r="I30" s="251"/>
    </row>
    <row r="31" spans="2:12" ht="18.75" thickTop="1">
      <c r="B31" s="267"/>
      <c r="C31" s="227"/>
      <c r="D31" s="314"/>
      <c r="E31" s="266"/>
      <c r="G31" s="267"/>
      <c r="H31" s="329"/>
      <c r="I31" s="266"/>
    </row>
    <row r="32" spans="2:12" ht="18">
      <c r="B32" s="261" t="s">
        <v>116</v>
      </c>
      <c r="C32" s="227"/>
      <c r="D32" s="231">
        <f>CPPM!$I$38</f>
        <v>0</v>
      </c>
      <c r="E32" s="251"/>
      <c r="G32" s="261" t="s">
        <v>116</v>
      </c>
      <c r="H32" s="231">
        <f>$D$32</f>
        <v>0</v>
      </c>
      <c r="I32" s="251"/>
    </row>
    <row r="33" spans="2:14" ht="18">
      <c r="B33" s="268"/>
      <c r="C33" s="227"/>
      <c r="D33" s="317"/>
      <c r="E33" s="269"/>
      <c r="G33" s="268"/>
      <c r="H33" s="317"/>
      <c r="I33" s="269"/>
    </row>
    <row r="34" spans="2:14" ht="18">
      <c r="B34" s="257" t="s">
        <v>187</v>
      </c>
      <c r="C34" s="227"/>
      <c r="D34" s="235">
        <f>$D$30*$D$32</f>
        <v>0</v>
      </c>
      <c r="E34" s="251"/>
      <c r="G34" s="257" t="s">
        <v>187</v>
      </c>
      <c r="H34" s="234">
        <f>$D$34</f>
        <v>0</v>
      </c>
      <c r="I34" s="251"/>
    </row>
    <row r="35" spans="2:14" ht="18">
      <c r="B35" s="263"/>
      <c r="C35" s="227"/>
      <c r="D35" s="310"/>
      <c r="E35" s="251"/>
      <c r="G35" s="263"/>
      <c r="H35" s="310"/>
      <c r="I35" s="251"/>
    </row>
    <row r="36" spans="2:14" ht="22.5">
      <c r="B36" s="239" t="s">
        <v>196</v>
      </c>
      <c r="C36" s="214"/>
      <c r="D36" s="319"/>
      <c r="E36" s="323"/>
      <c r="G36" s="239" t="s">
        <v>196</v>
      </c>
      <c r="H36" s="319"/>
      <c r="I36" s="323"/>
    </row>
    <row r="37" spans="2:14" ht="19.5">
      <c r="B37" s="270"/>
      <c r="C37" s="227"/>
      <c r="D37" s="316"/>
      <c r="E37" s="251"/>
      <c r="G37" s="270"/>
      <c r="H37" s="316"/>
      <c r="I37" s="251"/>
    </row>
    <row r="38" spans="2:14" ht="20.25" thickBot="1">
      <c r="B38" s="272"/>
      <c r="C38" s="227"/>
      <c r="D38" s="315"/>
      <c r="E38" s="273"/>
      <c r="G38" s="272"/>
      <c r="H38" s="330"/>
      <c r="I38" s="273"/>
    </row>
    <row r="39" spans="2:14" ht="19.5" thickTop="1" thickBot="1">
      <c r="B39" s="261" t="s">
        <v>124</v>
      </c>
      <c r="C39" s="227"/>
      <c r="D39" s="292">
        <v>5000</v>
      </c>
      <c r="E39" s="251"/>
      <c r="G39" s="261" t="s">
        <v>124</v>
      </c>
      <c r="H39" s="293">
        <f>$D$39</f>
        <v>5000</v>
      </c>
      <c r="I39" s="251"/>
    </row>
    <row r="40" spans="2:14" ht="18.75" thickTop="1">
      <c r="B40" s="243"/>
      <c r="C40" s="227"/>
      <c r="D40" s="314"/>
      <c r="E40" s="266"/>
      <c r="G40" s="243"/>
      <c r="H40" s="329"/>
      <c r="I40" s="266"/>
    </row>
    <row r="41" spans="2:14" ht="18">
      <c r="B41" s="261" t="s">
        <v>192</v>
      </c>
      <c r="C41" s="227"/>
      <c r="D41" s="235">
        <f>$D$32*$D$39</f>
        <v>0</v>
      </c>
      <c r="E41" s="251"/>
      <c r="G41" s="261" t="s">
        <v>192</v>
      </c>
      <c r="H41" s="234">
        <f>$D$41</f>
        <v>0</v>
      </c>
      <c r="I41" s="251"/>
    </row>
    <row r="42" spans="2:14" ht="18">
      <c r="B42" s="243"/>
      <c r="C42" s="283"/>
      <c r="D42" s="310"/>
      <c r="E42" s="264"/>
      <c r="G42" s="243"/>
      <c r="H42" s="316"/>
      <c r="I42" s="264"/>
    </row>
    <row r="43" spans="2:14" ht="18">
      <c r="B43" s="274" t="s">
        <v>197</v>
      </c>
      <c r="C43" s="227"/>
      <c r="D43" s="313"/>
      <c r="E43" s="251"/>
      <c r="G43" s="274" t="s">
        <v>197</v>
      </c>
      <c r="H43" s="313"/>
      <c r="I43" s="251"/>
    </row>
    <row r="44" spans="2:14" ht="18">
      <c r="B44" s="255" t="s">
        <v>180</v>
      </c>
      <c r="C44" s="227"/>
      <c r="D44" s="235">
        <f>IFERROR(CPPM!$I$53*CPPM!$L$53,0)</f>
        <v>0</v>
      </c>
      <c r="E44" s="251"/>
      <c r="G44" s="255" t="s">
        <v>180</v>
      </c>
      <c r="H44" s="234">
        <f>$D$44</f>
        <v>0</v>
      </c>
      <c r="I44" s="251"/>
    </row>
    <row r="45" spans="2:14" ht="18">
      <c r="B45" s="255" t="s">
        <v>43</v>
      </c>
      <c r="C45" s="227"/>
      <c r="D45" s="235">
        <f>IFERROR(CPPM!$I$55*CPPM!$L$55,0)</f>
        <v>0</v>
      </c>
      <c r="E45" s="251"/>
      <c r="G45" s="255" t="s">
        <v>43</v>
      </c>
      <c r="H45" s="234">
        <f>$D$45</f>
        <v>0</v>
      </c>
      <c r="I45" s="251"/>
    </row>
    <row r="46" spans="2:14" ht="18">
      <c r="B46" s="255" t="s">
        <v>181</v>
      </c>
      <c r="C46" s="227"/>
      <c r="D46" s="235">
        <f>IFERROR(CPPM!$I$57*CPPM!$L$57,0)</f>
        <v>0</v>
      </c>
      <c r="E46" s="251"/>
      <c r="G46" s="255" t="s">
        <v>181</v>
      </c>
      <c r="H46" s="234">
        <f>$D$46</f>
        <v>0</v>
      </c>
      <c r="I46" s="251"/>
    </row>
    <row r="47" spans="2:14" ht="18">
      <c r="B47" s="276"/>
      <c r="C47" s="227"/>
      <c r="D47" s="312"/>
      <c r="E47" s="277"/>
      <c r="G47" s="276"/>
      <c r="H47" s="312"/>
      <c r="I47" s="277"/>
    </row>
    <row r="48" spans="2:14" ht="18">
      <c r="B48" s="261" t="s">
        <v>194</v>
      </c>
      <c r="C48" s="227"/>
      <c r="D48" s="235">
        <f>($D$44)+($D$45)+($D$46)</f>
        <v>0</v>
      </c>
      <c r="E48" s="251"/>
      <c r="G48" s="261" t="s">
        <v>194</v>
      </c>
      <c r="H48" s="234">
        <f>$D$48</f>
        <v>0</v>
      </c>
      <c r="I48" s="251"/>
      <c r="N48" s="215">
        <v>0</v>
      </c>
    </row>
    <row r="49" spans="2:12" ht="18">
      <c r="B49" s="257" t="s">
        <v>198</v>
      </c>
      <c r="C49" s="227"/>
      <c r="D49" s="235">
        <f>CPPM!$I$63</f>
        <v>0</v>
      </c>
      <c r="E49" s="251"/>
      <c r="G49" s="257" t="s">
        <v>198</v>
      </c>
      <c r="H49" s="234">
        <f>$D$49</f>
        <v>0</v>
      </c>
      <c r="I49" s="251"/>
    </row>
    <row r="50" spans="2:12" ht="18">
      <c r="B50" s="263"/>
      <c r="C50" s="227"/>
      <c r="D50" s="310"/>
      <c r="E50" s="264"/>
      <c r="G50" s="263"/>
      <c r="H50" s="310"/>
      <c r="I50" s="264"/>
    </row>
    <row r="51" spans="2:12" ht="22.5">
      <c r="B51" s="239" t="s">
        <v>188</v>
      </c>
      <c r="C51" s="214"/>
      <c r="D51" s="319"/>
      <c r="E51" s="323"/>
      <c r="G51" s="239" t="s">
        <v>188</v>
      </c>
      <c r="H51" s="319"/>
      <c r="I51" s="323"/>
    </row>
    <row r="52" spans="2:12" ht="18">
      <c r="B52" s="281"/>
      <c r="C52" s="227"/>
      <c r="D52" s="310"/>
      <c r="E52" s="251"/>
      <c r="G52" s="281"/>
      <c r="H52" s="310"/>
      <c r="I52" s="251"/>
    </row>
    <row r="53" spans="2:12" ht="18">
      <c r="B53" s="256" t="s">
        <v>189</v>
      </c>
      <c r="C53" s="227"/>
      <c r="D53" s="332">
        <f>CPPM!I69</f>
        <v>0</v>
      </c>
      <c r="E53" s="251"/>
      <c r="G53" s="256" t="s">
        <v>189</v>
      </c>
      <c r="H53" s="234">
        <f>$H$49+$H$34+$H$19</f>
        <v>0</v>
      </c>
      <c r="I53" s="251"/>
      <c r="L53" s="219"/>
    </row>
    <row r="54" spans="2:12" ht="18">
      <c r="B54" s="258"/>
      <c r="C54" s="227"/>
      <c r="D54" s="310"/>
      <c r="E54" s="251"/>
      <c r="G54" s="258"/>
      <c r="H54" s="310"/>
      <c r="I54" s="251"/>
    </row>
    <row r="55" spans="2:12" ht="18">
      <c r="B55" s="256" t="s">
        <v>190</v>
      </c>
      <c r="C55" s="227"/>
      <c r="D55" s="332" t="str">
        <f>CPPM!I71</f>
        <v/>
      </c>
      <c r="E55" s="251"/>
      <c r="G55" s="256" t="s">
        <v>190</v>
      </c>
      <c r="H55" s="234" t="str">
        <f>IFERROR($H$53/$H$4,"")</f>
        <v/>
      </c>
      <c r="I55" s="251"/>
    </row>
    <row r="56" spans="2:12" ht="18">
      <c r="B56" s="282"/>
      <c r="C56" s="283"/>
      <c r="D56" s="310"/>
      <c r="E56" s="264"/>
      <c r="G56" s="282"/>
      <c r="H56" s="326"/>
      <c r="I56" s="264"/>
    </row>
  </sheetData>
  <sheetProtection password="DFB7" sheet="1" objects="1" scenarios="1" selectLockedCells="1"/>
  <dataValidations count="10">
    <dataValidation type="custom" operator="greaterThanOrEqual" allowBlank="1" showInputMessage="1" showErrorMessage="1" errorTitle="Invalid Entry" error="Total number of teleworkers can not exceed total number of employees." sqref="D6">
      <formula1>D6&lt;D4+1</formula1>
    </dataValidation>
    <dataValidation operator="greaterThan" allowBlank="1" showErrorMessage="1" errorTitle="Invalid Entry" error="Enter a dollar amount greater than $0." prompt="Select the appropriate rental rate for the area, building class, and type. Use current market rental rates or enter the actual agency rental rate." sqref="H53 I18 H55 D17:D18 E18 H48:H49 H44:H46 H41 H39 H34 H30 H15 H17:H19 H26 D15"/>
    <dataValidation type="decimal" operator="greaterThan" allowBlank="1" showErrorMessage="1" errorTitle="Invalid Entry" error="Enter a number greater than zero." prompt="Input total number of FTEs." sqref="H10 H4 D4 H32">
      <formula1>0</formula1>
    </dataValidation>
    <dataValidation operator="greaterThan" allowBlank="1" showErrorMessage="1" errorTitle="Invalid Entry" error="Enter a number greater than zero." prompt="Input total number of FTEs." sqref="H25 H23 D23"/>
    <dataValidation type="decimal" operator="greaterThanOrEqual" allowBlank="1" showInputMessage="1" showErrorMessage="1" error="Input a number" sqref="D27:E27 H27:I27">
      <formula1>0</formula1>
    </dataValidation>
    <dataValidation type="whole" operator="greaterThan" allowBlank="1" showInputMessage="1" showErrorMessage="1" errorTitle="Invalid Entry" error="Enter a whole number greater than zero." sqref="E11 H11:I11 D10:D11">
      <formula1>0</formula1>
    </dataValidation>
    <dataValidation operator="greaterThanOrEqual" allowBlank="1" showErrorMessage="1" errorTitle="Invalid Entry" error="Enter a number greater than zero." prompt="Input total number of FTEs." sqref="H6"/>
    <dataValidation operator="greaterThan" allowBlank="1" showInputMessage="1" showErrorMessage="1" errorTitle="Invalid Entry" error="Enter a dollar amount greater than $0." sqref="D44:D46"/>
    <dataValidation operator="greaterThan" allowBlank="1" showErrorMessage="1" errorTitle="Invalid Entry" error="Enter a number greater than zero." prompt="Government-wide average for total space per person is 230 square feet." sqref="D12 D14"/>
    <dataValidation type="decimal" operator="greaterThanOrEqual" allowBlank="1" showErrorMessage="1" errorTitle="Invalid Entry" error="Enter a number greater than zero." prompt="Input total number of FTEs." sqref="H24">
      <formula1>0</formula1>
    </dataValidation>
  </dataValidations>
  <pageMargins left="0.7" right="0.7" top="0.75" bottom="0.75" header="0.3" footer="0.3"/>
  <pageSetup scale="48" orientation="landscape" r:id="rId1"/>
  <legacyDrawing r:id="rId2"/>
  <controls>
    <control shapeId="4103" r:id="rId3" name="CommandButton1"/>
    <control shapeId="4119" r:id="rId4" name="SpinButton1"/>
    <control shapeId="4120" r:id="rId5" name="SpinButton2"/>
    <control shapeId="4121" r:id="rId6" name="SpinButton3"/>
  </controls>
</worksheet>
</file>

<file path=xl/worksheets/sheet6.xml><?xml version="1.0" encoding="utf-8"?>
<worksheet xmlns="http://schemas.openxmlformats.org/spreadsheetml/2006/main" xmlns:r="http://schemas.openxmlformats.org/officeDocument/2006/relationships">
  <sheetPr codeName="Sheet9"/>
  <dimension ref="E1"/>
  <sheetViews>
    <sheetView showGridLines="0" showRowColHeaders="0" workbookViewId="0">
      <selection activeCell="K5" sqref="K5"/>
    </sheetView>
  </sheetViews>
  <sheetFormatPr defaultRowHeight="14.25"/>
  <sheetData>
    <row r="1" spans="5:5" ht="30">
      <c r="E1" s="286" t="s">
        <v>175</v>
      </c>
    </row>
  </sheetData>
  <sheetProtection password="DFB7" sheet="1" objects="1" scenarios="1" selectLockedCells="1"/>
  <pageMargins left="0.7" right="0.7" top="0.75" bottom="0.75" header="0.3" footer="0.3"/>
  <drawing r:id="rId1"/>
  <legacyDrawing r:id="rId2"/>
  <controls>
    <control shapeId="5121" r:id="rId3" name="CommandButton1"/>
  </controls>
</worksheet>
</file>

<file path=xl/worksheets/sheet7.xml><?xml version="1.0" encoding="utf-8"?>
<worksheet xmlns="http://schemas.openxmlformats.org/spreadsheetml/2006/main" xmlns:r="http://schemas.openxmlformats.org/officeDocument/2006/relationships">
  <sheetPr codeName="Sheet3">
    <pageSetUpPr autoPageBreaks="0"/>
  </sheetPr>
  <dimension ref="A1:K80"/>
  <sheetViews>
    <sheetView workbookViewId="0">
      <selection activeCell="A4" sqref="A4"/>
    </sheetView>
  </sheetViews>
  <sheetFormatPr defaultRowHeight="12.75"/>
  <cols>
    <col min="1" max="1" width="31.75" style="1" customWidth="1"/>
    <col min="2" max="2" width="19.375" style="1" customWidth="1"/>
    <col min="3" max="3" width="12.75" style="1" customWidth="1"/>
    <col min="4" max="4" width="9" style="1"/>
    <col min="5" max="5" width="15.125" style="1" customWidth="1"/>
    <col min="6" max="6" width="20.5" style="1" customWidth="1"/>
    <col min="7" max="7" width="11" style="1" customWidth="1"/>
    <col min="8" max="8" width="7.5" style="1" customWidth="1"/>
    <col min="9" max="16384" width="9" style="1"/>
  </cols>
  <sheetData>
    <row r="1" spans="1:9">
      <c r="A1" s="1" t="s">
        <v>77</v>
      </c>
      <c r="B1" s="1" t="s">
        <v>78</v>
      </c>
      <c r="C1" s="194" t="s">
        <v>79</v>
      </c>
      <c r="E1" s="195" t="s">
        <v>80</v>
      </c>
      <c r="F1" s="196" t="s">
        <v>81</v>
      </c>
      <c r="G1" s="195" t="s">
        <v>82</v>
      </c>
      <c r="H1" s="1" t="s">
        <v>83</v>
      </c>
    </row>
    <row r="2" spans="1:9">
      <c r="A2" s="1">
        <v>1</v>
      </c>
      <c r="B2" s="1">
        <v>2</v>
      </c>
      <c r="C2" s="1">
        <v>1</v>
      </c>
      <c r="E2" s="1">
        <v>0</v>
      </c>
      <c r="F2" s="197"/>
      <c r="G2" s="198" t="s">
        <v>84</v>
      </c>
      <c r="H2" s="1" t="e">
        <v>#REF!</v>
      </c>
      <c r="I2" s="1">
        <v>2</v>
      </c>
    </row>
    <row r="3" spans="1:9">
      <c r="A3" s="1" t="s">
        <v>143</v>
      </c>
      <c r="C3" s="199">
        <f>IF(C2=2, 1.3, 1)</f>
        <v>1</v>
      </c>
      <c r="E3" s="1">
        <v>0</v>
      </c>
      <c r="F3" s="197"/>
      <c r="G3" s="198" t="s">
        <v>44</v>
      </c>
    </row>
    <row r="4" spans="1:9">
      <c r="A4" s="223"/>
      <c r="C4" s="1">
        <f>IF(C2=0,0,1)</f>
        <v>1</v>
      </c>
      <c r="E4" s="1">
        <v>0</v>
      </c>
      <c r="F4" s="197"/>
      <c r="G4" s="198" t="s">
        <v>85</v>
      </c>
    </row>
    <row r="5" spans="1:9">
      <c r="G5" s="198"/>
    </row>
    <row r="6" spans="1:9">
      <c r="A6" s="200" t="s">
        <v>86</v>
      </c>
      <c r="B6" s="201">
        <v>31.5</v>
      </c>
    </row>
    <row r="7" spans="1:9">
      <c r="A7" s="200" t="s">
        <v>87</v>
      </c>
      <c r="B7" s="201">
        <v>0</v>
      </c>
    </row>
    <row r="9" spans="1:9">
      <c r="E9" s="1">
        <f>117*6445</f>
        <v>754065</v>
      </c>
    </row>
    <row r="10" spans="1:9">
      <c r="A10" s="195"/>
      <c r="E10" s="1">
        <f>833*6445</f>
        <v>5368685</v>
      </c>
    </row>
    <row r="11" spans="1:9">
      <c r="A11" s="195" t="s">
        <v>88</v>
      </c>
      <c r="B11" s="195" t="s">
        <v>89</v>
      </c>
      <c r="C11" s="195" t="s">
        <v>90</v>
      </c>
      <c r="E11" s="1">
        <f>950*6445</f>
        <v>6122750</v>
      </c>
    </row>
    <row r="12" spans="1:9">
      <c r="A12" s="1" t="s">
        <v>28</v>
      </c>
      <c r="B12" s="202">
        <f>CPPM!I27</f>
        <v>0</v>
      </c>
      <c r="C12" s="202">
        <f>IF(CPPM!$I$9&gt;0,B12/CPPM!$I$9,0)</f>
        <v>0</v>
      </c>
      <c r="F12" s="1">
        <f>12*34*2*52</f>
        <v>42432</v>
      </c>
    </row>
    <row r="13" spans="1:9">
      <c r="A13" s="1" t="s">
        <v>91</v>
      </c>
      <c r="B13" s="202">
        <f>CPPM!I40</f>
        <v>0</v>
      </c>
      <c r="C13" s="202">
        <f>IF(CPPM!$I$9&gt;0,B13/CPPM!$I$9,0)</f>
        <v>0</v>
      </c>
    </row>
    <row r="14" spans="1:9">
      <c r="A14" s="1" t="s">
        <v>199</v>
      </c>
      <c r="B14" s="202">
        <f>CPPM!I48</f>
        <v>0</v>
      </c>
      <c r="C14" s="202">
        <f>IF(CPPM!$I$9&gt;0,B14/CPPM!$I$9,0)</f>
        <v>0</v>
      </c>
      <c r="E14" s="1" t="s">
        <v>93</v>
      </c>
    </row>
    <row r="15" spans="1:9">
      <c r="A15" s="1" t="s">
        <v>200</v>
      </c>
      <c r="B15" s="202">
        <f>CPPM!I60</f>
        <v>0</v>
      </c>
      <c r="C15" s="202">
        <f>IFERROR(B15/CPPM!$I$9,0)</f>
        <v>0</v>
      </c>
      <c r="E15" s="1" t="s">
        <v>94</v>
      </c>
    </row>
    <row r="16" spans="1:9">
      <c r="B16" s="202"/>
      <c r="C16" s="202"/>
    </row>
    <row r="17" spans="1:7">
      <c r="A17" s="195" t="s">
        <v>95</v>
      </c>
      <c r="B17" s="195" t="s">
        <v>145</v>
      </c>
      <c r="C17" s="195" t="s">
        <v>146</v>
      </c>
      <c r="D17" s="1" t="s">
        <v>147</v>
      </c>
      <c r="E17" s="1" t="s">
        <v>96</v>
      </c>
    </row>
    <row r="18" spans="1:7">
      <c r="A18" s="1" t="s">
        <v>28</v>
      </c>
      <c r="B18" s="202">
        <f>SCENARIOS!$D$19</f>
        <v>0</v>
      </c>
      <c r="C18" s="202">
        <f>SCENARIOS!$H$19</f>
        <v>0</v>
      </c>
      <c r="D18" s="202">
        <f>B18-C18</f>
        <v>0</v>
      </c>
    </row>
    <row r="19" spans="1:7">
      <c r="A19" s="1" t="s">
        <v>91</v>
      </c>
      <c r="B19" s="202">
        <f>SCENARIOS!$D$34</f>
        <v>0</v>
      </c>
      <c r="C19" s="202">
        <f>SCENARIOS!$H$34</f>
        <v>0</v>
      </c>
      <c r="D19" s="202">
        <f t="shared" ref="D19:D20" si="0">B19-C19</f>
        <v>0</v>
      </c>
    </row>
    <row r="20" spans="1:7">
      <c r="A20" s="1" t="s">
        <v>199</v>
      </c>
      <c r="B20" s="202">
        <f>SCENARIOS!$D$49</f>
        <v>0</v>
      </c>
      <c r="C20" s="202">
        <f>SCENARIOS!$H$49</f>
        <v>0</v>
      </c>
      <c r="D20" s="202">
        <f t="shared" si="0"/>
        <v>0</v>
      </c>
    </row>
    <row r="23" spans="1:7">
      <c r="A23" s="195" t="s">
        <v>151</v>
      </c>
      <c r="B23" s="195" t="s">
        <v>145</v>
      </c>
      <c r="C23" s="195" t="s">
        <v>146</v>
      </c>
      <c r="D23" s="1" t="s">
        <v>147</v>
      </c>
      <c r="F23" s="1" t="s">
        <v>98</v>
      </c>
      <c r="G23" s="1" t="s">
        <v>99</v>
      </c>
    </row>
    <row r="24" spans="1:7">
      <c r="A24" s="1" t="s">
        <v>148</v>
      </c>
      <c r="B24" s="220" t="e">
        <f>SCENARIOS!#REF!</f>
        <v>#REF!</v>
      </c>
      <c r="C24" s="220" t="e">
        <f>SCENARIOS!#REF!</f>
        <v>#REF!</v>
      </c>
      <c r="D24" s="220"/>
      <c r="E24" s="1" t="str">
        <f>A45</f>
        <v>Real Estate</v>
      </c>
      <c r="F24" s="202" t="e">
        <f>IF(B45&gt;0,0,B45)</f>
        <v>#VALUE!</v>
      </c>
      <c r="G24" s="202" t="e">
        <f>IF(B45&lt;0,0,B45)</f>
        <v>#VALUE!</v>
      </c>
    </row>
    <row r="25" spans="1:7">
      <c r="A25" s="1" t="s">
        <v>150</v>
      </c>
      <c r="B25" s="220">
        <f>SCENARIOS!$D$12</f>
        <v>0</v>
      </c>
      <c r="C25" s="220">
        <f>SCENARIOS!$H$12</f>
        <v>0</v>
      </c>
      <c r="D25" s="220">
        <f t="shared" ref="D25" si="1">B25-C25</f>
        <v>0</v>
      </c>
      <c r="E25" s="1" t="str">
        <f>A46</f>
        <v>Telecom</v>
      </c>
      <c r="F25" s="202" t="e">
        <f>IF(B46&gt;0,0,B46)</f>
        <v>#VALUE!</v>
      </c>
      <c r="G25" s="202" t="e">
        <f>IF(B46&lt;0,0,B46)</f>
        <v>#VALUE!</v>
      </c>
    </row>
    <row r="26" spans="1:7">
      <c r="A26" s="1" t="s">
        <v>118</v>
      </c>
      <c r="B26" s="220" t="str">
        <f>SCENARIOS!$D$24</f>
        <v/>
      </c>
      <c r="C26" s="220">
        <f>SCENARIOS!$H$24</f>
        <v>0</v>
      </c>
      <c r="D26" s="220"/>
      <c r="F26" s="202"/>
      <c r="G26" s="202"/>
    </row>
    <row r="27" spans="1:7">
      <c r="A27" s="1" t="s">
        <v>149</v>
      </c>
      <c r="B27" s="220" t="e">
        <f>B25-B26</f>
        <v>#VALUE!</v>
      </c>
      <c r="C27" s="220">
        <f>C25-C26</f>
        <v>0</v>
      </c>
      <c r="D27" s="220"/>
      <c r="E27" s="1" t="str">
        <f>A47</f>
        <v>Workstation IT</v>
      </c>
      <c r="F27" s="202" t="e">
        <f>IF(B47&gt;0,0,B47)</f>
        <v>#VALUE!</v>
      </c>
      <c r="G27" s="202" t="e">
        <f>IF(B47&lt;0,0,B47)</f>
        <v>#VALUE!</v>
      </c>
    </row>
    <row r="28" spans="1:7">
      <c r="A28" s="1" t="s">
        <v>152</v>
      </c>
      <c r="B28" s="220">
        <f>SCENARIOS!$D$10/1000</f>
        <v>0</v>
      </c>
      <c r="C28" s="220">
        <f>SCENARIOS!$H$10/1000</f>
        <v>0</v>
      </c>
      <c r="D28" s="220">
        <f>(B28-C28)</f>
        <v>0</v>
      </c>
      <c r="E28" s="1" t="str">
        <f>A48</f>
        <v>Mobility Devices</v>
      </c>
      <c r="F28" s="202" t="e">
        <f>IF(B48&gt;0,0,B48)</f>
        <v>#VALUE!</v>
      </c>
      <c r="G28" s="202"/>
    </row>
    <row r="29" spans="1:7">
      <c r="E29" s="1" t="str">
        <f>A49</f>
        <v>Alternative Work Environments</v>
      </c>
      <c r="F29" s="202" t="e">
        <f>IF(B49&gt;0,0,B49)</f>
        <v>#VALUE!</v>
      </c>
      <c r="G29" s="202" t="e">
        <f>IF(B49&lt;0,0,B49)</f>
        <v>#VALUE!</v>
      </c>
    </row>
    <row r="30" spans="1:7">
      <c r="G30" s="202"/>
    </row>
    <row r="31" spans="1:7">
      <c r="B31" s="202"/>
    </row>
    <row r="32" spans="1:7">
      <c r="B32" s="204"/>
    </row>
    <row r="35" spans="1:5">
      <c r="A35" s="205" t="s">
        <v>101</v>
      </c>
      <c r="B35" s="205">
        <v>5000</v>
      </c>
    </row>
    <row r="36" spans="1:5">
      <c r="A36" s="205" t="s">
        <v>102</v>
      </c>
      <c r="B36" s="205">
        <v>3200</v>
      </c>
      <c r="D36" s="1">
        <v>1</v>
      </c>
      <c r="E36" s="1" t="s">
        <v>127</v>
      </c>
    </row>
    <row r="37" spans="1:5">
      <c r="A37" s="205" t="s">
        <v>35</v>
      </c>
      <c r="B37" s="205">
        <v>497</v>
      </c>
      <c r="D37" s="1">
        <v>2</v>
      </c>
      <c r="E37" s="1" t="s">
        <v>128</v>
      </c>
    </row>
    <row r="38" spans="1:5">
      <c r="A38" s="205" t="s">
        <v>103</v>
      </c>
      <c r="B38" s="205">
        <v>1000</v>
      </c>
      <c r="D38" s="1">
        <v>3</v>
      </c>
      <c r="E38" s="1" t="s">
        <v>125</v>
      </c>
    </row>
    <row r="39" spans="1:5">
      <c r="D39" s="1">
        <v>4</v>
      </c>
      <c r="E39" s="1" t="s">
        <v>126</v>
      </c>
    </row>
    <row r="44" spans="1:5">
      <c r="A44" s="195" t="s">
        <v>97</v>
      </c>
    </row>
    <row r="45" spans="1:5">
      <c r="A45" s="1" t="s">
        <v>28</v>
      </c>
      <c r="B45" s="203" t="e">
        <v>#VALUE!</v>
      </c>
      <c r="C45" s="203" t="e">
        <v>#VALUE!</v>
      </c>
    </row>
    <row r="46" spans="1:5">
      <c r="A46" s="1" t="s">
        <v>91</v>
      </c>
      <c r="B46" s="203" t="e">
        <v>#VALUE!</v>
      </c>
      <c r="C46" s="203" t="e">
        <v>#VALUE!</v>
      </c>
    </row>
    <row r="47" spans="1:5">
      <c r="A47" s="1" t="s">
        <v>92</v>
      </c>
      <c r="B47" s="203" t="e">
        <v>#VALUE!</v>
      </c>
      <c r="C47" s="203" t="e">
        <v>#VALUE!</v>
      </c>
    </row>
    <row r="48" spans="1:5">
      <c r="A48" s="1" t="s">
        <v>197</v>
      </c>
      <c r="B48" s="203" t="e">
        <v>#VALUE!</v>
      </c>
      <c r="C48" s="203" t="e">
        <v>#VALUE!</v>
      </c>
    </row>
    <row r="49" spans="1:11">
      <c r="A49" s="1" t="s">
        <v>46</v>
      </c>
      <c r="B49" s="203" t="e">
        <v>#VALUE!</v>
      </c>
      <c r="C49" s="203" t="e">
        <v>#VALUE!</v>
      </c>
    </row>
    <row r="50" spans="1:11">
      <c r="A50" s="1" t="s">
        <v>100</v>
      </c>
      <c r="B50" s="203" t="e">
        <f>SUM(B45:B49)</f>
        <v>#VALUE!</v>
      </c>
      <c r="C50" s="203" t="e">
        <f>SUM(C45:C49)</f>
        <v>#VALUE!</v>
      </c>
    </row>
    <row r="58" spans="1:11" ht="22.5">
      <c r="A58" s="239" t="s">
        <v>33</v>
      </c>
      <c r="B58" s="214"/>
      <c r="C58" s="232"/>
      <c r="D58" s="215"/>
      <c r="E58" s="246"/>
      <c r="F58" s="241" t="s">
        <v>157</v>
      </c>
      <c r="G58" s="214"/>
      <c r="H58" s="228"/>
      <c r="I58" s="215"/>
      <c r="J58" s="239" t="s">
        <v>33</v>
      </c>
      <c r="K58" s="232"/>
    </row>
    <row r="59" spans="1:11" ht="18">
      <c r="A59" s="265"/>
      <c r="B59" s="227"/>
      <c r="C59" s="266"/>
      <c r="D59" s="215"/>
      <c r="E59" s="244"/>
      <c r="F59" s="242"/>
      <c r="G59" s="227"/>
      <c r="H59" s="245"/>
      <c r="I59" s="215"/>
      <c r="J59" s="265"/>
      <c r="K59" s="266"/>
    </row>
    <row r="60" spans="1:11" ht="18">
      <c r="A60" s="261" t="s">
        <v>123</v>
      </c>
      <c r="B60" s="227"/>
      <c r="C60" s="235" t="e">
        <f>CPPM!#REF!</f>
        <v>#REF!</v>
      </c>
      <c r="D60" s="215"/>
      <c r="E60" s="244"/>
      <c r="F60" s="229" t="s">
        <v>159</v>
      </c>
      <c r="G60" s="227"/>
      <c r="H60" s="245"/>
      <c r="I60" s="215"/>
      <c r="J60" s="261" t="s">
        <v>123</v>
      </c>
      <c r="K60" s="234" t="e">
        <f>C60</f>
        <v>#REF!</v>
      </c>
    </row>
    <row r="61" spans="1:11" ht="18">
      <c r="A61" s="267"/>
      <c r="B61" s="227"/>
      <c r="C61" s="266"/>
      <c r="D61" s="215"/>
      <c r="E61" s="244"/>
      <c r="F61" s="237">
        <f>IFERROR($L$55-$D$55,0)</f>
        <v>0</v>
      </c>
      <c r="G61" s="227"/>
      <c r="H61" s="245"/>
      <c r="I61" s="215"/>
      <c r="J61" s="267"/>
      <c r="K61" s="266"/>
    </row>
    <row r="62" spans="1:11" ht="18">
      <c r="A62" s="261" t="s">
        <v>116</v>
      </c>
      <c r="B62" s="227"/>
      <c r="C62" s="231" t="e">
        <f>CPPM!#REF!</f>
        <v>#REF!</v>
      </c>
      <c r="D62" s="215"/>
      <c r="E62" s="244"/>
      <c r="F62" s="247"/>
      <c r="G62" s="227"/>
      <c r="H62" s="245"/>
      <c r="I62" s="215"/>
      <c r="J62" s="261" t="s">
        <v>116</v>
      </c>
      <c r="K62" s="231" t="e">
        <f>C62</f>
        <v>#REF!</v>
      </c>
    </row>
    <row r="63" spans="1:11" ht="18">
      <c r="A63" s="268"/>
      <c r="B63" s="227"/>
      <c r="C63" s="269"/>
      <c r="D63" s="215"/>
      <c r="E63" s="244"/>
      <c r="F63" s="230" t="s">
        <v>162</v>
      </c>
      <c r="G63" s="227"/>
      <c r="H63" s="245"/>
      <c r="I63" s="215"/>
      <c r="J63" s="268"/>
      <c r="K63" s="269"/>
    </row>
    <row r="64" spans="1:11" ht="18">
      <c r="A64" s="257" t="s">
        <v>163</v>
      </c>
      <c r="B64" s="227"/>
      <c r="C64" s="235" t="e">
        <f>C60*C62</f>
        <v>#REF!</v>
      </c>
      <c r="D64" s="215"/>
      <c r="E64" s="244"/>
      <c r="F64" s="237">
        <f>IFERROR($L$57-$D$57,0)</f>
        <v>0</v>
      </c>
      <c r="G64" s="227"/>
      <c r="H64" s="245"/>
      <c r="I64" s="215"/>
      <c r="J64" s="257" t="s">
        <v>163</v>
      </c>
      <c r="K64" s="234" t="e">
        <f>C64</f>
        <v>#REF!</v>
      </c>
    </row>
    <row r="65" spans="1:11" ht="18">
      <c r="A65" s="263"/>
      <c r="B65" s="227"/>
      <c r="C65" s="264"/>
      <c r="D65" s="215"/>
      <c r="E65" s="244"/>
      <c r="F65" s="242"/>
      <c r="G65" s="227"/>
      <c r="H65" s="245"/>
      <c r="I65" s="215"/>
      <c r="J65" s="263"/>
      <c r="K65" s="264"/>
    </row>
    <row r="66" spans="1:11" ht="22.5">
      <c r="A66" s="239" t="s">
        <v>117</v>
      </c>
      <c r="B66" s="214"/>
      <c r="C66" s="232"/>
      <c r="D66" s="215"/>
      <c r="E66" s="244"/>
      <c r="F66" s="230" t="s">
        <v>161</v>
      </c>
      <c r="G66" s="227"/>
      <c r="H66" s="245"/>
      <c r="I66" s="215"/>
      <c r="J66" s="239" t="s">
        <v>117</v>
      </c>
      <c r="K66" s="232"/>
    </row>
    <row r="67" spans="1:11" ht="19.5">
      <c r="A67" s="270"/>
      <c r="B67" s="227"/>
      <c r="C67" s="271"/>
      <c r="D67" s="215"/>
      <c r="E67" s="244"/>
      <c r="F67" s="238">
        <f>IFERROR($L$6-$D$6,0)</f>
        <v>0</v>
      </c>
      <c r="G67" s="227"/>
      <c r="H67" s="245"/>
      <c r="I67" s="215"/>
      <c r="J67" s="270"/>
      <c r="K67" s="271"/>
    </row>
    <row r="68" spans="1:11" ht="19.5">
      <c r="A68" s="272"/>
      <c r="B68" s="227"/>
      <c r="C68" s="273"/>
      <c r="D68" s="215"/>
      <c r="E68" s="244"/>
      <c r="F68" s="242"/>
      <c r="G68" s="227"/>
      <c r="H68" s="245"/>
      <c r="I68" s="215"/>
      <c r="J68" s="272"/>
      <c r="K68" s="273"/>
    </row>
    <row r="69" spans="1:11" ht="18">
      <c r="A69" s="261" t="s">
        <v>124</v>
      </c>
      <c r="B69" s="227"/>
      <c r="C69" s="235">
        <v>5000</v>
      </c>
      <c r="D69" s="215"/>
      <c r="E69" s="244"/>
      <c r="F69" s="230" t="s">
        <v>160</v>
      </c>
      <c r="G69" s="227"/>
      <c r="H69" s="245"/>
      <c r="I69" s="215"/>
      <c r="J69" s="261" t="s">
        <v>124</v>
      </c>
      <c r="K69" s="234">
        <f>C69</f>
        <v>5000</v>
      </c>
    </row>
    <row r="70" spans="1:11" ht="18">
      <c r="A70" s="243"/>
      <c r="B70" s="227"/>
      <c r="C70" s="266"/>
      <c r="D70" s="215"/>
      <c r="E70" s="244"/>
      <c r="F70" s="238">
        <f>IFERROR($L$11-$D$11,0)</f>
        <v>0</v>
      </c>
      <c r="G70" s="227"/>
      <c r="H70" s="245"/>
      <c r="I70" s="215"/>
      <c r="J70" s="243"/>
      <c r="K70" s="266"/>
    </row>
    <row r="71" spans="1:11" ht="18">
      <c r="A71" s="261" t="s">
        <v>114</v>
      </c>
      <c r="B71" s="227"/>
      <c r="C71" s="235" t="e">
        <f>C62*C69</f>
        <v>#REF!</v>
      </c>
      <c r="D71" s="215"/>
      <c r="E71" s="248"/>
      <c r="F71" s="249"/>
      <c r="G71" s="249"/>
      <c r="H71" s="250"/>
      <c r="I71" s="215"/>
      <c r="J71" s="261" t="s">
        <v>114</v>
      </c>
      <c r="K71" s="234" t="e">
        <f>C71</f>
        <v>#REF!</v>
      </c>
    </row>
    <row r="72" spans="1:11" ht="18">
      <c r="A72" s="243"/>
      <c r="B72" s="227"/>
      <c r="C72" s="251"/>
      <c r="D72" s="215"/>
      <c r="E72" s="215"/>
      <c r="F72" s="215"/>
      <c r="G72" s="215"/>
      <c r="H72" s="215"/>
      <c r="I72" s="215"/>
      <c r="J72" s="243"/>
      <c r="K72" s="251"/>
    </row>
    <row r="73" spans="1:11" ht="18">
      <c r="A73" s="274" t="s">
        <v>39</v>
      </c>
      <c r="B73" s="227"/>
      <c r="C73" s="275"/>
      <c r="D73" s="215"/>
      <c r="E73" s="215"/>
      <c r="F73" s="215"/>
      <c r="G73" s="215"/>
      <c r="H73" s="215"/>
      <c r="I73" s="215"/>
      <c r="J73" s="274" t="s">
        <v>39</v>
      </c>
      <c r="K73" s="275"/>
    </row>
    <row r="74" spans="1:11" ht="18">
      <c r="A74" s="255" t="s">
        <v>115</v>
      </c>
      <c r="B74" s="227"/>
      <c r="C74" s="235">
        <f>IFERROR(CPPM!H76*CPPM!K76,0)</f>
        <v>0</v>
      </c>
      <c r="D74" s="215"/>
      <c r="E74" s="215"/>
      <c r="F74" s="215"/>
      <c r="G74" s="215"/>
      <c r="H74" s="215"/>
      <c r="I74" s="215"/>
      <c r="J74" s="255" t="s">
        <v>115</v>
      </c>
      <c r="K74" s="234">
        <f t="shared" ref="K74:K76" si="2">C74</f>
        <v>0</v>
      </c>
    </row>
    <row r="75" spans="1:11" ht="18">
      <c r="A75" s="255" t="s">
        <v>43</v>
      </c>
      <c r="B75" s="227"/>
      <c r="C75" s="235">
        <f>IFERROR(CPPM!H78*CPPM!K78,0)</f>
        <v>0</v>
      </c>
      <c r="D75" s="215"/>
      <c r="E75" s="215"/>
      <c r="F75" s="215"/>
      <c r="G75" s="215"/>
      <c r="H75" s="215"/>
      <c r="I75" s="215"/>
      <c r="J75" s="255" t="s">
        <v>43</v>
      </c>
      <c r="K75" s="234">
        <f t="shared" si="2"/>
        <v>0</v>
      </c>
    </row>
    <row r="76" spans="1:11" ht="18">
      <c r="A76" s="255" t="s">
        <v>45</v>
      </c>
      <c r="B76" s="227"/>
      <c r="C76" s="235">
        <f>IFERROR(CPPM!H80*CPPM!K80,0)</f>
        <v>0</v>
      </c>
      <c r="D76" s="215"/>
      <c r="E76" s="215"/>
      <c r="F76" s="215"/>
      <c r="G76" s="215"/>
      <c r="H76" s="215"/>
      <c r="I76" s="215"/>
      <c r="J76" s="255" t="s">
        <v>45</v>
      </c>
      <c r="K76" s="234">
        <f t="shared" si="2"/>
        <v>0</v>
      </c>
    </row>
    <row r="77" spans="1:11" ht="18">
      <c r="A77" s="276"/>
      <c r="B77" s="227"/>
      <c r="C77" s="277"/>
      <c r="D77" s="215"/>
      <c r="E77" s="215"/>
      <c r="F77" s="215"/>
      <c r="G77" s="215"/>
      <c r="H77" s="215"/>
      <c r="I77" s="215"/>
      <c r="J77" s="276"/>
      <c r="K77" s="277"/>
    </row>
    <row r="78" spans="1:11" ht="18">
      <c r="A78" s="261" t="s">
        <v>121</v>
      </c>
      <c r="B78" s="227"/>
      <c r="C78" s="235">
        <f>(C74)+(C75)+(C76)</f>
        <v>0</v>
      </c>
      <c r="D78" s="215"/>
      <c r="E78" s="215"/>
      <c r="F78" s="215"/>
      <c r="G78" s="215"/>
      <c r="H78" s="215"/>
      <c r="I78" s="215"/>
      <c r="J78" s="261" t="s">
        <v>121</v>
      </c>
      <c r="K78" s="234">
        <f t="shared" ref="K78:K79" si="3">C78</f>
        <v>0</v>
      </c>
    </row>
    <row r="79" spans="1:11" ht="18">
      <c r="A79" s="257" t="s">
        <v>122</v>
      </c>
      <c r="B79" s="227"/>
      <c r="C79" s="235">
        <f>CPPM!H86</f>
        <v>0</v>
      </c>
      <c r="D79" s="215"/>
      <c r="E79" s="215"/>
      <c r="F79" s="215"/>
      <c r="G79" s="215"/>
      <c r="H79" s="215"/>
      <c r="I79" s="215"/>
      <c r="J79" s="257" t="s">
        <v>122</v>
      </c>
      <c r="K79" s="234">
        <f t="shared" si="3"/>
        <v>0</v>
      </c>
    </row>
    <row r="80" spans="1:11" ht="18">
      <c r="A80" s="263"/>
      <c r="B80" s="227"/>
      <c r="C80" s="264"/>
      <c r="D80" s="215"/>
      <c r="E80" s="215"/>
      <c r="F80" s="215"/>
      <c r="G80" s="215"/>
      <c r="H80" s="215"/>
      <c r="I80" s="215"/>
      <c r="J80" s="263"/>
      <c r="K80" s="264"/>
    </row>
  </sheetData>
  <sheetProtection password="DFB7" sheet="1" objects="1" scenarios="1" selectLockedCells="1"/>
  <dataValidations count="3">
    <dataValidation operator="greaterThan" allowBlank="1" showInputMessage="1" showErrorMessage="1" errorTitle="Invalid Entry" error="Enter a dollar amount greater than $0." sqref="C74:C76"/>
    <dataValidation operator="greaterThan" allowBlank="1" showErrorMessage="1" errorTitle="Invalid Entry" error="Enter a dollar amount greater than $0." prompt="Select the appropriate rental rate for the area, building class, and type. Use current market rental rates or enter the actual agency rental rate." sqref="K78:K79 K74:K76 K71 K69 K64 K60"/>
    <dataValidation type="decimal" operator="greaterThan" allowBlank="1" showErrorMessage="1" errorTitle="Invalid Entry" error="Enter a number greater than zero." prompt="Input total number of FTEs." sqref="K62">
      <formula1>0</formula1>
    </dataValidation>
  </dataValidations>
  <pageMargins left="0.75" right="0.75" top="1" bottom="1" header="0.5" footer="0.5"/>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sheetPr codeName="Sheet5"/>
  <dimension ref="B2:C20"/>
  <sheetViews>
    <sheetView zoomScale="85" zoomScaleNormal="85" workbookViewId="0">
      <selection activeCell="C28" sqref="C28"/>
    </sheetView>
  </sheetViews>
  <sheetFormatPr defaultRowHeight="12.75"/>
  <cols>
    <col min="1" max="1" width="18" style="207" customWidth="1"/>
    <col min="2" max="2" width="36.625" style="207" customWidth="1"/>
    <col min="3" max="3" width="54.625" style="207" customWidth="1"/>
    <col min="4" max="16384" width="9" style="207"/>
  </cols>
  <sheetData>
    <row r="2" spans="2:3" s="206" customFormat="1" ht="39" customHeight="1">
      <c r="B2" s="392" t="s">
        <v>11</v>
      </c>
      <c r="C2" s="392"/>
    </row>
    <row r="3" spans="2:3" ht="27" customHeight="1">
      <c r="B3" s="217" t="s">
        <v>130</v>
      </c>
      <c r="C3" s="218" t="s">
        <v>131</v>
      </c>
    </row>
    <row r="4" spans="2:3" ht="14.25">
      <c r="B4" s="393" t="s">
        <v>25</v>
      </c>
      <c r="C4" s="393"/>
    </row>
    <row r="5" spans="2:3" ht="54.75" customHeight="1">
      <c r="B5" s="208" t="s">
        <v>26</v>
      </c>
      <c r="C5" s="208" t="s">
        <v>106</v>
      </c>
    </row>
    <row r="6" spans="2:3" ht="42.75">
      <c r="B6" s="208" t="s">
        <v>47</v>
      </c>
      <c r="C6" s="209" t="s">
        <v>201</v>
      </c>
    </row>
    <row r="7" spans="2:3" ht="14.25">
      <c r="B7" s="393" t="s">
        <v>107</v>
      </c>
      <c r="C7" s="393"/>
    </row>
    <row r="8" spans="2:3" ht="93.75" customHeight="1">
      <c r="B8" s="209" t="s">
        <v>29</v>
      </c>
      <c r="C8" s="209" t="s">
        <v>132</v>
      </c>
    </row>
    <row r="9" spans="2:3" ht="76.5" customHeight="1">
      <c r="B9" s="209" t="s">
        <v>112</v>
      </c>
      <c r="C9" s="209" t="s">
        <v>133</v>
      </c>
    </row>
    <row r="10" spans="2:3" ht="76.5" customHeight="1">
      <c r="B10" s="209" t="s">
        <v>134</v>
      </c>
      <c r="C10" s="209" t="s">
        <v>206</v>
      </c>
    </row>
    <row r="11" spans="2:3" ht="51.75" customHeight="1">
      <c r="B11" s="209" t="s">
        <v>108</v>
      </c>
      <c r="C11" s="209" t="s">
        <v>135</v>
      </c>
    </row>
    <row r="12" spans="2:3" ht="8.25" customHeight="1">
      <c r="B12" s="394"/>
      <c r="C12" s="394"/>
    </row>
    <row r="13" spans="2:3" ht="14.25">
      <c r="B13" s="391" t="s">
        <v>109</v>
      </c>
      <c r="C13" s="391"/>
    </row>
    <row r="14" spans="2:3" ht="54.75" customHeight="1">
      <c r="B14" s="210" t="s">
        <v>110</v>
      </c>
      <c r="C14" s="210" t="s">
        <v>136</v>
      </c>
    </row>
    <row r="15" spans="2:3" ht="9" customHeight="1">
      <c r="B15" s="390"/>
      <c r="C15" s="390"/>
    </row>
    <row r="16" spans="2:3" ht="14.25" customHeight="1">
      <c r="B16" s="391" t="s">
        <v>202</v>
      </c>
      <c r="C16" s="391"/>
    </row>
    <row r="17" spans="2:3" ht="117.75" customHeight="1">
      <c r="B17" s="210" t="s">
        <v>137</v>
      </c>
      <c r="C17" s="209" t="s">
        <v>138</v>
      </c>
    </row>
    <row r="18" spans="2:3" ht="57" customHeight="1">
      <c r="B18" s="209" t="s">
        <v>42</v>
      </c>
      <c r="C18" s="209" t="s">
        <v>205</v>
      </c>
    </row>
    <row r="19" spans="2:3" ht="45" customHeight="1">
      <c r="B19" s="209" t="s">
        <v>43</v>
      </c>
      <c r="C19" s="209" t="s">
        <v>139</v>
      </c>
    </row>
    <row r="20" spans="2:3" ht="45" customHeight="1">
      <c r="B20" s="209" t="s">
        <v>140</v>
      </c>
      <c r="C20" s="333" t="s">
        <v>203</v>
      </c>
    </row>
  </sheetData>
  <mergeCells count="7">
    <mergeCell ref="B15:C15"/>
    <mergeCell ref="B16:C16"/>
    <mergeCell ref="B2:C2"/>
    <mergeCell ref="B4:C4"/>
    <mergeCell ref="B7:C7"/>
    <mergeCell ref="B12:C12"/>
    <mergeCell ref="B13:C13"/>
  </mergeCells>
  <pageMargins left="0.7" right="0.7" top="0.75" bottom="0.75" header="0.3" footer="0.3"/>
  <pageSetup orientation="portrait" r:id="rId1"/>
  <legacyDrawing r:id="rId2"/>
  <controls>
    <control shapeId="9217" r:id="rId3" name="CommandButton1"/>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INTRODUCTION</vt:lpstr>
      <vt:lpstr>CPPM</vt:lpstr>
      <vt:lpstr>GRAPHS</vt:lpstr>
      <vt:lpstr>CALCULATIONS</vt:lpstr>
      <vt:lpstr>SCENARIOS</vt:lpstr>
      <vt:lpstr>SCENARIO GRAPHS</vt:lpstr>
      <vt:lpstr>DEFINITIONS</vt:lpstr>
      <vt:lpstr>CPPM!Print_Area</vt:lpstr>
    </vt:vector>
  </TitlesOfParts>
  <Company>GSA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jmk</dc:creator>
  <cp:lastModifiedBy>KevinLAgot</cp:lastModifiedBy>
  <cp:lastPrinted>2012-08-23T14:23:19Z</cp:lastPrinted>
  <dcterms:created xsi:type="dcterms:W3CDTF">2012-02-23T18:22:59Z</dcterms:created>
  <dcterms:modified xsi:type="dcterms:W3CDTF">2012-09-19T15:56:09Z</dcterms:modified>
</cp:coreProperties>
</file>